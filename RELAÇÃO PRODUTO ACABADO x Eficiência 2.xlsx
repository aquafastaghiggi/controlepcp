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aquafastmatriz-my.sharepoint.com/personal/aghiggi_aquafast_com_br/Documents/"/>
    </mc:Choice>
  </mc:AlternateContent>
  <xr:revisionPtr revIDLastSave="359" documentId="8_{EAAA9C81-B2AD-4F06-AD05-8F35A08D4F25}" xr6:coauthVersionLast="47" xr6:coauthVersionMax="47" xr10:uidLastSave="{2D8F10D0-4B8E-4BB8-A12D-94A285DEF881}"/>
  <bookViews>
    <workbookView xWindow="-120" yWindow="-120" windowWidth="29040" windowHeight="15720" tabRatio="500" firstSheet="3" activeTab="10" xr2:uid="{00000000-000D-0000-FFFF-FFFF00000000}"/>
  </bookViews>
  <sheets>
    <sheet name="Cadastro" sheetId="2" r:id="rId1"/>
    <sheet name="Linha 01" sheetId="6" r:id="rId2"/>
    <sheet name="LISTA 01" sheetId="7" r:id="rId3"/>
    <sheet name="Linha 02" sheetId="8" r:id="rId4"/>
    <sheet name="LISTA 02" sheetId="9" r:id="rId5"/>
    <sheet name="Linha 03" sheetId="10" r:id="rId6"/>
    <sheet name="LISTA 03" sheetId="11" r:id="rId7"/>
    <sheet name="Linha 04" sheetId="12" r:id="rId8"/>
    <sheet name="LISTA 04" sheetId="17" r:id="rId9"/>
    <sheet name="Linha 05" sheetId="13" r:id="rId10"/>
    <sheet name="LISTA 05" sheetId="18" r:id="rId11"/>
    <sheet name="Linha 06" sheetId="14" r:id="rId12"/>
    <sheet name="LISTA 06" sheetId="19" r:id="rId13"/>
    <sheet name="Linha 07" sheetId="15" r:id="rId14"/>
    <sheet name="LISTA 07" sheetId="20" r:id="rId15"/>
    <sheet name="Linha 10" sheetId="16" r:id="rId16"/>
    <sheet name="LISTA 10" sheetId="21" r:id="rId17"/>
  </sheets>
  <definedNames>
    <definedName name="_xlnm._FilterDatabase" localSheetId="0" hidden="1">Cadastro!$A$1:$H$175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8" l="1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3" i="18"/>
  <c r="H66" i="21" a="1"/>
  <c r="H66" i="21" s="1"/>
  <c r="G66" i="21" a="1"/>
  <c r="G66" i="21" s="1"/>
  <c r="F66" i="21" a="1"/>
  <c r="F66" i="21" s="1"/>
  <c r="E66" i="21"/>
  <c r="E66" i="21" a="1"/>
  <c r="D66" i="21"/>
  <c r="D66" i="21" a="1"/>
  <c r="H65" i="21"/>
  <c r="H65" i="21" a="1"/>
  <c r="G65" i="21" a="1"/>
  <c r="G65" i="21" s="1"/>
  <c r="F65" i="21" a="1"/>
  <c r="F65" i="21" s="1"/>
  <c r="E65" i="21" a="1"/>
  <c r="E65" i="21" s="1"/>
  <c r="D65" i="21" a="1"/>
  <c r="D65" i="21" s="1"/>
  <c r="H64" i="21"/>
  <c r="H64" i="21" a="1"/>
  <c r="G64" i="21"/>
  <c r="G64" i="21" a="1"/>
  <c r="F64" i="21" a="1"/>
  <c r="F64" i="21" s="1"/>
  <c r="E64" i="21" a="1"/>
  <c r="E64" i="21" s="1"/>
  <c r="D64" i="21" a="1"/>
  <c r="D64" i="21" s="1"/>
  <c r="H63" i="21" a="1"/>
  <c r="H63" i="21" s="1"/>
  <c r="G63" i="21"/>
  <c r="G63" i="21" a="1"/>
  <c r="F63" i="21"/>
  <c r="F63" i="21" a="1"/>
  <c r="E63" i="21" a="1"/>
  <c r="E63" i="21" s="1"/>
  <c r="D63" i="21" a="1"/>
  <c r="D63" i="21" s="1"/>
  <c r="H62" i="21" a="1"/>
  <c r="H62" i="21" s="1"/>
  <c r="G62" i="21" a="1"/>
  <c r="G62" i="21" s="1"/>
  <c r="F62" i="21"/>
  <c r="F62" i="21" a="1"/>
  <c r="E62" i="21"/>
  <c r="E62" i="21" a="1"/>
  <c r="D62" i="21" a="1"/>
  <c r="D62" i="21" s="1"/>
  <c r="H61" i="21" a="1"/>
  <c r="H61" i="21" s="1"/>
  <c r="G61" i="21" a="1"/>
  <c r="G61" i="21" s="1"/>
  <c r="F61" i="21" a="1"/>
  <c r="F61" i="21" s="1"/>
  <c r="E61" i="21"/>
  <c r="E61" i="21" a="1"/>
  <c r="D61" i="21"/>
  <c r="D61" i="21" a="1"/>
  <c r="H60" i="21" a="1"/>
  <c r="H60" i="21" s="1"/>
  <c r="G60" i="21" a="1"/>
  <c r="G60" i="21" s="1"/>
  <c r="F60" i="21" a="1"/>
  <c r="F60" i="21" s="1"/>
  <c r="E60" i="21" a="1"/>
  <c r="E60" i="21" s="1"/>
  <c r="D60" i="21"/>
  <c r="D60" i="21" a="1"/>
  <c r="H59" i="21"/>
  <c r="H59" i="21" a="1"/>
  <c r="G59" i="21" a="1"/>
  <c r="G59" i="21" s="1"/>
  <c r="F59" i="21" a="1"/>
  <c r="F59" i="21" s="1"/>
  <c r="E59" i="21" a="1"/>
  <c r="E59" i="21" s="1"/>
  <c r="D59" i="21" a="1"/>
  <c r="D59" i="21" s="1"/>
  <c r="H58" i="21"/>
  <c r="H58" i="21" a="1"/>
  <c r="G58" i="21"/>
  <c r="G58" i="21" a="1"/>
  <c r="F58" i="21" a="1"/>
  <c r="F58" i="21" s="1"/>
  <c r="E58" i="21" a="1"/>
  <c r="E58" i="21" s="1"/>
  <c r="D58" i="21" a="1"/>
  <c r="D58" i="21" s="1"/>
  <c r="H57" i="21" a="1"/>
  <c r="H57" i="21" s="1"/>
  <c r="G57" i="21"/>
  <c r="G57" i="21" a="1"/>
  <c r="F57" i="21"/>
  <c r="F57" i="21" a="1"/>
  <c r="E57" i="21" a="1"/>
  <c r="E57" i="21" s="1"/>
  <c r="D57" i="21" a="1"/>
  <c r="D57" i="21" s="1"/>
  <c r="H56" i="21" a="1"/>
  <c r="H56" i="21" s="1"/>
  <c r="G56" i="21" a="1"/>
  <c r="G56" i="21" s="1"/>
  <c r="F56" i="21"/>
  <c r="F56" i="21" a="1"/>
  <c r="E56" i="21"/>
  <c r="E56" i="21" a="1"/>
  <c r="D56" i="21" a="1"/>
  <c r="D56" i="21" s="1"/>
  <c r="H55" i="21" a="1"/>
  <c r="H55" i="21" s="1"/>
  <c r="G55" i="21" a="1"/>
  <c r="G55" i="21" s="1"/>
  <c r="F55" i="21" a="1"/>
  <c r="F55" i="21" s="1"/>
  <c r="E55" i="21"/>
  <c r="E55" i="21" a="1"/>
  <c r="D55" i="21"/>
  <c r="D55" i="21" a="1"/>
  <c r="H54" i="21" a="1"/>
  <c r="H54" i="21" s="1"/>
  <c r="G54" i="21" a="1"/>
  <c r="G54" i="21" s="1"/>
  <c r="F54" i="21" a="1"/>
  <c r="F54" i="21" s="1"/>
  <c r="E54" i="21" a="1"/>
  <c r="E54" i="21" s="1"/>
  <c r="D54" i="21"/>
  <c r="D54" i="21" a="1"/>
  <c r="H53" i="21"/>
  <c r="H53" i="21" a="1"/>
  <c r="G53" i="21" a="1"/>
  <c r="G53" i="21" s="1"/>
  <c r="F53" i="21" a="1"/>
  <c r="F53" i="21" s="1"/>
  <c r="E53" i="21" a="1"/>
  <c r="E53" i="21" s="1"/>
  <c r="D53" i="21" a="1"/>
  <c r="D53" i="21" s="1"/>
  <c r="H52" i="21"/>
  <c r="H52" i="21" a="1"/>
  <c r="G52" i="21"/>
  <c r="G52" i="21" a="1"/>
  <c r="F52" i="21" a="1"/>
  <c r="F52" i="21" s="1"/>
  <c r="E52" i="21" a="1"/>
  <c r="E52" i="21" s="1"/>
  <c r="D52" i="21" a="1"/>
  <c r="D52" i="21" s="1"/>
  <c r="H51" i="21" a="1"/>
  <c r="H51" i="21" s="1"/>
  <c r="G51" i="21"/>
  <c r="G51" i="21" a="1"/>
  <c r="F51" i="21"/>
  <c r="F51" i="21" a="1"/>
  <c r="E51" i="21" a="1"/>
  <c r="E51" i="21" s="1"/>
  <c r="D51" i="21" a="1"/>
  <c r="D51" i="21" s="1"/>
  <c r="H50" i="21" a="1"/>
  <c r="H50" i="21" s="1"/>
  <c r="G50" i="21" a="1"/>
  <c r="G50" i="21" s="1"/>
  <c r="F50" i="21"/>
  <c r="F50" i="21" a="1"/>
  <c r="E50" i="21"/>
  <c r="E50" i="21" a="1"/>
  <c r="D50" i="21" a="1"/>
  <c r="D50" i="21" s="1"/>
  <c r="H49" i="21" a="1"/>
  <c r="H49" i="21" s="1"/>
  <c r="G49" i="21" a="1"/>
  <c r="G49" i="21" s="1"/>
  <c r="F49" i="21" a="1"/>
  <c r="F49" i="21" s="1"/>
  <c r="E49" i="21"/>
  <c r="E49" i="21" a="1"/>
  <c r="D49" i="21"/>
  <c r="D49" i="21" a="1"/>
  <c r="H48" i="21" a="1"/>
  <c r="H48" i="21" s="1"/>
  <c r="G48" i="21" a="1"/>
  <c r="G48" i="21" s="1"/>
  <c r="F48" i="21" a="1"/>
  <c r="F48" i="21" s="1"/>
  <c r="E48" i="21" a="1"/>
  <c r="E48" i="21" s="1"/>
  <c r="D48" i="21"/>
  <c r="D48" i="21" a="1"/>
  <c r="H47" i="21"/>
  <c r="H47" i="21" a="1"/>
  <c r="G47" i="21" a="1"/>
  <c r="G47" i="21" s="1"/>
  <c r="F47" i="21" a="1"/>
  <c r="F47" i="21" s="1"/>
  <c r="E47" i="21" a="1"/>
  <c r="E47" i="21" s="1"/>
  <c r="D47" i="21" a="1"/>
  <c r="D47" i="21" s="1"/>
  <c r="H46" i="21"/>
  <c r="H46" i="21" a="1"/>
  <c r="G46" i="21"/>
  <c r="G46" i="21" a="1"/>
  <c r="F46" i="21" a="1"/>
  <c r="F46" i="21" s="1"/>
  <c r="E46" i="21" a="1"/>
  <c r="E46" i="21" s="1"/>
  <c r="D46" i="21" a="1"/>
  <c r="D46" i="21" s="1"/>
  <c r="H45" i="21" a="1"/>
  <c r="H45" i="21" s="1"/>
  <c r="G45" i="21"/>
  <c r="G45" i="21" a="1"/>
  <c r="F45" i="21"/>
  <c r="F45" i="21" a="1"/>
  <c r="E45" i="21" a="1"/>
  <c r="E45" i="21" s="1"/>
  <c r="D45" i="21" a="1"/>
  <c r="D45" i="21" s="1"/>
  <c r="H44" i="21" a="1"/>
  <c r="H44" i="21" s="1"/>
  <c r="G44" i="21" a="1"/>
  <c r="G44" i="21" s="1"/>
  <c r="F44" i="21"/>
  <c r="F44" i="21" a="1"/>
  <c r="E44" i="21"/>
  <c r="E44" i="21" a="1"/>
  <c r="D44" i="21" a="1"/>
  <c r="D44" i="21" s="1"/>
  <c r="H43" i="21" a="1"/>
  <c r="H43" i="21" s="1"/>
  <c r="G43" i="21" a="1"/>
  <c r="G43" i="21" s="1"/>
  <c r="F43" i="21" a="1"/>
  <c r="F43" i="21" s="1"/>
  <c r="E43" i="21"/>
  <c r="E43" i="21" a="1"/>
  <c r="D43" i="21"/>
  <c r="D43" i="21" a="1"/>
  <c r="H42" i="21" a="1"/>
  <c r="H42" i="21" s="1"/>
  <c r="G42" i="21" a="1"/>
  <c r="G42" i="21" s="1"/>
  <c r="F42" i="21" a="1"/>
  <c r="F42" i="21" s="1"/>
  <c r="E42" i="21" a="1"/>
  <c r="E42" i="21" s="1"/>
  <c r="D42" i="21"/>
  <c r="D42" i="21" a="1"/>
  <c r="H41" i="21"/>
  <c r="H41" i="21" a="1"/>
  <c r="G41" i="21" a="1"/>
  <c r="G41" i="21" s="1"/>
  <c r="F41" i="21" a="1"/>
  <c r="F41" i="21" s="1"/>
  <c r="E41" i="21" a="1"/>
  <c r="E41" i="21" s="1"/>
  <c r="D41" i="21" a="1"/>
  <c r="D41" i="21" s="1"/>
  <c r="H40" i="21"/>
  <c r="H40" i="21" a="1"/>
  <c r="G40" i="21"/>
  <c r="G40" i="21" a="1"/>
  <c r="F40" i="21" a="1"/>
  <c r="F40" i="21" s="1"/>
  <c r="E40" i="21" a="1"/>
  <c r="E40" i="21" s="1"/>
  <c r="D40" i="21" a="1"/>
  <c r="D40" i="21" s="1"/>
  <c r="H39" i="21" a="1"/>
  <c r="H39" i="21" s="1"/>
  <c r="G39" i="21"/>
  <c r="G39" i="21" a="1"/>
  <c r="F39" i="21"/>
  <c r="F39" i="21" a="1"/>
  <c r="E39" i="21" a="1"/>
  <c r="E39" i="21" s="1"/>
  <c r="D39" i="21" a="1"/>
  <c r="D39" i="21" s="1"/>
  <c r="H38" i="21" a="1"/>
  <c r="H38" i="21" s="1"/>
  <c r="G38" i="21" a="1"/>
  <c r="G38" i="21" s="1"/>
  <c r="F38" i="21"/>
  <c r="F38" i="21" a="1"/>
  <c r="E38" i="21"/>
  <c r="E38" i="21" a="1"/>
  <c r="D38" i="21" a="1"/>
  <c r="D38" i="21" s="1"/>
  <c r="H37" i="21" a="1"/>
  <c r="H37" i="21" s="1"/>
  <c r="G37" i="21" a="1"/>
  <c r="G37" i="21" s="1"/>
  <c r="F37" i="21" a="1"/>
  <c r="F37" i="21" s="1"/>
  <c r="E37" i="21"/>
  <c r="E37" i="21" a="1"/>
  <c r="D37" i="21"/>
  <c r="D37" i="21" a="1"/>
  <c r="H36" i="21" a="1"/>
  <c r="H36" i="21" s="1"/>
  <c r="G36" i="21" a="1"/>
  <c r="G36" i="21" s="1"/>
  <c r="F36" i="21" a="1"/>
  <c r="F36" i="21" s="1"/>
  <c r="E36" i="21" a="1"/>
  <c r="E36" i="21" s="1"/>
  <c r="D36" i="21"/>
  <c r="D36" i="21" a="1"/>
  <c r="H35" i="21"/>
  <c r="H35" i="21" a="1"/>
  <c r="G35" i="21" a="1"/>
  <c r="G35" i="21" s="1"/>
  <c r="F35" i="21" a="1"/>
  <c r="F35" i="21" s="1"/>
  <c r="E35" i="21" a="1"/>
  <c r="E35" i="21" s="1"/>
  <c r="D35" i="21" a="1"/>
  <c r="D35" i="21" s="1"/>
  <c r="H34" i="21"/>
  <c r="H34" i="21" a="1"/>
  <c r="G34" i="21"/>
  <c r="G34" i="21" a="1"/>
  <c r="F34" i="21" a="1"/>
  <c r="F34" i="21" s="1"/>
  <c r="E34" i="21" a="1"/>
  <c r="E34" i="21" s="1"/>
  <c r="D34" i="21" a="1"/>
  <c r="D34" i="21" s="1"/>
  <c r="H33" i="21" a="1"/>
  <c r="H33" i="21" s="1"/>
  <c r="G33" i="21"/>
  <c r="G33" i="21" a="1"/>
  <c r="F33" i="21"/>
  <c r="F33" i="21" a="1"/>
  <c r="E33" i="21" a="1"/>
  <c r="E33" i="21" s="1"/>
  <c r="D33" i="21" a="1"/>
  <c r="D33" i="21" s="1"/>
  <c r="H32" i="21" a="1"/>
  <c r="H32" i="21" s="1"/>
  <c r="G32" i="21" a="1"/>
  <c r="G32" i="21" s="1"/>
  <c r="F32" i="21"/>
  <c r="F32" i="21" a="1"/>
  <c r="E32" i="21"/>
  <c r="E32" i="21" a="1"/>
  <c r="D32" i="21" a="1"/>
  <c r="D32" i="21" s="1"/>
  <c r="H31" i="21" a="1"/>
  <c r="H31" i="21" s="1"/>
  <c r="G31" i="21" a="1"/>
  <c r="G31" i="21" s="1"/>
  <c r="F31" i="21" a="1"/>
  <c r="F31" i="21" s="1"/>
  <c r="E31" i="21"/>
  <c r="E31" i="21" a="1"/>
  <c r="D31" i="21"/>
  <c r="D31" i="21" a="1"/>
  <c r="H30" i="21" a="1"/>
  <c r="H30" i="21" s="1"/>
  <c r="G30" i="21" a="1"/>
  <c r="G30" i="21" s="1"/>
  <c r="F30" i="21" a="1"/>
  <c r="F30" i="21" s="1"/>
  <c r="E30" i="21" a="1"/>
  <c r="E30" i="21" s="1"/>
  <c r="D30" i="21"/>
  <c r="D30" i="21" a="1"/>
  <c r="H29" i="21"/>
  <c r="H29" i="21" a="1"/>
  <c r="G29" i="21" a="1"/>
  <c r="G29" i="21" s="1"/>
  <c r="F29" i="21" a="1"/>
  <c r="F29" i="21" s="1"/>
  <c r="E29" i="21" a="1"/>
  <c r="E29" i="21" s="1"/>
  <c r="D29" i="21" a="1"/>
  <c r="D29" i="21" s="1"/>
  <c r="H28" i="21"/>
  <c r="H28" i="21" a="1"/>
  <c r="G28" i="21"/>
  <c r="G28" i="21" a="1"/>
  <c r="F28" i="21" a="1"/>
  <c r="F28" i="21" s="1"/>
  <c r="E28" i="21" a="1"/>
  <c r="E28" i="21" s="1"/>
  <c r="D28" i="21" a="1"/>
  <c r="D28" i="21" s="1"/>
  <c r="H27" i="21" a="1"/>
  <c r="H27" i="21" s="1"/>
  <c r="G27" i="21"/>
  <c r="G27" i="21" a="1"/>
  <c r="F27" i="21"/>
  <c r="F27" i="21" a="1"/>
  <c r="E27" i="21" a="1"/>
  <c r="E27" i="21" s="1"/>
  <c r="D27" i="21" a="1"/>
  <c r="D27" i="21" s="1"/>
  <c r="H26" i="21" a="1"/>
  <c r="H26" i="21" s="1"/>
  <c r="G26" i="21" a="1"/>
  <c r="G26" i="21" s="1"/>
  <c r="F26" i="21"/>
  <c r="F26" i="21" a="1"/>
  <c r="E26" i="21"/>
  <c r="E26" i="21" a="1"/>
  <c r="D26" i="21" a="1"/>
  <c r="D26" i="21" s="1"/>
  <c r="H25" i="21" a="1"/>
  <c r="H25" i="21" s="1"/>
  <c r="G25" i="21" a="1"/>
  <c r="G25" i="21" s="1"/>
  <c r="F25" i="21" a="1"/>
  <c r="F25" i="21" s="1"/>
  <c r="E25" i="21"/>
  <c r="E25" i="21" a="1"/>
  <c r="D25" i="21"/>
  <c r="D25" i="21" a="1"/>
  <c r="H24" i="21" a="1"/>
  <c r="H24" i="21" s="1"/>
  <c r="G24" i="21" a="1"/>
  <c r="G24" i="21" s="1"/>
  <c r="F24" i="21" a="1"/>
  <c r="F24" i="21" s="1"/>
  <c r="E24" i="21" a="1"/>
  <c r="E24" i="21" s="1"/>
  <c r="D24" i="21"/>
  <c r="D24" i="21" a="1"/>
  <c r="H23" i="21"/>
  <c r="H23" i="21" a="1"/>
  <c r="G23" i="21" a="1"/>
  <c r="G23" i="21" s="1"/>
  <c r="F23" i="21" a="1"/>
  <c r="F23" i="21" s="1"/>
  <c r="E23" i="21" a="1"/>
  <c r="E23" i="21" s="1"/>
  <c r="D23" i="21" a="1"/>
  <c r="D23" i="21" s="1"/>
  <c r="H22" i="21"/>
  <c r="H22" i="21" a="1"/>
  <c r="G22" i="21"/>
  <c r="G22" i="21" a="1"/>
  <c r="F22" i="21" a="1"/>
  <c r="F22" i="21" s="1"/>
  <c r="E22" i="21" a="1"/>
  <c r="E22" i="21" s="1"/>
  <c r="D22" i="21" a="1"/>
  <c r="D22" i="21" s="1"/>
  <c r="H21" i="21" a="1"/>
  <c r="H21" i="21" s="1"/>
  <c r="G21" i="21"/>
  <c r="G21" i="21" a="1"/>
  <c r="F21" i="21"/>
  <c r="F21" i="21" a="1"/>
  <c r="E21" i="21" a="1"/>
  <c r="E21" i="21" s="1"/>
  <c r="D21" i="21" a="1"/>
  <c r="D21" i="21" s="1"/>
  <c r="H20" i="21" a="1"/>
  <c r="H20" i="21" s="1"/>
  <c r="G20" i="21" a="1"/>
  <c r="G20" i="21" s="1"/>
  <c r="F20" i="21"/>
  <c r="F20" i="21" a="1"/>
  <c r="E20" i="21"/>
  <c r="E20" i="21" a="1"/>
  <c r="D20" i="21" a="1"/>
  <c r="D20" i="21" s="1"/>
  <c r="H19" i="21" a="1"/>
  <c r="H19" i="21" s="1"/>
  <c r="G19" i="21" a="1"/>
  <c r="G19" i="21" s="1"/>
  <c r="F19" i="21" a="1"/>
  <c r="F19" i="21" s="1"/>
  <c r="E19" i="21"/>
  <c r="E19" i="21" a="1"/>
  <c r="D19" i="21"/>
  <c r="D19" i="21" a="1"/>
  <c r="H18" i="21" a="1"/>
  <c r="H18" i="21" s="1"/>
  <c r="G18" i="21" a="1"/>
  <c r="G18" i="21" s="1"/>
  <c r="F18" i="21" a="1"/>
  <c r="F18" i="21" s="1"/>
  <c r="E18" i="21" a="1"/>
  <c r="E18" i="21" s="1"/>
  <c r="D18" i="21"/>
  <c r="D18" i="21" a="1"/>
  <c r="H17" i="21"/>
  <c r="H17" i="21" a="1"/>
  <c r="G17" i="21" a="1"/>
  <c r="G17" i="21" s="1"/>
  <c r="F17" i="21" a="1"/>
  <c r="F17" i="21" s="1"/>
  <c r="E17" i="21" a="1"/>
  <c r="E17" i="21" s="1"/>
  <c r="D17" i="21" a="1"/>
  <c r="D17" i="21" s="1"/>
  <c r="H16" i="21"/>
  <c r="H16" i="21" a="1"/>
  <c r="G16" i="21"/>
  <c r="G16" i="21" a="1"/>
  <c r="F16" i="21" a="1"/>
  <c r="F16" i="21" s="1"/>
  <c r="E16" i="21" a="1"/>
  <c r="E16" i="21" s="1"/>
  <c r="D16" i="21" a="1"/>
  <c r="D16" i="21" s="1"/>
  <c r="H15" i="21" a="1"/>
  <c r="H15" i="21" s="1"/>
  <c r="G15" i="21"/>
  <c r="G15" i="21" a="1"/>
  <c r="F15" i="21"/>
  <c r="F15" i="21" a="1"/>
  <c r="E15" i="21" a="1"/>
  <c r="E15" i="21" s="1"/>
  <c r="D15" i="21" a="1"/>
  <c r="D15" i="21" s="1"/>
  <c r="H14" i="21" a="1"/>
  <c r="H14" i="21" s="1"/>
  <c r="G14" i="21" a="1"/>
  <c r="G14" i="21" s="1"/>
  <c r="F14" i="21"/>
  <c r="F14" i="21" a="1"/>
  <c r="E14" i="21"/>
  <c r="E14" i="21" a="1"/>
  <c r="D14" i="21" a="1"/>
  <c r="D14" i="21" s="1"/>
  <c r="H13" i="21" a="1"/>
  <c r="H13" i="21" s="1"/>
  <c r="G13" i="21" a="1"/>
  <c r="G13" i="21" s="1"/>
  <c r="F13" i="21" a="1"/>
  <c r="F13" i="21" s="1"/>
  <c r="E13" i="21"/>
  <c r="E13" i="21" a="1"/>
  <c r="D13" i="21"/>
  <c r="D13" i="21" a="1"/>
  <c r="H12" i="21" a="1"/>
  <c r="H12" i="21" s="1"/>
  <c r="G12" i="21" a="1"/>
  <c r="G12" i="21" s="1"/>
  <c r="F12" i="21" a="1"/>
  <c r="F12" i="21" s="1"/>
  <c r="E12" i="21" a="1"/>
  <c r="E12" i="21" s="1"/>
  <c r="D12" i="21"/>
  <c r="D12" i="21" a="1"/>
  <c r="H11" i="21"/>
  <c r="H11" i="21" a="1"/>
  <c r="G11" i="21" a="1"/>
  <c r="G11" i="21" s="1"/>
  <c r="F11" i="21" a="1"/>
  <c r="F11" i="21" s="1"/>
  <c r="E11" i="21" a="1"/>
  <c r="E11" i="21" s="1"/>
  <c r="D11" i="21" a="1"/>
  <c r="D11" i="21" s="1"/>
  <c r="H10" i="21"/>
  <c r="H10" i="21" a="1"/>
  <c r="G10" i="21"/>
  <c r="G10" i="21" a="1"/>
  <c r="F10" i="21" a="1"/>
  <c r="F10" i="21" s="1"/>
  <c r="E10" i="21" a="1"/>
  <c r="E10" i="21" s="1"/>
  <c r="D10" i="21" a="1"/>
  <c r="D10" i="21" s="1"/>
  <c r="H9" i="21" a="1"/>
  <c r="H9" i="21" s="1"/>
  <c r="G9" i="21"/>
  <c r="G9" i="21" a="1"/>
  <c r="F9" i="21"/>
  <c r="F9" i="21" a="1"/>
  <c r="E9" i="21" a="1"/>
  <c r="E9" i="21" s="1"/>
  <c r="D9" i="21" a="1"/>
  <c r="D9" i="21" s="1"/>
  <c r="H8" i="21" a="1"/>
  <c r="H8" i="21" s="1"/>
  <c r="G8" i="21" a="1"/>
  <c r="G8" i="21" s="1"/>
  <c r="F8" i="21"/>
  <c r="F8" i="21" a="1"/>
  <c r="E8" i="21"/>
  <c r="E8" i="21" a="1"/>
  <c r="D8" i="21" a="1"/>
  <c r="D8" i="21" s="1"/>
  <c r="H7" i="21" a="1"/>
  <c r="H7" i="21" s="1"/>
  <c r="G7" i="21" a="1"/>
  <c r="G7" i="21" s="1"/>
  <c r="F7" i="21" a="1"/>
  <c r="F7" i="21" s="1"/>
  <c r="E7" i="21"/>
  <c r="E7" i="21" a="1"/>
  <c r="D7" i="21"/>
  <c r="D7" i="21" a="1"/>
  <c r="H6" i="21" a="1"/>
  <c r="H6" i="21" s="1"/>
  <c r="G6" i="21" a="1"/>
  <c r="G6" i="21" s="1"/>
  <c r="F6" i="21" a="1"/>
  <c r="F6" i="21" s="1"/>
  <c r="E6" i="21" a="1"/>
  <c r="E6" i="21" s="1"/>
  <c r="D6" i="21"/>
  <c r="D6" i="21" a="1"/>
  <c r="H5" i="21"/>
  <c r="H5" i="21" a="1"/>
  <c r="G5" i="21" a="1"/>
  <c r="G5" i="21" s="1"/>
  <c r="F5" i="21" a="1"/>
  <c r="F5" i="21" s="1"/>
  <c r="E5" i="21" a="1"/>
  <c r="E5" i="21" s="1"/>
  <c r="D5" i="21" a="1"/>
  <c r="D5" i="21" s="1"/>
  <c r="H4" i="21"/>
  <c r="H4" i="21" a="1"/>
  <c r="G4" i="21"/>
  <c r="G4" i="21" a="1"/>
  <c r="F4" i="21" a="1"/>
  <c r="F4" i="21" s="1"/>
  <c r="E4" i="21" a="1"/>
  <c r="E4" i="21" s="1"/>
  <c r="D4" i="21" a="1"/>
  <c r="D4" i="21" s="1"/>
  <c r="H3" i="21" a="1"/>
  <c r="H3" i="21" s="1"/>
  <c r="G3" i="21" a="1"/>
  <c r="G3" i="21" s="1"/>
  <c r="F3" i="21"/>
  <c r="F3" i="21" a="1"/>
  <c r="E3" i="21" a="1"/>
  <c r="E3" i="21" s="1"/>
  <c r="D3" i="21" a="1"/>
  <c r="D3" i="21" s="1"/>
  <c r="B1" i="21"/>
  <c r="A1" i="21"/>
  <c r="C1" i="21"/>
  <c r="A3" i="21" s="1" a="1"/>
  <c r="H402" i="20" a="1"/>
  <c r="H402" i="20" s="1"/>
  <c r="G402" i="20" a="1"/>
  <c r="G402" i="20" s="1"/>
  <c r="F402" i="20" a="1"/>
  <c r="F402" i="20" s="1"/>
  <c r="E402" i="20" a="1"/>
  <c r="E402" i="20" s="1"/>
  <c r="D402" i="20"/>
  <c r="D402" i="20" a="1"/>
  <c r="H401" i="20" a="1"/>
  <c r="H401" i="20" s="1"/>
  <c r="G401" i="20" a="1"/>
  <c r="G401" i="20" s="1"/>
  <c r="F401" i="20" a="1"/>
  <c r="F401" i="20" s="1"/>
  <c r="E401" i="20" a="1"/>
  <c r="E401" i="20" s="1"/>
  <c r="D401" i="20" a="1"/>
  <c r="D401" i="20" s="1"/>
  <c r="H400" i="20" a="1"/>
  <c r="H400" i="20" s="1"/>
  <c r="G400" i="20" a="1"/>
  <c r="G400" i="20" s="1"/>
  <c r="F400" i="20" a="1"/>
  <c r="F400" i="20" s="1"/>
  <c r="E400" i="20" a="1"/>
  <c r="E400" i="20" s="1"/>
  <c r="D400" i="20" a="1"/>
  <c r="D400" i="20" s="1"/>
  <c r="H399" i="20" a="1"/>
  <c r="H399" i="20" s="1"/>
  <c r="G399" i="20" a="1"/>
  <c r="G399" i="20" s="1"/>
  <c r="F399" i="20"/>
  <c r="F399" i="20" a="1"/>
  <c r="E399" i="20" a="1"/>
  <c r="E399" i="20" s="1"/>
  <c r="D399" i="20" a="1"/>
  <c r="D399" i="20" s="1"/>
  <c r="H398" i="20" a="1"/>
  <c r="H398" i="20" s="1"/>
  <c r="G398" i="20" a="1"/>
  <c r="G398" i="20" s="1"/>
  <c r="F398" i="20" a="1"/>
  <c r="F398" i="20" s="1"/>
  <c r="E398" i="20" a="1"/>
  <c r="E398" i="20" s="1"/>
  <c r="D398" i="20" a="1"/>
  <c r="D398" i="20" s="1"/>
  <c r="H397" i="20" a="1"/>
  <c r="H397" i="20" s="1"/>
  <c r="G397" i="20" a="1"/>
  <c r="G397" i="20" s="1"/>
  <c r="F397" i="20" a="1"/>
  <c r="F397" i="20" s="1"/>
  <c r="E397" i="20" a="1"/>
  <c r="E397" i="20" s="1"/>
  <c r="D397" i="20" a="1"/>
  <c r="D397" i="20" s="1"/>
  <c r="H396" i="20" a="1"/>
  <c r="H396" i="20" s="1"/>
  <c r="G396" i="20" a="1"/>
  <c r="G396" i="20" s="1"/>
  <c r="F396" i="20" a="1"/>
  <c r="F396" i="20" s="1"/>
  <c r="E396" i="20" a="1"/>
  <c r="E396" i="20" s="1"/>
  <c r="D396" i="20" a="1"/>
  <c r="D396" i="20" s="1"/>
  <c r="H395" i="20" a="1"/>
  <c r="H395" i="20" s="1"/>
  <c r="G395" i="20" a="1"/>
  <c r="G395" i="20" s="1"/>
  <c r="F395" i="20" a="1"/>
  <c r="F395" i="20" s="1"/>
  <c r="E395" i="20" a="1"/>
  <c r="E395" i="20" s="1"/>
  <c r="D395" i="20" a="1"/>
  <c r="D395" i="20" s="1"/>
  <c r="H394" i="20" a="1"/>
  <c r="H394" i="20" s="1"/>
  <c r="G394" i="20" a="1"/>
  <c r="G394" i="20" s="1"/>
  <c r="F394" i="20" a="1"/>
  <c r="F394" i="20" s="1"/>
  <c r="E394" i="20" a="1"/>
  <c r="E394" i="20" s="1"/>
  <c r="D394" i="20" a="1"/>
  <c r="D394" i="20" s="1"/>
  <c r="H393" i="20" a="1"/>
  <c r="H393" i="20" s="1"/>
  <c r="G393" i="20" a="1"/>
  <c r="G393" i="20" s="1"/>
  <c r="F393" i="20" a="1"/>
  <c r="F393" i="20" s="1"/>
  <c r="E393" i="20" a="1"/>
  <c r="E393" i="20" s="1"/>
  <c r="D393" i="20" a="1"/>
  <c r="D393" i="20" s="1"/>
  <c r="H392" i="20" a="1"/>
  <c r="H392" i="20" s="1"/>
  <c r="G392" i="20" a="1"/>
  <c r="G392" i="20" s="1"/>
  <c r="F392" i="20" a="1"/>
  <c r="F392" i="20" s="1"/>
  <c r="E392" i="20"/>
  <c r="E392" i="20" a="1"/>
  <c r="D392" i="20" a="1"/>
  <c r="D392" i="20" s="1"/>
  <c r="H391" i="20" a="1"/>
  <c r="H391" i="20" s="1"/>
  <c r="G391" i="20" a="1"/>
  <c r="G391" i="20" s="1"/>
  <c r="F391" i="20" a="1"/>
  <c r="F391" i="20" s="1"/>
  <c r="E391" i="20" a="1"/>
  <c r="E391" i="20" s="1"/>
  <c r="D391" i="20" a="1"/>
  <c r="D391" i="20" s="1"/>
  <c r="H390" i="20" a="1"/>
  <c r="H390" i="20" s="1"/>
  <c r="G390" i="20" a="1"/>
  <c r="G390" i="20" s="1"/>
  <c r="F390" i="20" a="1"/>
  <c r="F390" i="20" s="1"/>
  <c r="E390" i="20" a="1"/>
  <c r="E390" i="20" s="1"/>
  <c r="D390" i="20" a="1"/>
  <c r="D390" i="20" s="1"/>
  <c r="H389" i="20" a="1"/>
  <c r="H389" i="20" s="1"/>
  <c r="G389" i="20" a="1"/>
  <c r="G389" i="20" s="1"/>
  <c r="F389" i="20" a="1"/>
  <c r="F389" i="20" s="1"/>
  <c r="E389" i="20" a="1"/>
  <c r="E389" i="20" s="1"/>
  <c r="D389" i="20"/>
  <c r="D389" i="20" a="1"/>
  <c r="H388" i="20" a="1"/>
  <c r="H388" i="20" s="1"/>
  <c r="G388" i="20"/>
  <c r="G388" i="20" a="1"/>
  <c r="F388" i="20" a="1"/>
  <c r="F388" i="20" s="1"/>
  <c r="E388" i="20" a="1"/>
  <c r="E388" i="20" s="1"/>
  <c r="D388" i="20" a="1"/>
  <c r="D388" i="20" s="1"/>
  <c r="H387" i="20" a="1"/>
  <c r="H387" i="20" s="1"/>
  <c r="G387" i="20"/>
  <c r="G387" i="20" a="1"/>
  <c r="F387" i="20" a="1"/>
  <c r="F387" i="20" s="1"/>
  <c r="E387" i="20" a="1"/>
  <c r="E387" i="20" s="1"/>
  <c r="D387" i="20" a="1"/>
  <c r="D387" i="20" s="1"/>
  <c r="H386" i="20" a="1"/>
  <c r="H386" i="20" s="1"/>
  <c r="G386" i="20" a="1"/>
  <c r="G386" i="20" s="1"/>
  <c r="F386" i="20" a="1"/>
  <c r="F386" i="20" s="1"/>
  <c r="E386" i="20" a="1"/>
  <c r="E386" i="20" s="1"/>
  <c r="D386" i="20" a="1"/>
  <c r="D386" i="20" s="1"/>
  <c r="H385" i="20" a="1"/>
  <c r="H385" i="20" s="1"/>
  <c r="G385" i="20" a="1"/>
  <c r="G385" i="20" s="1"/>
  <c r="F385" i="20" a="1"/>
  <c r="F385" i="20" s="1"/>
  <c r="E385" i="20" a="1"/>
  <c r="E385" i="20" s="1"/>
  <c r="D385" i="20"/>
  <c r="D385" i="20" a="1"/>
  <c r="H384" i="20" a="1"/>
  <c r="H384" i="20" s="1"/>
  <c r="G384" i="20" a="1"/>
  <c r="G384" i="20" s="1"/>
  <c r="F384" i="20" a="1"/>
  <c r="F384" i="20" s="1"/>
  <c r="E384" i="20" a="1"/>
  <c r="E384" i="20" s="1"/>
  <c r="D384" i="20" a="1"/>
  <c r="D384" i="20" s="1"/>
  <c r="H383" i="20" a="1"/>
  <c r="H383" i="20" s="1"/>
  <c r="G383" i="20" a="1"/>
  <c r="G383" i="20" s="1"/>
  <c r="F383" i="20" a="1"/>
  <c r="F383" i="20" s="1"/>
  <c r="E383" i="20" a="1"/>
  <c r="E383" i="20" s="1"/>
  <c r="D383" i="20" a="1"/>
  <c r="D383" i="20" s="1"/>
  <c r="H382" i="20" a="1"/>
  <c r="H382" i="20" s="1"/>
  <c r="G382" i="20" a="1"/>
  <c r="G382" i="20" s="1"/>
  <c r="F382" i="20" a="1"/>
  <c r="F382" i="20" s="1"/>
  <c r="E382" i="20" a="1"/>
  <c r="E382" i="20" s="1"/>
  <c r="D382" i="20" a="1"/>
  <c r="D382" i="20" s="1"/>
  <c r="H381" i="20" a="1"/>
  <c r="H381" i="20" s="1"/>
  <c r="G381" i="20" a="1"/>
  <c r="G381" i="20" s="1"/>
  <c r="F381" i="20"/>
  <c r="F381" i="20" a="1"/>
  <c r="E381" i="20" a="1"/>
  <c r="E381" i="20" s="1"/>
  <c r="D381" i="20" a="1"/>
  <c r="D381" i="20" s="1"/>
  <c r="H380" i="20" a="1"/>
  <c r="H380" i="20" s="1"/>
  <c r="G380" i="20" a="1"/>
  <c r="G380" i="20" s="1"/>
  <c r="F380" i="20" a="1"/>
  <c r="F380" i="20" s="1"/>
  <c r="E380" i="20" a="1"/>
  <c r="E380" i="20" s="1"/>
  <c r="D380" i="20" a="1"/>
  <c r="D380" i="20" s="1"/>
  <c r="H379" i="20" a="1"/>
  <c r="H379" i="20" s="1"/>
  <c r="G379" i="20" a="1"/>
  <c r="G379" i="20" s="1"/>
  <c r="F379" i="20" a="1"/>
  <c r="F379" i="20" s="1"/>
  <c r="E379" i="20" a="1"/>
  <c r="E379" i="20" s="1"/>
  <c r="D379" i="20" a="1"/>
  <c r="D379" i="20" s="1"/>
  <c r="H378" i="20" a="1"/>
  <c r="H378" i="20" s="1"/>
  <c r="G378" i="20" a="1"/>
  <c r="G378" i="20" s="1"/>
  <c r="F378" i="20" a="1"/>
  <c r="F378" i="20" s="1"/>
  <c r="E378" i="20" a="1"/>
  <c r="E378" i="20" s="1"/>
  <c r="D378" i="20" a="1"/>
  <c r="D378" i="20" s="1"/>
  <c r="H377" i="20" a="1"/>
  <c r="H377" i="20" s="1"/>
  <c r="G377" i="20" a="1"/>
  <c r="G377" i="20" s="1"/>
  <c r="F377" i="20" a="1"/>
  <c r="F377" i="20" s="1"/>
  <c r="E377" i="20" a="1"/>
  <c r="E377" i="20" s="1"/>
  <c r="D377" i="20" a="1"/>
  <c r="D377" i="20" s="1"/>
  <c r="H376" i="20" a="1"/>
  <c r="H376" i="20" s="1"/>
  <c r="G376" i="20" a="1"/>
  <c r="G376" i="20" s="1"/>
  <c r="F376" i="20" a="1"/>
  <c r="F376" i="20" s="1"/>
  <c r="E376" i="20" a="1"/>
  <c r="E376" i="20" s="1"/>
  <c r="D376" i="20" a="1"/>
  <c r="D376" i="20" s="1"/>
  <c r="H375" i="20" a="1"/>
  <c r="H375" i="20" s="1"/>
  <c r="G375" i="20" a="1"/>
  <c r="G375" i="20" s="1"/>
  <c r="F375" i="20" a="1"/>
  <c r="F375" i="20" s="1"/>
  <c r="E375" i="20" a="1"/>
  <c r="E375" i="20" s="1"/>
  <c r="D375" i="20" a="1"/>
  <c r="D375" i="20" s="1"/>
  <c r="H374" i="20" a="1"/>
  <c r="H374" i="20" s="1"/>
  <c r="G374" i="20"/>
  <c r="G374" i="20" a="1"/>
  <c r="F374" i="20" a="1"/>
  <c r="F374" i="20" s="1"/>
  <c r="E374" i="20"/>
  <c r="E374" i="20" a="1"/>
  <c r="D374" i="20" a="1"/>
  <c r="D374" i="20" s="1"/>
  <c r="H373" i="20" a="1"/>
  <c r="H373" i="20" s="1"/>
  <c r="G373" i="20" a="1"/>
  <c r="G373" i="20" s="1"/>
  <c r="F373" i="20" a="1"/>
  <c r="F373" i="20" s="1"/>
  <c r="E373" i="20" a="1"/>
  <c r="E373" i="20" s="1"/>
  <c r="D373" i="20" a="1"/>
  <c r="D373" i="20" s="1"/>
  <c r="H372" i="20" a="1"/>
  <c r="H372" i="20" s="1"/>
  <c r="G372" i="20" a="1"/>
  <c r="G372" i="20" s="1"/>
  <c r="F372" i="20" a="1"/>
  <c r="F372" i="20" s="1"/>
  <c r="E372" i="20" a="1"/>
  <c r="E372" i="20" s="1"/>
  <c r="D372" i="20" a="1"/>
  <c r="D372" i="20" s="1"/>
  <c r="H371" i="20" a="1"/>
  <c r="H371" i="20" s="1"/>
  <c r="G371" i="20" a="1"/>
  <c r="G371" i="20" s="1"/>
  <c r="F371" i="20" a="1"/>
  <c r="F371" i="20" s="1"/>
  <c r="E371" i="20" a="1"/>
  <c r="E371" i="20" s="1"/>
  <c r="D371" i="20" a="1"/>
  <c r="D371" i="20" s="1"/>
  <c r="H370" i="20" a="1"/>
  <c r="H370" i="20" s="1"/>
  <c r="G370" i="20"/>
  <c r="G370" i="20" a="1"/>
  <c r="F370" i="20" a="1"/>
  <c r="F370" i="20" s="1"/>
  <c r="E370" i="20" a="1"/>
  <c r="E370" i="20" s="1"/>
  <c r="D370" i="20" a="1"/>
  <c r="D370" i="20" s="1"/>
  <c r="H369" i="20" a="1"/>
  <c r="H369" i="20" s="1"/>
  <c r="G369" i="20" a="1"/>
  <c r="G369" i="20" s="1"/>
  <c r="F369" i="20" a="1"/>
  <c r="F369" i="20" s="1"/>
  <c r="E369" i="20" a="1"/>
  <c r="E369" i="20" s="1"/>
  <c r="D369" i="20" a="1"/>
  <c r="D369" i="20" s="1"/>
  <c r="H368" i="20" a="1"/>
  <c r="H368" i="20" s="1"/>
  <c r="G368" i="20" a="1"/>
  <c r="G368" i="20" s="1"/>
  <c r="F368" i="20" a="1"/>
  <c r="F368" i="20" s="1"/>
  <c r="E368" i="20" a="1"/>
  <c r="E368" i="20" s="1"/>
  <c r="D368" i="20" a="1"/>
  <c r="D368" i="20" s="1"/>
  <c r="H367" i="20" a="1"/>
  <c r="H367" i="20" s="1"/>
  <c r="G367" i="20"/>
  <c r="G367" i="20" a="1"/>
  <c r="F367" i="20" a="1"/>
  <c r="F367" i="20" s="1"/>
  <c r="E367" i="20" a="1"/>
  <c r="E367" i="20" s="1"/>
  <c r="D367" i="20"/>
  <c r="D367" i="20" a="1"/>
  <c r="H366" i="20" a="1"/>
  <c r="H366" i="20" s="1"/>
  <c r="G366" i="20" a="1"/>
  <c r="G366" i="20" s="1"/>
  <c r="F366" i="20" a="1"/>
  <c r="F366" i="20" s="1"/>
  <c r="E366" i="20" a="1"/>
  <c r="E366" i="20" s="1"/>
  <c r="D366" i="20" a="1"/>
  <c r="D366" i="20" s="1"/>
  <c r="H365" i="20" a="1"/>
  <c r="H365" i="20" s="1"/>
  <c r="G365" i="20" a="1"/>
  <c r="G365" i="20" s="1"/>
  <c r="F365" i="20" a="1"/>
  <c r="F365" i="20" s="1"/>
  <c r="E365" i="20" a="1"/>
  <c r="E365" i="20" s="1"/>
  <c r="D365" i="20" a="1"/>
  <c r="D365" i="20" s="1"/>
  <c r="H364" i="20" a="1"/>
  <c r="H364" i="20" s="1"/>
  <c r="G364" i="20" a="1"/>
  <c r="G364" i="20" s="1"/>
  <c r="F364" i="20" a="1"/>
  <c r="F364" i="20" s="1"/>
  <c r="E364" i="20" a="1"/>
  <c r="E364" i="20" s="1"/>
  <c r="D364" i="20" a="1"/>
  <c r="D364" i="20" s="1"/>
  <c r="H363" i="20" a="1"/>
  <c r="H363" i="20" s="1"/>
  <c r="G363" i="20" a="1"/>
  <c r="G363" i="20" s="1"/>
  <c r="F363" i="20"/>
  <c r="F363" i="20" a="1"/>
  <c r="E363" i="20" a="1"/>
  <c r="E363" i="20" s="1"/>
  <c r="D363" i="20" a="1"/>
  <c r="D363" i="20" s="1"/>
  <c r="H362" i="20" a="1"/>
  <c r="H362" i="20" s="1"/>
  <c r="G362" i="20" a="1"/>
  <c r="G362" i="20" s="1"/>
  <c r="F362" i="20" a="1"/>
  <c r="F362" i="20" s="1"/>
  <c r="E362" i="20" a="1"/>
  <c r="E362" i="20" s="1"/>
  <c r="D362" i="20" a="1"/>
  <c r="D362" i="20" s="1"/>
  <c r="H361" i="20" a="1"/>
  <c r="H361" i="20" s="1"/>
  <c r="G361" i="20"/>
  <c r="G361" i="20" a="1"/>
  <c r="F361" i="20" a="1"/>
  <c r="F361" i="20" s="1"/>
  <c r="E361" i="20" a="1"/>
  <c r="E361" i="20" s="1"/>
  <c r="D361" i="20" a="1"/>
  <c r="D361" i="20" s="1"/>
  <c r="H360" i="20" a="1"/>
  <c r="H360" i="20" s="1"/>
  <c r="G360" i="20" a="1"/>
  <c r="G360" i="20" s="1"/>
  <c r="F360" i="20"/>
  <c r="F360" i="20" a="1"/>
  <c r="E360" i="20"/>
  <c r="E360" i="20" a="1"/>
  <c r="D360" i="20" a="1"/>
  <c r="D360" i="20" s="1"/>
  <c r="H359" i="20" a="1"/>
  <c r="H359" i="20" s="1"/>
  <c r="G359" i="20" a="1"/>
  <c r="G359" i="20" s="1"/>
  <c r="F359" i="20" a="1"/>
  <c r="F359" i="20" s="1"/>
  <c r="E359" i="20" a="1"/>
  <c r="E359" i="20" s="1"/>
  <c r="D359" i="20" a="1"/>
  <c r="D359" i="20" s="1"/>
  <c r="H358" i="20" a="1"/>
  <c r="H358" i="20" s="1"/>
  <c r="G358" i="20" a="1"/>
  <c r="G358" i="20" s="1"/>
  <c r="F358" i="20" a="1"/>
  <c r="F358" i="20" s="1"/>
  <c r="E358" i="20" a="1"/>
  <c r="E358" i="20" s="1"/>
  <c r="D358" i="20" a="1"/>
  <c r="D358" i="20" s="1"/>
  <c r="H357" i="20" a="1"/>
  <c r="H357" i="20" s="1"/>
  <c r="G357" i="20" a="1"/>
  <c r="G357" i="20" s="1"/>
  <c r="F357" i="20" a="1"/>
  <c r="F357" i="20" s="1"/>
  <c r="E357" i="20" a="1"/>
  <c r="E357" i="20" s="1"/>
  <c r="D357" i="20" a="1"/>
  <c r="D357" i="20" s="1"/>
  <c r="H356" i="20" a="1"/>
  <c r="H356" i="20" s="1"/>
  <c r="G356" i="20" a="1"/>
  <c r="G356" i="20" s="1"/>
  <c r="F356" i="20" a="1"/>
  <c r="F356" i="20" s="1"/>
  <c r="E356" i="20"/>
  <c r="E356" i="20" a="1"/>
  <c r="D356" i="20" a="1"/>
  <c r="D356" i="20" s="1"/>
  <c r="H355" i="20" a="1"/>
  <c r="H355" i="20" s="1"/>
  <c r="G355" i="20" a="1"/>
  <c r="G355" i="20" s="1"/>
  <c r="F355" i="20" a="1"/>
  <c r="F355" i="20" s="1"/>
  <c r="E355" i="20" a="1"/>
  <c r="E355" i="20" s="1"/>
  <c r="D355" i="20" a="1"/>
  <c r="D355" i="20" s="1"/>
  <c r="H354" i="20" a="1"/>
  <c r="H354" i="20" s="1"/>
  <c r="G354" i="20" a="1"/>
  <c r="G354" i="20" s="1"/>
  <c r="F354" i="20"/>
  <c r="F354" i="20" a="1"/>
  <c r="E354" i="20" a="1"/>
  <c r="E354" i="20" s="1"/>
  <c r="D354" i="20" a="1"/>
  <c r="D354" i="20" s="1"/>
  <c r="H353" i="20" a="1"/>
  <c r="H353" i="20" s="1"/>
  <c r="G353" i="20" a="1"/>
  <c r="G353" i="20" s="1"/>
  <c r="F353" i="20" a="1"/>
  <c r="F353" i="20" s="1"/>
  <c r="E353" i="20"/>
  <c r="E353" i="20" a="1"/>
  <c r="D353" i="20" a="1"/>
  <c r="D353" i="20" s="1"/>
  <c r="H352" i="20" a="1"/>
  <c r="H352" i="20" s="1"/>
  <c r="G352" i="20"/>
  <c r="G352" i="20" a="1"/>
  <c r="F352" i="20" a="1"/>
  <c r="F352" i="20" s="1"/>
  <c r="E352" i="20" a="1"/>
  <c r="E352" i="20" s="1"/>
  <c r="D352" i="20" a="1"/>
  <c r="D352" i="20" s="1"/>
  <c r="H351" i="20" a="1"/>
  <c r="H351" i="20" s="1"/>
  <c r="G351" i="20" a="1"/>
  <c r="G351" i="20" s="1"/>
  <c r="F351" i="20" a="1"/>
  <c r="F351" i="20" s="1"/>
  <c r="E351" i="20" a="1"/>
  <c r="E351" i="20" s="1"/>
  <c r="D351" i="20" a="1"/>
  <c r="D351" i="20" s="1"/>
  <c r="H350" i="20" a="1"/>
  <c r="H350" i="20" s="1"/>
  <c r="G350" i="20" a="1"/>
  <c r="G350" i="20" s="1"/>
  <c r="F350" i="20" a="1"/>
  <c r="F350" i="20" s="1"/>
  <c r="E350" i="20" a="1"/>
  <c r="E350" i="20" s="1"/>
  <c r="D350" i="20" a="1"/>
  <c r="D350" i="20" s="1"/>
  <c r="H349" i="20" a="1"/>
  <c r="H349" i="20" s="1"/>
  <c r="G349" i="20"/>
  <c r="G349" i="20" a="1"/>
  <c r="F349" i="20" a="1"/>
  <c r="F349" i="20" s="1"/>
  <c r="E349" i="20" a="1"/>
  <c r="E349" i="20" s="1"/>
  <c r="D349" i="20"/>
  <c r="D349" i="20" a="1"/>
  <c r="H348" i="20" a="1"/>
  <c r="H348" i="20" s="1"/>
  <c r="G348" i="20" a="1"/>
  <c r="G348" i="20" s="1"/>
  <c r="F348" i="20" a="1"/>
  <c r="F348" i="20" s="1"/>
  <c r="E348" i="20" a="1"/>
  <c r="E348" i="20" s="1"/>
  <c r="D348" i="20" a="1"/>
  <c r="D348" i="20" s="1"/>
  <c r="H347" i="20" a="1"/>
  <c r="H347" i="20" s="1"/>
  <c r="G347" i="20" a="1"/>
  <c r="G347" i="20" s="1"/>
  <c r="F347" i="20" a="1"/>
  <c r="F347" i="20" s="1"/>
  <c r="E347" i="20"/>
  <c r="E347" i="20" a="1"/>
  <c r="D347" i="20" a="1"/>
  <c r="D347" i="20" s="1"/>
  <c r="H346" i="20" a="1"/>
  <c r="H346" i="20" s="1"/>
  <c r="G346" i="20" a="1"/>
  <c r="G346" i="20" s="1"/>
  <c r="F346" i="20" a="1"/>
  <c r="F346" i="20" s="1"/>
  <c r="E346" i="20" a="1"/>
  <c r="E346" i="20" s="1"/>
  <c r="D346" i="20" a="1"/>
  <c r="D346" i="20" s="1"/>
  <c r="H345" i="20" a="1"/>
  <c r="H345" i="20" s="1"/>
  <c r="G345" i="20"/>
  <c r="G345" i="20" a="1"/>
  <c r="F345" i="20"/>
  <c r="F345" i="20" a="1"/>
  <c r="E345" i="20" a="1"/>
  <c r="E345" i="20" s="1"/>
  <c r="D345" i="20" a="1"/>
  <c r="D345" i="20" s="1"/>
  <c r="H344" i="20" a="1"/>
  <c r="H344" i="20" s="1"/>
  <c r="G344" i="20" a="1"/>
  <c r="G344" i="20" s="1"/>
  <c r="F344" i="20" a="1"/>
  <c r="F344" i="20" s="1"/>
  <c r="E344" i="20"/>
  <c r="E344" i="20" a="1"/>
  <c r="D344" i="20" a="1"/>
  <c r="D344" i="20" s="1"/>
  <c r="H343" i="20" a="1"/>
  <c r="H343" i="20" s="1"/>
  <c r="G343" i="20" a="1"/>
  <c r="G343" i="20" s="1"/>
  <c r="F343" i="20" a="1"/>
  <c r="F343" i="20" s="1"/>
  <c r="E343" i="20"/>
  <c r="E343" i="20" a="1"/>
  <c r="D343" i="20" a="1"/>
  <c r="D343" i="20" s="1"/>
  <c r="H342" i="20" a="1"/>
  <c r="H342" i="20" s="1"/>
  <c r="G342" i="20" a="1"/>
  <c r="G342" i="20" s="1"/>
  <c r="F342" i="20"/>
  <c r="F342" i="20" a="1"/>
  <c r="E342" i="20" a="1"/>
  <c r="E342" i="20" s="1"/>
  <c r="D342" i="20" a="1"/>
  <c r="D342" i="20" s="1"/>
  <c r="H341" i="20" a="1"/>
  <c r="H341" i="20" s="1"/>
  <c r="G341" i="20" a="1"/>
  <c r="G341" i="20" s="1"/>
  <c r="F341" i="20" a="1"/>
  <c r="F341" i="20" s="1"/>
  <c r="E341" i="20" a="1"/>
  <c r="E341" i="20" s="1"/>
  <c r="D341" i="20" a="1"/>
  <c r="D341" i="20" s="1"/>
  <c r="H340" i="20" a="1"/>
  <c r="H340" i="20" s="1"/>
  <c r="G340" i="20" a="1"/>
  <c r="G340" i="20" s="1"/>
  <c r="F340" i="20" a="1"/>
  <c r="F340" i="20" s="1"/>
  <c r="E340" i="20" a="1"/>
  <c r="E340" i="20" s="1"/>
  <c r="D340" i="20" a="1"/>
  <c r="D340" i="20" s="1"/>
  <c r="H339" i="20" a="1"/>
  <c r="H339" i="20" s="1"/>
  <c r="G339" i="20"/>
  <c r="G339" i="20" a="1"/>
  <c r="F339" i="20" a="1"/>
  <c r="F339" i="20" s="1"/>
  <c r="E339" i="20" a="1"/>
  <c r="E339" i="20" s="1"/>
  <c r="D339" i="20" a="1"/>
  <c r="D339" i="20" s="1"/>
  <c r="H338" i="20" a="1"/>
  <c r="H338" i="20" s="1"/>
  <c r="G338" i="20"/>
  <c r="G338" i="20" a="1"/>
  <c r="F338" i="20" a="1"/>
  <c r="F338" i="20" s="1"/>
  <c r="E338" i="20" a="1"/>
  <c r="E338" i="20" s="1"/>
  <c r="D338" i="20" a="1"/>
  <c r="D338" i="20" s="1"/>
  <c r="H337" i="20" a="1"/>
  <c r="H337" i="20" s="1"/>
  <c r="G337" i="20" a="1"/>
  <c r="G337" i="20" s="1"/>
  <c r="F337" i="20"/>
  <c r="F337" i="20" a="1"/>
  <c r="E337" i="20" a="1"/>
  <c r="E337" i="20" s="1"/>
  <c r="D337" i="20" a="1"/>
  <c r="D337" i="20" s="1"/>
  <c r="H336" i="20" a="1"/>
  <c r="H336" i="20" s="1"/>
  <c r="G336" i="20" a="1"/>
  <c r="G336" i="20" s="1"/>
  <c r="F336" i="20" a="1"/>
  <c r="F336" i="20" s="1"/>
  <c r="E336" i="20" a="1"/>
  <c r="E336" i="20" s="1"/>
  <c r="D336" i="20"/>
  <c r="D336" i="20" a="1"/>
  <c r="H335" i="20" a="1"/>
  <c r="H335" i="20" s="1"/>
  <c r="G335" i="20" a="1"/>
  <c r="G335" i="20" s="1"/>
  <c r="F335" i="20" a="1"/>
  <c r="F335" i="20" s="1"/>
  <c r="E335" i="20" a="1"/>
  <c r="E335" i="20" s="1"/>
  <c r="D335" i="20" a="1"/>
  <c r="D335" i="20" s="1"/>
  <c r="H334" i="20" a="1"/>
  <c r="H334" i="20" s="1"/>
  <c r="G334" i="20" a="1"/>
  <c r="G334" i="20" s="1"/>
  <c r="F334" i="20" a="1"/>
  <c r="F334" i="20" s="1"/>
  <c r="E334" i="20" a="1"/>
  <c r="E334" i="20" s="1"/>
  <c r="D334" i="20"/>
  <c r="D334" i="20" a="1"/>
  <c r="H333" i="20" a="1"/>
  <c r="H333" i="20" s="1"/>
  <c r="G333" i="20" a="1"/>
  <c r="G333" i="20" s="1"/>
  <c r="F333" i="20" a="1"/>
  <c r="F333" i="20" s="1"/>
  <c r="E333" i="20" a="1"/>
  <c r="E333" i="20" s="1"/>
  <c r="D333" i="20" a="1"/>
  <c r="D333" i="20" s="1"/>
  <c r="H332" i="20" a="1"/>
  <c r="H332" i="20" s="1"/>
  <c r="G332" i="20"/>
  <c r="G332" i="20" a="1"/>
  <c r="F332" i="20"/>
  <c r="F332" i="20" a="1"/>
  <c r="E332" i="20" a="1"/>
  <c r="E332" i="20" s="1"/>
  <c r="D332" i="20" a="1"/>
  <c r="D332" i="20" s="1"/>
  <c r="H331" i="20" a="1"/>
  <c r="H331" i="20" s="1"/>
  <c r="G331" i="20" a="1"/>
  <c r="G331" i="20" s="1"/>
  <c r="F331" i="20"/>
  <c r="F331" i="20" a="1"/>
  <c r="E331" i="20" a="1"/>
  <c r="E331" i="20" s="1"/>
  <c r="D331" i="20"/>
  <c r="D331" i="20" a="1"/>
  <c r="H330" i="20" a="1"/>
  <c r="H330" i="20" s="1"/>
  <c r="G330" i="20" a="1"/>
  <c r="G330" i="20" s="1"/>
  <c r="F330" i="20" a="1"/>
  <c r="F330" i="20" s="1"/>
  <c r="E330" i="20" a="1"/>
  <c r="E330" i="20" s="1"/>
  <c r="D330" i="20" a="1"/>
  <c r="D330" i="20" s="1"/>
  <c r="H329" i="20" a="1"/>
  <c r="H329" i="20" s="1"/>
  <c r="G329" i="20" a="1"/>
  <c r="G329" i="20" s="1"/>
  <c r="F329" i="20" a="1"/>
  <c r="F329" i="20" s="1"/>
  <c r="E329" i="20" a="1"/>
  <c r="E329" i="20" s="1"/>
  <c r="D329" i="20" a="1"/>
  <c r="D329" i="20" s="1"/>
  <c r="H328" i="20" a="1"/>
  <c r="H328" i="20" s="1"/>
  <c r="G328" i="20" a="1"/>
  <c r="G328" i="20" s="1"/>
  <c r="F328" i="20" a="1"/>
  <c r="F328" i="20" s="1"/>
  <c r="E328" i="20" a="1"/>
  <c r="E328" i="20" s="1"/>
  <c r="D328" i="20" a="1"/>
  <c r="D328" i="20" s="1"/>
  <c r="H327" i="20" a="1"/>
  <c r="H327" i="20" s="1"/>
  <c r="G327" i="20" a="1"/>
  <c r="G327" i="20" s="1"/>
  <c r="F327" i="20"/>
  <c r="F327" i="20" a="1"/>
  <c r="E327" i="20" a="1"/>
  <c r="E327" i="20" s="1"/>
  <c r="D327" i="20" a="1"/>
  <c r="D327" i="20" s="1"/>
  <c r="H326" i="20" a="1"/>
  <c r="H326" i="20" s="1"/>
  <c r="G326" i="20"/>
  <c r="G326" i="20" a="1"/>
  <c r="F326" i="20" a="1"/>
  <c r="F326" i="20" s="1"/>
  <c r="E326" i="20" a="1"/>
  <c r="E326" i="20" s="1"/>
  <c r="D326" i="20" a="1"/>
  <c r="D326" i="20" s="1"/>
  <c r="H325" i="20" a="1"/>
  <c r="H325" i="20" s="1"/>
  <c r="G325" i="20"/>
  <c r="G325" i="20" a="1"/>
  <c r="F325" i="20" a="1"/>
  <c r="F325" i="20" s="1"/>
  <c r="E325" i="20" a="1"/>
  <c r="E325" i="20" s="1"/>
  <c r="D325" i="20" a="1"/>
  <c r="D325" i="20" s="1"/>
  <c r="H324" i="20" a="1"/>
  <c r="H324" i="20" s="1"/>
  <c r="G324" i="20" a="1"/>
  <c r="G324" i="20" s="1"/>
  <c r="F324" i="20" a="1"/>
  <c r="F324" i="20" s="1"/>
  <c r="E324" i="20" a="1"/>
  <c r="E324" i="20" s="1"/>
  <c r="D324" i="20"/>
  <c r="D324" i="20" a="1"/>
  <c r="H323" i="20" a="1"/>
  <c r="H323" i="20" s="1"/>
  <c r="G323" i="20" a="1"/>
  <c r="G323" i="20" s="1"/>
  <c r="F323" i="20" a="1"/>
  <c r="F323" i="20" s="1"/>
  <c r="E323" i="20" a="1"/>
  <c r="E323" i="20" s="1"/>
  <c r="D323" i="20"/>
  <c r="D323" i="20" a="1"/>
  <c r="H322" i="20" a="1"/>
  <c r="H322" i="20" s="1"/>
  <c r="G322" i="20"/>
  <c r="G322" i="20" a="1"/>
  <c r="F322" i="20" a="1"/>
  <c r="F322" i="20" s="1"/>
  <c r="E322" i="20" a="1"/>
  <c r="E322" i="20" s="1"/>
  <c r="D322" i="20" a="1"/>
  <c r="D322" i="20" s="1"/>
  <c r="H321" i="20" a="1"/>
  <c r="H321" i="20" s="1"/>
  <c r="G321" i="20" a="1"/>
  <c r="G321" i="20" s="1"/>
  <c r="F321" i="20"/>
  <c r="F321" i="20" a="1"/>
  <c r="E321" i="20" a="1"/>
  <c r="E321" i="20" s="1"/>
  <c r="D321" i="20" a="1"/>
  <c r="D321" i="20" s="1"/>
  <c r="H320" i="20" a="1"/>
  <c r="H320" i="20" s="1"/>
  <c r="G320" i="20" a="1"/>
  <c r="G320" i="20" s="1"/>
  <c r="F320" i="20" a="1"/>
  <c r="F320" i="20" s="1"/>
  <c r="E320" i="20" a="1"/>
  <c r="E320" i="20" s="1"/>
  <c r="D320" i="20" a="1"/>
  <c r="D320" i="20" s="1"/>
  <c r="H319" i="20" a="1"/>
  <c r="H319" i="20" s="1"/>
  <c r="G319" i="20"/>
  <c r="G319" i="20" a="1"/>
  <c r="F319" i="20" a="1"/>
  <c r="F319" i="20" s="1"/>
  <c r="E319" i="20" a="1"/>
  <c r="E319" i="20" s="1"/>
  <c r="D319" i="20" a="1"/>
  <c r="D319" i="20" s="1"/>
  <c r="H318" i="20" a="1"/>
  <c r="H318" i="20" s="1"/>
  <c r="G318" i="20" a="1"/>
  <c r="G318" i="20" s="1"/>
  <c r="F318" i="20" a="1"/>
  <c r="F318" i="20" s="1"/>
  <c r="E318" i="20" a="1"/>
  <c r="E318" i="20" s="1"/>
  <c r="D318" i="20"/>
  <c r="D318" i="20" a="1"/>
  <c r="H317" i="20" a="1"/>
  <c r="H317" i="20" s="1"/>
  <c r="G317" i="20" a="1"/>
  <c r="G317" i="20" s="1"/>
  <c r="F317" i="20" a="1"/>
  <c r="F317" i="20" s="1"/>
  <c r="E317" i="20"/>
  <c r="E317" i="20" a="1"/>
  <c r="D317" i="20"/>
  <c r="D317" i="20" a="1"/>
  <c r="H316" i="20" a="1"/>
  <c r="H316" i="20" s="1"/>
  <c r="G316" i="20" a="1"/>
  <c r="G316" i="20" s="1"/>
  <c r="F316" i="20" a="1"/>
  <c r="F316" i="20" s="1"/>
  <c r="E316" i="20" a="1"/>
  <c r="E316" i="20" s="1"/>
  <c r="D316" i="20" a="1"/>
  <c r="D316" i="20" s="1"/>
  <c r="H315" i="20" a="1"/>
  <c r="H315" i="20" s="1"/>
  <c r="G315" i="20" a="1"/>
  <c r="G315" i="20" s="1"/>
  <c r="F315" i="20" a="1"/>
  <c r="F315" i="20" s="1"/>
  <c r="E315" i="20" a="1"/>
  <c r="E315" i="20" s="1"/>
  <c r="D315" i="20" a="1"/>
  <c r="D315" i="20" s="1"/>
  <c r="H314" i="20" a="1"/>
  <c r="H314" i="20" s="1"/>
  <c r="G314" i="20" a="1"/>
  <c r="G314" i="20" s="1"/>
  <c r="F314" i="20" a="1"/>
  <c r="F314" i="20" s="1"/>
  <c r="E314" i="20"/>
  <c r="E314" i="20" a="1"/>
  <c r="D314" i="20" a="1"/>
  <c r="D314" i="20" s="1"/>
  <c r="H313" i="20" a="1"/>
  <c r="H313" i="20" s="1"/>
  <c r="G313" i="20" a="1"/>
  <c r="G313" i="20" s="1"/>
  <c r="F313" i="20" a="1"/>
  <c r="F313" i="20" s="1"/>
  <c r="E313" i="20" a="1"/>
  <c r="E313" i="20" s="1"/>
  <c r="D313" i="20" a="1"/>
  <c r="D313" i="20" s="1"/>
  <c r="H312" i="20" a="1"/>
  <c r="H312" i="20" s="1"/>
  <c r="G312" i="20" a="1"/>
  <c r="G312" i="20" s="1"/>
  <c r="F312" i="20"/>
  <c r="F312" i="20" a="1"/>
  <c r="E312" i="20" a="1"/>
  <c r="E312" i="20" s="1"/>
  <c r="D312" i="20" a="1"/>
  <c r="D312" i="20" s="1"/>
  <c r="H311" i="20" a="1"/>
  <c r="H311" i="20" s="1"/>
  <c r="G311" i="20" a="1"/>
  <c r="G311" i="20" s="1"/>
  <c r="F311" i="20" a="1"/>
  <c r="F311" i="20" s="1"/>
  <c r="E311" i="20"/>
  <c r="E311" i="20" a="1"/>
  <c r="D311" i="20"/>
  <c r="D311" i="20" a="1"/>
  <c r="H310" i="20" a="1"/>
  <c r="H310" i="20" s="1"/>
  <c r="G310" i="20" a="1"/>
  <c r="G310" i="20" s="1"/>
  <c r="F310" i="20" a="1"/>
  <c r="F310" i="20" s="1"/>
  <c r="E310" i="20" a="1"/>
  <c r="E310" i="20" s="1"/>
  <c r="D310" i="20" a="1"/>
  <c r="D310" i="20" s="1"/>
  <c r="H309" i="20" a="1"/>
  <c r="H309" i="20" s="1"/>
  <c r="G309" i="20"/>
  <c r="G309" i="20" a="1"/>
  <c r="F309" i="20" a="1"/>
  <c r="F309" i="20" s="1"/>
  <c r="E309" i="20" a="1"/>
  <c r="E309" i="20" s="1"/>
  <c r="D309" i="20" a="1"/>
  <c r="D309" i="20" s="1"/>
  <c r="H308" i="20" a="1"/>
  <c r="H308" i="20" s="1"/>
  <c r="G308" i="20" a="1"/>
  <c r="G308" i="20" s="1"/>
  <c r="F308" i="20" a="1"/>
  <c r="F308" i="20" s="1"/>
  <c r="E308" i="20" a="1"/>
  <c r="E308" i="20" s="1"/>
  <c r="D308" i="20" a="1"/>
  <c r="D308" i="20" s="1"/>
  <c r="H307" i="20" a="1"/>
  <c r="H307" i="20" s="1"/>
  <c r="G307" i="20" a="1"/>
  <c r="G307" i="20" s="1"/>
  <c r="F307" i="20" a="1"/>
  <c r="F307" i="20" s="1"/>
  <c r="E307" i="20" a="1"/>
  <c r="E307" i="20" s="1"/>
  <c r="D307" i="20" a="1"/>
  <c r="D307" i="20" s="1"/>
  <c r="H306" i="20" a="1"/>
  <c r="H306" i="20" s="1"/>
  <c r="G306" i="20" a="1"/>
  <c r="G306" i="20" s="1"/>
  <c r="F306" i="20" a="1"/>
  <c r="F306" i="20" s="1"/>
  <c r="E306" i="20" a="1"/>
  <c r="E306" i="20" s="1"/>
  <c r="D306" i="20" a="1"/>
  <c r="D306" i="20" s="1"/>
  <c r="H305" i="20" a="1"/>
  <c r="H305" i="20" s="1"/>
  <c r="G305" i="20" a="1"/>
  <c r="G305" i="20" s="1"/>
  <c r="F305" i="20" a="1"/>
  <c r="F305" i="20" s="1"/>
  <c r="E305" i="20" a="1"/>
  <c r="E305" i="20" s="1"/>
  <c r="D305" i="20" a="1"/>
  <c r="D305" i="20" s="1"/>
  <c r="H304" i="20" a="1"/>
  <c r="H304" i="20" s="1"/>
  <c r="G304" i="20" a="1"/>
  <c r="G304" i="20" s="1"/>
  <c r="F304" i="20" a="1"/>
  <c r="F304" i="20" s="1"/>
  <c r="E304" i="20" a="1"/>
  <c r="E304" i="20" s="1"/>
  <c r="D304" i="20" a="1"/>
  <c r="D304" i="20" s="1"/>
  <c r="H303" i="20" a="1"/>
  <c r="H303" i="20" s="1"/>
  <c r="G303" i="20" a="1"/>
  <c r="G303" i="20" s="1"/>
  <c r="F303" i="20" a="1"/>
  <c r="F303" i="20" s="1"/>
  <c r="E303" i="20" a="1"/>
  <c r="E303" i="20" s="1"/>
  <c r="D303" i="20" a="1"/>
  <c r="D303" i="20" s="1"/>
  <c r="H302" i="20" a="1"/>
  <c r="H302" i="20" s="1"/>
  <c r="G302" i="20" a="1"/>
  <c r="G302" i="20" s="1"/>
  <c r="F302" i="20"/>
  <c r="F302" i="20" a="1"/>
  <c r="E302" i="20"/>
  <c r="E302" i="20" a="1"/>
  <c r="D302" i="20" a="1"/>
  <c r="D302" i="20" s="1"/>
  <c r="H301" i="20" a="1"/>
  <c r="H301" i="20" s="1"/>
  <c r="G301" i="20" a="1"/>
  <c r="G301" i="20" s="1"/>
  <c r="F301" i="20" a="1"/>
  <c r="F301" i="20" s="1"/>
  <c r="E301" i="20"/>
  <c r="E301" i="20" a="1"/>
  <c r="D301" i="20"/>
  <c r="D301" i="20" a="1"/>
  <c r="H300" i="20" a="1"/>
  <c r="H300" i="20" s="1"/>
  <c r="G300" i="20" a="1"/>
  <c r="G300" i="20" s="1"/>
  <c r="F300" i="20" a="1"/>
  <c r="F300" i="20" s="1"/>
  <c r="E300" i="20" a="1"/>
  <c r="E300" i="20" s="1"/>
  <c r="D300" i="20"/>
  <c r="D300" i="20" a="1"/>
  <c r="H299" i="20" a="1"/>
  <c r="H299" i="20" s="1"/>
  <c r="G299" i="20" a="1"/>
  <c r="G299" i="20" s="1"/>
  <c r="F299" i="20" a="1"/>
  <c r="F299" i="20" s="1"/>
  <c r="E299" i="20" a="1"/>
  <c r="E299" i="20" s="1"/>
  <c r="D299" i="20" a="1"/>
  <c r="D299" i="20" s="1"/>
  <c r="H298" i="20" a="1"/>
  <c r="H298" i="20" s="1"/>
  <c r="G298" i="20" a="1"/>
  <c r="G298" i="20" s="1"/>
  <c r="F298" i="20"/>
  <c r="F298" i="20" a="1"/>
  <c r="E298" i="20" a="1"/>
  <c r="E298" i="20" s="1"/>
  <c r="D298" i="20" a="1"/>
  <c r="D298" i="20" s="1"/>
  <c r="H297" i="20" a="1"/>
  <c r="H297" i="20" s="1"/>
  <c r="G297" i="20" a="1"/>
  <c r="G297" i="20" s="1"/>
  <c r="F297" i="20" a="1"/>
  <c r="F297" i="20" s="1"/>
  <c r="E297" i="20" a="1"/>
  <c r="E297" i="20" s="1"/>
  <c r="D297" i="20" a="1"/>
  <c r="D297" i="20" s="1"/>
  <c r="H296" i="20" a="1"/>
  <c r="H296" i="20" s="1"/>
  <c r="G296" i="20" a="1"/>
  <c r="G296" i="20" s="1"/>
  <c r="F296" i="20" a="1"/>
  <c r="F296" i="20" s="1"/>
  <c r="E296" i="20" a="1"/>
  <c r="E296" i="20" s="1"/>
  <c r="D296" i="20"/>
  <c r="D296" i="20" a="1"/>
  <c r="H295" i="20" a="1"/>
  <c r="H295" i="20" s="1"/>
  <c r="G295" i="20" a="1"/>
  <c r="G295" i="20" s="1"/>
  <c r="F295" i="20" a="1"/>
  <c r="F295" i="20" s="1"/>
  <c r="E295" i="20"/>
  <c r="E295" i="20" a="1"/>
  <c r="D295" i="20" a="1"/>
  <c r="D295" i="20" s="1"/>
  <c r="H294" i="20" a="1"/>
  <c r="H294" i="20" s="1"/>
  <c r="G294" i="20" a="1"/>
  <c r="G294" i="20" s="1"/>
  <c r="F294" i="20" a="1"/>
  <c r="F294" i="20" s="1"/>
  <c r="E294" i="20"/>
  <c r="E294" i="20" a="1"/>
  <c r="D294" i="20" a="1"/>
  <c r="D294" i="20" s="1"/>
  <c r="H293" i="20" a="1"/>
  <c r="H293" i="20" s="1"/>
  <c r="G293" i="20" a="1"/>
  <c r="G293" i="20" s="1"/>
  <c r="F293" i="20" a="1"/>
  <c r="F293" i="20" s="1"/>
  <c r="E293" i="20" a="1"/>
  <c r="E293" i="20" s="1"/>
  <c r="D293" i="20"/>
  <c r="D293" i="20" a="1"/>
  <c r="H292" i="20" a="1"/>
  <c r="H292" i="20" s="1"/>
  <c r="G292" i="20" a="1"/>
  <c r="G292" i="20" s="1"/>
  <c r="F292" i="20"/>
  <c r="F292" i="20" a="1"/>
  <c r="E292" i="20" a="1"/>
  <c r="E292" i="20" s="1"/>
  <c r="D292" i="20" a="1"/>
  <c r="D292" i="20" s="1"/>
  <c r="H291" i="20" a="1"/>
  <c r="H291" i="20" s="1"/>
  <c r="G291" i="20"/>
  <c r="G291" i="20" a="1"/>
  <c r="F291" i="20"/>
  <c r="F291" i="20" a="1"/>
  <c r="E291" i="20"/>
  <c r="E291" i="20" a="1"/>
  <c r="D291" i="20" a="1"/>
  <c r="D291" i="20" s="1"/>
  <c r="H290" i="20" a="1"/>
  <c r="H290" i="20" s="1"/>
  <c r="G290" i="20" a="1"/>
  <c r="G290" i="20" s="1"/>
  <c r="F290" i="20" a="1"/>
  <c r="F290" i="20" s="1"/>
  <c r="E290" i="20"/>
  <c r="E290" i="20" a="1"/>
  <c r="D290" i="20"/>
  <c r="D290" i="20" a="1"/>
  <c r="H289" i="20" a="1"/>
  <c r="H289" i="20" s="1"/>
  <c r="G289" i="20" a="1"/>
  <c r="G289" i="20" s="1"/>
  <c r="F289" i="20" a="1"/>
  <c r="F289" i="20" s="1"/>
  <c r="E289" i="20" a="1"/>
  <c r="E289" i="20" s="1"/>
  <c r="D289" i="20" a="1"/>
  <c r="D289" i="20" s="1"/>
  <c r="H288" i="20" a="1"/>
  <c r="H288" i="20" s="1"/>
  <c r="G288" i="20" a="1"/>
  <c r="G288" i="20" s="1"/>
  <c r="F288" i="20" a="1"/>
  <c r="F288" i="20" s="1"/>
  <c r="E288" i="20" a="1"/>
  <c r="E288" i="20" s="1"/>
  <c r="D288" i="20"/>
  <c r="D288" i="20" a="1"/>
  <c r="H287" i="20" a="1"/>
  <c r="H287" i="20" s="1"/>
  <c r="G287" i="20" a="1"/>
  <c r="G287" i="20" s="1"/>
  <c r="F287" i="20" a="1"/>
  <c r="F287" i="20" s="1"/>
  <c r="E287" i="20" a="1"/>
  <c r="E287" i="20" s="1"/>
  <c r="D287" i="20" a="1"/>
  <c r="D287" i="20" s="1"/>
  <c r="H286" i="20" a="1"/>
  <c r="H286" i="20" s="1"/>
  <c r="G286" i="20" a="1"/>
  <c r="G286" i="20" s="1"/>
  <c r="F286" i="20" a="1"/>
  <c r="F286" i="20" s="1"/>
  <c r="E286" i="20" a="1"/>
  <c r="E286" i="20" s="1"/>
  <c r="D286" i="20" a="1"/>
  <c r="D286" i="20" s="1"/>
  <c r="H285" i="20" a="1"/>
  <c r="H285" i="20" s="1"/>
  <c r="G285" i="20"/>
  <c r="G285" i="20" a="1"/>
  <c r="F285" i="20" a="1"/>
  <c r="F285" i="20" s="1"/>
  <c r="E285" i="20" a="1"/>
  <c r="E285" i="20" s="1"/>
  <c r="D285" i="20" a="1"/>
  <c r="D285" i="20" s="1"/>
  <c r="H284" i="20" a="1"/>
  <c r="H284" i="20" s="1"/>
  <c r="G284" i="20" a="1"/>
  <c r="G284" i="20" s="1"/>
  <c r="F284" i="20" a="1"/>
  <c r="F284" i="20" s="1"/>
  <c r="E284" i="20" a="1"/>
  <c r="E284" i="20" s="1"/>
  <c r="D284" i="20" a="1"/>
  <c r="D284" i="20" s="1"/>
  <c r="H283" i="20" a="1"/>
  <c r="H283" i="20" s="1"/>
  <c r="G283" i="20" a="1"/>
  <c r="G283" i="20" s="1"/>
  <c r="F283" i="20" a="1"/>
  <c r="F283" i="20" s="1"/>
  <c r="E283" i="20" a="1"/>
  <c r="E283" i="20" s="1"/>
  <c r="D283" i="20"/>
  <c r="D283" i="20" a="1"/>
  <c r="H282" i="20" a="1"/>
  <c r="H282" i="20" s="1"/>
  <c r="G282" i="20" a="1"/>
  <c r="G282" i="20" s="1"/>
  <c r="F282" i="20" a="1"/>
  <c r="F282" i="20" s="1"/>
  <c r="E282" i="20" a="1"/>
  <c r="E282" i="20" s="1"/>
  <c r="D282" i="20" a="1"/>
  <c r="D282" i="20" s="1"/>
  <c r="H281" i="20" a="1"/>
  <c r="H281" i="20" s="1"/>
  <c r="G281" i="20"/>
  <c r="G281" i="20" a="1"/>
  <c r="F281" i="20" a="1"/>
  <c r="F281" i="20" s="1"/>
  <c r="E281" i="20" a="1"/>
  <c r="E281" i="20" s="1"/>
  <c r="D281" i="20" a="1"/>
  <c r="D281" i="20" s="1"/>
  <c r="H280" i="20" a="1"/>
  <c r="H280" i="20" s="1"/>
  <c r="G280" i="20" a="1"/>
  <c r="G280" i="20" s="1"/>
  <c r="F280" i="20" a="1"/>
  <c r="F280" i="20" s="1"/>
  <c r="E280" i="20" a="1"/>
  <c r="E280" i="20" s="1"/>
  <c r="D280" i="20" a="1"/>
  <c r="D280" i="20" s="1"/>
  <c r="H279" i="20" a="1"/>
  <c r="H279" i="20" s="1"/>
  <c r="G279" i="20"/>
  <c r="G279" i="20" a="1"/>
  <c r="F279" i="20" a="1"/>
  <c r="F279" i="20" s="1"/>
  <c r="E279" i="20" a="1"/>
  <c r="E279" i="20" s="1"/>
  <c r="D279" i="20" a="1"/>
  <c r="D279" i="20" s="1"/>
  <c r="H278" i="20" a="1"/>
  <c r="H278" i="20" s="1"/>
  <c r="G278" i="20" a="1"/>
  <c r="G278" i="20" s="1"/>
  <c r="F278" i="20" a="1"/>
  <c r="F278" i="20" s="1"/>
  <c r="E278" i="20"/>
  <c r="E278" i="20" a="1"/>
  <c r="D278" i="20" a="1"/>
  <c r="D278" i="20" s="1"/>
  <c r="H277" i="20" a="1"/>
  <c r="H277" i="20" s="1"/>
  <c r="G277" i="20" a="1"/>
  <c r="G277" i="20" s="1"/>
  <c r="F277" i="20" a="1"/>
  <c r="F277" i="20" s="1"/>
  <c r="E277" i="20" a="1"/>
  <c r="E277" i="20" s="1"/>
  <c r="D277" i="20"/>
  <c r="D277" i="20" a="1"/>
  <c r="H276" i="20" a="1"/>
  <c r="H276" i="20" s="1"/>
  <c r="G276" i="20" a="1"/>
  <c r="G276" i="20" s="1"/>
  <c r="F276" i="20" a="1"/>
  <c r="F276" i="20" s="1"/>
  <c r="E276" i="20" a="1"/>
  <c r="E276" i="20" s="1"/>
  <c r="D276" i="20" a="1"/>
  <c r="D276" i="20" s="1"/>
  <c r="H275" i="20" a="1"/>
  <c r="H275" i="20" s="1"/>
  <c r="G275" i="20" a="1"/>
  <c r="G275" i="20" s="1"/>
  <c r="F275" i="20" a="1"/>
  <c r="F275" i="20" s="1"/>
  <c r="E275" i="20" a="1"/>
  <c r="E275" i="20" s="1"/>
  <c r="D275" i="20"/>
  <c r="D275" i="20" a="1"/>
  <c r="H274" i="20" a="1"/>
  <c r="H274" i="20" s="1"/>
  <c r="G274" i="20" a="1"/>
  <c r="G274" i="20" s="1"/>
  <c r="F274" i="20" a="1"/>
  <c r="F274" i="20" s="1"/>
  <c r="E274" i="20" a="1"/>
  <c r="E274" i="20" s="1"/>
  <c r="D274" i="20" a="1"/>
  <c r="D274" i="20" s="1"/>
  <c r="H273" i="20" a="1"/>
  <c r="H273" i="20" s="1"/>
  <c r="G273" i="20" a="1"/>
  <c r="G273" i="20" s="1"/>
  <c r="F273" i="20" a="1"/>
  <c r="F273" i="20" s="1"/>
  <c r="E273" i="20" a="1"/>
  <c r="E273" i="20" s="1"/>
  <c r="D273" i="20" a="1"/>
  <c r="D273" i="20" s="1"/>
  <c r="H272" i="20" a="1"/>
  <c r="H272" i="20" s="1"/>
  <c r="G272" i="20" a="1"/>
  <c r="G272" i="20" s="1"/>
  <c r="F272" i="20" a="1"/>
  <c r="F272" i="20" s="1"/>
  <c r="E272" i="20" a="1"/>
  <c r="E272" i="20" s="1"/>
  <c r="D272" i="20" a="1"/>
  <c r="D272" i="20" s="1"/>
  <c r="H271" i="20" a="1"/>
  <c r="H271" i="20" s="1"/>
  <c r="G271" i="20" a="1"/>
  <c r="G271" i="20" s="1"/>
  <c r="F271" i="20"/>
  <c r="F271" i="20" a="1"/>
  <c r="E271" i="20" a="1"/>
  <c r="E271" i="20" s="1"/>
  <c r="D271" i="20" a="1"/>
  <c r="D271" i="20" s="1"/>
  <c r="H270" i="20" a="1"/>
  <c r="H270" i="20" s="1"/>
  <c r="G270" i="20" a="1"/>
  <c r="G270" i="20" s="1"/>
  <c r="F270" i="20" a="1"/>
  <c r="F270" i="20" s="1"/>
  <c r="E270" i="20" a="1"/>
  <c r="E270" i="20" s="1"/>
  <c r="D270" i="20" a="1"/>
  <c r="D270" i="20" s="1"/>
  <c r="H269" i="20" a="1"/>
  <c r="H269" i="20" s="1"/>
  <c r="G269" i="20" a="1"/>
  <c r="G269" i="20" s="1"/>
  <c r="F269" i="20" a="1"/>
  <c r="F269" i="20" s="1"/>
  <c r="E269" i="20" a="1"/>
  <c r="E269" i="20" s="1"/>
  <c r="D269" i="20" a="1"/>
  <c r="D269" i="20" s="1"/>
  <c r="H268" i="20" a="1"/>
  <c r="H268" i="20" s="1"/>
  <c r="G268" i="20" a="1"/>
  <c r="G268" i="20" s="1"/>
  <c r="F268" i="20"/>
  <c r="F268" i="20" a="1"/>
  <c r="E268" i="20" a="1"/>
  <c r="E268" i="20" s="1"/>
  <c r="D268" i="20" a="1"/>
  <c r="D268" i="20" s="1"/>
  <c r="H267" i="20" a="1"/>
  <c r="H267" i="20" s="1"/>
  <c r="G267" i="20" a="1"/>
  <c r="G267" i="20" s="1"/>
  <c r="F267" i="20" a="1"/>
  <c r="F267" i="20" s="1"/>
  <c r="E267" i="20" a="1"/>
  <c r="E267" i="20" s="1"/>
  <c r="D267" i="20" a="1"/>
  <c r="D267" i="20" s="1"/>
  <c r="H266" i="20" a="1"/>
  <c r="H266" i="20" s="1"/>
  <c r="G266" i="20"/>
  <c r="G266" i="20" a="1"/>
  <c r="F266" i="20"/>
  <c r="F266" i="20" a="1"/>
  <c r="E266" i="20"/>
  <c r="E266" i="20" a="1"/>
  <c r="D266" i="20" a="1"/>
  <c r="D266" i="20" s="1"/>
  <c r="H265" i="20" a="1"/>
  <c r="H265" i="20" s="1"/>
  <c r="G265" i="20" a="1"/>
  <c r="G265" i="20" s="1"/>
  <c r="F265" i="20" a="1"/>
  <c r="F265" i="20" s="1"/>
  <c r="E265" i="20"/>
  <c r="E265" i="20" a="1"/>
  <c r="D265" i="20"/>
  <c r="D265" i="20" a="1"/>
  <c r="H264" i="20" a="1"/>
  <c r="H264" i="20" s="1"/>
  <c r="G264" i="20"/>
  <c r="G264" i="20" a="1"/>
  <c r="F264" i="20" a="1"/>
  <c r="F264" i="20" s="1"/>
  <c r="E264" i="20"/>
  <c r="E264" i="20" a="1"/>
  <c r="D264" i="20"/>
  <c r="D264" i="20" a="1"/>
  <c r="H263" i="20" a="1"/>
  <c r="H263" i="20" s="1"/>
  <c r="G263" i="20" a="1"/>
  <c r="G263" i="20" s="1"/>
  <c r="F263" i="20" a="1"/>
  <c r="F263" i="20" s="1"/>
  <c r="E263" i="20" a="1"/>
  <c r="E263" i="20" s="1"/>
  <c r="D263" i="20"/>
  <c r="D263" i="20" a="1"/>
  <c r="H262" i="20" a="1"/>
  <c r="H262" i="20" s="1"/>
  <c r="G262" i="20"/>
  <c r="G262" i="20" a="1"/>
  <c r="F262" i="20" a="1"/>
  <c r="F262" i="20" s="1"/>
  <c r="E262" i="20" a="1"/>
  <c r="E262" i="20" s="1"/>
  <c r="D262" i="20"/>
  <c r="D262" i="20" a="1"/>
  <c r="H261" i="20" a="1"/>
  <c r="H261" i="20" s="1"/>
  <c r="G261" i="20"/>
  <c r="G261" i="20" a="1"/>
  <c r="F261" i="20"/>
  <c r="F261" i="20" a="1"/>
  <c r="E261" i="20" a="1"/>
  <c r="E261" i="20" s="1"/>
  <c r="D261" i="20" a="1"/>
  <c r="D261" i="20" s="1"/>
  <c r="H260" i="20" a="1"/>
  <c r="H260" i="20" s="1"/>
  <c r="G260" i="20"/>
  <c r="G260" i="20" a="1"/>
  <c r="F260" i="20"/>
  <c r="F260" i="20" a="1"/>
  <c r="E260" i="20"/>
  <c r="E260" i="20" a="1"/>
  <c r="D260" i="20" a="1"/>
  <c r="D260" i="20" s="1"/>
  <c r="H259" i="20" a="1"/>
  <c r="H259" i="20" s="1"/>
  <c r="G259" i="20" a="1"/>
  <c r="G259" i="20" s="1"/>
  <c r="F259" i="20" a="1"/>
  <c r="F259" i="20" s="1"/>
  <c r="E259" i="20"/>
  <c r="E259" i="20" a="1"/>
  <c r="D259" i="20"/>
  <c r="D259" i="20" a="1"/>
  <c r="H258" i="20" a="1"/>
  <c r="H258" i="20" s="1"/>
  <c r="G258" i="20"/>
  <c r="G258" i="20" a="1"/>
  <c r="F258" i="20" a="1"/>
  <c r="F258" i="20" s="1"/>
  <c r="E258" i="20" a="1"/>
  <c r="E258" i="20" s="1"/>
  <c r="D258" i="20"/>
  <c r="D258" i="20" a="1"/>
  <c r="H257" i="20" a="1"/>
  <c r="H257" i="20" s="1"/>
  <c r="G257" i="20" a="1"/>
  <c r="G257" i="20" s="1"/>
  <c r="F257" i="20"/>
  <c r="F257" i="20" a="1"/>
  <c r="E257" i="20" a="1"/>
  <c r="E257" i="20" s="1"/>
  <c r="D257" i="20" a="1"/>
  <c r="D257" i="20" s="1"/>
  <c r="H256" i="20" a="1"/>
  <c r="H256" i="20" s="1"/>
  <c r="G256" i="20"/>
  <c r="G256" i="20" a="1"/>
  <c r="F256" i="20" a="1"/>
  <c r="F256" i="20" s="1"/>
  <c r="E256" i="20" a="1"/>
  <c r="E256" i="20" s="1"/>
  <c r="D256" i="20"/>
  <c r="D256" i="20" a="1"/>
  <c r="H255" i="20" a="1"/>
  <c r="H255" i="20" s="1"/>
  <c r="G255" i="20"/>
  <c r="G255" i="20" a="1"/>
  <c r="F255" i="20"/>
  <c r="F255" i="20" a="1"/>
  <c r="E255" i="20" a="1"/>
  <c r="E255" i="20" s="1"/>
  <c r="D255" i="20"/>
  <c r="D255" i="20" a="1"/>
  <c r="H254" i="20" a="1"/>
  <c r="H254" i="20" s="1"/>
  <c r="G254" i="20" a="1"/>
  <c r="G254" i="20" s="1"/>
  <c r="F254" i="20"/>
  <c r="F254" i="20" a="1"/>
  <c r="E254" i="20"/>
  <c r="E254" i="20" a="1"/>
  <c r="D254" i="20" a="1"/>
  <c r="D254" i="20" s="1"/>
  <c r="H253" i="20" a="1"/>
  <c r="H253" i="20" s="1"/>
  <c r="G253" i="20"/>
  <c r="G253" i="20" a="1"/>
  <c r="F253" i="20"/>
  <c r="F253" i="20" a="1"/>
  <c r="E253" i="20"/>
  <c r="E253" i="20" a="1"/>
  <c r="D253" i="20"/>
  <c r="D253" i="20" a="1"/>
  <c r="H252" i="20" a="1"/>
  <c r="H252" i="20" s="1"/>
  <c r="G252" i="20" a="1"/>
  <c r="G252" i="20" s="1"/>
  <c r="F252" i="20"/>
  <c r="F252" i="20" a="1"/>
  <c r="E252" i="20"/>
  <c r="E252" i="20" a="1"/>
  <c r="D252" i="20"/>
  <c r="D252" i="20" a="1"/>
  <c r="H251" i="20" a="1"/>
  <c r="H251" i="20" s="1"/>
  <c r="G251" i="20" a="1"/>
  <c r="G251" i="20" s="1"/>
  <c r="F251" i="20" a="1"/>
  <c r="F251" i="20" s="1"/>
  <c r="E251" i="20" a="1"/>
  <c r="E251" i="20" s="1"/>
  <c r="D251" i="20"/>
  <c r="D251" i="20" a="1"/>
  <c r="H250" i="20" a="1"/>
  <c r="H250" i="20" s="1"/>
  <c r="G250" i="20"/>
  <c r="G250" i="20" a="1"/>
  <c r="F250" i="20" a="1"/>
  <c r="F250" i="20" s="1"/>
  <c r="E250" i="20" a="1"/>
  <c r="E250" i="20" s="1"/>
  <c r="D250" i="20" a="1"/>
  <c r="D250" i="20" s="1"/>
  <c r="H249" i="20" a="1"/>
  <c r="H249" i="20" s="1"/>
  <c r="G249" i="20"/>
  <c r="G249" i="20" a="1"/>
  <c r="F249" i="20"/>
  <c r="F249" i="20" a="1"/>
  <c r="E249" i="20" a="1"/>
  <c r="E249" i="20" s="1"/>
  <c r="D249" i="20" a="1"/>
  <c r="D249" i="20" s="1"/>
  <c r="H248" i="20" a="1"/>
  <c r="H248" i="20" s="1"/>
  <c r="G248" i="20" a="1"/>
  <c r="G248" i="20" s="1"/>
  <c r="F248" i="20"/>
  <c r="F248" i="20" a="1"/>
  <c r="E248" i="20"/>
  <c r="E248" i="20" a="1"/>
  <c r="D248" i="20" a="1"/>
  <c r="D248" i="20" s="1"/>
  <c r="H247" i="20" a="1"/>
  <c r="H247" i="20" s="1"/>
  <c r="G247" i="20" a="1"/>
  <c r="G247" i="20" s="1"/>
  <c r="F247" i="20"/>
  <c r="F247" i="20" a="1"/>
  <c r="E247" i="20"/>
  <c r="E247" i="20" a="1"/>
  <c r="D247" i="20"/>
  <c r="D247" i="20" a="1"/>
  <c r="H246" i="20" a="1"/>
  <c r="H246" i="20" s="1"/>
  <c r="G246" i="20" a="1"/>
  <c r="G246" i="20" s="1"/>
  <c r="F246" i="20" a="1"/>
  <c r="F246" i="20" s="1"/>
  <c r="E246" i="20"/>
  <c r="E246" i="20" a="1"/>
  <c r="D246" i="20"/>
  <c r="D246" i="20" a="1"/>
  <c r="H245" i="20" a="1"/>
  <c r="H245" i="20" s="1"/>
  <c r="G245" i="20" a="1"/>
  <c r="G245" i="20" s="1"/>
  <c r="F245" i="20" a="1"/>
  <c r="F245" i="20" s="1"/>
  <c r="E245" i="20" a="1"/>
  <c r="E245" i="20" s="1"/>
  <c r="D245" i="20" a="1"/>
  <c r="D245" i="20" s="1"/>
  <c r="H244" i="20" a="1"/>
  <c r="H244" i="20" s="1"/>
  <c r="G244" i="20"/>
  <c r="G244" i="20" a="1"/>
  <c r="F244" i="20" a="1"/>
  <c r="F244" i="20" s="1"/>
  <c r="E244" i="20"/>
  <c r="E244" i="20" a="1"/>
  <c r="D244" i="20" a="1"/>
  <c r="D244" i="20" s="1"/>
  <c r="H243" i="20" a="1"/>
  <c r="H243" i="20" s="1"/>
  <c r="G243" i="20"/>
  <c r="G243" i="20" a="1"/>
  <c r="F243" i="20"/>
  <c r="F243" i="20" a="1"/>
  <c r="E243" i="20" a="1"/>
  <c r="E243" i="20" s="1"/>
  <c r="D243" i="20"/>
  <c r="D243" i="20" a="1"/>
  <c r="H242" i="20" a="1"/>
  <c r="H242" i="20" s="1"/>
  <c r="G242" i="20" a="1"/>
  <c r="G242" i="20" s="1"/>
  <c r="F242" i="20"/>
  <c r="F242" i="20" a="1"/>
  <c r="E242" i="20"/>
  <c r="E242" i="20" a="1"/>
  <c r="D242" i="20" a="1"/>
  <c r="D242" i="20" s="1"/>
  <c r="H241" i="20" a="1"/>
  <c r="H241" i="20" s="1"/>
  <c r="G241" i="20"/>
  <c r="G241" i="20" a="1"/>
  <c r="F241" i="20" a="1"/>
  <c r="F241" i="20" s="1"/>
  <c r="E241" i="20"/>
  <c r="E241" i="20" a="1"/>
  <c r="D241" i="20"/>
  <c r="D241" i="20" a="1"/>
  <c r="H240" i="20" a="1"/>
  <c r="H240" i="20" s="1"/>
  <c r="G240" i="20"/>
  <c r="G240" i="20" a="1"/>
  <c r="F240" i="20"/>
  <c r="F240" i="20" a="1"/>
  <c r="E240" i="20" a="1"/>
  <c r="E240" i="20" s="1"/>
  <c r="D240" i="20"/>
  <c r="D240" i="20" a="1"/>
  <c r="H239" i="20" a="1"/>
  <c r="H239" i="20" s="1"/>
  <c r="G239" i="20" a="1"/>
  <c r="G239" i="20" s="1"/>
  <c r="F239" i="20" a="1"/>
  <c r="F239" i="20" s="1"/>
  <c r="E239" i="20"/>
  <c r="E239" i="20" a="1"/>
  <c r="D239" i="20"/>
  <c r="D239" i="20" a="1"/>
  <c r="H238" i="20" a="1"/>
  <c r="H238" i="20" s="1"/>
  <c r="G238" i="20"/>
  <c r="G238" i="20" a="1"/>
  <c r="F238" i="20" a="1"/>
  <c r="F238" i="20" s="1"/>
  <c r="E238" i="20"/>
  <c r="E238" i="20" a="1"/>
  <c r="D238" i="20" a="1"/>
  <c r="D238" i="20" s="1"/>
  <c r="H237" i="20" a="1"/>
  <c r="H237" i="20" s="1"/>
  <c r="G237" i="20"/>
  <c r="G237" i="20" a="1"/>
  <c r="F237" i="20"/>
  <c r="F237" i="20" a="1"/>
  <c r="E237" i="20" a="1"/>
  <c r="E237" i="20" s="1"/>
  <c r="D237" i="20"/>
  <c r="D237" i="20" a="1"/>
  <c r="H236" i="20" a="1"/>
  <c r="H236" i="20" s="1"/>
  <c r="G236" i="20"/>
  <c r="G236" i="20" a="1"/>
  <c r="F236" i="20"/>
  <c r="F236" i="20" a="1"/>
  <c r="E236" i="20" a="1"/>
  <c r="E236" i="20" s="1"/>
  <c r="D236" i="20" a="1"/>
  <c r="D236" i="20" s="1"/>
  <c r="H235" i="20" a="1"/>
  <c r="H235" i="20" s="1"/>
  <c r="G235" i="20" a="1"/>
  <c r="G235" i="20" s="1"/>
  <c r="F235" i="20"/>
  <c r="F235" i="20" a="1"/>
  <c r="E235" i="20"/>
  <c r="E235" i="20" a="1"/>
  <c r="D235" i="20" a="1"/>
  <c r="D235" i="20" s="1"/>
  <c r="H234" i="20" a="1"/>
  <c r="H234" i="20" s="1"/>
  <c r="G234" i="20" a="1"/>
  <c r="G234" i="20" s="1"/>
  <c r="F234" i="20" a="1"/>
  <c r="F234" i="20" s="1"/>
  <c r="E234" i="20" a="1"/>
  <c r="E234" i="20" s="1"/>
  <c r="D234" i="20"/>
  <c r="D234" i="20" a="1"/>
  <c r="H233" i="20" a="1"/>
  <c r="H233" i="20" s="1"/>
  <c r="G233" i="20" a="1"/>
  <c r="G233" i="20" s="1"/>
  <c r="F233" i="20"/>
  <c r="F233" i="20" a="1"/>
  <c r="E233" i="20" a="1"/>
  <c r="E233" i="20" s="1"/>
  <c r="D233" i="20" a="1"/>
  <c r="D233" i="20" s="1"/>
  <c r="H232" i="20" a="1"/>
  <c r="H232" i="20" s="1"/>
  <c r="G232" i="20" a="1"/>
  <c r="G232" i="20" s="1"/>
  <c r="F232" i="20" a="1"/>
  <c r="F232" i="20" s="1"/>
  <c r="E232" i="20" a="1"/>
  <c r="E232" i="20" s="1"/>
  <c r="D232" i="20"/>
  <c r="D232" i="20" a="1"/>
  <c r="H231" i="20" a="1"/>
  <c r="H231" i="20" s="1"/>
  <c r="G231" i="20"/>
  <c r="G231" i="20" a="1"/>
  <c r="F231" i="20" a="1"/>
  <c r="F231" i="20" s="1"/>
  <c r="E231" i="20" a="1"/>
  <c r="E231" i="20" s="1"/>
  <c r="D231" i="20"/>
  <c r="D231" i="20" a="1"/>
  <c r="H230" i="20" a="1"/>
  <c r="H230" i="20" s="1"/>
  <c r="G230" i="20"/>
  <c r="G230" i="20" a="1"/>
  <c r="F230" i="20"/>
  <c r="F230" i="20" a="1"/>
  <c r="E230" i="20" a="1"/>
  <c r="E230" i="20" s="1"/>
  <c r="D230" i="20" a="1"/>
  <c r="D230" i="20" s="1"/>
  <c r="H229" i="20" a="1"/>
  <c r="H229" i="20" s="1"/>
  <c r="G229" i="20"/>
  <c r="G229" i="20" a="1"/>
  <c r="F229" i="20"/>
  <c r="F229" i="20" a="1"/>
  <c r="E229" i="20"/>
  <c r="E229" i="20" a="1"/>
  <c r="D229" i="20" a="1"/>
  <c r="D229" i="20" s="1"/>
  <c r="H228" i="20" a="1"/>
  <c r="H228" i="20" s="1"/>
  <c r="G228" i="20" a="1"/>
  <c r="G228" i="20" s="1"/>
  <c r="F228" i="20" a="1"/>
  <c r="F228" i="20" s="1"/>
  <c r="E228" i="20" a="1"/>
  <c r="E228" i="20" s="1"/>
  <c r="D228" i="20"/>
  <c r="D228" i="20" a="1"/>
  <c r="H227" i="20" a="1"/>
  <c r="H227" i="20" s="1"/>
  <c r="G227" i="20" a="1"/>
  <c r="G227" i="20" s="1"/>
  <c r="F227" i="20" a="1"/>
  <c r="F227" i="20" s="1"/>
  <c r="E227" i="20" a="1"/>
  <c r="E227" i="20" s="1"/>
  <c r="D227" i="20" a="1"/>
  <c r="D227" i="20" s="1"/>
  <c r="H226" i="20" a="1"/>
  <c r="H226" i="20" s="1"/>
  <c r="G226" i="20" a="1"/>
  <c r="G226" i="20" s="1"/>
  <c r="F226" i="20" a="1"/>
  <c r="F226" i="20" s="1"/>
  <c r="E226" i="20"/>
  <c r="E226" i="20" a="1"/>
  <c r="D226" i="20" a="1"/>
  <c r="D226" i="20" s="1"/>
  <c r="H225" i="20" a="1"/>
  <c r="H225" i="20" s="1"/>
  <c r="G225" i="20"/>
  <c r="G225" i="20" a="1"/>
  <c r="F225" i="20" a="1"/>
  <c r="F225" i="20" s="1"/>
  <c r="E225" i="20" a="1"/>
  <c r="E225" i="20" s="1"/>
  <c r="D225" i="20" a="1"/>
  <c r="D225" i="20" s="1"/>
  <c r="H224" i="20" a="1"/>
  <c r="H224" i="20" s="1"/>
  <c r="G224" i="20" a="1"/>
  <c r="G224" i="20" s="1"/>
  <c r="F224" i="20" a="1"/>
  <c r="F224" i="20" s="1"/>
  <c r="E224" i="20" a="1"/>
  <c r="E224" i="20" s="1"/>
  <c r="D224" i="20" a="1"/>
  <c r="D224" i="20" s="1"/>
  <c r="H223" i="20" a="1"/>
  <c r="H223" i="20" s="1"/>
  <c r="G223" i="20" a="1"/>
  <c r="G223" i="20" s="1"/>
  <c r="F223" i="20"/>
  <c r="F223" i="20" a="1"/>
  <c r="E223" i="20" a="1"/>
  <c r="E223" i="20" s="1"/>
  <c r="D223" i="20" a="1"/>
  <c r="D223" i="20" s="1"/>
  <c r="H222" i="20" a="1"/>
  <c r="H222" i="20" s="1"/>
  <c r="G222" i="20" a="1"/>
  <c r="G222" i="20" s="1"/>
  <c r="F222" i="20"/>
  <c r="F222" i="20" a="1"/>
  <c r="E222" i="20" a="1"/>
  <c r="E222" i="20" s="1"/>
  <c r="D222" i="20"/>
  <c r="D222" i="20" a="1"/>
  <c r="H221" i="20" a="1"/>
  <c r="H221" i="20" s="1"/>
  <c r="G221" i="20" a="1"/>
  <c r="G221" i="20" s="1"/>
  <c r="F221" i="20" a="1"/>
  <c r="F221" i="20" s="1"/>
  <c r="E221" i="20" a="1"/>
  <c r="E221" i="20" s="1"/>
  <c r="D221" i="20" a="1"/>
  <c r="D221" i="20" s="1"/>
  <c r="H220" i="20" a="1"/>
  <c r="H220" i="20" s="1"/>
  <c r="G220" i="20" a="1"/>
  <c r="G220" i="20" s="1"/>
  <c r="F220" i="20" a="1"/>
  <c r="F220" i="20" s="1"/>
  <c r="E220" i="20" a="1"/>
  <c r="E220" i="20" s="1"/>
  <c r="D220" i="20" a="1"/>
  <c r="D220" i="20" s="1"/>
  <c r="H219" i="20" a="1"/>
  <c r="H219" i="20" s="1"/>
  <c r="G219" i="20" a="1"/>
  <c r="G219" i="20" s="1"/>
  <c r="F219" i="20" a="1"/>
  <c r="F219" i="20" s="1"/>
  <c r="E219" i="20" a="1"/>
  <c r="E219" i="20" s="1"/>
  <c r="D219" i="20"/>
  <c r="D219" i="20" a="1"/>
  <c r="H218" i="20" a="1"/>
  <c r="H218" i="20" s="1"/>
  <c r="G218" i="20" a="1"/>
  <c r="G218" i="20" s="1"/>
  <c r="F218" i="20" a="1"/>
  <c r="F218" i="20" s="1"/>
  <c r="E218" i="20" a="1"/>
  <c r="E218" i="20" s="1"/>
  <c r="D218" i="20" a="1"/>
  <c r="D218" i="20" s="1"/>
  <c r="H217" i="20" a="1"/>
  <c r="H217" i="20" s="1"/>
  <c r="G217" i="20"/>
  <c r="G217" i="20" a="1"/>
  <c r="F217" i="20" a="1"/>
  <c r="F217" i="20" s="1"/>
  <c r="E217" i="20" a="1"/>
  <c r="E217" i="20" s="1"/>
  <c r="D217" i="20" a="1"/>
  <c r="D217" i="20" s="1"/>
  <c r="H216" i="20" a="1"/>
  <c r="H216" i="20" s="1"/>
  <c r="G216" i="20" a="1"/>
  <c r="G216" i="20" s="1"/>
  <c r="F216" i="20" a="1"/>
  <c r="F216" i="20" s="1"/>
  <c r="E216" i="20"/>
  <c r="E216" i="20" a="1"/>
  <c r="D216" i="20" a="1"/>
  <c r="D216" i="20" s="1"/>
  <c r="H215" i="20" a="1"/>
  <c r="H215" i="20" s="1"/>
  <c r="G215" i="20" a="1"/>
  <c r="G215" i="20" s="1"/>
  <c r="F215" i="20" a="1"/>
  <c r="F215" i="20" s="1"/>
  <c r="E215" i="20"/>
  <c r="E215" i="20" a="1"/>
  <c r="D215" i="20"/>
  <c r="D215" i="20" a="1"/>
  <c r="H214" i="20" a="1"/>
  <c r="H214" i="20" s="1"/>
  <c r="G214" i="20" a="1"/>
  <c r="G214" i="20" s="1"/>
  <c r="F214" i="20" a="1"/>
  <c r="F214" i="20" s="1"/>
  <c r="E214" i="20" a="1"/>
  <c r="E214" i="20" s="1"/>
  <c r="D214" i="20"/>
  <c r="D214" i="20" a="1"/>
  <c r="H213" i="20" a="1"/>
  <c r="H213" i="20" s="1"/>
  <c r="G213" i="20" a="1"/>
  <c r="G213" i="20" s="1"/>
  <c r="F213" i="20" a="1"/>
  <c r="F213" i="20" s="1"/>
  <c r="E213" i="20" a="1"/>
  <c r="E213" i="20" s="1"/>
  <c r="D213" i="20" a="1"/>
  <c r="D213" i="20" s="1"/>
  <c r="H212" i="20" a="1"/>
  <c r="H212" i="20" s="1"/>
  <c r="G212" i="20" a="1"/>
  <c r="G212" i="20" s="1"/>
  <c r="F212" i="20"/>
  <c r="F212" i="20" a="1"/>
  <c r="E212" i="20" a="1"/>
  <c r="E212" i="20" s="1"/>
  <c r="D212" i="20" a="1"/>
  <c r="D212" i="20" s="1"/>
  <c r="H211" i="20" a="1"/>
  <c r="H211" i="20" s="1"/>
  <c r="G211" i="20" a="1"/>
  <c r="G211" i="20" s="1"/>
  <c r="F211" i="20" a="1"/>
  <c r="F211" i="20" s="1"/>
  <c r="E211" i="20" a="1"/>
  <c r="E211" i="20" s="1"/>
  <c r="D211" i="20" a="1"/>
  <c r="D211" i="20" s="1"/>
  <c r="H210" i="20" a="1"/>
  <c r="H210" i="20" s="1"/>
  <c r="G210" i="20" a="1"/>
  <c r="G210" i="20" s="1"/>
  <c r="F210" i="20"/>
  <c r="F210" i="20" a="1"/>
  <c r="E210" i="20" a="1"/>
  <c r="E210" i="20" s="1"/>
  <c r="D210" i="20" a="1"/>
  <c r="D210" i="20" s="1"/>
  <c r="H209" i="20" a="1"/>
  <c r="H209" i="20" s="1"/>
  <c r="G209" i="20" a="1"/>
  <c r="G209" i="20" s="1"/>
  <c r="F209" i="20" a="1"/>
  <c r="F209" i="20" s="1"/>
  <c r="E209" i="20"/>
  <c r="E209" i="20" a="1"/>
  <c r="D209" i="20"/>
  <c r="D209" i="20" a="1"/>
  <c r="H208" i="20" a="1"/>
  <c r="H208" i="20" s="1"/>
  <c r="G208" i="20" a="1"/>
  <c r="G208" i="20" s="1"/>
  <c r="F208" i="20" a="1"/>
  <c r="F208" i="20" s="1"/>
  <c r="E208" i="20"/>
  <c r="E208" i="20" a="1"/>
  <c r="D208" i="20"/>
  <c r="D208" i="20" a="1"/>
  <c r="H207" i="20" a="1"/>
  <c r="H207" i="20" s="1"/>
  <c r="G207" i="20"/>
  <c r="G207" i="20" a="1"/>
  <c r="F207" i="20" a="1"/>
  <c r="F207" i="20" s="1"/>
  <c r="E207" i="20" a="1"/>
  <c r="E207" i="20" s="1"/>
  <c r="D207" i="20" a="1"/>
  <c r="D207" i="20" s="1"/>
  <c r="H206" i="20" a="1"/>
  <c r="H206" i="20" s="1"/>
  <c r="G206" i="20" a="1"/>
  <c r="G206" i="20" s="1"/>
  <c r="F206" i="20" a="1"/>
  <c r="F206" i="20" s="1"/>
  <c r="E206" i="20" a="1"/>
  <c r="E206" i="20" s="1"/>
  <c r="D206" i="20" a="1"/>
  <c r="D206" i="20" s="1"/>
  <c r="H205" i="20" a="1"/>
  <c r="H205" i="20" s="1"/>
  <c r="G205" i="20" a="1"/>
  <c r="G205" i="20" s="1"/>
  <c r="F205" i="20" a="1"/>
  <c r="F205" i="20" s="1"/>
  <c r="E205" i="20" a="1"/>
  <c r="E205" i="20" s="1"/>
  <c r="D205" i="20" a="1"/>
  <c r="D205" i="20" s="1"/>
  <c r="H204" i="20" a="1"/>
  <c r="H204" i="20" s="1"/>
  <c r="G204" i="20"/>
  <c r="G204" i="20" a="1"/>
  <c r="F204" i="20" a="1"/>
  <c r="F204" i="20" s="1"/>
  <c r="E204" i="20" a="1"/>
  <c r="E204" i="20" s="1"/>
  <c r="D204" i="20"/>
  <c r="D204" i="20" a="1"/>
  <c r="H203" i="20" a="1"/>
  <c r="H203" i="20" s="1"/>
  <c r="G203" i="20" a="1"/>
  <c r="G203" i="20" s="1"/>
  <c r="F203" i="20" a="1"/>
  <c r="F203" i="20" s="1"/>
  <c r="E203" i="20"/>
  <c r="E203" i="20" a="1"/>
  <c r="D203" i="20" a="1"/>
  <c r="D203" i="20" s="1"/>
  <c r="H202" i="20" a="1"/>
  <c r="H202" i="20" s="1"/>
  <c r="G202" i="20" a="1"/>
  <c r="G202" i="20" s="1"/>
  <c r="F202" i="20" a="1"/>
  <c r="F202" i="20" s="1"/>
  <c r="E202" i="20" a="1"/>
  <c r="E202" i="20" s="1"/>
  <c r="D202" i="20" a="1"/>
  <c r="D202" i="20" s="1"/>
  <c r="H201" i="20" a="1"/>
  <c r="H201" i="20" s="1"/>
  <c r="G201" i="20" a="1"/>
  <c r="G201" i="20" s="1"/>
  <c r="F201" i="20" a="1"/>
  <c r="F201" i="20" s="1"/>
  <c r="E201" i="20" a="1"/>
  <c r="E201" i="20" s="1"/>
  <c r="D201" i="20" a="1"/>
  <c r="D201" i="20" s="1"/>
  <c r="H200" i="20" a="1"/>
  <c r="H200" i="20" s="1"/>
  <c r="G200" i="20"/>
  <c r="G200" i="20" a="1"/>
  <c r="F200" i="20"/>
  <c r="F200" i="20" a="1"/>
  <c r="E200" i="20" a="1"/>
  <c r="E200" i="20" s="1"/>
  <c r="D200" i="20" a="1"/>
  <c r="D200" i="20" s="1"/>
  <c r="H199" i="20" a="1"/>
  <c r="H199" i="20" s="1"/>
  <c r="G199" i="20" a="1"/>
  <c r="G199" i="20" s="1"/>
  <c r="F199" i="20" a="1"/>
  <c r="F199" i="20" s="1"/>
  <c r="E199" i="20" a="1"/>
  <c r="E199" i="20" s="1"/>
  <c r="D199" i="20" a="1"/>
  <c r="D199" i="20" s="1"/>
  <c r="H198" i="20" a="1"/>
  <c r="H198" i="20" s="1"/>
  <c r="G198" i="20" a="1"/>
  <c r="G198" i="20" s="1"/>
  <c r="F198" i="20" a="1"/>
  <c r="F198" i="20" s="1"/>
  <c r="E198" i="20" a="1"/>
  <c r="E198" i="20" s="1"/>
  <c r="D198" i="20" a="1"/>
  <c r="D198" i="20" s="1"/>
  <c r="H197" i="20" a="1"/>
  <c r="H197" i="20" s="1"/>
  <c r="G197" i="20" a="1"/>
  <c r="G197" i="20" s="1"/>
  <c r="F197" i="20"/>
  <c r="F197" i="20" a="1"/>
  <c r="E197" i="20" a="1"/>
  <c r="E197" i="20" s="1"/>
  <c r="D197" i="20" a="1"/>
  <c r="D197" i="20" s="1"/>
  <c r="H196" i="20" a="1"/>
  <c r="H196" i="20" s="1"/>
  <c r="G196" i="20" a="1"/>
  <c r="G196" i="20" s="1"/>
  <c r="F196" i="20" a="1"/>
  <c r="F196" i="20" s="1"/>
  <c r="E196" i="20" a="1"/>
  <c r="E196" i="20" s="1"/>
  <c r="D196" i="20"/>
  <c r="D196" i="20" a="1"/>
  <c r="H195" i="20" a="1"/>
  <c r="H195" i="20" s="1"/>
  <c r="G195" i="20" a="1"/>
  <c r="G195" i="20" s="1"/>
  <c r="F195" i="20" a="1"/>
  <c r="F195" i="20" s="1"/>
  <c r="E195" i="20" a="1"/>
  <c r="E195" i="20" s="1"/>
  <c r="D195" i="20" a="1"/>
  <c r="D195" i="20" s="1"/>
  <c r="H194" i="20" a="1"/>
  <c r="H194" i="20" s="1"/>
  <c r="G194" i="20"/>
  <c r="G194" i="20" a="1"/>
  <c r="F194" i="20" a="1"/>
  <c r="F194" i="20" s="1"/>
  <c r="E194" i="20" a="1"/>
  <c r="E194" i="20" s="1"/>
  <c r="D194" i="20" a="1"/>
  <c r="D194" i="20" s="1"/>
  <c r="H193" i="20" a="1"/>
  <c r="H193" i="20" s="1"/>
  <c r="G193" i="20"/>
  <c r="G193" i="20" a="1"/>
  <c r="F193" i="20"/>
  <c r="F193" i="20" a="1"/>
  <c r="E193" i="20"/>
  <c r="E193" i="20" a="1"/>
  <c r="D193" i="20" a="1"/>
  <c r="D193" i="20" s="1"/>
  <c r="H192" i="20" a="1"/>
  <c r="H192" i="20" s="1"/>
  <c r="G192" i="20" a="1"/>
  <c r="G192" i="20" s="1"/>
  <c r="F192" i="20" a="1"/>
  <c r="F192" i="20" s="1"/>
  <c r="E192" i="20"/>
  <c r="E192" i="20" a="1"/>
  <c r="D192" i="20" a="1"/>
  <c r="D192" i="20" s="1"/>
  <c r="H191" i="20" a="1"/>
  <c r="H191" i="20" s="1"/>
  <c r="G191" i="20" a="1"/>
  <c r="G191" i="20" s="1"/>
  <c r="F191" i="20" a="1"/>
  <c r="F191" i="20" s="1"/>
  <c r="E191" i="20" a="1"/>
  <c r="E191" i="20" s="1"/>
  <c r="D191" i="20" a="1"/>
  <c r="D191" i="20" s="1"/>
  <c r="H190" i="20" a="1"/>
  <c r="H190" i="20" s="1"/>
  <c r="G190" i="20" a="1"/>
  <c r="G190" i="20" s="1"/>
  <c r="F190" i="20" a="1"/>
  <c r="F190" i="20" s="1"/>
  <c r="E190" i="20"/>
  <c r="E190" i="20" a="1"/>
  <c r="D190" i="20" a="1"/>
  <c r="D190" i="20" s="1"/>
  <c r="H189" i="20" a="1"/>
  <c r="H189" i="20" s="1"/>
  <c r="G189" i="20" a="1"/>
  <c r="G189" i="20" s="1"/>
  <c r="F189" i="20" a="1"/>
  <c r="F189" i="20" s="1"/>
  <c r="E189" i="20" a="1"/>
  <c r="E189" i="20" s="1"/>
  <c r="D189" i="20"/>
  <c r="D189" i="20" a="1"/>
  <c r="H188" i="20" a="1"/>
  <c r="H188" i="20" s="1"/>
  <c r="G188" i="20" a="1"/>
  <c r="G188" i="20" s="1"/>
  <c r="F188" i="20" a="1"/>
  <c r="F188" i="20" s="1"/>
  <c r="E188" i="20" a="1"/>
  <c r="E188" i="20" s="1"/>
  <c r="D188" i="20" a="1"/>
  <c r="D188" i="20" s="1"/>
  <c r="H187" i="20" a="1"/>
  <c r="H187" i="20" s="1"/>
  <c r="G187" i="20" a="1"/>
  <c r="G187" i="20" s="1"/>
  <c r="F187" i="20"/>
  <c r="F187" i="20" a="1"/>
  <c r="E187" i="20" a="1"/>
  <c r="E187" i="20" s="1"/>
  <c r="D187" i="20" a="1"/>
  <c r="D187" i="20" s="1"/>
  <c r="H186" i="20" a="1"/>
  <c r="H186" i="20" s="1"/>
  <c r="G186" i="20" a="1"/>
  <c r="G186" i="20" s="1"/>
  <c r="F186" i="20" a="1"/>
  <c r="F186" i="20" s="1"/>
  <c r="E186" i="20"/>
  <c r="E186" i="20" a="1"/>
  <c r="D186" i="20"/>
  <c r="D186" i="20" a="1"/>
  <c r="H185" i="20" a="1"/>
  <c r="H185" i="20" s="1"/>
  <c r="G185" i="20"/>
  <c r="G185" i="20" a="1"/>
  <c r="F185" i="20"/>
  <c r="F185" i="20" a="1"/>
  <c r="E185" i="20"/>
  <c r="E185" i="20" a="1"/>
  <c r="D185" i="20"/>
  <c r="D185" i="20" a="1"/>
  <c r="H184" i="20" a="1"/>
  <c r="H184" i="20" s="1"/>
  <c r="G184" i="20" a="1"/>
  <c r="G184" i="20" s="1"/>
  <c r="F184" i="20"/>
  <c r="F184" i="20" a="1"/>
  <c r="E184" i="20" a="1"/>
  <c r="E184" i="20" s="1"/>
  <c r="D184" i="20" a="1"/>
  <c r="D184" i="20" s="1"/>
  <c r="H183" i="20" a="1"/>
  <c r="H183" i="20" s="1"/>
  <c r="G183" i="20"/>
  <c r="G183" i="20" a="1"/>
  <c r="F183" i="20" a="1"/>
  <c r="F183" i="20" s="1"/>
  <c r="E183" i="20" a="1"/>
  <c r="E183" i="20" s="1"/>
  <c r="D183" i="20"/>
  <c r="D183" i="20" a="1"/>
  <c r="H182" i="20" a="1"/>
  <c r="H182" i="20" s="1"/>
  <c r="G182" i="20"/>
  <c r="G182" i="20" a="1"/>
  <c r="F182" i="20"/>
  <c r="F182" i="20" a="1"/>
  <c r="E182" i="20" a="1"/>
  <c r="E182" i="20" s="1"/>
  <c r="D182" i="20" a="1"/>
  <c r="D182" i="20" s="1"/>
  <c r="H181" i="20" a="1"/>
  <c r="H181" i="20" s="1"/>
  <c r="G181" i="20" a="1"/>
  <c r="G181" i="20" s="1"/>
  <c r="F181" i="20"/>
  <c r="F181" i="20" a="1"/>
  <c r="E181" i="20"/>
  <c r="E181" i="20" a="1"/>
  <c r="D181" i="20" a="1"/>
  <c r="D181" i="20" s="1"/>
  <c r="H180" i="20" a="1"/>
  <c r="H180" i="20" s="1"/>
  <c r="G180" i="20" a="1"/>
  <c r="G180" i="20" s="1"/>
  <c r="F180" i="20"/>
  <c r="F180" i="20" a="1"/>
  <c r="E180" i="20"/>
  <c r="E180" i="20" a="1"/>
  <c r="D180" i="20"/>
  <c r="D180" i="20" a="1"/>
  <c r="H179" i="20" a="1"/>
  <c r="H179" i="20" s="1"/>
  <c r="G179" i="20" a="1"/>
  <c r="G179" i="20" s="1"/>
  <c r="F179" i="20"/>
  <c r="F179" i="20" a="1"/>
  <c r="E179" i="20" a="1"/>
  <c r="E179" i="20" s="1"/>
  <c r="D179" i="20"/>
  <c r="D179" i="20" a="1"/>
  <c r="H178" i="20" a="1"/>
  <c r="H178" i="20" s="1"/>
  <c r="G178" i="20" a="1"/>
  <c r="G178" i="20" s="1"/>
  <c r="F178" i="20" a="1"/>
  <c r="F178" i="20" s="1"/>
  <c r="E178" i="20"/>
  <c r="E178" i="20" a="1"/>
  <c r="D178" i="20" a="1"/>
  <c r="D178" i="20" s="1"/>
  <c r="H177" i="20" a="1"/>
  <c r="H177" i="20" s="1"/>
  <c r="G177" i="20"/>
  <c r="G177" i="20" a="1"/>
  <c r="F177" i="20" a="1"/>
  <c r="F177" i="20" s="1"/>
  <c r="E177" i="20" a="1"/>
  <c r="E177" i="20" s="1"/>
  <c r="D177" i="20" a="1"/>
  <c r="D177" i="20" s="1"/>
  <c r="H176" i="20" a="1"/>
  <c r="H176" i="20" s="1"/>
  <c r="G176" i="20"/>
  <c r="G176" i="20" a="1"/>
  <c r="F176" i="20"/>
  <c r="F176" i="20" a="1"/>
  <c r="E176" i="20" a="1"/>
  <c r="E176" i="20" s="1"/>
  <c r="D176" i="20"/>
  <c r="D176" i="20" a="1"/>
  <c r="H175" i="20" a="1"/>
  <c r="H175" i="20" s="1"/>
  <c r="G175" i="20" a="1"/>
  <c r="G175" i="20" s="1"/>
  <c r="F175" i="20"/>
  <c r="F175" i="20" a="1"/>
  <c r="E175" i="20"/>
  <c r="E175" i="20" a="1"/>
  <c r="D175" i="20" a="1"/>
  <c r="D175" i="20" s="1"/>
  <c r="H174" i="20" a="1"/>
  <c r="H174" i="20" s="1"/>
  <c r="G174" i="20" a="1"/>
  <c r="G174" i="20" s="1"/>
  <c r="F174" i="20"/>
  <c r="F174" i="20" a="1"/>
  <c r="E174" i="20"/>
  <c r="E174" i="20" a="1"/>
  <c r="D174" i="20"/>
  <c r="D174" i="20" a="1"/>
  <c r="H173" i="20" a="1"/>
  <c r="H173" i="20" s="1"/>
  <c r="G173" i="20"/>
  <c r="G173" i="20" a="1"/>
  <c r="F173" i="20"/>
  <c r="F173" i="20" a="1"/>
  <c r="E173" i="20" a="1"/>
  <c r="E173" i="20" s="1"/>
  <c r="D173" i="20"/>
  <c r="D173" i="20" a="1"/>
  <c r="H172" i="20" a="1"/>
  <c r="H172" i="20" s="1"/>
  <c r="G172" i="20" a="1"/>
  <c r="G172" i="20" s="1"/>
  <c r="F172" i="20" a="1"/>
  <c r="F172" i="20" s="1"/>
  <c r="E172" i="20" a="1"/>
  <c r="E172" i="20" s="1"/>
  <c r="D172" i="20" a="1"/>
  <c r="D172" i="20" s="1"/>
  <c r="H171" i="20" a="1"/>
  <c r="H171" i="20" s="1"/>
  <c r="G171" i="20"/>
  <c r="G171" i="20" a="1"/>
  <c r="F171" i="20" a="1"/>
  <c r="F171" i="20" s="1"/>
  <c r="E171" i="20"/>
  <c r="E171" i="20" a="1"/>
  <c r="D171" i="20"/>
  <c r="D171" i="20" a="1"/>
  <c r="H170" i="20" a="1"/>
  <c r="H170" i="20" s="1"/>
  <c r="G170" i="20"/>
  <c r="G170" i="20" a="1"/>
  <c r="F170" i="20" a="1"/>
  <c r="F170" i="20" s="1"/>
  <c r="E170" i="20" a="1"/>
  <c r="E170" i="20" s="1"/>
  <c r="D170" i="20"/>
  <c r="D170" i="20" a="1"/>
  <c r="H169" i="20" a="1"/>
  <c r="H169" i="20" s="1"/>
  <c r="G169" i="20"/>
  <c r="G169" i="20" a="1"/>
  <c r="F169" i="20"/>
  <c r="F169" i="20" a="1"/>
  <c r="E169" i="20" a="1"/>
  <c r="E169" i="20" s="1"/>
  <c r="D169" i="20" a="1"/>
  <c r="D169" i="20" s="1"/>
  <c r="H168" i="20" a="1"/>
  <c r="H168" i="20" s="1"/>
  <c r="G168" i="20"/>
  <c r="G168" i="20" a="1"/>
  <c r="F168" i="20"/>
  <c r="F168" i="20" a="1"/>
  <c r="E168" i="20"/>
  <c r="E168" i="20" a="1"/>
  <c r="D168" i="20" a="1"/>
  <c r="D168" i="20" s="1"/>
  <c r="H167" i="20" a="1"/>
  <c r="H167" i="20" s="1"/>
  <c r="G167" i="20" a="1"/>
  <c r="G167" i="20" s="1"/>
  <c r="F167" i="20"/>
  <c r="F167" i="20" a="1"/>
  <c r="E167" i="20"/>
  <c r="E167" i="20" a="1"/>
  <c r="D167" i="20"/>
  <c r="D167" i="20" a="1"/>
  <c r="H166" i="20" a="1"/>
  <c r="H166" i="20" s="1"/>
  <c r="G166" i="20" a="1"/>
  <c r="G166" i="20" s="1"/>
  <c r="F166" i="20"/>
  <c r="F166" i="20" a="1"/>
  <c r="E166" i="20" a="1"/>
  <c r="E166" i="20" s="1"/>
  <c r="D166" i="20"/>
  <c r="D166" i="20" a="1"/>
  <c r="H165" i="20" a="1"/>
  <c r="H165" i="20" s="1"/>
  <c r="G165" i="20" a="1"/>
  <c r="G165" i="20" s="1"/>
  <c r="F165" i="20" a="1"/>
  <c r="F165" i="20" s="1"/>
  <c r="E165" i="20"/>
  <c r="E165" i="20" a="1"/>
  <c r="D165" i="20"/>
  <c r="D165" i="20" a="1"/>
  <c r="H164" i="20" a="1"/>
  <c r="H164" i="20" s="1"/>
  <c r="G164" i="20"/>
  <c r="G164" i="20" a="1"/>
  <c r="F164" i="20" a="1"/>
  <c r="F164" i="20" s="1"/>
  <c r="E164" i="20" a="1"/>
  <c r="E164" i="20" s="1"/>
  <c r="D164" i="20"/>
  <c r="D164" i="20" a="1"/>
  <c r="H163" i="20" a="1"/>
  <c r="H163" i="20" s="1"/>
  <c r="G163" i="20"/>
  <c r="G163" i="20" a="1"/>
  <c r="F163" i="20"/>
  <c r="F163" i="20" a="1"/>
  <c r="E163" i="20" a="1"/>
  <c r="E163" i="20" s="1"/>
  <c r="D163" i="20" a="1"/>
  <c r="D163" i="20" s="1"/>
  <c r="H162" i="20" a="1"/>
  <c r="H162" i="20" s="1"/>
  <c r="G162" i="20"/>
  <c r="G162" i="20" a="1"/>
  <c r="F162" i="20"/>
  <c r="F162" i="20" a="1"/>
  <c r="E162" i="20"/>
  <c r="E162" i="20" a="1"/>
  <c r="D162" i="20" a="1"/>
  <c r="D162" i="20" s="1"/>
  <c r="H161" i="20" a="1"/>
  <c r="H161" i="20" s="1"/>
  <c r="G161" i="20"/>
  <c r="G161" i="20" a="1"/>
  <c r="F161" i="20"/>
  <c r="F161" i="20" a="1"/>
  <c r="E161" i="20"/>
  <c r="E161" i="20" a="1"/>
  <c r="D161" i="20"/>
  <c r="D161" i="20" a="1"/>
  <c r="H160" i="20" a="1"/>
  <c r="H160" i="20" s="1"/>
  <c r="G160" i="20" a="1"/>
  <c r="G160" i="20" s="1"/>
  <c r="F160" i="20" a="1"/>
  <c r="F160" i="20" s="1"/>
  <c r="E160" i="20"/>
  <c r="E160" i="20" a="1"/>
  <c r="D160" i="20"/>
  <c r="D160" i="20" a="1"/>
  <c r="H159" i="20" a="1"/>
  <c r="H159" i="20" s="1"/>
  <c r="G159" i="20" a="1"/>
  <c r="G159" i="20" s="1"/>
  <c r="F159" i="20" a="1"/>
  <c r="F159" i="20" s="1"/>
  <c r="E159" i="20"/>
  <c r="E159" i="20" a="1"/>
  <c r="D159" i="20" a="1"/>
  <c r="D159" i="20" s="1"/>
  <c r="H158" i="20" a="1"/>
  <c r="H158" i="20" s="1"/>
  <c r="G158" i="20"/>
  <c r="G158" i="20" a="1"/>
  <c r="F158" i="20" a="1"/>
  <c r="F158" i="20" s="1"/>
  <c r="E158" i="20" a="1"/>
  <c r="E158" i="20" s="1"/>
  <c r="D158" i="20"/>
  <c r="D158" i="20" a="1"/>
  <c r="H157" i="20" a="1"/>
  <c r="H157" i="20" s="1"/>
  <c r="G157" i="20" a="1"/>
  <c r="G157" i="20" s="1"/>
  <c r="F157" i="20"/>
  <c r="F157" i="20" a="1"/>
  <c r="E157" i="20" a="1"/>
  <c r="E157" i="20" s="1"/>
  <c r="D157" i="20" a="1"/>
  <c r="D157" i="20" s="1"/>
  <c r="H156" i="20" a="1"/>
  <c r="H156" i="20" s="1"/>
  <c r="G156" i="20"/>
  <c r="G156" i="20" a="1"/>
  <c r="F156" i="20"/>
  <c r="F156" i="20" a="1"/>
  <c r="E156" i="20" a="1"/>
  <c r="E156" i="20" s="1"/>
  <c r="D156" i="20" a="1"/>
  <c r="D156" i="20" s="1"/>
  <c r="H155" i="20" a="1"/>
  <c r="H155" i="20" s="1"/>
  <c r="G155" i="20" a="1"/>
  <c r="G155" i="20" s="1"/>
  <c r="F155" i="20"/>
  <c r="F155" i="20" a="1"/>
  <c r="E155" i="20" a="1"/>
  <c r="E155" i="20" s="1"/>
  <c r="D155" i="20"/>
  <c r="D155" i="20" a="1"/>
  <c r="H154" i="20" a="1"/>
  <c r="H154" i="20" s="1"/>
  <c r="G154" i="20" a="1"/>
  <c r="G154" i="20" s="1"/>
  <c r="F154" i="20" a="1"/>
  <c r="F154" i="20" s="1"/>
  <c r="E154" i="20"/>
  <c r="E154" i="20" a="1"/>
  <c r="D154" i="20"/>
  <c r="D154" i="20" a="1"/>
  <c r="H153" i="20" a="1"/>
  <c r="H153" i="20" s="1"/>
  <c r="G153" i="20" a="1"/>
  <c r="G153" i="20" s="1"/>
  <c r="F153" i="20" a="1"/>
  <c r="F153" i="20" s="1"/>
  <c r="E153" i="20" a="1"/>
  <c r="E153" i="20" s="1"/>
  <c r="D153" i="20" a="1"/>
  <c r="D153" i="20" s="1"/>
  <c r="H152" i="20" a="1"/>
  <c r="H152" i="20" s="1"/>
  <c r="G152" i="20"/>
  <c r="G152" i="20" a="1"/>
  <c r="F152" i="20" a="1"/>
  <c r="F152" i="20" s="1"/>
  <c r="E152" i="20" a="1"/>
  <c r="E152" i="20" s="1"/>
  <c r="D152" i="20"/>
  <c r="D152" i="20" a="1"/>
  <c r="H151" i="20" a="1"/>
  <c r="H151" i="20" s="1"/>
  <c r="G151" i="20" a="1"/>
  <c r="G151" i="20" s="1"/>
  <c r="F151" i="20"/>
  <c r="F151" i="20" a="1"/>
  <c r="E151" i="20" a="1"/>
  <c r="E151" i="20" s="1"/>
  <c r="D151" i="20" a="1"/>
  <c r="D151" i="20" s="1"/>
  <c r="H150" i="20" a="1"/>
  <c r="H150" i="20" s="1"/>
  <c r="G150" i="20"/>
  <c r="G150" i="20" a="1"/>
  <c r="F150" i="20"/>
  <c r="F150" i="20" a="1"/>
  <c r="E150" i="20" a="1"/>
  <c r="E150" i="20" s="1"/>
  <c r="D150" i="20" a="1"/>
  <c r="D150" i="20" s="1"/>
  <c r="H149" i="20" a="1"/>
  <c r="H149" i="20" s="1"/>
  <c r="G149" i="20"/>
  <c r="G149" i="20" a="1"/>
  <c r="F149" i="20" a="1"/>
  <c r="F149" i="20" s="1"/>
  <c r="E149" i="20"/>
  <c r="E149" i="20" a="1"/>
  <c r="D149" i="20"/>
  <c r="D149" i="20" a="1"/>
  <c r="H148" i="20" a="1"/>
  <c r="H148" i="20" s="1"/>
  <c r="G148" i="20" a="1"/>
  <c r="G148" i="20" s="1"/>
  <c r="F148" i="20" a="1"/>
  <c r="F148" i="20" s="1"/>
  <c r="E148" i="20"/>
  <c r="E148" i="20" a="1"/>
  <c r="D148" i="20" a="1"/>
  <c r="D148" i="20" s="1"/>
  <c r="H147" i="20" a="1"/>
  <c r="H147" i="20" s="1"/>
  <c r="G147" i="20" a="1"/>
  <c r="G147" i="20" s="1"/>
  <c r="F147" i="20" a="1"/>
  <c r="F147" i="20" s="1"/>
  <c r="E147" i="20"/>
  <c r="E147" i="20" a="1"/>
  <c r="D147" i="20" a="1"/>
  <c r="D147" i="20" s="1"/>
  <c r="H146" i="20" a="1"/>
  <c r="H146" i="20" s="1"/>
  <c r="G146" i="20" a="1"/>
  <c r="G146" i="20" s="1"/>
  <c r="F146" i="20" a="1"/>
  <c r="F146" i="20" s="1"/>
  <c r="E146" i="20" a="1"/>
  <c r="E146" i="20" s="1"/>
  <c r="D146" i="20" a="1"/>
  <c r="D146" i="20" s="1"/>
  <c r="H145" i="20" a="1"/>
  <c r="H145" i="20" s="1"/>
  <c r="G145" i="20" a="1"/>
  <c r="G145" i="20" s="1"/>
  <c r="F145" i="20"/>
  <c r="F145" i="20" a="1"/>
  <c r="E145" i="20" a="1"/>
  <c r="E145" i="20" s="1"/>
  <c r="D145" i="20" a="1"/>
  <c r="D145" i="20" s="1"/>
  <c r="H144" i="20" a="1"/>
  <c r="H144" i="20" s="1"/>
  <c r="G144" i="20" a="1"/>
  <c r="G144" i="20" s="1"/>
  <c r="F144" i="20"/>
  <c r="F144" i="20" a="1"/>
  <c r="E144" i="20" a="1"/>
  <c r="E144" i="20" s="1"/>
  <c r="D144" i="20" a="1"/>
  <c r="D144" i="20" s="1"/>
  <c r="H143" i="20" a="1"/>
  <c r="H143" i="20" s="1"/>
  <c r="G143" i="20" a="1"/>
  <c r="G143" i="20" s="1"/>
  <c r="F143" i="20"/>
  <c r="F143" i="20" a="1"/>
  <c r="E143" i="20" a="1"/>
  <c r="E143" i="20" s="1"/>
  <c r="D143" i="20" a="1"/>
  <c r="D143" i="20" s="1"/>
  <c r="H142" i="20" a="1"/>
  <c r="H142" i="20" s="1"/>
  <c r="G142" i="20" a="1"/>
  <c r="G142" i="20" s="1"/>
  <c r="F142" i="20"/>
  <c r="F142" i="20" a="1"/>
  <c r="E142" i="20" a="1"/>
  <c r="E142" i="20" s="1"/>
  <c r="D142" i="20"/>
  <c r="D142" i="20" a="1"/>
  <c r="H141" i="20" a="1"/>
  <c r="H141" i="20" s="1"/>
  <c r="G141" i="20" a="1"/>
  <c r="G141" i="20" s="1"/>
  <c r="F141" i="20" a="1"/>
  <c r="F141" i="20" s="1"/>
  <c r="E141" i="20"/>
  <c r="E141" i="20" a="1"/>
  <c r="D141" i="20"/>
  <c r="D141" i="20" a="1"/>
  <c r="H140" i="20" a="1"/>
  <c r="H140" i="20" s="1"/>
  <c r="G140" i="20"/>
  <c r="G140" i="20" a="1"/>
  <c r="F140" i="20" a="1"/>
  <c r="F140" i="20" s="1"/>
  <c r="E140" i="20" a="1"/>
  <c r="E140" i="20" s="1"/>
  <c r="D140" i="20" a="1"/>
  <c r="D140" i="20" s="1"/>
  <c r="H139" i="20" a="1"/>
  <c r="H139" i="20" s="1"/>
  <c r="G139" i="20"/>
  <c r="G139" i="20" a="1"/>
  <c r="F139" i="20" a="1"/>
  <c r="F139" i="20" s="1"/>
  <c r="E139" i="20" a="1"/>
  <c r="E139" i="20" s="1"/>
  <c r="D139" i="20" a="1"/>
  <c r="D139" i="20" s="1"/>
  <c r="H138" i="20" a="1"/>
  <c r="H138" i="20" s="1"/>
  <c r="G138" i="20" a="1"/>
  <c r="G138" i="20" s="1"/>
  <c r="F138" i="20" a="1"/>
  <c r="F138" i="20" s="1"/>
  <c r="E138" i="20"/>
  <c r="E138" i="20" a="1"/>
  <c r="D138" i="20" a="1"/>
  <c r="D138" i="20" s="1"/>
  <c r="H137" i="20" a="1"/>
  <c r="H137" i="20" s="1"/>
  <c r="G137" i="20"/>
  <c r="G137" i="20" a="1"/>
  <c r="F137" i="20"/>
  <c r="F137" i="20" a="1"/>
  <c r="E137" i="20" a="1"/>
  <c r="E137" i="20" s="1"/>
  <c r="D137" i="20" a="1"/>
  <c r="D137" i="20" s="1"/>
  <c r="H136" i="20" a="1"/>
  <c r="H136" i="20" s="1"/>
  <c r="G136" i="20" a="1"/>
  <c r="G136" i="20" s="1"/>
  <c r="F136" i="20" a="1"/>
  <c r="F136" i="20" s="1"/>
  <c r="E136" i="20"/>
  <c r="E136" i="20" a="1"/>
  <c r="D136" i="20" a="1"/>
  <c r="D136" i="20" s="1"/>
  <c r="H135" i="20" a="1"/>
  <c r="H135" i="20" s="1"/>
  <c r="G135" i="20" a="1"/>
  <c r="G135" i="20" s="1"/>
  <c r="F135" i="20" a="1"/>
  <c r="F135" i="20" s="1"/>
  <c r="E135" i="20"/>
  <c r="E135" i="20" a="1"/>
  <c r="D135" i="20" a="1"/>
  <c r="D135" i="20" s="1"/>
  <c r="H134" i="20" a="1"/>
  <c r="H134" i="20" s="1"/>
  <c r="G134" i="20" a="1"/>
  <c r="G134" i="20" s="1"/>
  <c r="F134" i="20" a="1"/>
  <c r="F134" i="20" s="1"/>
  <c r="E134" i="20" a="1"/>
  <c r="E134" i="20" s="1"/>
  <c r="D134" i="20" a="1"/>
  <c r="D134" i="20" s="1"/>
  <c r="H133" i="20" a="1"/>
  <c r="H133" i="20" s="1"/>
  <c r="G133" i="20" a="1"/>
  <c r="G133" i="20" s="1"/>
  <c r="F133" i="20"/>
  <c r="F133" i="20" a="1"/>
  <c r="E133" i="20" a="1"/>
  <c r="E133" i="20" s="1"/>
  <c r="D133" i="20" a="1"/>
  <c r="D133" i="20" s="1"/>
  <c r="H132" i="20" a="1"/>
  <c r="H132" i="20" s="1"/>
  <c r="G132" i="20"/>
  <c r="G132" i="20" a="1"/>
  <c r="F132" i="20"/>
  <c r="F132" i="20" a="1"/>
  <c r="E132" i="20" a="1"/>
  <c r="E132" i="20" s="1"/>
  <c r="D132" i="20" a="1"/>
  <c r="D132" i="20" s="1"/>
  <c r="H131" i="20" a="1"/>
  <c r="H131" i="20" s="1"/>
  <c r="G131" i="20" a="1"/>
  <c r="G131" i="20" s="1"/>
  <c r="F131" i="20" a="1"/>
  <c r="F131" i="20" s="1"/>
  <c r="E131" i="20"/>
  <c r="E131" i="20" a="1"/>
  <c r="D131" i="20"/>
  <c r="D131" i="20" a="1"/>
  <c r="H130" i="20" a="1"/>
  <c r="H130" i="20" s="1"/>
  <c r="G130" i="20" a="1"/>
  <c r="G130" i="20" s="1"/>
  <c r="F130" i="20"/>
  <c r="F130" i="20" a="1"/>
  <c r="E130" i="20" a="1"/>
  <c r="E130" i="20" s="1"/>
  <c r="D130" i="20" a="1"/>
  <c r="D130" i="20" s="1"/>
  <c r="H129" i="20" a="1"/>
  <c r="H129" i="20" s="1"/>
  <c r="G129" i="20" a="1"/>
  <c r="G129" i="20" s="1"/>
  <c r="F129" i="20" a="1"/>
  <c r="F129" i="20" s="1"/>
  <c r="E129" i="20" a="1"/>
  <c r="E129" i="20" s="1"/>
  <c r="D129" i="20"/>
  <c r="D129" i="20" a="1"/>
  <c r="H128" i="20" a="1"/>
  <c r="H128" i="20" s="1"/>
  <c r="G128" i="20" a="1"/>
  <c r="G128" i="20" s="1"/>
  <c r="F128" i="20" a="1"/>
  <c r="F128" i="20" s="1"/>
  <c r="E128" i="20" a="1"/>
  <c r="E128" i="20" s="1"/>
  <c r="D128" i="20"/>
  <c r="D128" i="20" a="1"/>
  <c r="H127" i="20" a="1"/>
  <c r="H127" i="20" s="1"/>
  <c r="G127" i="20"/>
  <c r="G127" i="20" a="1"/>
  <c r="F127" i="20"/>
  <c r="F127" i="20" a="1"/>
  <c r="E127" i="20" a="1"/>
  <c r="E127" i="20" s="1"/>
  <c r="D127" i="20" a="1"/>
  <c r="D127" i="20" s="1"/>
  <c r="H126" i="20" a="1"/>
  <c r="H126" i="20" s="1"/>
  <c r="G126" i="20"/>
  <c r="G126" i="20" a="1"/>
  <c r="F126" i="20" a="1"/>
  <c r="F126" i="20" s="1"/>
  <c r="E126" i="20"/>
  <c r="E126" i="20" a="1"/>
  <c r="D126" i="20" a="1"/>
  <c r="D126" i="20" s="1"/>
  <c r="H125" i="20" a="1"/>
  <c r="H125" i="20" s="1"/>
  <c r="G125" i="20"/>
  <c r="G125" i="20" a="1"/>
  <c r="F125" i="20" a="1"/>
  <c r="F125" i="20" s="1"/>
  <c r="E125" i="20"/>
  <c r="E125" i="20" a="1"/>
  <c r="D125" i="20" a="1"/>
  <c r="D125" i="20" s="1"/>
  <c r="H124" i="20" a="1"/>
  <c r="H124" i="20" s="1"/>
  <c r="G124" i="20" a="1"/>
  <c r="G124" i="20" s="1"/>
  <c r="F124" i="20" a="1"/>
  <c r="F124" i="20" s="1"/>
  <c r="E124" i="20"/>
  <c r="E124" i="20" a="1"/>
  <c r="D124" i="20" a="1"/>
  <c r="D124" i="20" s="1"/>
  <c r="H123" i="20" a="1"/>
  <c r="H123" i="20" s="1"/>
  <c r="G123" i="20" a="1"/>
  <c r="G123" i="20" s="1"/>
  <c r="F123" i="20" a="1"/>
  <c r="F123" i="20" s="1"/>
  <c r="E123" i="20"/>
  <c r="E123" i="20" a="1"/>
  <c r="D123" i="20" a="1"/>
  <c r="D123" i="20" s="1"/>
  <c r="H122" i="20" a="1"/>
  <c r="H122" i="20" s="1"/>
  <c r="G122" i="20" a="1"/>
  <c r="G122" i="20" s="1"/>
  <c r="F122" i="20" a="1"/>
  <c r="F122" i="20" s="1"/>
  <c r="E122" i="20" a="1"/>
  <c r="E122" i="20" s="1"/>
  <c r="D122" i="20" a="1"/>
  <c r="D122" i="20" s="1"/>
  <c r="H121" i="20" a="1"/>
  <c r="H121" i="20" s="1"/>
  <c r="G121" i="20" a="1"/>
  <c r="G121" i="20" s="1"/>
  <c r="F121" i="20" a="1"/>
  <c r="F121" i="20" s="1"/>
  <c r="E121" i="20" a="1"/>
  <c r="E121" i="20" s="1"/>
  <c r="D121" i="20" a="1"/>
  <c r="D121" i="20" s="1"/>
  <c r="H120" i="20" a="1"/>
  <c r="H120" i="20" s="1"/>
  <c r="G120" i="20" a="1"/>
  <c r="G120" i="20" s="1"/>
  <c r="F120" i="20"/>
  <c r="F120" i="20" a="1"/>
  <c r="E120" i="20" a="1"/>
  <c r="E120" i="20" s="1"/>
  <c r="D120" i="20" a="1"/>
  <c r="D120" i="20" s="1"/>
  <c r="H119" i="20" a="1"/>
  <c r="H119" i="20" s="1"/>
  <c r="G119" i="20"/>
  <c r="G119" i="20" a="1"/>
  <c r="F119" i="20"/>
  <c r="F119" i="20" a="1"/>
  <c r="E119" i="20" a="1"/>
  <c r="E119" i="20" s="1"/>
  <c r="D119" i="20"/>
  <c r="D119" i="20" a="1"/>
  <c r="H118" i="20" a="1"/>
  <c r="H118" i="20" s="1"/>
  <c r="G118" i="20" a="1"/>
  <c r="G118" i="20" s="1"/>
  <c r="F118" i="20" a="1"/>
  <c r="F118" i="20" s="1"/>
  <c r="E118" i="20" a="1"/>
  <c r="E118" i="20" s="1"/>
  <c r="D118" i="20"/>
  <c r="D118" i="20" a="1"/>
  <c r="H117" i="20" a="1"/>
  <c r="H117" i="20" s="1"/>
  <c r="G117" i="20" a="1"/>
  <c r="G117" i="20" s="1"/>
  <c r="F117" i="20" a="1"/>
  <c r="F117" i="20" s="1"/>
  <c r="E117" i="20"/>
  <c r="E117" i="20" a="1"/>
  <c r="D117" i="20"/>
  <c r="D117" i="20" a="1"/>
  <c r="H116" i="20" a="1"/>
  <c r="H116" i="20" s="1"/>
  <c r="G116" i="20"/>
  <c r="G116" i="20" a="1"/>
  <c r="F116" i="20" a="1"/>
  <c r="F116" i="20" s="1"/>
  <c r="E116" i="20" a="1"/>
  <c r="E116" i="20" s="1"/>
  <c r="D116" i="20"/>
  <c r="D116" i="20" a="1"/>
  <c r="H115" i="20" a="1"/>
  <c r="H115" i="20" s="1"/>
  <c r="G115" i="20" a="1"/>
  <c r="G115" i="20" s="1"/>
  <c r="F115" i="20" a="1"/>
  <c r="F115" i="20" s="1"/>
  <c r="E115" i="20" a="1"/>
  <c r="E115" i="20" s="1"/>
  <c r="D115" i="20" a="1"/>
  <c r="D115" i="20" s="1"/>
  <c r="H114" i="20" a="1"/>
  <c r="H114" i="20" s="1"/>
  <c r="G114" i="20"/>
  <c r="G114" i="20" a="1"/>
  <c r="F114" i="20" a="1"/>
  <c r="F114" i="20" s="1"/>
  <c r="E114" i="20"/>
  <c r="E114" i="20" a="1"/>
  <c r="D114" i="20" a="1"/>
  <c r="D114" i="20" s="1"/>
  <c r="H113" i="20" a="1"/>
  <c r="H113" i="20" s="1"/>
  <c r="G113" i="20"/>
  <c r="G113" i="20" a="1"/>
  <c r="F113" i="20" a="1"/>
  <c r="F113" i="20" s="1"/>
  <c r="E113" i="20"/>
  <c r="E113" i="20" a="1"/>
  <c r="D113" i="20" a="1"/>
  <c r="D113" i="20" s="1"/>
  <c r="H112" i="20" a="1"/>
  <c r="H112" i="20" s="1"/>
  <c r="G112" i="20" a="1"/>
  <c r="G112" i="20" s="1"/>
  <c r="F112" i="20" a="1"/>
  <c r="F112" i="20" s="1"/>
  <c r="E112" i="20"/>
  <c r="E112" i="20" a="1"/>
  <c r="D112" i="20" a="1"/>
  <c r="D112" i="20" s="1"/>
  <c r="H111" i="20" a="1"/>
  <c r="H111" i="20" s="1"/>
  <c r="G111" i="20" a="1"/>
  <c r="G111" i="20" s="1"/>
  <c r="F111" i="20" a="1"/>
  <c r="F111" i="20" s="1"/>
  <c r="E111" i="20" a="1"/>
  <c r="E111" i="20" s="1"/>
  <c r="D111" i="20"/>
  <c r="D111" i="20" a="1"/>
  <c r="H110" i="20" a="1"/>
  <c r="H110" i="20" s="1"/>
  <c r="G110" i="20" a="1"/>
  <c r="G110" i="20" s="1"/>
  <c r="F110" i="20" a="1"/>
  <c r="F110" i="20" s="1"/>
  <c r="E110" i="20" a="1"/>
  <c r="E110" i="20" s="1"/>
  <c r="D110" i="20" a="1"/>
  <c r="D110" i="20" s="1"/>
  <c r="H109" i="20" a="1"/>
  <c r="H109" i="20" s="1"/>
  <c r="G109" i="20"/>
  <c r="G109" i="20" a="1"/>
  <c r="F109" i="20"/>
  <c r="F109" i="20" a="1"/>
  <c r="E109" i="20" a="1"/>
  <c r="E109" i="20" s="1"/>
  <c r="D109" i="20" a="1"/>
  <c r="D109" i="20" s="1"/>
  <c r="H108" i="20" a="1"/>
  <c r="H108" i="20" s="1"/>
  <c r="G108" i="20" a="1"/>
  <c r="G108" i="20" s="1"/>
  <c r="F108" i="20" a="1"/>
  <c r="F108" i="20" s="1"/>
  <c r="E108" i="20"/>
  <c r="E108" i="20" a="1"/>
  <c r="D108" i="20" a="1"/>
  <c r="D108" i="20" s="1"/>
  <c r="H107" i="20" a="1"/>
  <c r="H107" i="20" s="1"/>
  <c r="G107" i="20" a="1"/>
  <c r="G107" i="20" s="1"/>
  <c r="F107" i="20"/>
  <c r="F107" i="20" a="1"/>
  <c r="E107" i="20"/>
  <c r="E107" i="20" a="1"/>
  <c r="D107" i="20" a="1"/>
  <c r="D107" i="20" s="1"/>
  <c r="H106" i="20" a="1"/>
  <c r="H106" i="20" s="1"/>
  <c r="G106" i="20" a="1"/>
  <c r="G106" i="20" s="1"/>
  <c r="F106" i="20"/>
  <c r="F106" i="20" a="1"/>
  <c r="E106" i="20" a="1"/>
  <c r="E106" i="20" s="1"/>
  <c r="D106" i="20"/>
  <c r="D106" i="20" a="1"/>
  <c r="H105" i="20" a="1"/>
  <c r="H105" i="20" s="1"/>
  <c r="G105" i="20" a="1"/>
  <c r="G105" i="20" s="1"/>
  <c r="F105" i="20" a="1"/>
  <c r="F105" i="20" s="1"/>
  <c r="E105" i="20" a="1"/>
  <c r="E105" i="20" s="1"/>
  <c r="D105" i="20"/>
  <c r="D105" i="20" a="1"/>
  <c r="H104" i="20" a="1"/>
  <c r="H104" i="20" s="1"/>
  <c r="G104" i="20"/>
  <c r="G104" i="20" a="1"/>
  <c r="F104" i="20" a="1"/>
  <c r="F104" i="20" s="1"/>
  <c r="E104" i="20" a="1"/>
  <c r="E104" i="20" s="1"/>
  <c r="D104" i="20"/>
  <c r="D104" i="20" a="1"/>
  <c r="H103" i="20" a="1"/>
  <c r="H103" i="20" s="1"/>
  <c r="G103" i="20"/>
  <c r="G103" i="20" a="1"/>
  <c r="F103" i="20" a="1"/>
  <c r="F103" i="20" s="1"/>
  <c r="E103" i="20" a="1"/>
  <c r="E103" i="20" s="1"/>
  <c r="D103" i="20" a="1"/>
  <c r="D103" i="20" s="1"/>
  <c r="H102" i="20" a="1"/>
  <c r="H102" i="20" s="1"/>
  <c r="G102" i="20"/>
  <c r="G102" i="20" a="1"/>
  <c r="F102" i="20" a="1"/>
  <c r="F102" i="20" s="1"/>
  <c r="E102" i="20"/>
  <c r="E102" i="20" a="1"/>
  <c r="D102" i="20" a="1"/>
  <c r="D102" i="20" s="1"/>
  <c r="H101" i="20" a="1"/>
  <c r="H101" i="20" s="1"/>
  <c r="G101" i="20"/>
  <c r="G101" i="20" a="1"/>
  <c r="F101" i="20" a="1"/>
  <c r="F101" i="20" s="1"/>
  <c r="E101" i="20"/>
  <c r="E101" i="20" a="1"/>
  <c r="D101" i="20" a="1"/>
  <c r="D101" i="20" s="1"/>
  <c r="H100" i="20" a="1"/>
  <c r="H100" i="20" s="1"/>
  <c r="G100" i="20" a="1"/>
  <c r="G100" i="20" s="1"/>
  <c r="F100" i="20" a="1"/>
  <c r="F100" i="20" s="1"/>
  <c r="E100" i="20" a="1"/>
  <c r="E100" i="20" s="1"/>
  <c r="D100" i="20" a="1"/>
  <c r="D100" i="20" s="1"/>
  <c r="H99" i="20" a="1"/>
  <c r="H99" i="20" s="1"/>
  <c r="G99" i="20" a="1"/>
  <c r="G99" i="20" s="1"/>
  <c r="F99" i="20" a="1"/>
  <c r="F99" i="20" s="1"/>
  <c r="E99" i="20"/>
  <c r="E99" i="20" a="1"/>
  <c r="D99" i="20" a="1"/>
  <c r="D99" i="20" s="1"/>
  <c r="H98" i="20" a="1"/>
  <c r="H98" i="20" s="1"/>
  <c r="G98" i="20"/>
  <c r="G98" i="20" a="1"/>
  <c r="F98" i="20" a="1"/>
  <c r="F98" i="20" s="1"/>
  <c r="E98" i="20" a="1"/>
  <c r="E98" i="20" s="1"/>
  <c r="D98" i="20"/>
  <c r="D98" i="20" a="1"/>
  <c r="H97" i="20" a="1"/>
  <c r="H97" i="20" s="1"/>
  <c r="G97" i="20" a="1"/>
  <c r="G97" i="20" s="1"/>
  <c r="F97" i="20" a="1"/>
  <c r="F97" i="20" s="1"/>
  <c r="E97" i="20" a="1"/>
  <c r="E97" i="20" s="1"/>
  <c r="D97" i="20" a="1"/>
  <c r="D97" i="20" s="1"/>
  <c r="H96" i="20" a="1"/>
  <c r="H96" i="20" s="1"/>
  <c r="G96" i="20" a="1"/>
  <c r="G96" i="20" s="1"/>
  <c r="F96" i="20"/>
  <c r="F96" i="20" a="1"/>
  <c r="E96" i="20" a="1"/>
  <c r="E96" i="20" s="1"/>
  <c r="D96" i="20" a="1"/>
  <c r="D96" i="20" s="1"/>
  <c r="H95" i="20" a="1"/>
  <c r="H95" i="20" s="1"/>
  <c r="G95" i="20"/>
  <c r="G95" i="20" a="1"/>
  <c r="F95" i="20"/>
  <c r="F95" i="20" a="1"/>
  <c r="E95" i="20" a="1"/>
  <c r="E95" i="20" s="1"/>
  <c r="D95" i="20"/>
  <c r="D95" i="20" a="1"/>
  <c r="H94" i="20" a="1"/>
  <c r="H94" i="20" s="1"/>
  <c r="G94" i="20" a="1"/>
  <c r="G94" i="20" s="1"/>
  <c r="F94" i="20" a="1"/>
  <c r="F94" i="20" s="1"/>
  <c r="E94" i="20"/>
  <c r="E94" i="20" a="1"/>
  <c r="D94" i="20"/>
  <c r="D94" i="20" a="1"/>
  <c r="H93" i="20" a="1"/>
  <c r="H93" i="20" s="1"/>
  <c r="G93" i="20" a="1"/>
  <c r="G93" i="20" s="1"/>
  <c r="F93" i="20" a="1"/>
  <c r="F93" i="20" s="1"/>
  <c r="E93" i="20" a="1"/>
  <c r="E93" i="20" s="1"/>
  <c r="D93" i="20" a="1"/>
  <c r="D93" i="20" s="1"/>
  <c r="H92" i="20" a="1"/>
  <c r="H92" i="20" s="1"/>
  <c r="G92" i="20"/>
  <c r="G92" i="20" a="1"/>
  <c r="F92" i="20" a="1"/>
  <c r="F92" i="20" s="1"/>
  <c r="E92" i="20" a="1"/>
  <c r="E92" i="20" s="1"/>
  <c r="D92" i="20"/>
  <c r="D92" i="20" a="1"/>
  <c r="H91" i="20" a="1"/>
  <c r="H91" i="20" s="1"/>
  <c r="G91" i="20" a="1"/>
  <c r="G91" i="20" s="1"/>
  <c r="F91" i="20" a="1"/>
  <c r="F91" i="20" s="1"/>
  <c r="E91" i="20" a="1"/>
  <c r="E91" i="20" s="1"/>
  <c r="D91" i="20" a="1"/>
  <c r="D91" i="20" s="1"/>
  <c r="H90" i="20" a="1"/>
  <c r="H90" i="20" s="1"/>
  <c r="G90" i="20"/>
  <c r="G90" i="20" a="1"/>
  <c r="F90" i="20" a="1"/>
  <c r="F90" i="20" s="1"/>
  <c r="E90" i="20"/>
  <c r="E90" i="20" a="1"/>
  <c r="D90" i="20" a="1"/>
  <c r="D90" i="20" s="1"/>
  <c r="H89" i="20" a="1"/>
  <c r="H89" i="20" s="1"/>
  <c r="G89" i="20" a="1"/>
  <c r="G89" i="20" s="1"/>
  <c r="F89" i="20"/>
  <c r="F89" i="20" a="1"/>
  <c r="E89" i="20"/>
  <c r="E89" i="20" a="1"/>
  <c r="D89" i="20" a="1"/>
  <c r="D89" i="20" s="1"/>
  <c r="H88" i="20" a="1"/>
  <c r="H88" i="20" s="1"/>
  <c r="G88" i="20" a="1"/>
  <c r="G88" i="20" s="1"/>
  <c r="F88" i="20" a="1"/>
  <c r="F88" i="20" s="1"/>
  <c r="E88" i="20" a="1"/>
  <c r="E88" i="20" s="1"/>
  <c r="D88" i="20"/>
  <c r="D88" i="20" a="1"/>
  <c r="H87" i="20" a="1"/>
  <c r="H87" i="20" s="1"/>
  <c r="G87" i="20" a="1"/>
  <c r="G87" i="20" s="1"/>
  <c r="F87" i="20" a="1"/>
  <c r="F87" i="20" s="1"/>
  <c r="E87" i="20"/>
  <c r="E87" i="20" a="1"/>
  <c r="D87" i="20" a="1"/>
  <c r="D87" i="20" s="1"/>
  <c r="H86" i="20" a="1"/>
  <c r="H86" i="20" s="1"/>
  <c r="G86" i="20"/>
  <c r="G86" i="20" a="1"/>
  <c r="F86" i="20" a="1"/>
  <c r="F86" i="20" s="1"/>
  <c r="E86" i="20" a="1"/>
  <c r="E86" i="20" s="1"/>
  <c r="D86" i="20" a="1"/>
  <c r="D86" i="20" s="1"/>
  <c r="H85" i="20" a="1"/>
  <c r="H85" i="20" s="1"/>
  <c r="G85" i="20"/>
  <c r="G85" i="20" a="1"/>
  <c r="F85" i="20" a="1"/>
  <c r="F85" i="20" s="1"/>
  <c r="E85" i="20" a="1"/>
  <c r="E85" i="20" s="1"/>
  <c r="D85" i="20" a="1"/>
  <c r="D85" i="20" s="1"/>
  <c r="H84" i="20" a="1"/>
  <c r="H84" i="20" s="1"/>
  <c r="G84" i="20" a="1"/>
  <c r="G84" i="20" s="1"/>
  <c r="F84" i="20" a="1"/>
  <c r="F84" i="20" s="1"/>
  <c r="E84" i="20"/>
  <c r="E84" i="20" a="1"/>
  <c r="D84" i="20" a="1"/>
  <c r="D84" i="20" s="1"/>
  <c r="H83" i="20" a="1"/>
  <c r="H83" i="20" s="1"/>
  <c r="G83" i="20" a="1"/>
  <c r="G83" i="20" s="1"/>
  <c r="F83" i="20"/>
  <c r="F83" i="20" a="1"/>
  <c r="E83" i="20" a="1"/>
  <c r="E83" i="20" s="1"/>
  <c r="D83" i="20" a="1"/>
  <c r="D83" i="20" s="1"/>
  <c r="H82" i="20" a="1"/>
  <c r="H82" i="20" s="1"/>
  <c r="G82" i="20" a="1"/>
  <c r="G82" i="20" s="1"/>
  <c r="F82" i="20"/>
  <c r="F82" i="20" a="1"/>
  <c r="E82" i="20" a="1"/>
  <c r="E82" i="20" s="1"/>
  <c r="D82" i="20" a="1"/>
  <c r="D82" i="20" s="1"/>
  <c r="H81" i="20" a="1"/>
  <c r="H81" i="20" s="1"/>
  <c r="G81" i="20" a="1"/>
  <c r="G81" i="20" s="1"/>
  <c r="F81" i="20" a="1"/>
  <c r="F81" i="20" s="1"/>
  <c r="E81" i="20" a="1"/>
  <c r="E81" i="20" s="1"/>
  <c r="D81" i="20"/>
  <c r="D81" i="20" a="1"/>
  <c r="H80" i="20" a="1"/>
  <c r="H80" i="20" s="1"/>
  <c r="G80" i="20" a="1"/>
  <c r="G80" i="20" s="1"/>
  <c r="F80" i="20" a="1"/>
  <c r="F80" i="20" s="1"/>
  <c r="E80" i="20" a="1"/>
  <c r="E80" i="20" s="1"/>
  <c r="D80" i="20"/>
  <c r="D80" i="20" a="1"/>
  <c r="H79" i="20" a="1"/>
  <c r="H79" i="20" s="1"/>
  <c r="G79" i="20"/>
  <c r="G79" i="20" a="1"/>
  <c r="F79" i="20" a="1"/>
  <c r="F79" i="20" s="1"/>
  <c r="E79" i="20" a="1"/>
  <c r="E79" i="20" s="1"/>
  <c r="D79" i="20" a="1"/>
  <c r="D79" i="20" s="1"/>
  <c r="H78" i="20" a="1"/>
  <c r="H78" i="20" s="1"/>
  <c r="G78" i="20" a="1"/>
  <c r="G78" i="20" s="1"/>
  <c r="F78" i="20" a="1"/>
  <c r="F78" i="20" s="1"/>
  <c r="E78" i="20" a="1"/>
  <c r="E78" i="20" s="1"/>
  <c r="D78" i="20" a="1"/>
  <c r="D78" i="20" s="1"/>
  <c r="H77" i="20" a="1"/>
  <c r="H77" i="20" s="1"/>
  <c r="G77" i="20" a="1"/>
  <c r="G77" i="20" s="1"/>
  <c r="F77" i="20" a="1"/>
  <c r="F77" i="20" s="1"/>
  <c r="E77" i="20"/>
  <c r="E77" i="20" a="1"/>
  <c r="D77" i="20"/>
  <c r="D77" i="20" a="1"/>
  <c r="H76" i="20" a="1"/>
  <c r="H76" i="20" s="1"/>
  <c r="G76" i="20" a="1"/>
  <c r="G76" i="20" s="1"/>
  <c r="F76" i="20"/>
  <c r="F76" i="20" a="1"/>
  <c r="E76" i="20" a="1"/>
  <c r="E76" i="20" s="1"/>
  <c r="D76" i="20" a="1"/>
  <c r="D76" i="20" s="1"/>
  <c r="H75" i="20" a="1"/>
  <c r="H75" i="20" s="1"/>
  <c r="G75" i="20" a="1"/>
  <c r="G75" i="20" s="1"/>
  <c r="F75" i="20" a="1"/>
  <c r="F75" i="20" s="1"/>
  <c r="E75" i="20" a="1"/>
  <c r="E75" i="20" s="1"/>
  <c r="D75" i="20" a="1"/>
  <c r="D75" i="20" s="1"/>
  <c r="H74" i="20" a="1"/>
  <c r="H74" i="20" s="1"/>
  <c r="G74" i="20" a="1"/>
  <c r="G74" i="20" s="1"/>
  <c r="F74" i="20" a="1"/>
  <c r="F74" i="20" s="1"/>
  <c r="E74" i="20" a="1"/>
  <c r="E74" i="20" s="1"/>
  <c r="D74" i="20"/>
  <c r="D74" i="20" a="1"/>
  <c r="H73" i="20" a="1"/>
  <c r="H73" i="20" s="1"/>
  <c r="G73" i="20" a="1"/>
  <c r="G73" i="20" s="1"/>
  <c r="F73" i="20"/>
  <c r="F73" i="20" a="1"/>
  <c r="E73" i="20" a="1"/>
  <c r="E73" i="20" s="1"/>
  <c r="D73" i="20" a="1"/>
  <c r="D73" i="20" s="1"/>
  <c r="H72" i="20" a="1"/>
  <c r="H72" i="20" s="1"/>
  <c r="G72" i="20"/>
  <c r="G72" i="20" a="1"/>
  <c r="F72" i="20"/>
  <c r="F72" i="20" a="1"/>
  <c r="E72" i="20" a="1"/>
  <c r="E72" i="20" s="1"/>
  <c r="D72" i="20" a="1"/>
  <c r="D72" i="20" s="1"/>
  <c r="H71" i="20" a="1"/>
  <c r="H71" i="20" s="1"/>
  <c r="G71" i="20" a="1"/>
  <c r="G71" i="20" s="1"/>
  <c r="F71" i="20" a="1"/>
  <c r="F71" i="20" s="1"/>
  <c r="E71" i="20" a="1"/>
  <c r="E71" i="20" s="1"/>
  <c r="D71" i="20"/>
  <c r="D71" i="20" a="1"/>
  <c r="H70" i="20" a="1"/>
  <c r="H70" i="20" s="1"/>
  <c r="G70" i="20" a="1"/>
  <c r="G70" i="20" s="1"/>
  <c r="F70" i="20" a="1"/>
  <c r="F70" i="20" s="1"/>
  <c r="E70" i="20" a="1"/>
  <c r="E70" i="20" s="1"/>
  <c r="D70" i="20" a="1"/>
  <c r="D70" i="20" s="1"/>
  <c r="H69" i="20" a="1"/>
  <c r="H69" i="20" s="1"/>
  <c r="G69" i="20" a="1"/>
  <c r="G69" i="20" s="1"/>
  <c r="F69" i="20" a="1"/>
  <c r="F69" i="20" s="1"/>
  <c r="E69" i="20"/>
  <c r="E69" i="20" a="1"/>
  <c r="D69" i="20" a="1"/>
  <c r="D69" i="20" s="1"/>
  <c r="H68" i="20" a="1"/>
  <c r="H68" i="20" s="1"/>
  <c r="G68" i="20"/>
  <c r="G68" i="20" a="1"/>
  <c r="F68" i="20" a="1"/>
  <c r="F68" i="20" s="1"/>
  <c r="E68" i="20" a="1"/>
  <c r="E68" i="20" s="1"/>
  <c r="D68" i="20" a="1"/>
  <c r="D68" i="20" s="1"/>
  <c r="H67" i="20" a="1"/>
  <c r="H67" i="20" s="1"/>
  <c r="G67" i="20" a="1"/>
  <c r="G67" i="20" s="1"/>
  <c r="F67" i="20" a="1"/>
  <c r="F67" i="20" s="1"/>
  <c r="E67" i="20" a="1"/>
  <c r="E67" i="20" s="1"/>
  <c r="D67" i="20" a="1"/>
  <c r="D67" i="20" s="1"/>
  <c r="H66" i="20" a="1"/>
  <c r="H66" i="20" s="1"/>
  <c r="G66" i="20" a="1"/>
  <c r="G66" i="20" s="1"/>
  <c r="F66" i="20"/>
  <c r="F66" i="20" a="1"/>
  <c r="E66" i="20"/>
  <c r="E66" i="20" a="1"/>
  <c r="D66" i="20" a="1"/>
  <c r="D66" i="20" s="1"/>
  <c r="H65" i="20" a="1"/>
  <c r="H65" i="20" s="1"/>
  <c r="G65" i="20"/>
  <c r="G65" i="20" a="1"/>
  <c r="F65" i="20" a="1"/>
  <c r="F65" i="20" s="1"/>
  <c r="E65" i="20" a="1"/>
  <c r="E65" i="20" s="1"/>
  <c r="D65" i="20"/>
  <c r="D65" i="20" a="1"/>
  <c r="H64" i="20" a="1"/>
  <c r="H64" i="20" s="1"/>
  <c r="G64" i="20" a="1"/>
  <c r="G64" i="20" s="1"/>
  <c r="F64" i="20" a="1"/>
  <c r="F64" i="20" s="1"/>
  <c r="E64" i="20" a="1"/>
  <c r="E64" i="20" s="1"/>
  <c r="D64" i="20"/>
  <c r="D64" i="20" a="1"/>
  <c r="H63" i="20" a="1"/>
  <c r="H63" i="20" s="1"/>
  <c r="G63" i="20" a="1"/>
  <c r="G63" i="20" s="1"/>
  <c r="F63" i="20" a="1"/>
  <c r="F63" i="20" s="1"/>
  <c r="E63" i="20"/>
  <c r="E63" i="20" a="1"/>
  <c r="D63" i="20" a="1"/>
  <c r="D63" i="20" s="1"/>
  <c r="H62" i="20" a="1"/>
  <c r="H62" i="20" s="1"/>
  <c r="G62" i="20"/>
  <c r="G62" i="20" a="1"/>
  <c r="F62" i="20" a="1"/>
  <c r="F62" i="20" s="1"/>
  <c r="E62" i="20" a="1"/>
  <c r="E62" i="20" s="1"/>
  <c r="D62" i="20" a="1"/>
  <c r="D62" i="20" s="1"/>
  <c r="H61" i="20" a="1"/>
  <c r="H61" i="20" s="1"/>
  <c r="G61" i="20" a="1"/>
  <c r="G61" i="20" s="1"/>
  <c r="F61" i="20" a="1"/>
  <c r="F61" i="20" s="1"/>
  <c r="E61" i="20" a="1"/>
  <c r="E61" i="20" s="1"/>
  <c r="D61" i="20" a="1"/>
  <c r="D61" i="20" s="1"/>
  <c r="H60" i="20" a="1"/>
  <c r="H60" i="20" s="1"/>
  <c r="G60" i="20" a="1"/>
  <c r="G60" i="20" s="1"/>
  <c r="F60" i="20" a="1"/>
  <c r="F60" i="20" s="1"/>
  <c r="E60" i="20" a="1"/>
  <c r="E60" i="20" s="1"/>
  <c r="D60" i="20" a="1"/>
  <c r="D60" i="20" s="1"/>
  <c r="H59" i="20" a="1"/>
  <c r="H59" i="20" s="1"/>
  <c r="G59" i="20" a="1"/>
  <c r="G59" i="20" s="1"/>
  <c r="F59" i="20"/>
  <c r="F59" i="20" a="1"/>
  <c r="E59" i="20" a="1"/>
  <c r="E59" i="20" s="1"/>
  <c r="D59" i="20" a="1"/>
  <c r="D59" i="20" s="1"/>
  <c r="H58" i="20" a="1"/>
  <c r="H58" i="20" s="1"/>
  <c r="G58" i="20" a="1"/>
  <c r="G58" i="20" s="1"/>
  <c r="F58" i="20"/>
  <c r="F58" i="20" a="1"/>
  <c r="E58" i="20" a="1"/>
  <c r="E58" i="20" s="1"/>
  <c r="D58" i="20"/>
  <c r="D58" i="20" a="1"/>
  <c r="H57" i="20" a="1"/>
  <c r="H57" i="20" s="1"/>
  <c r="G57" i="20" a="1"/>
  <c r="G57" i="20" s="1"/>
  <c r="F57" i="20" a="1"/>
  <c r="F57" i="20" s="1"/>
  <c r="E57" i="20" a="1"/>
  <c r="E57" i="20" s="1"/>
  <c r="D57" i="20"/>
  <c r="D57" i="20" a="1"/>
  <c r="H56" i="20" a="1"/>
  <c r="H56" i="20" s="1"/>
  <c r="G56" i="20" a="1"/>
  <c r="G56" i="20" s="1"/>
  <c r="F56" i="20" a="1"/>
  <c r="F56" i="20" s="1"/>
  <c r="E56" i="20" a="1"/>
  <c r="E56" i="20" s="1"/>
  <c r="D56" i="20" a="1"/>
  <c r="D56" i="20" s="1"/>
  <c r="H55" i="20" a="1"/>
  <c r="H55" i="20" s="1"/>
  <c r="G55" i="20"/>
  <c r="G55" i="20" a="1"/>
  <c r="F55" i="20"/>
  <c r="F55" i="20" a="1"/>
  <c r="E55" i="20" a="1"/>
  <c r="E55" i="20" s="1"/>
  <c r="D55" i="20" a="1"/>
  <c r="D55" i="20" s="1"/>
  <c r="H54" i="20" a="1"/>
  <c r="H54" i="20" s="1"/>
  <c r="G54" i="20" a="1"/>
  <c r="G54" i="20" s="1"/>
  <c r="F54" i="20" a="1"/>
  <c r="F54" i="20" s="1"/>
  <c r="E54" i="20" a="1"/>
  <c r="E54" i="20" s="1"/>
  <c r="D54" i="20" a="1"/>
  <c r="D54" i="20" s="1"/>
  <c r="H53" i="20" a="1"/>
  <c r="H53" i="20" s="1"/>
  <c r="G53" i="20" a="1"/>
  <c r="G53" i="20" s="1"/>
  <c r="F53" i="20" a="1"/>
  <c r="F53" i="20" s="1"/>
  <c r="E53" i="20"/>
  <c r="E53" i="20" a="1"/>
  <c r="D53" i="20" a="1"/>
  <c r="D53" i="20" s="1"/>
  <c r="H52" i="20" a="1"/>
  <c r="H52" i="20" s="1"/>
  <c r="G52" i="20" a="1"/>
  <c r="G52" i="20" s="1"/>
  <c r="F52" i="20"/>
  <c r="F52" i="20" a="1"/>
  <c r="E52" i="20"/>
  <c r="E52" i="20" a="1"/>
  <c r="D52" i="20" a="1"/>
  <c r="D52" i="20" s="1"/>
  <c r="H51" i="20" a="1"/>
  <c r="H51" i="20" s="1"/>
  <c r="G51" i="20" a="1"/>
  <c r="G51" i="20" s="1"/>
  <c r="F51" i="20" a="1"/>
  <c r="F51" i="20" s="1"/>
  <c r="E51" i="20" a="1"/>
  <c r="E51" i="20" s="1"/>
  <c r="D51" i="20"/>
  <c r="D51" i="20" a="1"/>
  <c r="H50" i="20" a="1"/>
  <c r="H50" i="20" s="1"/>
  <c r="G50" i="20" a="1"/>
  <c r="G50" i="20" s="1"/>
  <c r="F50" i="20" a="1"/>
  <c r="F50" i="20" s="1"/>
  <c r="E50" i="20" a="1"/>
  <c r="E50" i="20" s="1"/>
  <c r="D50" i="20" a="1"/>
  <c r="D50" i="20" s="1"/>
  <c r="H49" i="20" a="1"/>
  <c r="H49" i="20" s="1"/>
  <c r="G49" i="20" a="1"/>
  <c r="G49" i="20" s="1"/>
  <c r="F49" i="20"/>
  <c r="F49" i="20" a="1"/>
  <c r="E49" i="20" a="1"/>
  <c r="E49" i="20" s="1"/>
  <c r="D49" i="20" a="1"/>
  <c r="D49" i="20" s="1"/>
  <c r="H48" i="20" a="1"/>
  <c r="H48" i="20" s="1"/>
  <c r="G48" i="20" a="1"/>
  <c r="G48" i="20" s="1"/>
  <c r="F48" i="20" a="1"/>
  <c r="F48" i="20" s="1"/>
  <c r="E48" i="20" a="1"/>
  <c r="E48" i="20" s="1"/>
  <c r="D48" i="20" a="1"/>
  <c r="D48" i="20" s="1"/>
  <c r="H47" i="20" a="1"/>
  <c r="H47" i="20" s="1"/>
  <c r="G47" i="20" a="1"/>
  <c r="G47" i="20" s="1"/>
  <c r="F47" i="20" a="1"/>
  <c r="F47" i="20" s="1"/>
  <c r="E47" i="20" a="1"/>
  <c r="E47" i="20" s="1"/>
  <c r="D47" i="20"/>
  <c r="D47" i="20" a="1"/>
  <c r="H46" i="20" a="1"/>
  <c r="H46" i="20" s="1"/>
  <c r="G46" i="20" a="1"/>
  <c r="G46" i="20" s="1"/>
  <c r="F46" i="20" a="1"/>
  <c r="F46" i="20" s="1"/>
  <c r="E46" i="20"/>
  <c r="E46" i="20" a="1"/>
  <c r="D46" i="20" a="1"/>
  <c r="D46" i="20" s="1"/>
  <c r="H45" i="20" a="1"/>
  <c r="H45" i="20" s="1"/>
  <c r="G45" i="20" a="1"/>
  <c r="G45" i="20" s="1"/>
  <c r="F45" i="20" a="1"/>
  <c r="F45" i="20" s="1"/>
  <c r="E45" i="20" a="1"/>
  <c r="E45" i="20" s="1"/>
  <c r="D45" i="20" a="1"/>
  <c r="D45" i="20" s="1"/>
  <c r="H44" i="20" a="1"/>
  <c r="H44" i="20" s="1"/>
  <c r="G44" i="20" a="1"/>
  <c r="G44" i="20" s="1"/>
  <c r="F44" i="20" a="1"/>
  <c r="F44" i="20" s="1"/>
  <c r="E44" i="20" a="1"/>
  <c r="E44" i="20" s="1"/>
  <c r="D44" i="20"/>
  <c r="D44" i="20" a="1"/>
  <c r="H43" i="20" a="1"/>
  <c r="H43" i="20" s="1"/>
  <c r="G43" i="20" a="1"/>
  <c r="G43" i="20" s="1"/>
  <c r="F43" i="20"/>
  <c r="F43" i="20" a="1"/>
  <c r="E43" i="20" a="1"/>
  <c r="E43" i="20" s="1"/>
  <c r="D43" i="20" a="1"/>
  <c r="D43" i="20" s="1"/>
  <c r="H42" i="20" a="1"/>
  <c r="H42" i="20" s="1"/>
  <c r="G42" i="20" a="1"/>
  <c r="G42" i="20" s="1"/>
  <c r="F42" i="20"/>
  <c r="F42" i="20" a="1"/>
  <c r="E42" i="20" a="1"/>
  <c r="E42" i="20" s="1"/>
  <c r="D42" i="20" a="1"/>
  <c r="D42" i="20" s="1"/>
  <c r="H41" i="20" a="1"/>
  <c r="H41" i="20" s="1"/>
  <c r="G41" i="20" a="1"/>
  <c r="G41" i="20" s="1"/>
  <c r="F41" i="20" a="1"/>
  <c r="F41" i="20" s="1"/>
  <c r="E41" i="20" a="1"/>
  <c r="E41" i="20" s="1"/>
  <c r="D41" i="20"/>
  <c r="D41" i="20" a="1"/>
  <c r="H40" i="20" a="1"/>
  <c r="H40" i="20" s="1"/>
  <c r="G40" i="20" a="1"/>
  <c r="G40" i="20" s="1"/>
  <c r="F40" i="20" a="1"/>
  <c r="F40" i="20" s="1"/>
  <c r="E40" i="20"/>
  <c r="E40" i="20" a="1"/>
  <c r="D40" i="20" a="1"/>
  <c r="D40" i="20" s="1"/>
  <c r="H39" i="20" a="1"/>
  <c r="H39" i="20" s="1"/>
  <c r="G39" i="20" a="1"/>
  <c r="G39" i="20" s="1"/>
  <c r="F39" i="20" a="1"/>
  <c r="F39" i="20" s="1"/>
  <c r="E39" i="20"/>
  <c r="E39" i="20" a="1"/>
  <c r="D39" i="20" a="1"/>
  <c r="D39" i="20" s="1"/>
  <c r="H38" i="20" a="1"/>
  <c r="H38" i="20" s="1"/>
  <c r="G38" i="20" a="1"/>
  <c r="G38" i="20" s="1"/>
  <c r="F38" i="20" a="1"/>
  <c r="F38" i="20" s="1"/>
  <c r="E38" i="20" a="1"/>
  <c r="E38" i="20" s="1"/>
  <c r="D38" i="20" a="1"/>
  <c r="D38" i="20" s="1"/>
  <c r="H37" i="20" a="1"/>
  <c r="H37" i="20" s="1"/>
  <c r="G37" i="20" a="1"/>
  <c r="G37" i="20" s="1"/>
  <c r="F37" i="20" a="1"/>
  <c r="F37" i="20" s="1"/>
  <c r="E37" i="20" a="1"/>
  <c r="E37" i="20" s="1"/>
  <c r="D37" i="20" a="1"/>
  <c r="D37" i="20" s="1"/>
  <c r="H36" i="20" a="1"/>
  <c r="H36" i="20" s="1"/>
  <c r="G36" i="20" a="1"/>
  <c r="G36" i="20" s="1"/>
  <c r="F36" i="20"/>
  <c r="F36" i="20" a="1"/>
  <c r="E36" i="20" a="1"/>
  <c r="E36" i="20" s="1"/>
  <c r="D36" i="20" a="1"/>
  <c r="D36" i="20" s="1"/>
  <c r="H35" i="20" a="1"/>
  <c r="H35" i="20" s="1"/>
  <c r="G35" i="20" a="1"/>
  <c r="G35" i="20" s="1"/>
  <c r="F35" i="20"/>
  <c r="F35" i="20" a="1"/>
  <c r="E35" i="20" a="1"/>
  <c r="E35" i="20" s="1"/>
  <c r="D35" i="20" a="1"/>
  <c r="D35" i="20" s="1"/>
  <c r="H34" i="20" a="1"/>
  <c r="H34" i="20" s="1"/>
  <c r="G34" i="20" a="1"/>
  <c r="G34" i="20" s="1"/>
  <c r="F34" i="20" a="1"/>
  <c r="F34" i="20" s="1"/>
  <c r="E34" i="20" a="1"/>
  <c r="E34" i="20" s="1"/>
  <c r="D34" i="20"/>
  <c r="D34" i="20" a="1"/>
  <c r="H33" i="20" a="1"/>
  <c r="H33" i="20" s="1"/>
  <c r="G33" i="20" a="1"/>
  <c r="G33" i="20" s="1"/>
  <c r="F33" i="20" a="1"/>
  <c r="F33" i="20" s="1"/>
  <c r="E33" i="20"/>
  <c r="E33" i="20" a="1"/>
  <c r="D33" i="20" a="1"/>
  <c r="D33" i="20" s="1"/>
  <c r="H32" i="20" a="1"/>
  <c r="H32" i="20" s="1"/>
  <c r="G32" i="20" a="1"/>
  <c r="G32" i="20" s="1"/>
  <c r="F32" i="20" a="1"/>
  <c r="F32" i="20" s="1"/>
  <c r="E32" i="20" a="1"/>
  <c r="E32" i="20" s="1"/>
  <c r="D32" i="20" a="1"/>
  <c r="D32" i="20" s="1"/>
  <c r="H31" i="20" a="1"/>
  <c r="H31" i="20" s="1"/>
  <c r="G31" i="20"/>
  <c r="G31" i="20" a="1"/>
  <c r="F31" i="20" a="1"/>
  <c r="F31" i="20" s="1"/>
  <c r="E31" i="20" a="1"/>
  <c r="E31" i="20" s="1"/>
  <c r="D31" i="20" a="1"/>
  <c r="D31" i="20" s="1"/>
  <c r="H30" i="20" a="1"/>
  <c r="H30" i="20" s="1"/>
  <c r="G30" i="20" a="1"/>
  <c r="G30" i="20" s="1"/>
  <c r="F30" i="20" a="1"/>
  <c r="F30" i="20" s="1"/>
  <c r="E30" i="20"/>
  <c r="E30" i="20" a="1"/>
  <c r="D30" i="20" a="1"/>
  <c r="D30" i="20" s="1"/>
  <c r="H29" i="20" a="1"/>
  <c r="H29" i="20" s="1"/>
  <c r="G29" i="20" a="1"/>
  <c r="G29" i="20" s="1"/>
  <c r="F29" i="20"/>
  <c r="F29" i="20" a="1"/>
  <c r="E29" i="20" a="1"/>
  <c r="E29" i="20" s="1"/>
  <c r="D29" i="20" a="1"/>
  <c r="D29" i="20" s="1"/>
  <c r="H28" i="20" a="1"/>
  <c r="H28" i="20" s="1"/>
  <c r="G28" i="20" a="1"/>
  <c r="G28" i="20" s="1"/>
  <c r="F28" i="20" a="1"/>
  <c r="F28" i="20" s="1"/>
  <c r="E28" i="20" a="1"/>
  <c r="E28" i="20" s="1"/>
  <c r="D28" i="20" a="1"/>
  <c r="D28" i="20" s="1"/>
  <c r="H27" i="20" a="1"/>
  <c r="H27" i="20" s="1"/>
  <c r="G27" i="20" a="1"/>
  <c r="G27" i="20" s="1"/>
  <c r="F27" i="20" a="1"/>
  <c r="F27" i="20" s="1"/>
  <c r="E27" i="20" a="1"/>
  <c r="E27" i="20" s="1"/>
  <c r="D27" i="20" a="1"/>
  <c r="D27" i="20" s="1"/>
  <c r="H26" i="20" a="1"/>
  <c r="H26" i="20" s="1"/>
  <c r="G26" i="20" a="1"/>
  <c r="G26" i="20" s="1"/>
  <c r="F26" i="20" a="1"/>
  <c r="F26" i="20" s="1"/>
  <c r="E26" i="20" a="1"/>
  <c r="E26" i="20" s="1"/>
  <c r="D26" i="20" a="1"/>
  <c r="D26" i="20" s="1"/>
  <c r="H25" i="20" a="1"/>
  <c r="H25" i="20" s="1"/>
  <c r="G25" i="20" a="1"/>
  <c r="G25" i="20" s="1"/>
  <c r="F25" i="20"/>
  <c r="F25" i="20" a="1"/>
  <c r="E25" i="20" a="1"/>
  <c r="E25" i="20" s="1"/>
  <c r="D25" i="20" a="1"/>
  <c r="D25" i="20" s="1"/>
  <c r="H24" i="20" a="1"/>
  <c r="H24" i="20" s="1"/>
  <c r="G24" i="20"/>
  <c r="G24" i="20" a="1"/>
  <c r="F24" i="20" a="1"/>
  <c r="F24" i="20" s="1"/>
  <c r="E24" i="20" a="1"/>
  <c r="E24" i="20" s="1"/>
  <c r="D24" i="20" a="1"/>
  <c r="D24" i="20" s="1"/>
  <c r="H23" i="20" a="1"/>
  <c r="H23" i="20" s="1"/>
  <c r="G23" i="20" a="1"/>
  <c r="G23" i="20" s="1"/>
  <c r="F23" i="20" a="1"/>
  <c r="F23" i="20" s="1"/>
  <c r="E23" i="20"/>
  <c r="E23" i="20" a="1"/>
  <c r="D23" i="20" a="1"/>
  <c r="D23" i="20" s="1"/>
  <c r="H22" i="20" a="1"/>
  <c r="H22" i="20" s="1"/>
  <c r="G22" i="20" a="1"/>
  <c r="G22" i="20" s="1"/>
  <c r="F22" i="20"/>
  <c r="F22" i="20" a="1"/>
  <c r="E22" i="20" a="1"/>
  <c r="E22" i="20" s="1"/>
  <c r="D22" i="20" a="1"/>
  <c r="D22" i="20" s="1"/>
  <c r="H21" i="20" a="1"/>
  <c r="H21" i="20" s="1"/>
  <c r="G21" i="20" a="1"/>
  <c r="G21" i="20" s="1"/>
  <c r="F21" i="20" a="1"/>
  <c r="F21" i="20" s="1"/>
  <c r="E21" i="20" a="1"/>
  <c r="E21" i="20" s="1"/>
  <c r="D21" i="20" a="1"/>
  <c r="D21" i="20" s="1"/>
  <c r="H20" i="20" a="1"/>
  <c r="H20" i="20" s="1"/>
  <c r="G20" i="20" a="1"/>
  <c r="G20" i="20" s="1"/>
  <c r="F20" i="20" a="1"/>
  <c r="F20" i="20" s="1"/>
  <c r="E20" i="20" a="1"/>
  <c r="E20" i="20" s="1"/>
  <c r="D20" i="20" a="1"/>
  <c r="D20" i="20" s="1"/>
  <c r="H19" i="20" a="1"/>
  <c r="H19" i="20" s="1"/>
  <c r="G19" i="20" a="1"/>
  <c r="G19" i="20" s="1"/>
  <c r="F19" i="20"/>
  <c r="F19" i="20" a="1"/>
  <c r="E19" i="20" a="1"/>
  <c r="E19" i="20" s="1"/>
  <c r="D19" i="20" a="1"/>
  <c r="D19" i="20" s="1"/>
  <c r="H18" i="20" a="1"/>
  <c r="H18" i="20" s="1"/>
  <c r="G18" i="20"/>
  <c r="G18" i="20" a="1"/>
  <c r="F18" i="20" a="1"/>
  <c r="F18" i="20" s="1"/>
  <c r="E18" i="20" a="1"/>
  <c r="E18" i="20" s="1"/>
  <c r="D18" i="20" a="1"/>
  <c r="D18" i="20" s="1"/>
  <c r="H17" i="20" a="1"/>
  <c r="H17" i="20" s="1"/>
  <c r="G17" i="20"/>
  <c r="G17" i="20" a="1"/>
  <c r="F17" i="20" a="1"/>
  <c r="F17" i="20" s="1"/>
  <c r="E17" i="20" a="1"/>
  <c r="E17" i="20" s="1"/>
  <c r="D17" i="20" a="1"/>
  <c r="D17" i="20" s="1"/>
  <c r="H16" i="20" a="1"/>
  <c r="H16" i="20" s="1"/>
  <c r="G16" i="20" a="1"/>
  <c r="G16" i="20" s="1"/>
  <c r="F16" i="20" a="1"/>
  <c r="F16" i="20" s="1"/>
  <c r="E16" i="20"/>
  <c r="E16" i="20" a="1"/>
  <c r="D16" i="20" a="1"/>
  <c r="D16" i="20" s="1"/>
  <c r="H15" i="20" a="1"/>
  <c r="H15" i="20" s="1"/>
  <c r="G15" i="20" a="1"/>
  <c r="G15" i="20" s="1"/>
  <c r="F15" i="20" a="1"/>
  <c r="F15" i="20" s="1"/>
  <c r="E15" i="20"/>
  <c r="E15" i="20" a="1"/>
  <c r="D15" i="20" a="1"/>
  <c r="D15" i="20" s="1"/>
  <c r="H14" i="20" a="1"/>
  <c r="H14" i="20" s="1"/>
  <c r="G14" i="20" a="1"/>
  <c r="G14" i="20" s="1"/>
  <c r="F14" i="20" a="1"/>
  <c r="F14" i="20" s="1"/>
  <c r="E14" i="20" a="1"/>
  <c r="E14" i="20" s="1"/>
  <c r="D14" i="20" a="1"/>
  <c r="D14" i="20" s="1"/>
  <c r="H13" i="20" a="1"/>
  <c r="H13" i="20" s="1"/>
  <c r="G13" i="20" a="1"/>
  <c r="G13" i="20" s="1"/>
  <c r="F13" i="20" a="1"/>
  <c r="F13" i="20" s="1"/>
  <c r="E13" i="20" a="1"/>
  <c r="E13" i="20" s="1"/>
  <c r="D13" i="20" a="1"/>
  <c r="D13" i="20" s="1"/>
  <c r="H12" i="20" a="1"/>
  <c r="H12" i="20" s="1"/>
  <c r="G12" i="20" a="1"/>
  <c r="G12" i="20" s="1"/>
  <c r="F12" i="20" a="1"/>
  <c r="F12" i="20" s="1"/>
  <c r="E12" i="20" a="1"/>
  <c r="E12" i="20" s="1"/>
  <c r="D12" i="20" a="1"/>
  <c r="D12" i="20" s="1"/>
  <c r="H11" i="20" a="1"/>
  <c r="H11" i="20" s="1"/>
  <c r="G11" i="20"/>
  <c r="G11" i="20" a="1"/>
  <c r="F11" i="20" a="1"/>
  <c r="F11" i="20" s="1"/>
  <c r="E11" i="20" a="1"/>
  <c r="E11" i="20" s="1"/>
  <c r="D11" i="20" a="1"/>
  <c r="D11" i="20" s="1"/>
  <c r="H10" i="20" a="1"/>
  <c r="H10" i="20" s="1"/>
  <c r="G10" i="20" a="1"/>
  <c r="G10" i="20" s="1"/>
  <c r="F10" i="20" a="1"/>
  <c r="F10" i="20" s="1"/>
  <c r="E10" i="20"/>
  <c r="E10" i="20" a="1"/>
  <c r="D10" i="20" a="1"/>
  <c r="D10" i="20" s="1"/>
  <c r="H9" i="20" a="1"/>
  <c r="H9" i="20" s="1"/>
  <c r="G9" i="20" a="1"/>
  <c r="G9" i="20" s="1"/>
  <c r="F9" i="20" a="1"/>
  <c r="F9" i="20" s="1"/>
  <c r="E9" i="20" a="1"/>
  <c r="E9" i="20" s="1"/>
  <c r="D9" i="20" a="1"/>
  <c r="D9" i="20" s="1"/>
  <c r="H8" i="20" a="1"/>
  <c r="H8" i="20" s="1"/>
  <c r="G8" i="20" a="1"/>
  <c r="G8" i="20" s="1"/>
  <c r="F8" i="20" a="1"/>
  <c r="F8" i="20" s="1"/>
  <c r="E8" i="20" a="1"/>
  <c r="E8" i="20" s="1"/>
  <c r="D8" i="20" a="1"/>
  <c r="D8" i="20" s="1"/>
  <c r="H7" i="20" a="1"/>
  <c r="H7" i="20" s="1"/>
  <c r="G7" i="20" a="1"/>
  <c r="G7" i="20" s="1"/>
  <c r="F7" i="20"/>
  <c r="F7" i="20" a="1"/>
  <c r="E7" i="20" a="1"/>
  <c r="E7" i="20" s="1"/>
  <c r="D7" i="20" a="1"/>
  <c r="D7" i="20" s="1"/>
  <c r="H6" i="20" a="1"/>
  <c r="H6" i="20" s="1"/>
  <c r="G6" i="20" a="1"/>
  <c r="G6" i="20" s="1"/>
  <c r="F6" i="20" a="1"/>
  <c r="F6" i="20" s="1"/>
  <c r="E6" i="20" a="1"/>
  <c r="E6" i="20" s="1"/>
  <c r="D6" i="20" a="1"/>
  <c r="D6" i="20" s="1"/>
  <c r="H5" i="20" a="1"/>
  <c r="H5" i="20" s="1"/>
  <c r="G5" i="20" a="1"/>
  <c r="G5" i="20" s="1"/>
  <c r="F5" i="20"/>
  <c r="F5" i="20" a="1"/>
  <c r="E5" i="20"/>
  <c r="E5" i="20" a="1"/>
  <c r="D5" i="20" a="1"/>
  <c r="D5" i="20" s="1"/>
  <c r="H4" i="20" a="1"/>
  <c r="H4" i="20" s="1"/>
  <c r="G4" i="20"/>
  <c r="G4" i="20" a="1"/>
  <c r="F4" i="20" a="1"/>
  <c r="F4" i="20" s="1"/>
  <c r="E4" i="20" a="1"/>
  <c r="E4" i="20" s="1"/>
  <c r="D4" i="20" a="1"/>
  <c r="D4" i="20" s="1"/>
  <c r="H3" i="20" a="1"/>
  <c r="H3" i="20" s="1"/>
  <c r="G3" i="20" a="1"/>
  <c r="G3" i="20" s="1"/>
  <c r="F3" i="20" a="1"/>
  <c r="F3" i="20" s="1"/>
  <c r="E3" i="20"/>
  <c r="E3" i="20" a="1"/>
  <c r="D3" i="20" a="1"/>
  <c r="D3" i="20" s="1"/>
  <c r="B1" i="20"/>
  <c r="A1" i="20"/>
  <c r="C1" i="20"/>
  <c r="A3" i="20" s="1" a="1"/>
  <c r="B8" i="20" s="1"/>
  <c r="H1446" i="19" a="1"/>
  <c r="H1446" i="19" s="1"/>
  <c r="G1446" i="19" a="1"/>
  <c r="G1446" i="19" s="1"/>
  <c r="F1446" i="19" a="1"/>
  <c r="F1446" i="19" s="1"/>
  <c r="E1446" i="19" a="1"/>
  <c r="E1446" i="19" s="1"/>
  <c r="D1446" i="19"/>
  <c r="D1446" i="19" a="1"/>
  <c r="H1445" i="19" a="1"/>
  <c r="H1445" i="19" s="1"/>
  <c r="G1445" i="19" a="1"/>
  <c r="G1445" i="19" s="1"/>
  <c r="F1445" i="19" a="1"/>
  <c r="F1445" i="19" s="1"/>
  <c r="E1445" i="19" a="1"/>
  <c r="E1445" i="19" s="1"/>
  <c r="D1445" i="19" a="1"/>
  <c r="D1445" i="19" s="1"/>
  <c r="H1444" i="19" a="1"/>
  <c r="H1444" i="19" s="1"/>
  <c r="G1444" i="19" a="1"/>
  <c r="G1444" i="19" s="1"/>
  <c r="F1444" i="19" a="1"/>
  <c r="F1444" i="19" s="1"/>
  <c r="E1444" i="19"/>
  <c r="E1444" i="19" a="1"/>
  <c r="D1444" i="19" a="1"/>
  <c r="D1444" i="19" s="1"/>
  <c r="H1443" i="19" a="1"/>
  <c r="H1443" i="19" s="1"/>
  <c r="G1443" i="19"/>
  <c r="G1443" i="19" a="1"/>
  <c r="F1443" i="19"/>
  <c r="F1443" i="19" a="1"/>
  <c r="E1443" i="19" a="1"/>
  <c r="E1443" i="19" s="1"/>
  <c r="D1443" i="19" a="1"/>
  <c r="D1443" i="19" s="1"/>
  <c r="H1442" i="19" a="1"/>
  <c r="H1442" i="19" s="1"/>
  <c r="G1442" i="19" a="1"/>
  <c r="G1442" i="19" s="1"/>
  <c r="F1442" i="19" a="1"/>
  <c r="F1442" i="19" s="1"/>
  <c r="E1442" i="19" a="1"/>
  <c r="E1442" i="19" s="1"/>
  <c r="D1442" i="19" a="1"/>
  <c r="D1442" i="19" s="1"/>
  <c r="H1441" i="19" a="1"/>
  <c r="H1441" i="19" s="1"/>
  <c r="G1441" i="19"/>
  <c r="G1441" i="19" a="1"/>
  <c r="F1441" i="19" a="1"/>
  <c r="F1441" i="19" s="1"/>
  <c r="E1441" i="19" a="1"/>
  <c r="E1441" i="19" s="1"/>
  <c r="D1441" i="19"/>
  <c r="D1441" i="19" a="1"/>
  <c r="H1440" i="19" a="1"/>
  <c r="H1440" i="19" s="1"/>
  <c r="G1440" i="19" a="1"/>
  <c r="G1440" i="19" s="1"/>
  <c r="F1440" i="19"/>
  <c r="F1440" i="19" a="1"/>
  <c r="E1440" i="19" a="1"/>
  <c r="E1440" i="19" s="1"/>
  <c r="D1440" i="19" a="1"/>
  <c r="D1440" i="19" s="1"/>
  <c r="H1439" i="19" a="1"/>
  <c r="H1439" i="19" s="1"/>
  <c r="G1439" i="19" a="1"/>
  <c r="G1439" i="19" s="1"/>
  <c r="F1439" i="19"/>
  <c r="F1439" i="19" a="1"/>
  <c r="E1439" i="19" a="1"/>
  <c r="E1439" i="19" s="1"/>
  <c r="D1439" i="19"/>
  <c r="D1439" i="19" a="1"/>
  <c r="H1438" i="19" a="1"/>
  <c r="H1438" i="19" s="1"/>
  <c r="G1438" i="19" a="1"/>
  <c r="G1438" i="19" s="1"/>
  <c r="F1438" i="19" a="1"/>
  <c r="F1438" i="19" s="1"/>
  <c r="E1438" i="19" a="1"/>
  <c r="E1438" i="19" s="1"/>
  <c r="D1438" i="19" a="1"/>
  <c r="D1438" i="19" s="1"/>
  <c r="H1437" i="19" a="1"/>
  <c r="H1437" i="19" s="1"/>
  <c r="G1437" i="19" a="1"/>
  <c r="G1437" i="19" s="1"/>
  <c r="F1437" i="19" a="1"/>
  <c r="F1437" i="19" s="1"/>
  <c r="E1437" i="19" a="1"/>
  <c r="E1437" i="19" s="1"/>
  <c r="D1437" i="19"/>
  <c r="D1437" i="19" a="1"/>
  <c r="H1436" i="19" a="1"/>
  <c r="H1436" i="19" s="1"/>
  <c r="G1436" i="19" a="1"/>
  <c r="G1436" i="19" s="1"/>
  <c r="F1436" i="19"/>
  <c r="F1436" i="19" a="1"/>
  <c r="E1436" i="19"/>
  <c r="E1436" i="19" a="1"/>
  <c r="D1436" i="19" a="1"/>
  <c r="D1436" i="19" s="1"/>
  <c r="H1435" i="19" a="1"/>
  <c r="H1435" i="19" s="1"/>
  <c r="G1435" i="19" a="1"/>
  <c r="G1435" i="19" s="1"/>
  <c r="F1435" i="19" a="1"/>
  <c r="F1435" i="19" s="1"/>
  <c r="E1435" i="19" a="1"/>
  <c r="E1435" i="19" s="1"/>
  <c r="D1435" i="19" a="1"/>
  <c r="D1435" i="19" s="1"/>
  <c r="H1434" i="19" a="1"/>
  <c r="H1434" i="19" s="1"/>
  <c r="G1434" i="19" a="1"/>
  <c r="G1434" i="19" s="1"/>
  <c r="F1434" i="19" a="1"/>
  <c r="F1434" i="19" s="1"/>
  <c r="E1434" i="19"/>
  <c r="E1434" i="19" a="1"/>
  <c r="D1434" i="19" a="1"/>
  <c r="D1434" i="19" s="1"/>
  <c r="H1433" i="19" a="1"/>
  <c r="H1433" i="19" s="1"/>
  <c r="G1433" i="19" a="1"/>
  <c r="G1433" i="19" s="1"/>
  <c r="F1433" i="19" a="1"/>
  <c r="F1433" i="19" s="1"/>
  <c r="E1433" i="19" a="1"/>
  <c r="E1433" i="19" s="1"/>
  <c r="D1433" i="19" a="1"/>
  <c r="D1433" i="19" s="1"/>
  <c r="H1432" i="19" a="1"/>
  <c r="H1432" i="19" s="1"/>
  <c r="G1432" i="19"/>
  <c r="G1432" i="19" a="1"/>
  <c r="F1432" i="19" a="1"/>
  <c r="F1432" i="19" s="1"/>
  <c r="E1432" i="19"/>
  <c r="E1432" i="19" a="1"/>
  <c r="D1432" i="19" a="1"/>
  <c r="D1432" i="19" s="1"/>
  <c r="H1431" i="19" a="1"/>
  <c r="H1431" i="19" s="1"/>
  <c r="G1431" i="19"/>
  <c r="G1431" i="19" a="1"/>
  <c r="F1431" i="19" a="1"/>
  <c r="F1431" i="19" s="1"/>
  <c r="E1431" i="19" a="1"/>
  <c r="E1431" i="19" s="1"/>
  <c r="D1431" i="19" a="1"/>
  <c r="D1431" i="19" s="1"/>
  <c r="H1430" i="19" a="1"/>
  <c r="H1430" i="19" s="1"/>
  <c r="G1430" i="19" a="1"/>
  <c r="G1430" i="19" s="1"/>
  <c r="F1430" i="19" a="1"/>
  <c r="F1430" i="19" s="1"/>
  <c r="E1430" i="19" a="1"/>
  <c r="E1430" i="19" s="1"/>
  <c r="D1430" i="19" a="1"/>
  <c r="D1430" i="19" s="1"/>
  <c r="H1429" i="19" a="1"/>
  <c r="H1429" i="19" s="1"/>
  <c r="G1429" i="19" a="1"/>
  <c r="G1429" i="19" s="1"/>
  <c r="F1429" i="19" a="1"/>
  <c r="F1429" i="19" s="1"/>
  <c r="E1429" i="19" a="1"/>
  <c r="E1429" i="19" s="1"/>
  <c r="D1429" i="19"/>
  <c r="D1429" i="19" a="1"/>
  <c r="H1428" i="19" a="1"/>
  <c r="H1428" i="19" s="1"/>
  <c r="G1428" i="19" a="1"/>
  <c r="G1428" i="19" s="1"/>
  <c r="F1428" i="19" a="1"/>
  <c r="F1428" i="19" s="1"/>
  <c r="E1428" i="19"/>
  <c r="E1428" i="19" a="1"/>
  <c r="D1428" i="19" a="1"/>
  <c r="D1428" i="19" s="1"/>
  <c r="H1427" i="19" a="1"/>
  <c r="H1427" i="19" s="1"/>
  <c r="G1427" i="19" a="1"/>
  <c r="G1427" i="19" s="1"/>
  <c r="F1427" i="19" a="1"/>
  <c r="F1427" i="19" s="1"/>
  <c r="E1427" i="19"/>
  <c r="E1427" i="19" a="1"/>
  <c r="D1427" i="19" a="1"/>
  <c r="D1427" i="19" s="1"/>
  <c r="H1426" i="19" a="1"/>
  <c r="H1426" i="19" s="1"/>
  <c r="G1426" i="19" a="1"/>
  <c r="G1426" i="19" s="1"/>
  <c r="F1426" i="19" a="1"/>
  <c r="F1426" i="19" s="1"/>
  <c r="E1426" i="19" a="1"/>
  <c r="E1426" i="19" s="1"/>
  <c r="D1426" i="19" a="1"/>
  <c r="D1426" i="19" s="1"/>
  <c r="H1425" i="19" a="1"/>
  <c r="H1425" i="19" s="1"/>
  <c r="G1425" i="19" a="1"/>
  <c r="G1425" i="19" s="1"/>
  <c r="F1425" i="19" a="1"/>
  <c r="F1425" i="19" s="1"/>
  <c r="E1425" i="19" a="1"/>
  <c r="E1425" i="19" s="1"/>
  <c r="D1425" i="19"/>
  <c r="D1425" i="19" a="1"/>
  <c r="H1424" i="19" a="1"/>
  <c r="H1424" i="19" s="1"/>
  <c r="G1424" i="19"/>
  <c r="G1424" i="19" a="1"/>
  <c r="F1424" i="19" a="1"/>
  <c r="F1424" i="19" s="1"/>
  <c r="E1424" i="19" a="1"/>
  <c r="E1424" i="19" s="1"/>
  <c r="D1424" i="19" a="1"/>
  <c r="D1424" i="19" s="1"/>
  <c r="H1423" i="19" a="1"/>
  <c r="H1423" i="19" s="1"/>
  <c r="G1423" i="19" a="1"/>
  <c r="G1423" i="19" s="1"/>
  <c r="F1423" i="19" a="1"/>
  <c r="F1423" i="19" s="1"/>
  <c r="E1423" i="19" a="1"/>
  <c r="E1423" i="19" s="1"/>
  <c r="D1423" i="19" a="1"/>
  <c r="D1423" i="19" s="1"/>
  <c r="H1422" i="19" a="1"/>
  <c r="H1422" i="19" s="1"/>
  <c r="G1422" i="19" a="1"/>
  <c r="G1422" i="19" s="1"/>
  <c r="F1422" i="19"/>
  <c r="F1422" i="19" a="1"/>
  <c r="E1422" i="19"/>
  <c r="E1422" i="19" a="1"/>
  <c r="D1422" i="19"/>
  <c r="D1422" i="19" a="1"/>
  <c r="H1421" i="19" a="1"/>
  <c r="H1421" i="19" s="1"/>
  <c r="G1421" i="19" a="1"/>
  <c r="G1421" i="19" s="1"/>
  <c r="F1421" i="19" a="1"/>
  <c r="F1421" i="19" s="1"/>
  <c r="E1421" i="19" a="1"/>
  <c r="E1421" i="19" s="1"/>
  <c r="D1421" i="19" a="1"/>
  <c r="D1421" i="19" s="1"/>
  <c r="H1420" i="19" a="1"/>
  <c r="H1420" i="19" s="1"/>
  <c r="G1420" i="19" a="1"/>
  <c r="G1420" i="19" s="1"/>
  <c r="F1420" i="19" a="1"/>
  <c r="F1420" i="19" s="1"/>
  <c r="E1420" i="19" a="1"/>
  <c r="E1420" i="19" s="1"/>
  <c r="D1420" i="19" a="1"/>
  <c r="D1420" i="19" s="1"/>
  <c r="H1419" i="19" a="1"/>
  <c r="H1419" i="19" s="1"/>
  <c r="G1419" i="19" a="1"/>
  <c r="G1419" i="19" s="1"/>
  <c r="F1419" i="19"/>
  <c r="F1419" i="19" a="1"/>
  <c r="E1419" i="19" a="1"/>
  <c r="E1419" i="19" s="1"/>
  <c r="D1419" i="19" a="1"/>
  <c r="D1419" i="19" s="1"/>
  <c r="H1418" i="19" a="1"/>
  <c r="H1418" i="19" s="1"/>
  <c r="G1418" i="19" a="1"/>
  <c r="G1418" i="19" s="1"/>
  <c r="F1418" i="19" a="1"/>
  <c r="F1418" i="19" s="1"/>
  <c r="E1418" i="19" a="1"/>
  <c r="E1418" i="19" s="1"/>
  <c r="D1418" i="19" a="1"/>
  <c r="D1418" i="19" s="1"/>
  <c r="H1417" i="19" a="1"/>
  <c r="H1417" i="19" s="1"/>
  <c r="G1417" i="19" a="1"/>
  <c r="G1417" i="19" s="1"/>
  <c r="F1417" i="19"/>
  <c r="F1417" i="19" a="1"/>
  <c r="E1417" i="19"/>
  <c r="E1417" i="19" a="1"/>
  <c r="D1417" i="19"/>
  <c r="D1417" i="19" a="1"/>
  <c r="H1416" i="19" a="1"/>
  <c r="H1416" i="19" s="1"/>
  <c r="G1416" i="19" a="1"/>
  <c r="G1416" i="19" s="1"/>
  <c r="F1416" i="19" a="1"/>
  <c r="F1416" i="19" s="1"/>
  <c r="E1416" i="19" a="1"/>
  <c r="E1416" i="19" s="1"/>
  <c r="D1416" i="19"/>
  <c r="D1416" i="19" a="1"/>
  <c r="H1415" i="19" a="1"/>
  <c r="H1415" i="19" s="1"/>
  <c r="G1415" i="19" a="1"/>
  <c r="G1415" i="19" s="1"/>
  <c r="F1415" i="19"/>
  <c r="F1415" i="19" a="1"/>
  <c r="E1415" i="19"/>
  <c r="E1415" i="19" a="1"/>
  <c r="D1415" i="19" a="1"/>
  <c r="D1415" i="19" s="1"/>
  <c r="H1414" i="19" a="1"/>
  <c r="H1414" i="19" s="1"/>
  <c r="G1414" i="19"/>
  <c r="G1414" i="19" a="1"/>
  <c r="F1414" i="19" a="1"/>
  <c r="F1414" i="19" s="1"/>
  <c r="E1414" i="19" a="1"/>
  <c r="E1414" i="19" s="1"/>
  <c r="D1414" i="19" a="1"/>
  <c r="D1414" i="19" s="1"/>
  <c r="H1413" i="19" a="1"/>
  <c r="H1413" i="19" s="1"/>
  <c r="G1413" i="19" a="1"/>
  <c r="G1413" i="19" s="1"/>
  <c r="F1413" i="19" a="1"/>
  <c r="F1413" i="19" s="1"/>
  <c r="E1413" i="19" a="1"/>
  <c r="E1413" i="19" s="1"/>
  <c r="D1413" i="19"/>
  <c r="D1413" i="19" a="1"/>
  <c r="H1412" i="19" a="1"/>
  <c r="H1412" i="19" s="1"/>
  <c r="G1412" i="19"/>
  <c r="G1412" i="19" a="1"/>
  <c r="F1412" i="19" a="1"/>
  <c r="F1412" i="19" s="1"/>
  <c r="E1412" i="19" a="1"/>
  <c r="E1412" i="19" s="1"/>
  <c r="D1412" i="19" a="1"/>
  <c r="D1412" i="19" s="1"/>
  <c r="H1411" i="19" a="1"/>
  <c r="H1411" i="19" s="1"/>
  <c r="G1411" i="19"/>
  <c r="G1411" i="19" a="1"/>
  <c r="F1411" i="19" a="1"/>
  <c r="F1411" i="19" s="1"/>
  <c r="E1411" i="19" a="1"/>
  <c r="E1411" i="19" s="1"/>
  <c r="D1411" i="19" a="1"/>
  <c r="D1411" i="19" s="1"/>
  <c r="H1410" i="19" a="1"/>
  <c r="H1410" i="19" s="1"/>
  <c r="G1410" i="19"/>
  <c r="G1410" i="19" a="1"/>
  <c r="F1410" i="19" a="1"/>
  <c r="F1410" i="19" s="1"/>
  <c r="E1410" i="19"/>
  <c r="E1410" i="19" a="1"/>
  <c r="D1410" i="19"/>
  <c r="D1410" i="19" a="1"/>
  <c r="H1409" i="19" a="1"/>
  <c r="H1409" i="19" s="1"/>
  <c r="G1409" i="19" a="1"/>
  <c r="G1409" i="19" s="1"/>
  <c r="F1409" i="19" a="1"/>
  <c r="F1409" i="19" s="1"/>
  <c r="E1409" i="19" a="1"/>
  <c r="E1409" i="19" s="1"/>
  <c r="D1409" i="19" a="1"/>
  <c r="D1409" i="19" s="1"/>
  <c r="H1408" i="19" a="1"/>
  <c r="H1408" i="19" s="1"/>
  <c r="G1408" i="19" a="1"/>
  <c r="G1408" i="19" s="1"/>
  <c r="F1408" i="19" a="1"/>
  <c r="F1408" i="19" s="1"/>
  <c r="E1408" i="19" a="1"/>
  <c r="E1408" i="19" s="1"/>
  <c r="D1408" i="19"/>
  <c r="D1408" i="19" a="1"/>
  <c r="H1407" i="19" a="1"/>
  <c r="H1407" i="19" s="1"/>
  <c r="G1407" i="19"/>
  <c r="G1407" i="19" a="1"/>
  <c r="F1407" i="19"/>
  <c r="F1407" i="19" a="1"/>
  <c r="E1407" i="19" a="1"/>
  <c r="E1407" i="19" s="1"/>
  <c r="D1407" i="19"/>
  <c r="D1407" i="19" a="1"/>
  <c r="H1406" i="19" a="1"/>
  <c r="H1406" i="19" s="1"/>
  <c r="G1406" i="19" a="1"/>
  <c r="G1406" i="19" s="1"/>
  <c r="F1406" i="19"/>
  <c r="F1406" i="19" a="1"/>
  <c r="E1406" i="19" a="1"/>
  <c r="E1406" i="19" s="1"/>
  <c r="D1406" i="19" a="1"/>
  <c r="D1406" i="19" s="1"/>
  <c r="H1405" i="19" a="1"/>
  <c r="H1405" i="19" s="1"/>
  <c r="G1405" i="19" a="1"/>
  <c r="G1405" i="19" s="1"/>
  <c r="F1405" i="19"/>
  <c r="F1405" i="19" a="1"/>
  <c r="E1405" i="19"/>
  <c r="E1405" i="19" a="1"/>
  <c r="D1405" i="19"/>
  <c r="D1405" i="19" a="1"/>
  <c r="H1404" i="19" a="1"/>
  <c r="H1404" i="19" s="1"/>
  <c r="G1404" i="19" a="1"/>
  <c r="G1404" i="19" s="1"/>
  <c r="F1404" i="19" a="1"/>
  <c r="F1404" i="19" s="1"/>
  <c r="E1404" i="19" a="1"/>
  <c r="E1404" i="19" s="1"/>
  <c r="D1404" i="19" a="1"/>
  <c r="D1404" i="19" s="1"/>
  <c r="H1403" i="19" a="1"/>
  <c r="H1403" i="19" s="1"/>
  <c r="G1403" i="19" a="1"/>
  <c r="G1403" i="19" s="1"/>
  <c r="F1403" i="19"/>
  <c r="F1403" i="19" a="1"/>
  <c r="E1403" i="19" a="1"/>
  <c r="E1403" i="19" s="1"/>
  <c r="D1403" i="19"/>
  <c r="D1403" i="19" a="1"/>
  <c r="H1402" i="19" a="1"/>
  <c r="H1402" i="19" s="1"/>
  <c r="G1402" i="19"/>
  <c r="G1402" i="19" a="1"/>
  <c r="F1402" i="19" a="1"/>
  <c r="F1402" i="19" s="1"/>
  <c r="E1402" i="19" a="1"/>
  <c r="E1402" i="19" s="1"/>
  <c r="D1402" i="19" a="1"/>
  <c r="D1402" i="19" s="1"/>
  <c r="H1401" i="19" a="1"/>
  <c r="H1401" i="19" s="1"/>
  <c r="G1401" i="19"/>
  <c r="G1401" i="19" a="1"/>
  <c r="F1401" i="19" a="1"/>
  <c r="F1401" i="19" s="1"/>
  <c r="E1401" i="19" a="1"/>
  <c r="E1401" i="19" s="1"/>
  <c r="D1401" i="19"/>
  <c r="D1401" i="19" a="1"/>
  <c r="H1400" i="19" a="1"/>
  <c r="H1400" i="19" s="1"/>
  <c r="G1400" i="19" a="1"/>
  <c r="G1400" i="19" s="1"/>
  <c r="F1400" i="19" a="1"/>
  <c r="F1400" i="19" s="1"/>
  <c r="E1400" i="19"/>
  <c r="E1400" i="19" a="1"/>
  <c r="D1400" i="19" a="1"/>
  <c r="D1400" i="19" s="1"/>
  <c r="H1399" i="19" a="1"/>
  <c r="H1399" i="19" s="1"/>
  <c r="G1399" i="19" a="1"/>
  <c r="G1399" i="19" s="1"/>
  <c r="F1399" i="19" a="1"/>
  <c r="F1399" i="19" s="1"/>
  <c r="E1399" i="19" a="1"/>
  <c r="E1399" i="19" s="1"/>
  <c r="D1399" i="19"/>
  <c r="D1399" i="19" a="1"/>
  <c r="H1398" i="19" a="1"/>
  <c r="H1398" i="19" s="1"/>
  <c r="G1398" i="19"/>
  <c r="G1398" i="19" a="1"/>
  <c r="F1398" i="19"/>
  <c r="F1398" i="19" a="1"/>
  <c r="E1398" i="19"/>
  <c r="E1398" i="19" a="1"/>
  <c r="D1398" i="19" a="1"/>
  <c r="D1398" i="19" s="1"/>
  <c r="H1397" i="19" a="1"/>
  <c r="H1397" i="19" s="1"/>
  <c r="G1397" i="19" a="1"/>
  <c r="G1397" i="19" s="1"/>
  <c r="F1397" i="19" a="1"/>
  <c r="F1397" i="19" s="1"/>
  <c r="E1397" i="19" a="1"/>
  <c r="E1397" i="19" s="1"/>
  <c r="D1397" i="19" a="1"/>
  <c r="D1397" i="19" s="1"/>
  <c r="H1396" i="19" a="1"/>
  <c r="H1396" i="19" s="1"/>
  <c r="G1396" i="19" a="1"/>
  <c r="G1396" i="19" s="1"/>
  <c r="F1396" i="19" a="1"/>
  <c r="F1396" i="19" s="1"/>
  <c r="E1396" i="19"/>
  <c r="E1396" i="19" a="1"/>
  <c r="D1396" i="19" a="1"/>
  <c r="D1396" i="19" s="1"/>
  <c r="H1395" i="19" a="1"/>
  <c r="H1395" i="19" s="1"/>
  <c r="G1395" i="19"/>
  <c r="G1395" i="19" a="1"/>
  <c r="F1395" i="19" a="1"/>
  <c r="F1395" i="19" s="1"/>
  <c r="E1395" i="19" a="1"/>
  <c r="E1395" i="19" s="1"/>
  <c r="D1395" i="19"/>
  <c r="D1395" i="19" a="1"/>
  <c r="H1394" i="19" a="1"/>
  <c r="H1394" i="19" s="1"/>
  <c r="G1394" i="19" a="1"/>
  <c r="G1394" i="19" s="1"/>
  <c r="F1394" i="19" a="1"/>
  <c r="F1394" i="19" s="1"/>
  <c r="E1394" i="19" a="1"/>
  <c r="E1394" i="19" s="1"/>
  <c r="D1394" i="19" a="1"/>
  <c r="D1394" i="19" s="1"/>
  <c r="H1393" i="19" a="1"/>
  <c r="H1393" i="19" s="1"/>
  <c r="G1393" i="19"/>
  <c r="G1393" i="19" a="1"/>
  <c r="F1393" i="19"/>
  <c r="F1393" i="19" a="1"/>
  <c r="E1393" i="19"/>
  <c r="E1393" i="19" a="1"/>
  <c r="D1393" i="19"/>
  <c r="D1393" i="19" a="1"/>
  <c r="H1392" i="19" a="1"/>
  <c r="H1392" i="19" s="1"/>
  <c r="G1392" i="19" a="1"/>
  <c r="G1392" i="19" s="1"/>
  <c r="F1392" i="19"/>
  <c r="F1392" i="19" a="1"/>
  <c r="E1392" i="19" a="1"/>
  <c r="E1392" i="19" s="1"/>
  <c r="D1392" i="19" a="1"/>
  <c r="D1392" i="19" s="1"/>
  <c r="H1391" i="19" a="1"/>
  <c r="H1391" i="19" s="1"/>
  <c r="G1391" i="19" a="1"/>
  <c r="G1391" i="19" s="1"/>
  <c r="F1391" i="19" a="1"/>
  <c r="F1391" i="19" s="1"/>
  <c r="E1391" i="19"/>
  <c r="E1391" i="19" a="1"/>
  <c r="D1391" i="19"/>
  <c r="D1391" i="19" a="1"/>
  <c r="H1390" i="19" a="1"/>
  <c r="H1390" i="19" s="1"/>
  <c r="G1390" i="19"/>
  <c r="G1390" i="19" a="1"/>
  <c r="F1390" i="19" a="1"/>
  <c r="F1390" i="19" s="1"/>
  <c r="E1390" i="19"/>
  <c r="E1390" i="19" a="1"/>
  <c r="D1390" i="19" a="1"/>
  <c r="D1390" i="19" s="1"/>
  <c r="H1389" i="19" a="1"/>
  <c r="H1389" i="19" s="1"/>
  <c r="G1389" i="19" a="1"/>
  <c r="G1389" i="19" s="1"/>
  <c r="F1389" i="19"/>
  <c r="F1389" i="19" a="1"/>
  <c r="E1389" i="19" a="1"/>
  <c r="E1389" i="19" s="1"/>
  <c r="D1389" i="19"/>
  <c r="D1389" i="19" a="1"/>
  <c r="H1388" i="19" a="1"/>
  <c r="H1388" i="19" s="1"/>
  <c r="G1388" i="19"/>
  <c r="G1388" i="19" a="1"/>
  <c r="F1388" i="19"/>
  <c r="F1388" i="19" a="1"/>
  <c r="E1388" i="19"/>
  <c r="E1388" i="19" a="1"/>
  <c r="D1388" i="19" a="1"/>
  <c r="D1388" i="19" s="1"/>
  <c r="H1387" i="19" a="1"/>
  <c r="H1387" i="19" s="1"/>
  <c r="G1387" i="19" a="1"/>
  <c r="G1387" i="19" s="1"/>
  <c r="F1387" i="19" a="1"/>
  <c r="F1387" i="19" s="1"/>
  <c r="E1387" i="19" a="1"/>
  <c r="E1387" i="19" s="1"/>
  <c r="D1387" i="19" a="1"/>
  <c r="D1387" i="19" s="1"/>
  <c r="H1386" i="19" a="1"/>
  <c r="H1386" i="19" s="1"/>
  <c r="G1386" i="19"/>
  <c r="G1386" i="19" a="1"/>
  <c r="F1386" i="19"/>
  <c r="F1386" i="19" a="1"/>
  <c r="E1386" i="19" a="1"/>
  <c r="E1386" i="19" s="1"/>
  <c r="D1386" i="19" a="1"/>
  <c r="D1386" i="19" s="1"/>
  <c r="H1385" i="19" a="1"/>
  <c r="H1385" i="19" s="1"/>
  <c r="G1385" i="19" a="1"/>
  <c r="G1385" i="19" s="1"/>
  <c r="F1385" i="19"/>
  <c r="F1385" i="19" a="1"/>
  <c r="E1385" i="19"/>
  <c r="E1385" i="19" a="1"/>
  <c r="D1385" i="19" a="1"/>
  <c r="D1385" i="19" s="1"/>
  <c r="H1384" i="19" a="1"/>
  <c r="H1384" i="19" s="1"/>
  <c r="G1384" i="19" a="1"/>
  <c r="G1384" i="19" s="1"/>
  <c r="F1384" i="19" a="1"/>
  <c r="F1384" i="19" s="1"/>
  <c r="E1384" i="19" a="1"/>
  <c r="E1384" i="19" s="1"/>
  <c r="D1384" i="19"/>
  <c r="D1384" i="19" a="1"/>
  <c r="H1383" i="19" a="1"/>
  <c r="H1383" i="19" s="1"/>
  <c r="G1383" i="19" a="1"/>
  <c r="G1383" i="19" s="1"/>
  <c r="F1383" i="19"/>
  <c r="F1383" i="19" a="1"/>
  <c r="E1383" i="19" a="1"/>
  <c r="E1383" i="19" s="1"/>
  <c r="D1383" i="19" a="1"/>
  <c r="D1383" i="19" s="1"/>
  <c r="H1382" i="19" a="1"/>
  <c r="H1382" i="19" s="1"/>
  <c r="G1382" i="19" a="1"/>
  <c r="G1382" i="19" s="1"/>
  <c r="F1382" i="19" a="1"/>
  <c r="F1382" i="19" s="1"/>
  <c r="E1382" i="19" a="1"/>
  <c r="E1382" i="19" s="1"/>
  <c r="D1382" i="19" a="1"/>
  <c r="D1382" i="19" s="1"/>
  <c r="H1381" i="19" a="1"/>
  <c r="H1381" i="19" s="1"/>
  <c r="G1381" i="19" a="1"/>
  <c r="G1381" i="19" s="1"/>
  <c r="F1381" i="19"/>
  <c r="F1381" i="19" a="1"/>
  <c r="E1381" i="19"/>
  <c r="E1381" i="19" a="1"/>
  <c r="D1381" i="19" a="1"/>
  <c r="D1381" i="19" s="1"/>
  <c r="H1380" i="19" a="1"/>
  <c r="H1380" i="19" s="1"/>
  <c r="G1380" i="19" a="1"/>
  <c r="G1380" i="19" s="1"/>
  <c r="F1380" i="19" a="1"/>
  <c r="F1380" i="19" s="1"/>
  <c r="E1380" i="19"/>
  <c r="E1380" i="19" a="1"/>
  <c r="D1380" i="19" a="1"/>
  <c r="D1380" i="19" s="1"/>
  <c r="H1379" i="19" a="1"/>
  <c r="H1379" i="19" s="1"/>
  <c r="G1379" i="19" a="1"/>
  <c r="G1379" i="19" s="1"/>
  <c r="F1379" i="19"/>
  <c r="F1379" i="19" a="1"/>
  <c r="E1379" i="19"/>
  <c r="E1379" i="19" a="1"/>
  <c r="D1379" i="19"/>
  <c r="D1379" i="19" a="1"/>
  <c r="H1378" i="19" a="1"/>
  <c r="H1378" i="19" s="1"/>
  <c r="G1378" i="19" a="1"/>
  <c r="G1378" i="19" s="1"/>
  <c r="F1378" i="19" a="1"/>
  <c r="F1378" i="19" s="1"/>
  <c r="E1378" i="19" a="1"/>
  <c r="E1378" i="19" s="1"/>
  <c r="D1378" i="19"/>
  <c r="D1378" i="19" a="1"/>
  <c r="H1377" i="19" a="1"/>
  <c r="H1377" i="19" s="1"/>
  <c r="G1377" i="19" a="1"/>
  <c r="G1377" i="19" s="1"/>
  <c r="F1377" i="19" a="1"/>
  <c r="F1377" i="19" s="1"/>
  <c r="E1377" i="19" a="1"/>
  <c r="E1377" i="19" s="1"/>
  <c r="D1377" i="19" a="1"/>
  <c r="D1377" i="19" s="1"/>
  <c r="H1376" i="19" a="1"/>
  <c r="H1376" i="19" s="1"/>
  <c r="G1376" i="19"/>
  <c r="G1376" i="19" a="1"/>
  <c r="F1376" i="19" a="1"/>
  <c r="F1376" i="19" s="1"/>
  <c r="E1376" i="19"/>
  <c r="E1376" i="19" a="1"/>
  <c r="D1376" i="19" a="1"/>
  <c r="D1376" i="19" s="1"/>
  <c r="H1375" i="19" a="1"/>
  <c r="H1375" i="19" s="1"/>
  <c r="G1375" i="19" a="1"/>
  <c r="G1375" i="19" s="1"/>
  <c r="F1375" i="19" a="1"/>
  <c r="F1375" i="19" s="1"/>
  <c r="E1375" i="19" a="1"/>
  <c r="E1375" i="19" s="1"/>
  <c r="D1375" i="19" a="1"/>
  <c r="D1375" i="19" s="1"/>
  <c r="H1374" i="19" a="1"/>
  <c r="H1374" i="19" s="1"/>
  <c r="G1374" i="19" a="1"/>
  <c r="G1374" i="19" s="1"/>
  <c r="F1374" i="19" a="1"/>
  <c r="F1374" i="19" s="1"/>
  <c r="E1374" i="19"/>
  <c r="E1374" i="19" a="1"/>
  <c r="D1374" i="19"/>
  <c r="D1374" i="19" a="1"/>
  <c r="H1373" i="19" a="1"/>
  <c r="H1373" i="19" s="1"/>
  <c r="G1373" i="19" a="1"/>
  <c r="G1373" i="19" s="1"/>
  <c r="F1373" i="19" a="1"/>
  <c r="F1373" i="19" s="1"/>
  <c r="E1373" i="19"/>
  <c r="E1373" i="19" a="1"/>
  <c r="D1373" i="19"/>
  <c r="D1373" i="19" a="1"/>
  <c r="H1372" i="19" a="1"/>
  <c r="H1372" i="19" s="1"/>
  <c r="G1372" i="19" a="1"/>
  <c r="G1372" i="19" s="1"/>
  <c r="F1372" i="19" a="1"/>
  <c r="F1372" i="19" s="1"/>
  <c r="E1372" i="19"/>
  <c r="E1372" i="19" a="1"/>
  <c r="D1372" i="19" a="1"/>
  <c r="D1372" i="19" s="1"/>
  <c r="H1371" i="19" a="1"/>
  <c r="H1371" i="19" s="1"/>
  <c r="G1371" i="19"/>
  <c r="G1371" i="19" a="1"/>
  <c r="F1371" i="19"/>
  <c r="F1371" i="19" a="1"/>
  <c r="E1371" i="19" a="1"/>
  <c r="E1371" i="19" s="1"/>
  <c r="D1371" i="19"/>
  <c r="D1371" i="19" a="1"/>
  <c r="H1370" i="19" a="1"/>
  <c r="H1370" i="19" s="1"/>
  <c r="G1370" i="19" a="1"/>
  <c r="G1370" i="19" s="1"/>
  <c r="F1370" i="19" a="1"/>
  <c r="F1370" i="19" s="1"/>
  <c r="E1370" i="19"/>
  <c r="E1370" i="19" a="1"/>
  <c r="D1370" i="19" a="1"/>
  <c r="D1370" i="19" s="1"/>
  <c r="H1369" i="19" a="1"/>
  <c r="H1369" i="19" s="1"/>
  <c r="G1369" i="19"/>
  <c r="G1369" i="19" a="1"/>
  <c r="F1369" i="19" a="1"/>
  <c r="F1369" i="19" s="1"/>
  <c r="E1369" i="19" a="1"/>
  <c r="E1369" i="19" s="1"/>
  <c r="D1369" i="19" a="1"/>
  <c r="D1369" i="19" s="1"/>
  <c r="H1368" i="19" a="1"/>
  <c r="H1368" i="19" s="1"/>
  <c r="G1368" i="19" a="1"/>
  <c r="G1368" i="19" s="1"/>
  <c r="F1368" i="19"/>
  <c r="F1368" i="19" a="1"/>
  <c r="E1368" i="19" a="1"/>
  <c r="E1368" i="19" s="1"/>
  <c r="D1368" i="19" a="1"/>
  <c r="D1368" i="19" s="1"/>
  <c r="H1367" i="19" a="1"/>
  <c r="H1367" i="19" s="1"/>
  <c r="G1367" i="19" a="1"/>
  <c r="G1367" i="19" s="1"/>
  <c r="F1367" i="19"/>
  <c r="F1367" i="19" a="1"/>
  <c r="E1367" i="19"/>
  <c r="E1367" i="19" a="1"/>
  <c r="D1367" i="19"/>
  <c r="D1367" i="19" a="1"/>
  <c r="H1366" i="19" a="1"/>
  <c r="H1366" i="19" s="1"/>
  <c r="G1366" i="19" a="1"/>
  <c r="G1366" i="19" s="1"/>
  <c r="F1366" i="19" a="1"/>
  <c r="F1366" i="19" s="1"/>
  <c r="E1366" i="19"/>
  <c r="E1366" i="19" a="1"/>
  <c r="D1366" i="19" a="1"/>
  <c r="D1366" i="19" s="1"/>
  <c r="H1365" i="19" a="1"/>
  <c r="H1365" i="19" s="1"/>
  <c r="G1365" i="19" a="1"/>
  <c r="G1365" i="19" s="1"/>
  <c r="F1365" i="19" a="1"/>
  <c r="F1365" i="19" s="1"/>
  <c r="E1365" i="19" a="1"/>
  <c r="E1365" i="19" s="1"/>
  <c r="D1365" i="19" a="1"/>
  <c r="D1365" i="19" s="1"/>
  <c r="H1364" i="19" a="1"/>
  <c r="H1364" i="19" s="1"/>
  <c r="G1364" i="19"/>
  <c r="G1364" i="19" a="1"/>
  <c r="F1364" i="19"/>
  <c r="F1364" i="19" a="1"/>
  <c r="E1364" i="19"/>
  <c r="E1364" i="19" a="1"/>
  <c r="D1364" i="19" a="1"/>
  <c r="D1364" i="19" s="1"/>
  <c r="H1363" i="19" a="1"/>
  <c r="H1363" i="19" s="1"/>
  <c r="G1363" i="19"/>
  <c r="G1363" i="19" a="1"/>
  <c r="F1363" i="19" a="1"/>
  <c r="F1363" i="19" s="1"/>
  <c r="E1363" i="19" a="1"/>
  <c r="E1363" i="19" s="1"/>
  <c r="D1363" i="19" a="1"/>
  <c r="D1363" i="19" s="1"/>
  <c r="H1362" i="19" a="1"/>
  <c r="H1362" i="19" s="1"/>
  <c r="G1362" i="19" a="1"/>
  <c r="G1362" i="19" s="1"/>
  <c r="F1362" i="19"/>
  <c r="F1362" i="19" a="1"/>
  <c r="E1362" i="19"/>
  <c r="E1362" i="19" a="1"/>
  <c r="D1362" i="19" a="1"/>
  <c r="D1362" i="19" s="1"/>
  <c r="H1361" i="19" a="1"/>
  <c r="H1361" i="19" s="1"/>
  <c r="G1361" i="19" a="1"/>
  <c r="G1361" i="19" s="1"/>
  <c r="F1361" i="19"/>
  <c r="F1361" i="19" a="1"/>
  <c r="E1361" i="19" a="1"/>
  <c r="E1361" i="19" s="1"/>
  <c r="D1361" i="19"/>
  <c r="D1361" i="19" a="1"/>
  <c r="H1360" i="19" a="1"/>
  <c r="H1360" i="19" s="1"/>
  <c r="G1360" i="19" a="1"/>
  <c r="G1360" i="19" s="1"/>
  <c r="F1360" i="19" a="1"/>
  <c r="F1360" i="19" s="1"/>
  <c r="E1360" i="19"/>
  <c r="E1360" i="19" a="1"/>
  <c r="D1360" i="19" a="1"/>
  <c r="D1360" i="19" s="1"/>
  <c r="H1359" i="19" a="1"/>
  <c r="H1359" i="19" s="1"/>
  <c r="G1359" i="19"/>
  <c r="G1359" i="19" a="1"/>
  <c r="F1359" i="19"/>
  <c r="F1359" i="19" a="1"/>
  <c r="E1359" i="19" a="1"/>
  <c r="E1359" i="19" s="1"/>
  <c r="D1359" i="19" a="1"/>
  <c r="D1359" i="19" s="1"/>
  <c r="H1358" i="19" a="1"/>
  <c r="H1358" i="19" s="1"/>
  <c r="G1358" i="19" a="1"/>
  <c r="G1358" i="19" s="1"/>
  <c r="F1358" i="19"/>
  <c r="F1358" i="19" a="1"/>
  <c r="E1358" i="19" a="1"/>
  <c r="E1358" i="19" s="1"/>
  <c r="D1358" i="19" a="1"/>
  <c r="D1358" i="19" s="1"/>
  <c r="H1357" i="19" a="1"/>
  <c r="H1357" i="19" s="1"/>
  <c r="G1357" i="19"/>
  <c r="G1357" i="19" a="1"/>
  <c r="F1357" i="19" a="1"/>
  <c r="F1357" i="19" s="1"/>
  <c r="E1357" i="19"/>
  <c r="E1357" i="19" a="1"/>
  <c r="D1357" i="19"/>
  <c r="D1357" i="19" a="1"/>
  <c r="H1356" i="19" a="1"/>
  <c r="H1356" i="19" s="1"/>
  <c r="G1356" i="19"/>
  <c r="G1356" i="19" a="1"/>
  <c r="F1356" i="19" a="1"/>
  <c r="F1356" i="19" s="1"/>
  <c r="E1356" i="19" a="1"/>
  <c r="E1356" i="19" s="1"/>
  <c r="D1356" i="19" a="1"/>
  <c r="D1356" i="19" s="1"/>
  <c r="H1355" i="19" a="1"/>
  <c r="H1355" i="19" s="1"/>
  <c r="G1355" i="19" a="1"/>
  <c r="G1355" i="19" s="1"/>
  <c r="F1355" i="19"/>
  <c r="F1355" i="19" a="1"/>
  <c r="E1355" i="19"/>
  <c r="E1355" i="19" a="1"/>
  <c r="D1355" i="19" a="1"/>
  <c r="D1355" i="19" s="1"/>
  <c r="H1354" i="19" a="1"/>
  <c r="H1354" i="19" s="1"/>
  <c r="G1354" i="19"/>
  <c r="G1354" i="19" a="1"/>
  <c r="F1354" i="19" a="1"/>
  <c r="F1354" i="19" s="1"/>
  <c r="E1354" i="19" a="1"/>
  <c r="E1354" i="19" s="1"/>
  <c r="D1354" i="19"/>
  <c r="D1354" i="19" a="1"/>
  <c r="H1353" i="19" a="1"/>
  <c r="H1353" i="19" s="1"/>
  <c r="G1353" i="19" a="1"/>
  <c r="G1353" i="19" s="1"/>
  <c r="F1353" i="19" a="1"/>
  <c r="F1353" i="19" s="1"/>
  <c r="E1353" i="19" a="1"/>
  <c r="E1353" i="19" s="1"/>
  <c r="D1353" i="19"/>
  <c r="D1353" i="19" a="1"/>
  <c r="H1352" i="19" a="1"/>
  <c r="H1352" i="19" s="1"/>
  <c r="G1352" i="19"/>
  <c r="G1352" i="19" a="1"/>
  <c r="F1352" i="19"/>
  <c r="F1352" i="19" a="1"/>
  <c r="E1352" i="19" a="1"/>
  <c r="E1352" i="19" s="1"/>
  <c r="D1352" i="19" a="1"/>
  <c r="D1352" i="19" s="1"/>
  <c r="H1351" i="19" a="1"/>
  <c r="H1351" i="19" s="1"/>
  <c r="G1351" i="19" a="1"/>
  <c r="G1351" i="19" s="1"/>
  <c r="F1351" i="19"/>
  <c r="F1351" i="19" a="1"/>
  <c r="E1351" i="19" a="1"/>
  <c r="E1351" i="19" s="1"/>
  <c r="D1351" i="19" a="1"/>
  <c r="D1351" i="19" s="1"/>
  <c r="H1350" i="19" a="1"/>
  <c r="H1350" i="19" s="1"/>
  <c r="G1350" i="19" a="1"/>
  <c r="G1350" i="19" s="1"/>
  <c r="F1350" i="19"/>
  <c r="F1350" i="19" a="1"/>
  <c r="E1350" i="19"/>
  <c r="E1350" i="19" a="1"/>
  <c r="D1350" i="19"/>
  <c r="D1350" i="19" a="1"/>
  <c r="H1349" i="19" a="1"/>
  <c r="H1349" i="19" s="1"/>
  <c r="G1349" i="19" a="1"/>
  <c r="G1349" i="19" s="1"/>
  <c r="F1349" i="19"/>
  <c r="F1349" i="19" a="1"/>
  <c r="E1349" i="19" a="1"/>
  <c r="E1349" i="19" s="1"/>
  <c r="D1349" i="19" a="1"/>
  <c r="D1349" i="19" s="1"/>
  <c r="H1348" i="19" a="1"/>
  <c r="H1348" i="19" s="1"/>
  <c r="G1348" i="19" a="1"/>
  <c r="G1348" i="19" s="1"/>
  <c r="F1348" i="19" a="1"/>
  <c r="F1348" i="19" s="1"/>
  <c r="E1348" i="19" a="1"/>
  <c r="E1348" i="19" s="1"/>
  <c r="D1348" i="19"/>
  <c r="D1348" i="19" a="1"/>
  <c r="H1347" i="19" a="1"/>
  <c r="H1347" i="19" s="1"/>
  <c r="G1347" i="19" a="1"/>
  <c r="G1347" i="19" s="1"/>
  <c r="F1347" i="19"/>
  <c r="F1347" i="19" a="1"/>
  <c r="E1347" i="19" a="1"/>
  <c r="E1347" i="19" s="1"/>
  <c r="D1347" i="19" a="1"/>
  <c r="D1347" i="19" s="1"/>
  <c r="H1346" i="19" a="1"/>
  <c r="H1346" i="19" s="1"/>
  <c r="G1346" i="19" a="1"/>
  <c r="G1346" i="19" s="1"/>
  <c r="F1346" i="19" a="1"/>
  <c r="F1346" i="19" s="1"/>
  <c r="E1346" i="19" a="1"/>
  <c r="E1346" i="19" s="1"/>
  <c r="D1346" i="19" a="1"/>
  <c r="D1346" i="19" s="1"/>
  <c r="H1345" i="19" a="1"/>
  <c r="H1345" i="19" s="1"/>
  <c r="G1345" i="19" a="1"/>
  <c r="G1345" i="19" s="1"/>
  <c r="F1345" i="19" a="1"/>
  <c r="F1345" i="19" s="1"/>
  <c r="E1345" i="19"/>
  <c r="E1345" i="19" a="1"/>
  <c r="D1345" i="19" a="1"/>
  <c r="D1345" i="19" s="1"/>
  <c r="H1344" i="19" a="1"/>
  <c r="H1344" i="19" s="1"/>
  <c r="G1344" i="19" a="1"/>
  <c r="G1344" i="19" s="1"/>
  <c r="F1344" i="19" a="1"/>
  <c r="F1344" i="19" s="1"/>
  <c r="E1344" i="19"/>
  <c r="E1344" i="19" a="1"/>
  <c r="D1344" i="19" a="1"/>
  <c r="D1344" i="19" s="1"/>
  <c r="H1343" i="19" a="1"/>
  <c r="H1343" i="19" s="1"/>
  <c r="G1343" i="19"/>
  <c r="G1343" i="19" a="1"/>
  <c r="F1343" i="19" a="1"/>
  <c r="F1343" i="19" s="1"/>
  <c r="E1343" i="19" a="1"/>
  <c r="E1343" i="19" s="1"/>
  <c r="D1343" i="19" a="1"/>
  <c r="D1343" i="19" s="1"/>
  <c r="H1342" i="19" a="1"/>
  <c r="H1342" i="19" s="1"/>
  <c r="G1342" i="19"/>
  <c r="G1342" i="19" a="1"/>
  <c r="F1342" i="19"/>
  <c r="F1342" i="19" a="1"/>
  <c r="E1342" i="19" a="1"/>
  <c r="E1342" i="19" s="1"/>
  <c r="D1342" i="19" a="1"/>
  <c r="D1342" i="19" s="1"/>
  <c r="H1341" i="19" a="1"/>
  <c r="H1341" i="19" s="1"/>
  <c r="G1341" i="19" a="1"/>
  <c r="G1341" i="19" s="1"/>
  <c r="F1341" i="19" a="1"/>
  <c r="F1341" i="19" s="1"/>
  <c r="E1341" i="19"/>
  <c r="E1341" i="19" a="1"/>
  <c r="D1341" i="19" a="1"/>
  <c r="D1341" i="19" s="1"/>
  <c r="H1340" i="19" a="1"/>
  <c r="H1340" i="19" s="1"/>
  <c r="G1340" i="19" a="1"/>
  <c r="G1340" i="19" s="1"/>
  <c r="F1340" i="19" a="1"/>
  <c r="F1340" i="19" s="1"/>
  <c r="E1340" i="19" a="1"/>
  <c r="E1340" i="19" s="1"/>
  <c r="D1340" i="19"/>
  <c r="D1340" i="19" a="1"/>
  <c r="H1339" i="19" a="1"/>
  <c r="H1339" i="19" s="1"/>
  <c r="G1339" i="19" a="1"/>
  <c r="G1339" i="19" s="1"/>
  <c r="F1339" i="19" a="1"/>
  <c r="F1339" i="19" s="1"/>
  <c r="E1339" i="19"/>
  <c r="E1339" i="19" a="1"/>
  <c r="D1339" i="19" a="1"/>
  <c r="D1339" i="19" s="1"/>
  <c r="H1338" i="19" a="1"/>
  <c r="H1338" i="19" s="1"/>
  <c r="G1338" i="19" a="1"/>
  <c r="G1338" i="19" s="1"/>
  <c r="F1338" i="19" a="1"/>
  <c r="F1338" i="19" s="1"/>
  <c r="E1338" i="19"/>
  <c r="E1338" i="19" a="1"/>
  <c r="D1338" i="19" a="1"/>
  <c r="D1338" i="19" s="1"/>
  <c r="H1337" i="19" a="1"/>
  <c r="H1337" i="19" s="1"/>
  <c r="G1337" i="19"/>
  <c r="G1337" i="19" a="1"/>
  <c r="F1337" i="19" a="1"/>
  <c r="F1337" i="19" s="1"/>
  <c r="E1337" i="19" a="1"/>
  <c r="E1337" i="19" s="1"/>
  <c r="D1337" i="19"/>
  <c r="D1337" i="19" a="1"/>
  <c r="H1336" i="19" a="1"/>
  <c r="H1336" i="19" s="1"/>
  <c r="G1336" i="19" a="1"/>
  <c r="G1336" i="19" s="1"/>
  <c r="F1336" i="19"/>
  <c r="F1336" i="19" a="1"/>
  <c r="E1336" i="19" a="1"/>
  <c r="E1336" i="19" s="1"/>
  <c r="D1336" i="19" a="1"/>
  <c r="D1336" i="19" s="1"/>
  <c r="H1335" i="19" a="1"/>
  <c r="H1335" i="19" s="1"/>
  <c r="G1335" i="19" a="1"/>
  <c r="G1335" i="19" s="1"/>
  <c r="F1335" i="19"/>
  <c r="F1335" i="19" a="1"/>
  <c r="E1335" i="19"/>
  <c r="E1335" i="19" a="1"/>
  <c r="D1335" i="19" a="1"/>
  <c r="D1335" i="19" s="1"/>
  <c r="H1334" i="19" a="1"/>
  <c r="H1334" i="19" s="1"/>
  <c r="G1334" i="19" a="1"/>
  <c r="G1334" i="19" s="1"/>
  <c r="F1334" i="19" a="1"/>
  <c r="F1334" i="19" s="1"/>
  <c r="E1334" i="19"/>
  <c r="E1334" i="19" a="1"/>
  <c r="D1334" i="19" a="1"/>
  <c r="D1334" i="19" s="1"/>
  <c r="H1333" i="19" a="1"/>
  <c r="H1333" i="19" s="1"/>
  <c r="G1333" i="19" a="1"/>
  <c r="G1333" i="19" s="1"/>
  <c r="F1333" i="19" a="1"/>
  <c r="F1333" i="19" s="1"/>
  <c r="E1333" i="19" a="1"/>
  <c r="E1333" i="19" s="1"/>
  <c r="D1333" i="19" a="1"/>
  <c r="D1333" i="19" s="1"/>
  <c r="H1332" i="19" a="1"/>
  <c r="H1332" i="19" s="1"/>
  <c r="G1332" i="19" a="1"/>
  <c r="G1332" i="19" s="1"/>
  <c r="F1332" i="19" a="1"/>
  <c r="F1332" i="19" s="1"/>
  <c r="E1332" i="19" a="1"/>
  <c r="E1332" i="19" s="1"/>
  <c r="D1332" i="19" a="1"/>
  <c r="D1332" i="19" s="1"/>
  <c r="H1331" i="19" a="1"/>
  <c r="H1331" i="19" s="1"/>
  <c r="G1331" i="19" a="1"/>
  <c r="G1331" i="19" s="1"/>
  <c r="F1331" i="19" a="1"/>
  <c r="F1331" i="19" s="1"/>
  <c r="E1331" i="19" a="1"/>
  <c r="E1331" i="19" s="1"/>
  <c r="D1331" i="19" a="1"/>
  <c r="D1331" i="19" s="1"/>
  <c r="H1330" i="19" a="1"/>
  <c r="H1330" i="19" s="1"/>
  <c r="G1330" i="19"/>
  <c r="G1330" i="19" a="1"/>
  <c r="F1330" i="19" a="1"/>
  <c r="F1330" i="19" s="1"/>
  <c r="E1330" i="19" a="1"/>
  <c r="E1330" i="19" s="1"/>
  <c r="D1330" i="19" a="1"/>
  <c r="D1330" i="19" s="1"/>
  <c r="H1329" i="19" a="1"/>
  <c r="H1329" i="19" s="1"/>
  <c r="G1329" i="19" a="1"/>
  <c r="G1329" i="19" s="1"/>
  <c r="F1329" i="19" a="1"/>
  <c r="F1329" i="19" s="1"/>
  <c r="E1329" i="19" a="1"/>
  <c r="E1329" i="19" s="1"/>
  <c r="D1329" i="19" a="1"/>
  <c r="D1329" i="19" s="1"/>
  <c r="H1328" i="19" a="1"/>
  <c r="H1328" i="19" s="1"/>
  <c r="G1328" i="19" a="1"/>
  <c r="G1328" i="19" s="1"/>
  <c r="F1328" i="19" a="1"/>
  <c r="F1328" i="19" s="1"/>
  <c r="E1328" i="19" a="1"/>
  <c r="E1328" i="19" s="1"/>
  <c r="D1328" i="19" a="1"/>
  <c r="D1328" i="19" s="1"/>
  <c r="H1327" i="19" a="1"/>
  <c r="H1327" i="19" s="1"/>
  <c r="G1327" i="19" a="1"/>
  <c r="G1327" i="19" s="1"/>
  <c r="F1327" i="19" a="1"/>
  <c r="F1327" i="19" s="1"/>
  <c r="E1327" i="19" a="1"/>
  <c r="E1327" i="19" s="1"/>
  <c r="D1327" i="19"/>
  <c r="D1327" i="19" a="1"/>
  <c r="H1326" i="19" a="1"/>
  <c r="H1326" i="19" s="1"/>
  <c r="G1326" i="19" a="1"/>
  <c r="G1326" i="19" s="1"/>
  <c r="F1326" i="19" a="1"/>
  <c r="F1326" i="19" s="1"/>
  <c r="E1326" i="19" a="1"/>
  <c r="E1326" i="19" s="1"/>
  <c r="D1326" i="19" a="1"/>
  <c r="D1326" i="19" s="1"/>
  <c r="H1325" i="19" a="1"/>
  <c r="H1325" i="19" s="1"/>
  <c r="G1325" i="19" a="1"/>
  <c r="G1325" i="19" s="1"/>
  <c r="F1325" i="19" a="1"/>
  <c r="F1325" i="19" s="1"/>
  <c r="E1325" i="19" a="1"/>
  <c r="E1325" i="19" s="1"/>
  <c r="D1325" i="19" a="1"/>
  <c r="D1325" i="19" s="1"/>
  <c r="H1324" i="19" a="1"/>
  <c r="H1324" i="19" s="1"/>
  <c r="G1324" i="19" a="1"/>
  <c r="G1324" i="19" s="1"/>
  <c r="F1324" i="19" a="1"/>
  <c r="F1324" i="19" s="1"/>
  <c r="E1324" i="19" a="1"/>
  <c r="E1324" i="19" s="1"/>
  <c r="D1324" i="19" a="1"/>
  <c r="D1324" i="19" s="1"/>
  <c r="H1323" i="19" a="1"/>
  <c r="H1323" i="19" s="1"/>
  <c r="G1323" i="19"/>
  <c r="G1323" i="19" a="1"/>
  <c r="F1323" i="19" a="1"/>
  <c r="F1323" i="19" s="1"/>
  <c r="E1323" i="19" a="1"/>
  <c r="E1323" i="19" s="1"/>
  <c r="D1323" i="19" a="1"/>
  <c r="D1323" i="19" s="1"/>
  <c r="H1322" i="19" a="1"/>
  <c r="H1322" i="19" s="1"/>
  <c r="G1322" i="19" a="1"/>
  <c r="G1322" i="19" s="1"/>
  <c r="F1322" i="19" a="1"/>
  <c r="F1322" i="19" s="1"/>
  <c r="E1322" i="19" a="1"/>
  <c r="E1322" i="19" s="1"/>
  <c r="D1322" i="19"/>
  <c r="D1322" i="19" a="1"/>
  <c r="H1321" i="19" a="1"/>
  <c r="H1321" i="19" s="1"/>
  <c r="G1321" i="19" a="1"/>
  <c r="G1321" i="19" s="1"/>
  <c r="F1321" i="19" a="1"/>
  <c r="F1321" i="19" s="1"/>
  <c r="E1321" i="19"/>
  <c r="E1321" i="19" a="1"/>
  <c r="D1321" i="19"/>
  <c r="D1321" i="19" a="1"/>
  <c r="H1320" i="19" a="1"/>
  <c r="H1320" i="19" s="1"/>
  <c r="G1320" i="19" a="1"/>
  <c r="G1320" i="19" s="1"/>
  <c r="F1320" i="19" a="1"/>
  <c r="F1320" i="19" s="1"/>
  <c r="E1320" i="19" a="1"/>
  <c r="E1320" i="19" s="1"/>
  <c r="D1320" i="19" a="1"/>
  <c r="D1320" i="19" s="1"/>
  <c r="H1319" i="19" a="1"/>
  <c r="H1319" i="19" s="1"/>
  <c r="G1319" i="19"/>
  <c r="G1319" i="19" a="1"/>
  <c r="F1319" i="19" a="1"/>
  <c r="F1319" i="19" s="1"/>
  <c r="E1319" i="19" a="1"/>
  <c r="E1319" i="19" s="1"/>
  <c r="D1319" i="19" a="1"/>
  <c r="D1319" i="19" s="1"/>
  <c r="H1318" i="19" a="1"/>
  <c r="H1318" i="19" s="1"/>
  <c r="G1318" i="19" a="1"/>
  <c r="G1318" i="19" s="1"/>
  <c r="F1318" i="19" a="1"/>
  <c r="F1318" i="19" s="1"/>
  <c r="E1318" i="19" a="1"/>
  <c r="E1318" i="19" s="1"/>
  <c r="D1318" i="19" a="1"/>
  <c r="D1318" i="19" s="1"/>
  <c r="H1317" i="19" a="1"/>
  <c r="H1317" i="19" s="1"/>
  <c r="G1317" i="19"/>
  <c r="G1317" i="19" a="1"/>
  <c r="F1317" i="19" a="1"/>
  <c r="F1317" i="19" s="1"/>
  <c r="E1317" i="19" a="1"/>
  <c r="E1317" i="19" s="1"/>
  <c r="D1317" i="19" a="1"/>
  <c r="D1317" i="19" s="1"/>
  <c r="H1316" i="19" a="1"/>
  <c r="H1316" i="19" s="1"/>
  <c r="G1316" i="19" a="1"/>
  <c r="G1316" i="19" s="1"/>
  <c r="F1316" i="19"/>
  <c r="F1316" i="19" a="1"/>
  <c r="E1316" i="19" a="1"/>
  <c r="E1316" i="19" s="1"/>
  <c r="D1316" i="19" a="1"/>
  <c r="D1316" i="19" s="1"/>
  <c r="H1315" i="19" a="1"/>
  <c r="H1315" i="19" s="1"/>
  <c r="G1315" i="19" a="1"/>
  <c r="G1315" i="19" s="1"/>
  <c r="F1315" i="19" a="1"/>
  <c r="F1315" i="19" s="1"/>
  <c r="E1315" i="19"/>
  <c r="E1315" i="19" a="1"/>
  <c r="D1315" i="19" a="1"/>
  <c r="D1315" i="19" s="1"/>
  <c r="H1314" i="19" a="1"/>
  <c r="H1314" i="19" s="1"/>
  <c r="G1314" i="19" a="1"/>
  <c r="G1314" i="19" s="1"/>
  <c r="F1314" i="19" a="1"/>
  <c r="F1314" i="19" s="1"/>
  <c r="E1314" i="19" a="1"/>
  <c r="E1314" i="19" s="1"/>
  <c r="D1314" i="19"/>
  <c r="D1314" i="19" a="1"/>
  <c r="H1313" i="19" a="1"/>
  <c r="H1313" i="19" s="1"/>
  <c r="G1313" i="19" a="1"/>
  <c r="G1313" i="19" s="1"/>
  <c r="F1313" i="19" a="1"/>
  <c r="F1313" i="19" s="1"/>
  <c r="E1313" i="19" a="1"/>
  <c r="E1313" i="19" s="1"/>
  <c r="D1313" i="19" a="1"/>
  <c r="D1313" i="19" s="1"/>
  <c r="H1312" i="19" a="1"/>
  <c r="H1312" i="19" s="1"/>
  <c r="G1312" i="19"/>
  <c r="G1312" i="19" a="1"/>
  <c r="F1312" i="19" a="1"/>
  <c r="F1312" i="19" s="1"/>
  <c r="E1312" i="19" a="1"/>
  <c r="E1312" i="19" s="1"/>
  <c r="D1312" i="19" a="1"/>
  <c r="D1312" i="19" s="1"/>
  <c r="H1311" i="19" a="1"/>
  <c r="H1311" i="19" s="1"/>
  <c r="G1311" i="19" a="1"/>
  <c r="G1311" i="19" s="1"/>
  <c r="F1311" i="19" a="1"/>
  <c r="F1311" i="19" s="1"/>
  <c r="E1311" i="19" a="1"/>
  <c r="E1311" i="19" s="1"/>
  <c r="D1311" i="19" a="1"/>
  <c r="D1311" i="19" s="1"/>
  <c r="H1310" i="19" a="1"/>
  <c r="H1310" i="19" s="1"/>
  <c r="G1310" i="19" a="1"/>
  <c r="G1310" i="19" s="1"/>
  <c r="F1310" i="19"/>
  <c r="F1310" i="19" a="1"/>
  <c r="E1310" i="19" a="1"/>
  <c r="E1310" i="19" s="1"/>
  <c r="D1310" i="19" a="1"/>
  <c r="D1310" i="19" s="1"/>
  <c r="H1309" i="19" a="1"/>
  <c r="H1309" i="19" s="1"/>
  <c r="G1309" i="19" a="1"/>
  <c r="G1309" i="19" s="1"/>
  <c r="F1309" i="19" a="1"/>
  <c r="F1309" i="19" s="1"/>
  <c r="E1309" i="19"/>
  <c r="E1309" i="19" a="1"/>
  <c r="D1309" i="19" a="1"/>
  <c r="D1309" i="19" s="1"/>
  <c r="H1308" i="19" a="1"/>
  <c r="H1308" i="19" s="1"/>
  <c r="G1308" i="19" a="1"/>
  <c r="G1308" i="19" s="1"/>
  <c r="F1308" i="19" a="1"/>
  <c r="F1308" i="19" s="1"/>
  <c r="E1308" i="19" a="1"/>
  <c r="E1308" i="19" s="1"/>
  <c r="D1308" i="19" a="1"/>
  <c r="D1308" i="19" s="1"/>
  <c r="H1307" i="19" a="1"/>
  <c r="H1307" i="19" s="1"/>
  <c r="G1307" i="19" a="1"/>
  <c r="G1307" i="19" s="1"/>
  <c r="F1307" i="19" a="1"/>
  <c r="F1307" i="19" s="1"/>
  <c r="E1307" i="19" a="1"/>
  <c r="E1307" i="19" s="1"/>
  <c r="D1307" i="19" a="1"/>
  <c r="D1307" i="19" s="1"/>
  <c r="H1306" i="19" a="1"/>
  <c r="H1306" i="19" s="1"/>
  <c r="G1306" i="19"/>
  <c r="G1306" i="19" a="1"/>
  <c r="F1306" i="19" a="1"/>
  <c r="F1306" i="19" s="1"/>
  <c r="E1306" i="19" a="1"/>
  <c r="E1306" i="19" s="1"/>
  <c r="D1306" i="19" a="1"/>
  <c r="D1306" i="19" s="1"/>
  <c r="H1305" i="19" a="1"/>
  <c r="H1305" i="19" s="1"/>
  <c r="G1305" i="19" a="1"/>
  <c r="G1305" i="19" s="1"/>
  <c r="F1305" i="19"/>
  <c r="F1305" i="19" a="1"/>
  <c r="E1305" i="19" a="1"/>
  <c r="E1305" i="19" s="1"/>
  <c r="D1305" i="19" a="1"/>
  <c r="D1305" i="19" s="1"/>
  <c r="H1304" i="19" a="1"/>
  <c r="H1304" i="19" s="1"/>
  <c r="G1304" i="19"/>
  <c r="G1304" i="19" a="1"/>
  <c r="F1304" i="19" a="1"/>
  <c r="F1304" i="19" s="1"/>
  <c r="E1304" i="19" a="1"/>
  <c r="E1304" i="19" s="1"/>
  <c r="D1304" i="19" a="1"/>
  <c r="D1304" i="19" s="1"/>
  <c r="H1303" i="19" a="1"/>
  <c r="H1303" i="19" s="1"/>
  <c r="G1303" i="19" a="1"/>
  <c r="G1303" i="19" s="1"/>
  <c r="F1303" i="19" a="1"/>
  <c r="F1303" i="19" s="1"/>
  <c r="E1303" i="19"/>
  <c r="E1303" i="19" a="1"/>
  <c r="D1303" i="19" a="1"/>
  <c r="D1303" i="19" s="1"/>
  <c r="H1302" i="19" a="1"/>
  <c r="H1302" i="19" s="1"/>
  <c r="G1302" i="19" a="1"/>
  <c r="G1302" i="19" s="1"/>
  <c r="F1302" i="19" a="1"/>
  <c r="F1302" i="19" s="1"/>
  <c r="E1302" i="19" a="1"/>
  <c r="E1302" i="19" s="1"/>
  <c r="D1302" i="19"/>
  <c r="D1302" i="19" a="1"/>
  <c r="H1301" i="19" a="1"/>
  <c r="H1301" i="19" s="1"/>
  <c r="G1301" i="19" a="1"/>
  <c r="G1301" i="19" s="1"/>
  <c r="F1301" i="19" a="1"/>
  <c r="F1301" i="19" s="1"/>
  <c r="E1301" i="19" a="1"/>
  <c r="E1301" i="19" s="1"/>
  <c r="D1301" i="19"/>
  <c r="D1301" i="19" a="1"/>
  <c r="H1300" i="19" a="1"/>
  <c r="H1300" i="19" s="1"/>
  <c r="G1300" i="19" a="1"/>
  <c r="G1300" i="19" s="1"/>
  <c r="F1300" i="19"/>
  <c r="F1300" i="19" a="1"/>
  <c r="E1300" i="19" a="1"/>
  <c r="E1300" i="19" s="1"/>
  <c r="D1300" i="19" a="1"/>
  <c r="D1300" i="19" s="1"/>
  <c r="H1299" i="19" a="1"/>
  <c r="H1299" i="19" s="1"/>
  <c r="G1299" i="19"/>
  <c r="G1299" i="19" a="1"/>
  <c r="F1299" i="19"/>
  <c r="F1299" i="19" a="1"/>
  <c r="E1299" i="19" a="1"/>
  <c r="E1299" i="19" s="1"/>
  <c r="D1299" i="19" a="1"/>
  <c r="D1299" i="19" s="1"/>
  <c r="H1298" i="19" a="1"/>
  <c r="H1298" i="19" s="1"/>
  <c r="G1298" i="19" a="1"/>
  <c r="G1298" i="19" s="1"/>
  <c r="F1298" i="19" a="1"/>
  <c r="F1298" i="19" s="1"/>
  <c r="E1298" i="19"/>
  <c r="E1298" i="19" a="1"/>
  <c r="D1298" i="19"/>
  <c r="D1298" i="19" a="1"/>
  <c r="H1297" i="19" a="1"/>
  <c r="H1297" i="19" s="1"/>
  <c r="G1297" i="19" a="1"/>
  <c r="G1297" i="19" s="1"/>
  <c r="F1297" i="19" a="1"/>
  <c r="F1297" i="19" s="1"/>
  <c r="E1297" i="19" a="1"/>
  <c r="E1297" i="19" s="1"/>
  <c r="D1297" i="19" a="1"/>
  <c r="D1297" i="19" s="1"/>
  <c r="H1296" i="19" a="1"/>
  <c r="H1296" i="19" s="1"/>
  <c r="G1296" i="19" a="1"/>
  <c r="G1296" i="19" s="1"/>
  <c r="F1296" i="19" a="1"/>
  <c r="F1296" i="19" s="1"/>
  <c r="E1296" i="19"/>
  <c r="E1296" i="19" a="1"/>
  <c r="D1296" i="19"/>
  <c r="D1296" i="19" a="1"/>
  <c r="H1295" i="19" a="1"/>
  <c r="H1295" i="19" s="1"/>
  <c r="G1295" i="19" a="1"/>
  <c r="G1295" i="19" s="1"/>
  <c r="F1295" i="19" a="1"/>
  <c r="F1295" i="19" s="1"/>
  <c r="E1295" i="19" a="1"/>
  <c r="E1295" i="19" s="1"/>
  <c r="D1295" i="19" a="1"/>
  <c r="D1295" i="19" s="1"/>
  <c r="H1294" i="19" a="1"/>
  <c r="H1294" i="19" s="1"/>
  <c r="G1294" i="19" a="1"/>
  <c r="G1294" i="19" s="1"/>
  <c r="F1294" i="19" a="1"/>
  <c r="F1294" i="19" s="1"/>
  <c r="E1294" i="19" a="1"/>
  <c r="E1294" i="19" s="1"/>
  <c r="D1294" i="19" a="1"/>
  <c r="D1294" i="19" s="1"/>
  <c r="H1293" i="19" a="1"/>
  <c r="H1293" i="19" s="1"/>
  <c r="G1293" i="19"/>
  <c r="G1293" i="19" a="1"/>
  <c r="F1293" i="19" a="1"/>
  <c r="F1293" i="19" s="1"/>
  <c r="E1293" i="19" a="1"/>
  <c r="E1293" i="19" s="1"/>
  <c r="D1293" i="19" a="1"/>
  <c r="D1293" i="19" s="1"/>
  <c r="H1292" i="19" a="1"/>
  <c r="H1292" i="19" s="1"/>
  <c r="G1292" i="19" a="1"/>
  <c r="G1292" i="19" s="1"/>
  <c r="F1292" i="19" a="1"/>
  <c r="F1292" i="19" s="1"/>
  <c r="E1292" i="19"/>
  <c r="E1292" i="19" a="1"/>
  <c r="D1292" i="19" a="1"/>
  <c r="D1292" i="19" s="1"/>
  <c r="H1291" i="19" a="1"/>
  <c r="H1291" i="19" s="1"/>
  <c r="G1291" i="19" a="1"/>
  <c r="G1291" i="19" s="1"/>
  <c r="F1291" i="19" a="1"/>
  <c r="F1291" i="19" s="1"/>
  <c r="E1291" i="19" a="1"/>
  <c r="E1291" i="19" s="1"/>
  <c r="D1291" i="19"/>
  <c r="D1291" i="19" a="1"/>
  <c r="H1290" i="19" a="1"/>
  <c r="H1290" i="19" s="1"/>
  <c r="G1290" i="19" a="1"/>
  <c r="G1290" i="19" s="1"/>
  <c r="F1290" i="19" a="1"/>
  <c r="F1290" i="19" s="1"/>
  <c r="E1290" i="19" a="1"/>
  <c r="E1290" i="19" s="1"/>
  <c r="D1290" i="19" a="1"/>
  <c r="D1290" i="19" s="1"/>
  <c r="H1289" i="19" a="1"/>
  <c r="H1289" i="19" s="1"/>
  <c r="G1289" i="19" a="1"/>
  <c r="G1289" i="19" s="1"/>
  <c r="F1289" i="19" a="1"/>
  <c r="F1289" i="19" s="1"/>
  <c r="E1289" i="19" a="1"/>
  <c r="E1289" i="19" s="1"/>
  <c r="D1289" i="19" a="1"/>
  <c r="D1289" i="19" s="1"/>
  <c r="H1288" i="19" a="1"/>
  <c r="H1288" i="19" s="1"/>
  <c r="G1288" i="19" a="1"/>
  <c r="G1288" i="19" s="1"/>
  <c r="F1288" i="19" a="1"/>
  <c r="F1288" i="19" s="1"/>
  <c r="E1288" i="19" a="1"/>
  <c r="E1288" i="19" s="1"/>
  <c r="D1288" i="19" a="1"/>
  <c r="D1288" i="19" s="1"/>
  <c r="H1287" i="19" a="1"/>
  <c r="H1287" i="19" s="1"/>
  <c r="G1287" i="19"/>
  <c r="G1287" i="19" a="1"/>
  <c r="F1287" i="19" a="1"/>
  <c r="F1287" i="19" s="1"/>
  <c r="E1287" i="19" a="1"/>
  <c r="E1287" i="19" s="1"/>
  <c r="D1287" i="19" a="1"/>
  <c r="D1287" i="19" s="1"/>
  <c r="H1286" i="19" a="1"/>
  <c r="H1286" i="19" s="1"/>
  <c r="G1286" i="19" a="1"/>
  <c r="G1286" i="19" s="1"/>
  <c r="F1286" i="19" a="1"/>
  <c r="F1286" i="19" s="1"/>
  <c r="E1286" i="19" a="1"/>
  <c r="E1286" i="19" s="1"/>
  <c r="D1286" i="19" a="1"/>
  <c r="D1286" i="19" s="1"/>
  <c r="H1285" i="19" a="1"/>
  <c r="H1285" i="19" s="1"/>
  <c r="G1285" i="19"/>
  <c r="G1285" i="19" a="1"/>
  <c r="F1285" i="19" a="1"/>
  <c r="F1285" i="19" s="1"/>
  <c r="E1285" i="19"/>
  <c r="E1285" i="19" a="1"/>
  <c r="D1285" i="19"/>
  <c r="D1285" i="19" a="1"/>
  <c r="H1284" i="19" a="1"/>
  <c r="H1284" i="19" s="1"/>
  <c r="G1284" i="19" a="1"/>
  <c r="G1284" i="19" s="1"/>
  <c r="F1284" i="19" a="1"/>
  <c r="F1284" i="19" s="1"/>
  <c r="E1284" i="19" a="1"/>
  <c r="E1284" i="19" s="1"/>
  <c r="D1284" i="19"/>
  <c r="D1284" i="19" a="1"/>
  <c r="H1283" i="19" a="1"/>
  <c r="H1283" i="19" s="1"/>
  <c r="G1283" i="19" a="1"/>
  <c r="G1283" i="19" s="1"/>
  <c r="F1283" i="19" a="1"/>
  <c r="F1283" i="19" s="1"/>
  <c r="E1283" i="19" a="1"/>
  <c r="E1283" i="19" s="1"/>
  <c r="D1283" i="19" a="1"/>
  <c r="D1283" i="19" s="1"/>
  <c r="H1282" i="19" a="1"/>
  <c r="H1282" i="19" s="1"/>
  <c r="G1282" i="19"/>
  <c r="G1282" i="19" a="1"/>
  <c r="F1282" i="19" a="1"/>
  <c r="F1282" i="19" s="1"/>
  <c r="E1282" i="19" a="1"/>
  <c r="E1282" i="19" s="1"/>
  <c r="D1282" i="19" a="1"/>
  <c r="D1282" i="19" s="1"/>
  <c r="H1281" i="19" a="1"/>
  <c r="H1281" i="19" s="1"/>
  <c r="G1281" i="19" a="1"/>
  <c r="G1281" i="19" s="1"/>
  <c r="F1281" i="19"/>
  <c r="F1281" i="19" a="1"/>
  <c r="E1281" i="19"/>
  <c r="E1281" i="19" a="1"/>
  <c r="D1281" i="19" a="1"/>
  <c r="D1281" i="19" s="1"/>
  <c r="H1280" i="19" a="1"/>
  <c r="H1280" i="19" s="1"/>
  <c r="G1280" i="19" a="1"/>
  <c r="G1280" i="19" s="1"/>
  <c r="F1280" i="19" a="1"/>
  <c r="F1280" i="19" s="1"/>
  <c r="E1280" i="19" a="1"/>
  <c r="E1280" i="19" s="1"/>
  <c r="D1280" i="19" a="1"/>
  <c r="D1280" i="19" s="1"/>
  <c r="H1279" i="19" a="1"/>
  <c r="H1279" i="19" s="1"/>
  <c r="G1279" i="19" a="1"/>
  <c r="G1279" i="19" s="1"/>
  <c r="F1279" i="19" a="1"/>
  <c r="F1279" i="19" s="1"/>
  <c r="E1279" i="19" a="1"/>
  <c r="E1279" i="19" s="1"/>
  <c r="D1279" i="19" a="1"/>
  <c r="D1279" i="19" s="1"/>
  <c r="H1278" i="19" a="1"/>
  <c r="H1278" i="19" s="1"/>
  <c r="G1278" i="19" a="1"/>
  <c r="G1278" i="19" s="1"/>
  <c r="F1278" i="19" a="1"/>
  <c r="F1278" i="19" s="1"/>
  <c r="E1278" i="19" a="1"/>
  <c r="E1278" i="19" s="1"/>
  <c r="D1278" i="19" a="1"/>
  <c r="D1278" i="19" s="1"/>
  <c r="H1277" i="19" a="1"/>
  <c r="H1277" i="19" s="1"/>
  <c r="G1277" i="19" a="1"/>
  <c r="G1277" i="19" s="1"/>
  <c r="F1277" i="19" a="1"/>
  <c r="F1277" i="19" s="1"/>
  <c r="E1277" i="19" a="1"/>
  <c r="E1277" i="19" s="1"/>
  <c r="D1277" i="19" a="1"/>
  <c r="D1277" i="19" s="1"/>
  <c r="H1276" i="19" a="1"/>
  <c r="H1276" i="19" s="1"/>
  <c r="G1276" i="19" a="1"/>
  <c r="G1276" i="19" s="1"/>
  <c r="F1276" i="19" a="1"/>
  <c r="F1276" i="19" s="1"/>
  <c r="E1276" i="19" a="1"/>
  <c r="E1276" i="19" s="1"/>
  <c r="D1276" i="19" a="1"/>
  <c r="D1276" i="19" s="1"/>
  <c r="H1275" i="19" a="1"/>
  <c r="H1275" i="19" s="1"/>
  <c r="G1275" i="19" a="1"/>
  <c r="G1275" i="19" s="1"/>
  <c r="F1275" i="19"/>
  <c r="F1275" i="19" a="1"/>
  <c r="E1275" i="19" a="1"/>
  <c r="E1275" i="19" s="1"/>
  <c r="D1275" i="19" a="1"/>
  <c r="D1275" i="19" s="1"/>
  <c r="H1274" i="19" a="1"/>
  <c r="H1274" i="19" s="1"/>
  <c r="G1274" i="19" a="1"/>
  <c r="G1274" i="19" s="1"/>
  <c r="F1274" i="19" a="1"/>
  <c r="F1274" i="19" s="1"/>
  <c r="E1274" i="19"/>
  <c r="E1274" i="19" a="1"/>
  <c r="D1274" i="19"/>
  <c r="D1274" i="19" a="1"/>
  <c r="H1273" i="19" a="1"/>
  <c r="H1273" i="19" s="1"/>
  <c r="G1273" i="19" a="1"/>
  <c r="G1273" i="19" s="1"/>
  <c r="F1273" i="19" a="1"/>
  <c r="F1273" i="19" s="1"/>
  <c r="E1273" i="19"/>
  <c r="E1273" i="19" a="1"/>
  <c r="D1273" i="19" a="1"/>
  <c r="D1273" i="19" s="1"/>
  <c r="H1272" i="19" a="1"/>
  <c r="H1272" i="19" s="1"/>
  <c r="G1272" i="19"/>
  <c r="G1272" i="19" a="1"/>
  <c r="F1272" i="19" a="1"/>
  <c r="F1272" i="19" s="1"/>
  <c r="E1272" i="19" a="1"/>
  <c r="E1272" i="19" s="1"/>
  <c r="D1272" i="19" a="1"/>
  <c r="D1272" i="19" s="1"/>
  <c r="H1271" i="19" a="1"/>
  <c r="H1271" i="19" s="1"/>
  <c r="G1271" i="19" a="1"/>
  <c r="G1271" i="19" s="1"/>
  <c r="F1271" i="19"/>
  <c r="F1271" i="19" a="1"/>
  <c r="E1271" i="19" a="1"/>
  <c r="E1271" i="19" s="1"/>
  <c r="D1271" i="19" a="1"/>
  <c r="D1271" i="19" s="1"/>
  <c r="H1270" i="19" a="1"/>
  <c r="H1270" i="19" s="1"/>
  <c r="G1270" i="19" a="1"/>
  <c r="G1270" i="19" s="1"/>
  <c r="F1270" i="19" a="1"/>
  <c r="F1270" i="19" s="1"/>
  <c r="E1270" i="19" a="1"/>
  <c r="E1270" i="19" s="1"/>
  <c r="D1270" i="19" a="1"/>
  <c r="D1270" i="19" s="1"/>
  <c r="H1269" i="19" a="1"/>
  <c r="H1269" i="19" s="1"/>
  <c r="G1269" i="19"/>
  <c r="G1269" i="19" a="1"/>
  <c r="F1269" i="19" a="1"/>
  <c r="F1269" i="19" s="1"/>
  <c r="E1269" i="19" a="1"/>
  <c r="E1269" i="19" s="1"/>
  <c r="D1269" i="19"/>
  <c r="D1269" i="19" a="1"/>
  <c r="H1268" i="19" a="1"/>
  <c r="H1268" i="19" s="1"/>
  <c r="G1268" i="19" a="1"/>
  <c r="G1268" i="19" s="1"/>
  <c r="F1268" i="19" a="1"/>
  <c r="F1268" i="19" s="1"/>
  <c r="E1268" i="19"/>
  <c r="E1268" i="19" a="1"/>
  <c r="D1268" i="19" a="1"/>
  <c r="D1268" i="19" s="1"/>
  <c r="H1267" i="19" a="1"/>
  <c r="H1267" i="19" s="1"/>
  <c r="G1267" i="19" a="1"/>
  <c r="G1267" i="19" s="1"/>
  <c r="F1267" i="19" a="1"/>
  <c r="F1267" i="19" s="1"/>
  <c r="E1267" i="19" a="1"/>
  <c r="E1267" i="19" s="1"/>
  <c r="D1267" i="19"/>
  <c r="D1267" i="19" a="1"/>
  <c r="H1266" i="19" a="1"/>
  <c r="H1266" i="19" s="1"/>
  <c r="G1266" i="19" a="1"/>
  <c r="G1266" i="19" s="1"/>
  <c r="F1266" i="19" a="1"/>
  <c r="F1266" i="19" s="1"/>
  <c r="E1266" i="19" a="1"/>
  <c r="E1266" i="19" s="1"/>
  <c r="D1266" i="19"/>
  <c r="D1266" i="19" a="1"/>
  <c r="H1265" i="19" a="1"/>
  <c r="H1265" i="19" s="1"/>
  <c r="G1265" i="19"/>
  <c r="G1265" i="19" a="1"/>
  <c r="F1265" i="19"/>
  <c r="F1265" i="19" a="1"/>
  <c r="E1265" i="19" a="1"/>
  <c r="E1265" i="19" s="1"/>
  <c r="D1265" i="19" a="1"/>
  <c r="D1265" i="19" s="1"/>
  <c r="H1264" i="19" a="1"/>
  <c r="H1264" i="19" s="1"/>
  <c r="G1264" i="19" a="1"/>
  <c r="G1264" i="19" s="1"/>
  <c r="F1264" i="19" a="1"/>
  <c r="F1264" i="19" s="1"/>
  <c r="E1264" i="19"/>
  <c r="E1264" i="19" a="1"/>
  <c r="D1264" i="19" a="1"/>
  <c r="D1264" i="19" s="1"/>
  <c r="H1263" i="19" a="1"/>
  <c r="H1263" i="19" s="1"/>
  <c r="G1263" i="19" a="1"/>
  <c r="G1263" i="19" s="1"/>
  <c r="F1263" i="19" a="1"/>
  <c r="F1263" i="19" s="1"/>
  <c r="E1263" i="19" a="1"/>
  <c r="E1263" i="19" s="1"/>
  <c r="D1263" i="19" a="1"/>
  <c r="D1263" i="19" s="1"/>
  <c r="H1262" i="19" a="1"/>
  <c r="H1262" i="19" s="1"/>
  <c r="G1262" i="19" a="1"/>
  <c r="G1262" i="19" s="1"/>
  <c r="F1262" i="19"/>
  <c r="F1262" i="19" a="1"/>
  <c r="E1262" i="19" a="1"/>
  <c r="E1262" i="19" s="1"/>
  <c r="D1262" i="19" a="1"/>
  <c r="D1262" i="19" s="1"/>
  <c r="H1261" i="19" a="1"/>
  <c r="H1261" i="19" s="1"/>
  <c r="G1261" i="19" a="1"/>
  <c r="G1261" i="19" s="1"/>
  <c r="F1261" i="19" a="1"/>
  <c r="F1261" i="19" s="1"/>
  <c r="E1261" i="19" a="1"/>
  <c r="E1261" i="19" s="1"/>
  <c r="D1261" i="19"/>
  <c r="D1261" i="19" a="1"/>
  <c r="H1260" i="19" a="1"/>
  <c r="H1260" i="19" s="1"/>
  <c r="G1260" i="19" a="1"/>
  <c r="G1260" i="19" s="1"/>
  <c r="F1260" i="19" a="1"/>
  <c r="F1260" i="19" s="1"/>
  <c r="E1260" i="19" a="1"/>
  <c r="E1260" i="19" s="1"/>
  <c r="D1260" i="19" a="1"/>
  <c r="D1260" i="19" s="1"/>
  <c r="H1259" i="19" a="1"/>
  <c r="H1259" i="19" s="1"/>
  <c r="G1259" i="19"/>
  <c r="G1259" i="19" a="1"/>
  <c r="F1259" i="19" a="1"/>
  <c r="F1259" i="19" s="1"/>
  <c r="E1259" i="19" a="1"/>
  <c r="E1259" i="19" s="1"/>
  <c r="D1259" i="19" a="1"/>
  <c r="D1259" i="19" s="1"/>
  <c r="H1258" i="19" a="1"/>
  <c r="H1258" i="19" s="1"/>
  <c r="G1258" i="19" a="1"/>
  <c r="G1258" i="19" s="1"/>
  <c r="F1258" i="19"/>
  <c r="F1258" i="19" a="1"/>
  <c r="E1258" i="19"/>
  <c r="E1258" i="19" a="1"/>
  <c r="D1258" i="19" a="1"/>
  <c r="D1258" i="19" s="1"/>
  <c r="H1257" i="19" a="1"/>
  <c r="H1257" i="19" s="1"/>
  <c r="G1257" i="19" a="1"/>
  <c r="G1257" i="19" s="1"/>
  <c r="F1257" i="19" a="1"/>
  <c r="F1257" i="19" s="1"/>
  <c r="E1257" i="19" a="1"/>
  <c r="E1257" i="19" s="1"/>
  <c r="D1257" i="19" a="1"/>
  <c r="D1257" i="19" s="1"/>
  <c r="H1256" i="19" a="1"/>
  <c r="H1256" i="19" s="1"/>
  <c r="G1256" i="19" a="1"/>
  <c r="G1256" i="19" s="1"/>
  <c r="F1256" i="19" a="1"/>
  <c r="F1256" i="19" s="1"/>
  <c r="E1256" i="19" a="1"/>
  <c r="E1256" i="19" s="1"/>
  <c r="D1256" i="19" a="1"/>
  <c r="D1256" i="19" s="1"/>
  <c r="H1255" i="19" a="1"/>
  <c r="H1255" i="19" s="1"/>
  <c r="G1255" i="19" a="1"/>
  <c r="G1255" i="19" s="1"/>
  <c r="F1255" i="19" a="1"/>
  <c r="F1255" i="19" s="1"/>
  <c r="E1255" i="19"/>
  <c r="E1255" i="19" a="1"/>
  <c r="D1255" i="19" a="1"/>
  <c r="D1255" i="19" s="1"/>
  <c r="H1254" i="19" a="1"/>
  <c r="H1254" i="19" s="1"/>
  <c r="G1254" i="19" a="1"/>
  <c r="G1254" i="19" s="1"/>
  <c r="F1254" i="19" a="1"/>
  <c r="F1254" i="19" s="1"/>
  <c r="E1254" i="19" a="1"/>
  <c r="E1254" i="19" s="1"/>
  <c r="D1254" i="19" a="1"/>
  <c r="D1254" i="19" s="1"/>
  <c r="H1253" i="19" a="1"/>
  <c r="H1253" i="19" s="1"/>
  <c r="G1253" i="19" a="1"/>
  <c r="G1253" i="19" s="1"/>
  <c r="F1253" i="19" a="1"/>
  <c r="F1253" i="19" s="1"/>
  <c r="E1253" i="19" a="1"/>
  <c r="E1253" i="19" s="1"/>
  <c r="D1253" i="19" a="1"/>
  <c r="D1253" i="19" s="1"/>
  <c r="H1252" i="19" a="1"/>
  <c r="H1252" i="19" s="1"/>
  <c r="G1252" i="19" a="1"/>
  <c r="G1252" i="19" s="1"/>
  <c r="F1252" i="19" a="1"/>
  <c r="F1252" i="19" s="1"/>
  <c r="E1252" i="19" a="1"/>
  <c r="E1252" i="19" s="1"/>
  <c r="D1252" i="19" a="1"/>
  <c r="D1252" i="19" s="1"/>
  <c r="H1251" i="19" a="1"/>
  <c r="H1251" i="19" s="1"/>
  <c r="G1251" i="19" a="1"/>
  <c r="G1251" i="19" s="1"/>
  <c r="F1251" i="19" a="1"/>
  <c r="F1251" i="19" s="1"/>
  <c r="E1251" i="19" a="1"/>
  <c r="E1251" i="19" s="1"/>
  <c r="D1251" i="19" a="1"/>
  <c r="D1251" i="19" s="1"/>
  <c r="H1250" i="19" a="1"/>
  <c r="H1250" i="19" s="1"/>
  <c r="G1250" i="19" a="1"/>
  <c r="G1250" i="19" s="1"/>
  <c r="F1250" i="19" a="1"/>
  <c r="F1250" i="19" s="1"/>
  <c r="E1250" i="19" a="1"/>
  <c r="E1250" i="19" s="1"/>
  <c r="D1250" i="19" a="1"/>
  <c r="D1250" i="19" s="1"/>
  <c r="H1249" i="19" a="1"/>
  <c r="H1249" i="19" s="1"/>
  <c r="G1249" i="19" a="1"/>
  <c r="G1249" i="19" s="1"/>
  <c r="F1249" i="19" a="1"/>
  <c r="F1249" i="19" s="1"/>
  <c r="E1249" i="19" a="1"/>
  <c r="E1249" i="19" s="1"/>
  <c r="D1249" i="19" a="1"/>
  <c r="D1249" i="19" s="1"/>
  <c r="H1248" i="19" a="1"/>
  <c r="H1248" i="19" s="1"/>
  <c r="G1248" i="19" a="1"/>
  <c r="G1248" i="19" s="1"/>
  <c r="F1248" i="19" a="1"/>
  <c r="F1248" i="19" s="1"/>
  <c r="E1248" i="19" a="1"/>
  <c r="E1248" i="19" s="1"/>
  <c r="D1248" i="19" a="1"/>
  <c r="D1248" i="19" s="1"/>
  <c r="H1247" i="19" a="1"/>
  <c r="H1247" i="19" s="1"/>
  <c r="G1247" i="19" a="1"/>
  <c r="G1247" i="19" s="1"/>
  <c r="F1247" i="19"/>
  <c r="F1247" i="19" a="1"/>
  <c r="E1247" i="19" a="1"/>
  <c r="E1247" i="19" s="1"/>
  <c r="D1247" i="19" a="1"/>
  <c r="D1247" i="19" s="1"/>
  <c r="H1246" i="19" a="1"/>
  <c r="H1246" i="19" s="1"/>
  <c r="G1246" i="19" a="1"/>
  <c r="G1246" i="19" s="1"/>
  <c r="F1246" i="19" a="1"/>
  <c r="F1246" i="19" s="1"/>
  <c r="E1246" i="19" a="1"/>
  <c r="E1246" i="19" s="1"/>
  <c r="D1246" i="19" a="1"/>
  <c r="D1246" i="19" s="1"/>
  <c r="H1245" i="19" a="1"/>
  <c r="H1245" i="19" s="1"/>
  <c r="G1245" i="19" a="1"/>
  <c r="G1245" i="19" s="1"/>
  <c r="F1245" i="19"/>
  <c r="F1245" i="19" a="1"/>
  <c r="E1245" i="19" a="1"/>
  <c r="E1245" i="19" s="1"/>
  <c r="D1245" i="19" a="1"/>
  <c r="D1245" i="19" s="1"/>
  <c r="H1244" i="19" a="1"/>
  <c r="H1244" i="19" s="1"/>
  <c r="G1244" i="19" a="1"/>
  <c r="G1244" i="19" s="1"/>
  <c r="F1244" i="19"/>
  <c r="F1244" i="19" a="1"/>
  <c r="E1244" i="19" a="1"/>
  <c r="E1244" i="19" s="1"/>
  <c r="D1244" i="19"/>
  <c r="D1244" i="19" a="1"/>
  <c r="H1243" i="19" a="1"/>
  <c r="H1243" i="19" s="1"/>
  <c r="G1243" i="19" a="1"/>
  <c r="G1243" i="19" s="1"/>
  <c r="F1243" i="19" a="1"/>
  <c r="F1243" i="19" s="1"/>
  <c r="E1243" i="19" a="1"/>
  <c r="E1243" i="19" s="1"/>
  <c r="D1243" i="19" a="1"/>
  <c r="D1243" i="19" s="1"/>
  <c r="H1242" i="19" a="1"/>
  <c r="H1242" i="19" s="1"/>
  <c r="G1242" i="19"/>
  <c r="G1242" i="19" a="1"/>
  <c r="F1242" i="19" a="1"/>
  <c r="F1242" i="19" s="1"/>
  <c r="E1242" i="19" a="1"/>
  <c r="E1242" i="19" s="1"/>
  <c r="D1242" i="19" a="1"/>
  <c r="D1242" i="19" s="1"/>
  <c r="H1241" i="19" a="1"/>
  <c r="H1241" i="19" s="1"/>
  <c r="G1241" i="19"/>
  <c r="G1241" i="19" a="1"/>
  <c r="F1241" i="19" a="1"/>
  <c r="F1241" i="19" s="1"/>
  <c r="E1241" i="19" a="1"/>
  <c r="E1241" i="19" s="1"/>
  <c r="D1241" i="19" a="1"/>
  <c r="D1241" i="19" s="1"/>
  <c r="H1240" i="19" a="1"/>
  <c r="H1240" i="19" s="1"/>
  <c r="G1240" i="19" a="1"/>
  <c r="G1240" i="19" s="1"/>
  <c r="F1240" i="19" a="1"/>
  <c r="F1240" i="19" s="1"/>
  <c r="E1240" i="19" a="1"/>
  <c r="E1240" i="19" s="1"/>
  <c r="D1240" i="19" a="1"/>
  <c r="D1240" i="19" s="1"/>
  <c r="H1239" i="19" a="1"/>
  <c r="H1239" i="19" s="1"/>
  <c r="G1239" i="19"/>
  <c r="G1239" i="19" a="1"/>
  <c r="F1239" i="19" a="1"/>
  <c r="F1239" i="19" s="1"/>
  <c r="E1239" i="19" a="1"/>
  <c r="E1239" i="19" s="1"/>
  <c r="D1239" i="19" a="1"/>
  <c r="D1239" i="19" s="1"/>
  <c r="H1238" i="19" a="1"/>
  <c r="H1238" i="19" s="1"/>
  <c r="G1238" i="19" a="1"/>
  <c r="G1238" i="19" s="1"/>
  <c r="F1238" i="19" a="1"/>
  <c r="F1238" i="19" s="1"/>
  <c r="E1238" i="19" a="1"/>
  <c r="E1238" i="19" s="1"/>
  <c r="D1238" i="19" a="1"/>
  <c r="D1238" i="19" s="1"/>
  <c r="H1237" i="19" a="1"/>
  <c r="H1237" i="19" s="1"/>
  <c r="G1237" i="19" a="1"/>
  <c r="G1237" i="19" s="1"/>
  <c r="F1237" i="19" a="1"/>
  <c r="F1237" i="19" s="1"/>
  <c r="E1237" i="19"/>
  <c r="E1237" i="19" a="1"/>
  <c r="D1237" i="19" a="1"/>
  <c r="D1237" i="19" s="1"/>
  <c r="H1236" i="19" a="1"/>
  <c r="H1236" i="19" s="1"/>
  <c r="G1236" i="19" a="1"/>
  <c r="G1236" i="19" s="1"/>
  <c r="F1236" i="19" a="1"/>
  <c r="F1236" i="19" s="1"/>
  <c r="E1236" i="19" a="1"/>
  <c r="E1236" i="19" s="1"/>
  <c r="D1236" i="19" a="1"/>
  <c r="D1236" i="19" s="1"/>
  <c r="H1235" i="19" a="1"/>
  <c r="H1235" i="19" s="1"/>
  <c r="G1235" i="19" a="1"/>
  <c r="G1235" i="19" s="1"/>
  <c r="F1235" i="19"/>
  <c r="F1235" i="19" a="1"/>
  <c r="E1235" i="19" a="1"/>
  <c r="E1235" i="19" s="1"/>
  <c r="D1235" i="19" a="1"/>
  <c r="D1235" i="19" s="1"/>
  <c r="H1234" i="19" a="1"/>
  <c r="H1234" i="19" s="1"/>
  <c r="G1234" i="19" a="1"/>
  <c r="G1234" i="19" s="1"/>
  <c r="F1234" i="19" a="1"/>
  <c r="F1234" i="19" s="1"/>
  <c r="E1234" i="19" a="1"/>
  <c r="E1234" i="19" s="1"/>
  <c r="D1234" i="19" a="1"/>
  <c r="D1234" i="19" s="1"/>
  <c r="H1233" i="19" a="1"/>
  <c r="H1233" i="19" s="1"/>
  <c r="G1233" i="19" a="1"/>
  <c r="G1233" i="19" s="1"/>
  <c r="F1233" i="19" a="1"/>
  <c r="F1233" i="19" s="1"/>
  <c r="E1233" i="19" a="1"/>
  <c r="E1233" i="19" s="1"/>
  <c r="D1233" i="19" a="1"/>
  <c r="D1233" i="19" s="1"/>
  <c r="H1232" i="19" a="1"/>
  <c r="H1232" i="19" s="1"/>
  <c r="G1232" i="19" a="1"/>
  <c r="G1232" i="19" s="1"/>
  <c r="F1232" i="19" a="1"/>
  <c r="F1232" i="19" s="1"/>
  <c r="E1232" i="19" a="1"/>
  <c r="E1232" i="19" s="1"/>
  <c r="D1232" i="19" a="1"/>
  <c r="D1232" i="19" s="1"/>
  <c r="H1231" i="19" a="1"/>
  <c r="H1231" i="19" s="1"/>
  <c r="G1231" i="19" a="1"/>
  <c r="G1231" i="19" s="1"/>
  <c r="F1231" i="19" a="1"/>
  <c r="F1231" i="19" s="1"/>
  <c r="E1231" i="19" a="1"/>
  <c r="E1231" i="19" s="1"/>
  <c r="D1231" i="19"/>
  <c r="D1231" i="19" a="1"/>
  <c r="H1230" i="19" a="1"/>
  <c r="H1230" i="19" s="1"/>
  <c r="G1230" i="19" a="1"/>
  <c r="G1230" i="19" s="1"/>
  <c r="F1230" i="19" a="1"/>
  <c r="F1230" i="19" s="1"/>
  <c r="E1230" i="19"/>
  <c r="E1230" i="19" a="1"/>
  <c r="D1230" i="19"/>
  <c r="D1230" i="19" a="1"/>
  <c r="H1229" i="19" a="1"/>
  <c r="H1229" i="19" s="1"/>
  <c r="G1229" i="19"/>
  <c r="G1229" i="19" a="1"/>
  <c r="F1229" i="19"/>
  <c r="F1229" i="19" a="1"/>
  <c r="E1229" i="19"/>
  <c r="E1229" i="19" a="1"/>
  <c r="D1229" i="19"/>
  <c r="D1229" i="19" a="1"/>
  <c r="H1228" i="19" a="1"/>
  <c r="H1228" i="19" s="1"/>
  <c r="G1228" i="19"/>
  <c r="G1228" i="19" a="1"/>
  <c r="F1228" i="19"/>
  <c r="F1228" i="19" a="1"/>
  <c r="E1228" i="19"/>
  <c r="E1228" i="19" a="1"/>
  <c r="D1228" i="19"/>
  <c r="D1228" i="19" a="1"/>
  <c r="H1227" i="19" a="1"/>
  <c r="H1227" i="19" s="1"/>
  <c r="G1227" i="19"/>
  <c r="G1227" i="19" a="1"/>
  <c r="F1227" i="19"/>
  <c r="F1227" i="19" a="1"/>
  <c r="E1227" i="19"/>
  <c r="E1227" i="19" a="1"/>
  <c r="D1227" i="19"/>
  <c r="D1227" i="19" a="1"/>
  <c r="H1226" i="19" a="1"/>
  <c r="H1226" i="19" s="1"/>
  <c r="G1226" i="19"/>
  <c r="G1226" i="19" a="1"/>
  <c r="F1226" i="19"/>
  <c r="F1226" i="19" a="1"/>
  <c r="E1226" i="19"/>
  <c r="E1226" i="19" a="1"/>
  <c r="D1226" i="19"/>
  <c r="D1226" i="19" a="1"/>
  <c r="H1225" i="19" a="1"/>
  <c r="H1225" i="19" s="1"/>
  <c r="G1225" i="19"/>
  <c r="G1225" i="19" a="1"/>
  <c r="F1225" i="19"/>
  <c r="F1225" i="19" a="1"/>
  <c r="E1225" i="19"/>
  <c r="E1225" i="19" a="1"/>
  <c r="D1225" i="19"/>
  <c r="D1225" i="19" a="1"/>
  <c r="H1224" i="19" a="1"/>
  <c r="H1224" i="19" s="1"/>
  <c r="G1224" i="19"/>
  <c r="G1224" i="19" a="1"/>
  <c r="F1224" i="19"/>
  <c r="F1224" i="19" a="1"/>
  <c r="E1224" i="19"/>
  <c r="E1224" i="19" a="1"/>
  <c r="D1224" i="19"/>
  <c r="D1224" i="19" a="1"/>
  <c r="H1223" i="19" a="1"/>
  <c r="H1223" i="19" s="1"/>
  <c r="G1223" i="19"/>
  <c r="G1223" i="19" a="1"/>
  <c r="F1223" i="19"/>
  <c r="F1223" i="19" a="1"/>
  <c r="E1223" i="19"/>
  <c r="E1223" i="19" a="1"/>
  <c r="D1223" i="19"/>
  <c r="D1223" i="19" a="1"/>
  <c r="H1222" i="19" a="1"/>
  <c r="H1222" i="19" s="1"/>
  <c r="G1222" i="19"/>
  <c r="G1222" i="19" a="1"/>
  <c r="F1222" i="19"/>
  <c r="F1222" i="19" a="1"/>
  <c r="E1222" i="19"/>
  <c r="E1222" i="19" a="1"/>
  <c r="D1222" i="19"/>
  <c r="D1222" i="19" a="1"/>
  <c r="H1221" i="19" a="1"/>
  <c r="H1221" i="19" s="1"/>
  <c r="G1221" i="19"/>
  <c r="G1221" i="19" a="1"/>
  <c r="F1221" i="19"/>
  <c r="F1221" i="19" a="1"/>
  <c r="E1221" i="19"/>
  <c r="E1221" i="19" a="1"/>
  <c r="D1221" i="19"/>
  <c r="D1221" i="19" a="1"/>
  <c r="H1220" i="19" a="1"/>
  <c r="H1220" i="19" s="1"/>
  <c r="G1220" i="19"/>
  <c r="G1220" i="19" a="1"/>
  <c r="F1220" i="19"/>
  <c r="F1220" i="19" a="1"/>
  <c r="E1220" i="19"/>
  <c r="E1220" i="19" a="1"/>
  <c r="D1220" i="19"/>
  <c r="D1220" i="19" a="1"/>
  <c r="H1219" i="19" a="1"/>
  <c r="H1219" i="19" s="1"/>
  <c r="G1219" i="19"/>
  <c r="G1219" i="19" a="1"/>
  <c r="F1219" i="19"/>
  <c r="F1219" i="19" a="1"/>
  <c r="E1219" i="19"/>
  <c r="E1219" i="19" a="1"/>
  <c r="D1219" i="19"/>
  <c r="D1219" i="19" a="1"/>
  <c r="H1218" i="19" a="1"/>
  <c r="H1218" i="19" s="1"/>
  <c r="G1218" i="19" a="1"/>
  <c r="G1218" i="19" s="1"/>
  <c r="F1218" i="19"/>
  <c r="F1218" i="19" a="1"/>
  <c r="E1218" i="19" a="1"/>
  <c r="E1218" i="19" s="1"/>
  <c r="D1218" i="19"/>
  <c r="D1218" i="19" a="1"/>
  <c r="H1217" i="19" a="1"/>
  <c r="H1217" i="19" s="1"/>
  <c r="G1217" i="19"/>
  <c r="G1217" i="19" a="1"/>
  <c r="F1217" i="19" a="1"/>
  <c r="F1217" i="19" s="1"/>
  <c r="E1217" i="19"/>
  <c r="E1217" i="19" a="1"/>
  <c r="D1217" i="19" a="1"/>
  <c r="D1217" i="19" s="1"/>
  <c r="H1216" i="19" a="1"/>
  <c r="H1216" i="19" s="1"/>
  <c r="G1216" i="19" a="1"/>
  <c r="G1216" i="19" s="1"/>
  <c r="F1216" i="19"/>
  <c r="F1216" i="19" a="1"/>
  <c r="E1216" i="19" a="1"/>
  <c r="E1216" i="19" s="1"/>
  <c r="D1216" i="19"/>
  <c r="D1216" i="19" a="1"/>
  <c r="H1215" i="19" a="1"/>
  <c r="H1215" i="19" s="1"/>
  <c r="G1215" i="19"/>
  <c r="G1215" i="19" a="1"/>
  <c r="F1215" i="19" a="1"/>
  <c r="F1215" i="19" s="1"/>
  <c r="E1215" i="19"/>
  <c r="E1215" i="19" a="1"/>
  <c r="D1215" i="19" a="1"/>
  <c r="D1215" i="19" s="1"/>
  <c r="H1214" i="19" a="1"/>
  <c r="H1214" i="19" s="1"/>
  <c r="G1214" i="19"/>
  <c r="G1214" i="19" a="1"/>
  <c r="F1214" i="19"/>
  <c r="F1214" i="19" a="1"/>
  <c r="E1214" i="19"/>
  <c r="E1214" i="19" a="1"/>
  <c r="D1214" i="19"/>
  <c r="D1214" i="19" a="1"/>
  <c r="H1213" i="19" a="1"/>
  <c r="H1213" i="19" s="1"/>
  <c r="G1213" i="19"/>
  <c r="G1213" i="19" a="1"/>
  <c r="F1213" i="19"/>
  <c r="F1213" i="19" a="1"/>
  <c r="E1213" i="19"/>
  <c r="E1213" i="19" a="1"/>
  <c r="D1213" i="19" a="1"/>
  <c r="D1213" i="19" s="1"/>
  <c r="H1212" i="19" a="1"/>
  <c r="H1212" i="19" s="1"/>
  <c r="G1212" i="19" a="1"/>
  <c r="G1212" i="19" s="1"/>
  <c r="F1212" i="19"/>
  <c r="F1212" i="19" a="1"/>
  <c r="E1212" i="19" a="1"/>
  <c r="E1212" i="19" s="1"/>
  <c r="D1212" i="19"/>
  <c r="D1212" i="19" a="1"/>
  <c r="H1211" i="19" a="1"/>
  <c r="H1211" i="19" s="1"/>
  <c r="G1211" i="19"/>
  <c r="G1211" i="19" a="1"/>
  <c r="F1211" i="19" a="1"/>
  <c r="F1211" i="19" s="1"/>
  <c r="E1211" i="19"/>
  <c r="E1211" i="19" a="1"/>
  <c r="D1211" i="19" a="1"/>
  <c r="D1211" i="19" s="1"/>
  <c r="H1210" i="19" a="1"/>
  <c r="H1210" i="19" s="1"/>
  <c r="G1210" i="19" a="1"/>
  <c r="G1210" i="19" s="1"/>
  <c r="F1210" i="19"/>
  <c r="F1210" i="19" a="1"/>
  <c r="E1210" i="19" a="1"/>
  <c r="E1210" i="19" s="1"/>
  <c r="D1210" i="19"/>
  <c r="D1210" i="19" a="1"/>
  <c r="H1209" i="19" a="1"/>
  <c r="H1209" i="19" s="1"/>
  <c r="G1209" i="19" a="1"/>
  <c r="G1209" i="19" s="1"/>
  <c r="F1209" i="19"/>
  <c r="F1209" i="19" a="1"/>
  <c r="E1209" i="19"/>
  <c r="E1209" i="19" a="1"/>
  <c r="D1209" i="19" a="1"/>
  <c r="D1209" i="19" s="1"/>
  <c r="H1208" i="19" a="1"/>
  <c r="H1208" i="19" s="1"/>
  <c r="G1208" i="19"/>
  <c r="G1208" i="19" a="1"/>
  <c r="F1208" i="19"/>
  <c r="F1208" i="19" a="1"/>
  <c r="E1208" i="19" a="1"/>
  <c r="E1208" i="19" s="1"/>
  <c r="D1208" i="19"/>
  <c r="D1208" i="19" a="1"/>
  <c r="H1207" i="19" a="1"/>
  <c r="H1207" i="19" s="1"/>
  <c r="G1207" i="19"/>
  <c r="G1207" i="19" a="1"/>
  <c r="F1207" i="19" a="1"/>
  <c r="F1207" i="19" s="1"/>
  <c r="E1207" i="19" a="1"/>
  <c r="E1207" i="19" s="1"/>
  <c r="D1207" i="19" a="1"/>
  <c r="D1207" i="19" s="1"/>
  <c r="H1206" i="19" a="1"/>
  <c r="H1206" i="19" s="1"/>
  <c r="G1206" i="19" a="1"/>
  <c r="G1206" i="19" s="1"/>
  <c r="F1206" i="19"/>
  <c r="F1206" i="19" a="1"/>
  <c r="E1206" i="19" a="1"/>
  <c r="E1206" i="19" s="1"/>
  <c r="D1206" i="19" a="1"/>
  <c r="D1206" i="19" s="1"/>
  <c r="H1205" i="19" a="1"/>
  <c r="H1205" i="19" s="1"/>
  <c r="G1205" i="19"/>
  <c r="G1205" i="19" a="1"/>
  <c r="F1205" i="19" a="1"/>
  <c r="F1205" i="19" s="1"/>
  <c r="E1205" i="19"/>
  <c r="E1205" i="19" a="1"/>
  <c r="D1205" i="19"/>
  <c r="D1205" i="19" a="1"/>
  <c r="H1204" i="19" a="1"/>
  <c r="H1204" i="19" s="1"/>
  <c r="G1204" i="19"/>
  <c r="G1204" i="19" a="1"/>
  <c r="F1204" i="19"/>
  <c r="F1204" i="19" a="1"/>
  <c r="E1204" i="19" a="1"/>
  <c r="E1204" i="19" s="1"/>
  <c r="D1204" i="19"/>
  <c r="D1204" i="19" a="1"/>
  <c r="H1203" i="19" a="1"/>
  <c r="H1203" i="19" s="1"/>
  <c r="G1203" i="19" a="1"/>
  <c r="G1203" i="19" s="1"/>
  <c r="F1203" i="19" a="1"/>
  <c r="F1203" i="19" s="1"/>
  <c r="E1203" i="19"/>
  <c r="E1203" i="19" a="1"/>
  <c r="D1203" i="19" a="1"/>
  <c r="D1203" i="19" s="1"/>
  <c r="H1202" i="19" a="1"/>
  <c r="H1202" i="19" s="1"/>
  <c r="G1202" i="19" a="1"/>
  <c r="G1202" i="19" s="1"/>
  <c r="F1202" i="19"/>
  <c r="F1202" i="19" a="1"/>
  <c r="E1202" i="19"/>
  <c r="E1202" i="19" a="1"/>
  <c r="D1202" i="19"/>
  <c r="D1202" i="19" a="1"/>
  <c r="H1201" i="19" a="1"/>
  <c r="H1201" i="19" s="1"/>
  <c r="G1201" i="19"/>
  <c r="G1201" i="19" a="1"/>
  <c r="F1201" i="19"/>
  <c r="F1201" i="19" a="1"/>
  <c r="E1201" i="19" a="1"/>
  <c r="E1201" i="19" s="1"/>
  <c r="D1201" i="19" a="1"/>
  <c r="D1201" i="19" s="1"/>
  <c r="H1200" i="19" a="1"/>
  <c r="H1200" i="19" s="1"/>
  <c r="G1200" i="19" a="1"/>
  <c r="G1200" i="19" s="1"/>
  <c r="F1200" i="19" a="1"/>
  <c r="F1200" i="19" s="1"/>
  <c r="E1200" i="19"/>
  <c r="E1200" i="19" a="1"/>
  <c r="D1200" i="19" a="1"/>
  <c r="D1200" i="19" s="1"/>
  <c r="H1199" i="19" a="1"/>
  <c r="H1199" i="19" s="1"/>
  <c r="G1199" i="19" a="1"/>
  <c r="G1199" i="19" s="1"/>
  <c r="F1199" i="19" a="1"/>
  <c r="F1199" i="19" s="1"/>
  <c r="E1199" i="19"/>
  <c r="E1199" i="19" a="1"/>
  <c r="D1199" i="19" a="1"/>
  <c r="D1199" i="19" s="1"/>
  <c r="H1198" i="19" a="1"/>
  <c r="H1198" i="19" s="1"/>
  <c r="G1198" i="19" a="1"/>
  <c r="G1198" i="19" s="1"/>
  <c r="F1198" i="19" a="1"/>
  <c r="F1198" i="19" s="1"/>
  <c r="E1198" i="19" a="1"/>
  <c r="E1198" i="19" s="1"/>
  <c r="D1198" i="19" a="1"/>
  <c r="D1198" i="19" s="1"/>
  <c r="H1197" i="19" a="1"/>
  <c r="H1197" i="19" s="1"/>
  <c r="G1197" i="19"/>
  <c r="G1197" i="19" a="1"/>
  <c r="F1197" i="19" a="1"/>
  <c r="F1197" i="19" s="1"/>
  <c r="E1197" i="19"/>
  <c r="E1197" i="19" a="1"/>
  <c r="D1197" i="19" a="1"/>
  <c r="D1197" i="19" s="1"/>
  <c r="H1196" i="19" a="1"/>
  <c r="H1196" i="19" s="1"/>
  <c r="G1196" i="19" a="1"/>
  <c r="G1196" i="19" s="1"/>
  <c r="F1196" i="19" a="1"/>
  <c r="F1196" i="19" s="1"/>
  <c r="E1196" i="19"/>
  <c r="E1196" i="19" a="1"/>
  <c r="D1196" i="19" a="1"/>
  <c r="D1196" i="19" s="1"/>
  <c r="H1195" i="19" a="1"/>
  <c r="H1195" i="19" s="1"/>
  <c r="G1195" i="19"/>
  <c r="G1195" i="19" a="1"/>
  <c r="F1195" i="19"/>
  <c r="F1195" i="19" a="1"/>
  <c r="E1195" i="19" a="1"/>
  <c r="E1195" i="19" s="1"/>
  <c r="D1195" i="19"/>
  <c r="D1195" i="19" a="1"/>
  <c r="H1194" i="19" a="1"/>
  <c r="H1194" i="19" s="1"/>
  <c r="G1194" i="19" a="1"/>
  <c r="G1194" i="19" s="1"/>
  <c r="F1194" i="19" a="1"/>
  <c r="F1194" i="19" s="1"/>
  <c r="E1194" i="19" a="1"/>
  <c r="E1194" i="19" s="1"/>
  <c r="D1194" i="19" a="1"/>
  <c r="D1194" i="19" s="1"/>
  <c r="H1193" i="19" a="1"/>
  <c r="H1193" i="19" s="1"/>
  <c r="G1193" i="19"/>
  <c r="G1193" i="19" a="1"/>
  <c r="F1193" i="19" a="1"/>
  <c r="F1193" i="19" s="1"/>
  <c r="E1193" i="19"/>
  <c r="E1193" i="19" a="1"/>
  <c r="D1193" i="19"/>
  <c r="D1193" i="19" a="1"/>
  <c r="H1192" i="19" a="1"/>
  <c r="H1192" i="19" s="1"/>
  <c r="G1192" i="19"/>
  <c r="G1192" i="19" a="1"/>
  <c r="F1192" i="19"/>
  <c r="F1192" i="19" a="1"/>
  <c r="E1192" i="19" a="1"/>
  <c r="E1192" i="19" s="1"/>
  <c r="D1192" i="19" a="1"/>
  <c r="D1192" i="19" s="1"/>
  <c r="H1191" i="19" a="1"/>
  <c r="H1191" i="19" s="1"/>
  <c r="G1191" i="19" a="1"/>
  <c r="G1191" i="19" s="1"/>
  <c r="F1191" i="19" a="1"/>
  <c r="F1191" i="19" s="1"/>
  <c r="E1191" i="19" a="1"/>
  <c r="E1191" i="19" s="1"/>
  <c r="D1191" i="19" a="1"/>
  <c r="D1191" i="19" s="1"/>
  <c r="H1190" i="19" a="1"/>
  <c r="H1190" i="19" s="1"/>
  <c r="G1190" i="19"/>
  <c r="G1190" i="19" a="1"/>
  <c r="F1190" i="19"/>
  <c r="F1190" i="19" a="1"/>
  <c r="E1190" i="19" a="1"/>
  <c r="E1190" i="19" s="1"/>
  <c r="D1190" i="19" a="1"/>
  <c r="D1190" i="19" s="1"/>
  <c r="H1189" i="19" a="1"/>
  <c r="H1189" i="19" s="1"/>
  <c r="G1189" i="19" a="1"/>
  <c r="G1189" i="19" s="1"/>
  <c r="F1189" i="19" a="1"/>
  <c r="F1189" i="19" s="1"/>
  <c r="E1189" i="19" a="1"/>
  <c r="E1189" i="19" s="1"/>
  <c r="D1189" i="19" a="1"/>
  <c r="D1189" i="19" s="1"/>
  <c r="H1188" i="19" a="1"/>
  <c r="H1188" i="19" s="1"/>
  <c r="G1188" i="19" a="1"/>
  <c r="G1188" i="19" s="1"/>
  <c r="F1188" i="19"/>
  <c r="F1188" i="19" a="1"/>
  <c r="E1188" i="19"/>
  <c r="E1188" i="19" a="1"/>
  <c r="D1188" i="19" a="1"/>
  <c r="D1188" i="19" s="1"/>
  <c r="H1187" i="19" a="1"/>
  <c r="H1187" i="19" s="1"/>
  <c r="G1187" i="19" a="1"/>
  <c r="G1187" i="19" s="1"/>
  <c r="F1187" i="19" a="1"/>
  <c r="F1187" i="19" s="1"/>
  <c r="E1187" i="19" a="1"/>
  <c r="E1187" i="19" s="1"/>
  <c r="D1187" i="19" a="1"/>
  <c r="D1187" i="19" s="1"/>
  <c r="H1186" i="19" a="1"/>
  <c r="H1186" i="19" s="1"/>
  <c r="G1186" i="19" a="1"/>
  <c r="G1186" i="19" s="1"/>
  <c r="F1186" i="19" a="1"/>
  <c r="F1186" i="19" s="1"/>
  <c r="E1186" i="19" a="1"/>
  <c r="E1186" i="19" s="1"/>
  <c r="D1186" i="19" a="1"/>
  <c r="D1186" i="19" s="1"/>
  <c r="H1185" i="19" a="1"/>
  <c r="H1185" i="19" s="1"/>
  <c r="G1185" i="19"/>
  <c r="G1185" i="19" a="1"/>
  <c r="F1185" i="19" a="1"/>
  <c r="F1185" i="19" s="1"/>
  <c r="E1185" i="19" a="1"/>
  <c r="E1185" i="19" s="1"/>
  <c r="D1185" i="19" a="1"/>
  <c r="D1185" i="19" s="1"/>
  <c r="H1184" i="19" a="1"/>
  <c r="H1184" i="19" s="1"/>
  <c r="G1184" i="19" a="1"/>
  <c r="G1184" i="19" s="1"/>
  <c r="F1184" i="19" a="1"/>
  <c r="F1184" i="19" s="1"/>
  <c r="E1184" i="19" a="1"/>
  <c r="E1184" i="19" s="1"/>
  <c r="D1184" i="19" a="1"/>
  <c r="D1184" i="19" s="1"/>
  <c r="H1183" i="19" a="1"/>
  <c r="H1183" i="19" s="1"/>
  <c r="G1183" i="19"/>
  <c r="G1183" i="19" a="1"/>
  <c r="F1183" i="19"/>
  <c r="F1183" i="19" a="1"/>
  <c r="E1183" i="19"/>
  <c r="E1183" i="19" a="1"/>
  <c r="D1183" i="19"/>
  <c r="D1183" i="19" a="1"/>
  <c r="H1182" i="19" a="1"/>
  <c r="H1182" i="19" s="1"/>
  <c r="G1182" i="19" a="1"/>
  <c r="G1182" i="19" s="1"/>
  <c r="F1182" i="19" a="1"/>
  <c r="F1182" i="19" s="1"/>
  <c r="E1182" i="19"/>
  <c r="E1182" i="19" a="1"/>
  <c r="D1182" i="19"/>
  <c r="D1182" i="19" a="1"/>
  <c r="H1181" i="19" a="1"/>
  <c r="H1181" i="19" s="1"/>
  <c r="G1181" i="19" a="1"/>
  <c r="G1181" i="19" s="1"/>
  <c r="F1181" i="19" a="1"/>
  <c r="F1181" i="19" s="1"/>
  <c r="E1181" i="19" a="1"/>
  <c r="E1181" i="19" s="1"/>
  <c r="D1181" i="19"/>
  <c r="D1181" i="19" a="1"/>
  <c r="H1180" i="19" a="1"/>
  <c r="H1180" i="19" s="1"/>
  <c r="G1180" i="19"/>
  <c r="G1180" i="19" a="1"/>
  <c r="F1180" i="19"/>
  <c r="F1180" i="19" a="1"/>
  <c r="E1180" i="19" a="1"/>
  <c r="E1180" i="19" s="1"/>
  <c r="D1180" i="19" a="1"/>
  <c r="D1180" i="19" s="1"/>
  <c r="H1179" i="19" a="1"/>
  <c r="H1179" i="19" s="1"/>
  <c r="G1179" i="19"/>
  <c r="G1179" i="19" a="1"/>
  <c r="F1179" i="19" a="1"/>
  <c r="F1179" i="19" s="1"/>
  <c r="E1179" i="19" a="1"/>
  <c r="E1179" i="19" s="1"/>
  <c r="D1179" i="19" a="1"/>
  <c r="D1179" i="19" s="1"/>
  <c r="H1178" i="19" a="1"/>
  <c r="H1178" i="19" s="1"/>
  <c r="G1178" i="19" a="1"/>
  <c r="G1178" i="19" s="1"/>
  <c r="F1178" i="19" a="1"/>
  <c r="F1178" i="19" s="1"/>
  <c r="E1178" i="19"/>
  <c r="E1178" i="19" a="1"/>
  <c r="D1178" i="19"/>
  <c r="D1178" i="19" a="1"/>
  <c r="H1177" i="19" a="1"/>
  <c r="H1177" i="19" s="1"/>
  <c r="G1177" i="19" a="1"/>
  <c r="G1177" i="19" s="1"/>
  <c r="F1177" i="19" a="1"/>
  <c r="F1177" i="19" s="1"/>
  <c r="E1177" i="19"/>
  <c r="E1177" i="19" a="1"/>
  <c r="D1177" i="19" a="1"/>
  <c r="D1177" i="19" s="1"/>
  <c r="H1176" i="19" a="1"/>
  <c r="H1176" i="19" s="1"/>
  <c r="G1176" i="19" a="1"/>
  <c r="G1176" i="19" s="1"/>
  <c r="F1176" i="19"/>
  <c r="F1176" i="19" a="1"/>
  <c r="E1176" i="19"/>
  <c r="E1176" i="19" a="1"/>
  <c r="D1176" i="19" a="1"/>
  <c r="D1176" i="19" s="1"/>
  <c r="H1175" i="19" a="1"/>
  <c r="H1175" i="19" s="1"/>
  <c r="G1175" i="19" a="1"/>
  <c r="G1175" i="19" s="1"/>
  <c r="F1175" i="19" a="1"/>
  <c r="F1175" i="19" s="1"/>
  <c r="E1175" i="19" a="1"/>
  <c r="E1175" i="19" s="1"/>
  <c r="D1175" i="19" a="1"/>
  <c r="D1175" i="19" s="1"/>
  <c r="H1174" i="19" a="1"/>
  <c r="H1174" i="19" s="1"/>
  <c r="G1174" i="19" a="1"/>
  <c r="G1174" i="19" s="1"/>
  <c r="F1174" i="19" a="1"/>
  <c r="F1174" i="19" s="1"/>
  <c r="E1174" i="19" a="1"/>
  <c r="E1174" i="19" s="1"/>
  <c r="D1174" i="19"/>
  <c r="D1174" i="19" a="1"/>
  <c r="H1173" i="19" a="1"/>
  <c r="H1173" i="19" s="1"/>
  <c r="G1173" i="19" a="1"/>
  <c r="G1173" i="19" s="1"/>
  <c r="F1173" i="19"/>
  <c r="F1173" i="19" a="1"/>
  <c r="E1173" i="19" a="1"/>
  <c r="E1173" i="19" s="1"/>
  <c r="D1173" i="19" a="1"/>
  <c r="D1173" i="19" s="1"/>
  <c r="H1172" i="19" a="1"/>
  <c r="H1172" i="19" s="1"/>
  <c r="G1172" i="19" a="1"/>
  <c r="G1172" i="19" s="1"/>
  <c r="F1172" i="19" a="1"/>
  <c r="F1172" i="19" s="1"/>
  <c r="E1172" i="19" a="1"/>
  <c r="E1172" i="19" s="1"/>
  <c r="D1172" i="19"/>
  <c r="D1172" i="19" a="1"/>
  <c r="H1171" i="19" a="1"/>
  <c r="H1171" i="19" s="1"/>
  <c r="G1171" i="19"/>
  <c r="G1171" i="19" a="1"/>
  <c r="F1171" i="19"/>
  <c r="F1171" i="19" a="1"/>
  <c r="E1171" i="19"/>
  <c r="E1171" i="19" a="1"/>
  <c r="D1171" i="19"/>
  <c r="D1171" i="19" a="1"/>
  <c r="H1170" i="19" a="1"/>
  <c r="H1170" i="19" s="1"/>
  <c r="G1170" i="19" a="1"/>
  <c r="G1170" i="19" s="1"/>
  <c r="F1170" i="19"/>
  <c r="F1170" i="19" a="1"/>
  <c r="E1170" i="19" a="1"/>
  <c r="E1170" i="19" s="1"/>
  <c r="D1170" i="19" a="1"/>
  <c r="D1170" i="19" s="1"/>
  <c r="H1169" i="19" a="1"/>
  <c r="H1169" i="19" s="1"/>
  <c r="G1169" i="19" a="1"/>
  <c r="G1169" i="19" s="1"/>
  <c r="F1169" i="19" a="1"/>
  <c r="F1169" i="19" s="1"/>
  <c r="E1169" i="19" a="1"/>
  <c r="E1169" i="19" s="1"/>
  <c r="D1169" i="19"/>
  <c r="D1169" i="19" a="1"/>
  <c r="H1168" i="19" a="1"/>
  <c r="H1168" i="19" s="1"/>
  <c r="G1168" i="19" a="1"/>
  <c r="G1168" i="19" s="1"/>
  <c r="F1168" i="19"/>
  <c r="F1168" i="19" a="1"/>
  <c r="E1168" i="19" a="1"/>
  <c r="E1168" i="19" s="1"/>
  <c r="D1168" i="19" a="1"/>
  <c r="D1168" i="19" s="1"/>
  <c r="H1167" i="19" a="1"/>
  <c r="H1167" i="19" s="1"/>
  <c r="G1167" i="19"/>
  <c r="G1167" i="19" a="1"/>
  <c r="F1167" i="19" a="1"/>
  <c r="F1167" i="19" s="1"/>
  <c r="E1167" i="19" a="1"/>
  <c r="E1167" i="19" s="1"/>
  <c r="D1167" i="19" a="1"/>
  <c r="D1167" i="19" s="1"/>
  <c r="H1166" i="19" a="1"/>
  <c r="H1166" i="19" s="1"/>
  <c r="G1166" i="19"/>
  <c r="G1166" i="19" a="1"/>
  <c r="F1166" i="19" a="1"/>
  <c r="F1166" i="19" s="1"/>
  <c r="E1166" i="19"/>
  <c r="E1166" i="19" a="1"/>
  <c r="D1166" i="19" a="1"/>
  <c r="D1166" i="19" s="1"/>
  <c r="H1165" i="19" a="1"/>
  <c r="H1165" i="19" s="1"/>
  <c r="G1165" i="19" a="1"/>
  <c r="G1165" i="19" s="1"/>
  <c r="F1165" i="19" a="1"/>
  <c r="F1165" i="19" s="1"/>
  <c r="E1165" i="19" a="1"/>
  <c r="E1165" i="19" s="1"/>
  <c r="D1165" i="19" a="1"/>
  <c r="D1165" i="19" s="1"/>
  <c r="H1164" i="19" a="1"/>
  <c r="H1164" i="19" s="1"/>
  <c r="G1164" i="19" a="1"/>
  <c r="G1164" i="19" s="1"/>
  <c r="F1164" i="19" a="1"/>
  <c r="F1164" i="19" s="1"/>
  <c r="E1164" i="19" a="1"/>
  <c r="E1164" i="19" s="1"/>
  <c r="D1164" i="19"/>
  <c r="D1164" i="19" a="1"/>
  <c r="H1163" i="19" a="1"/>
  <c r="H1163" i="19" s="1"/>
  <c r="G1163" i="19"/>
  <c r="G1163" i="19" a="1"/>
  <c r="F1163" i="19" a="1"/>
  <c r="F1163" i="19" s="1"/>
  <c r="E1163" i="19" a="1"/>
  <c r="E1163" i="19" s="1"/>
  <c r="D1163" i="19" a="1"/>
  <c r="D1163" i="19" s="1"/>
  <c r="H1162" i="19" a="1"/>
  <c r="H1162" i="19" s="1"/>
  <c r="G1162" i="19" a="1"/>
  <c r="G1162" i="19" s="1"/>
  <c r="F1162" i="19" a="1"/>
  <c r="F1162" i="19" s="1"/>
  <c r="E1162" i="19" a="1"/>
  <c r="E1162" i="19" s="1"/>
  <c r="D1162" i="19" a="1"/>
  <c r="D1162" i="19" s="1"/>
  <c r="H1161" i="19" a="1"/>
  <c r="H1161" i="19" s="1"/>
  <c r="G1161" i="19" a="1"/>
  <c r="G1161" i="19" s="1"/>
  <c r="F1161" i="19" a="1"/>
  <c r="F1161" i="19" s="1"/>
  <c r="E1161" i="19" a="1"/>
  <c r="E1161" i="19" s="1"/>
  <c r="D1161" i="19" a="1"/>
  <c r="D1161" i="19" s="1"/>
  <c r="H1160" i="19" a="1"/>
  <c r="H1160" i="19" s="1"/>
  <c r="G1160" i="19" a="1"/>
  <c r="G1160" i="19" s="1"/>
  <c r="F1160" i="19" a="1"/>
  <c r="F1160" i="19" s="1"/>
  <c r="E1160" i="19" a="1"/>
  <c r="E1160" i="19" s="1"/>
  <c r="D1160" i="19" a="1"/>
  <c r="D1160" i="19" s="1"/>
  <c r="H1159" i="19" a="1"/>
  <c r="H1159" i="19" s="1"/>
  <c r="G1159" i="19"/>
  <c r="G1159" i="19" a="1"/>
  <c r="F1159" i="19" a="1"/>
  <c r="F1159" i="19" s="1"/>
  <c r="E1159" i="19" a="1"/>
  <c r="E1159" i="19" s="1"/>
  <c r="D1159" i="19"/>
  <c r="D1159" i="19" a="1"/>
  <c r="H1158" i="19" a="1"/>
  <c r="H1158" i="19" s="1"/>
  <c r="G1158" i="19" a="1"/>
  <c r="G1158" i="19" s="1"/>
  <c r="F1158" i="19" a="1"/>
  <c r="F1158" i="19" s="1"/>
  <c r="E1158" i="19" a="1"/>
  <c r="E1158" i="19" s="1"/>
  <c r="D1158" i="19" a="1"/>
  <c r="D1158" i="19" s="1"/>
  <c r="H1157" i="19" a="1"/>
  <c r="H1157" i="19" s="1"/>
  <c r="G1157" i="19"/>
  <c r="G1157" i="19" a="1"/>
  <c r="F1157" i="19" a="1"/>
  <c r="F1157" i="19" s="1"/>
  <c r="E1157" i="19" a="1"/>
  <c r="E1157" i="19" s="1"/>
  <c r="D1157" i="19"/>
  <c r="D1157" i="19" a="1"/>
  <c r="H1156" i="19" a="1"/>
  <c r="H1156" i="19" s="1"/>
  <c r="G1156" i="19" a="1"/>
  <c r="G1156" i="19" s="1"/>
  <c r="F1156" i="19"/>
  <c r="F1156" i="19" a="1"/>
  <c r="E1156" i="19" a="1"/>
  <c r="E1156" i="19" s="1"/>
  <c r="D1156" i="19"/>
  <c r="D1156" i="19" a="1"/>
  <c r="H1155" i="19" a="1"/>
  <c r="H1155" i="19" s="1"/>
  <c r="G1155" i="19" a="1"/>
  <c r="G1155" i="19" s="1"/>
  <c r="F1155" i="19" a="1"/>
  <c r="F1155" i="19" s="1"/>
  <c r="E1155" i="19" a="1"/>
  <c r="E1155" i="19" s="1"/>
  <c r="D1155" i="19" a="1"/>
  <c r="D1155" i="19" s="1"/>
  <c r="H1154" i="19" a="1"/>
  <c r="H1154" i="19" s="1"/>
  <c r="G1154" i="19" a="1"/>
  <c r="G1154" i="19" s="1"/>
  <c r="F1154" i="19"/>
  <c r="F1154" i="19" a="1"/>
  <c r="E1154" i="19" a="1"/>
  <c r="E1154" i="19" s="1"/>
  <c r="D1154" i="19" a="1"/>
  <c r="D1154" i="19" s="1"/>
  <c r="H1153" i="19" a="1"/>
  <c r="H1153" i="19" s="1"/>
  <c r="G1153" i="19" a="1"/>
  <c r="G1153" i="19" s="1"/>
  <c r="F1153" i="19" a="1"/>
  <c r="F1153" i="19" s="1"/>
  <c r="E1153" i="19"/>
  <c r="E1153" i="19" a="1"/>
  <c r="D1153" i="19" a="1"/>
  <c r="D1153" i="19" s="1"/>
  <c r="H1152" i="19" a="1"/>
  <c r="H1152" i="19" s="1"/>
  <c r="G1152" i="19" a="1"/>
  <c r="G1152" i="19" s="1"/>
  <c r="F1152" i="19"/>
  <c r="F1152" i="19" a="1"/>
  <c r="E1152" i="19"/>
  <c r="E1152" i="19" a="1"/>
  <c r="D1152" i="19" a="1"/>
  <c r="D1152" i="19" s="1"/>
  <c r="H1151" i="19" a="1"/>
  <c r="H1151" i="19" s="1"/>
  <c r="G1151" i="19" a="1"/>
  <c r="G1151" i="19" s="1"/>
  <c r="F1151" i="19" a="1"/>
  <c r="F1151" i="19" s="1"/>
  <c r="E1151" i="19" a="1"/>
  <c r="E1151" i="19" s="1"/>
  <c r="D1151" i="19" a="1"/>
  <c r="D1151" i="19" s="1"/>
  <c r="H1150" i="19" a="1"/>
  <c r="H1150" i="19" s="1"/>
  <c r="G1150" i="19" a="1"/>
  <c r="G1150" i="19" s="1"/>
  <c r="F1150" i="19" a="1"/>
  <c r="F1150" i="19" s="1"/>
  <c r="E1150" i="19" a="1"/>
  <c r="E1150" i="19" s="1"/>
  <c r="D1150" i="19" a="1"/>
  <c r="D1150" i="19" s="1"/>
  <c r="H1149" i="19" a="1"/>
  <c r="H1149" i="19" s="1"/>
  <c r="G1149" i="19"/>
  <c r="G1149" i="19" a="1"/>
  <c r="F1149" i="19"/>
  <c r="F1149" i="19" a="1"/>
  <c r="E1149" i="19"/>
  <c r="E1149" i="19" a="1"/>
  <c r="D1149" i="19" a="1"/>
  <c r="D1149" i="19" s="1"/>
  <c r="H1148" i="19" a="1"/>
  <c r="H1148" i="19" s="1"/>
  <c r="G1148" i="19" a="1"/>
  <c r="G1148" i="19" s="1"/>
  <c r="F1148" i="19"/>
  <c r="F1148" i="19" a="1"/>
  <c r="E1148" i="19" a="1"/>
  <c r="E1148" i="19" s="1"/>
  <c r="D1148" i="19" a="1"/>
  <c r="D1148" i="19" s="1"/>
  <c r="H1147" i="19" a="1"/>
  <c r="H1147" i="19" s="1"/>
  <c r="G1147" i="19" a="1"/>
  <c r="G1147" i="19" s="1"/>
  <c r="F1147" i="19" a="1"/>
  <c r="F1147" i="19" s="1"/>
  <c r="E1147" i="19" a="1"/>
  <c r="E1147" i="19" s="1"/>
  <c r="D1147" i="19" a="1"/>
  <c r="D1147" i="19" s="1"/>
  <c r="H1146" i="19" a="1"/>
  <c r="H1146" i="19" s="1"/>
  <c r="G1146" i="19" a="1"/>
  <c r="G1146" i="19" s="1"/>
  <c r="F1146" i="19"/>
  <c r="F1146" i="19" a="1"/>
  <c r="E1146" i="19" a="1"/>
  <c r="E1146" i="19" s="1"/>
  <c r="D1146" i="19" a="1"/>
  <c r="D1146" i="19" s="1"/>
  <c r="H1145" i="19" a="1"/>
  <c r="H1145" i="19" s="1"/>
  <c r="G1145" i="19" a="1"/>
  <c r="G1145" i="19" s="1"/>
  <c r="F1145" i="19"/>
  <c r="F1145" i="19" a="1"/>
  <c r="E1145" i="19" a="1"/>
  <c r="E1145" i="19" s="1"/>
  <c r="D1145" i="19" a="1"/>
  <c r="D1145" i="19" s="1"/>
  <c r="H1144" i="19" a="1"/>
  <c r="H1144" i="19" s="1"/>
  <c r="G1144" i="19"/>
  <c r="G1144" i="19" a="1"/>
  <c r="F1144" i="19"/>
  <c r="F1144" i="19" a="1"/>
  <c r="E1144" i="19" a="1"/>
  <c r="E1144" i="19" s="1"/>
  <c r="D1144" i="19" a="1"/>
  <c r="D1144" i="19" s="1"/>
  <c r="H1143" i="19" a="1"/>
  <c r="H1143" i="19" s="1"/>
  <c r="G1143" i="19" a="1"/>
  <c r="G1143" i="19" s="1"/>
  <c r="F1143" i="19" a="1"/>
  <c r="F1143" i="19" s="1"/>
  <c r="E1143" i="19" a="1"/>
  <c r="E1143" i="19" s="1"/>
  <c r="D1143" i="19" a="1"/>
  <c r="D1143" i="19" s="1"/>
  <c r="H1142" i="19" a="1"/>
  <c r="H1142" i="19" s="1"/>
  <c r="G1142" i="19" a="1"/>
  <c r="G1142" i="19" s="1"/>
  <c r="F1142" i="19" a="1"/>
  <c r="F1142" i="19" s="1"/>
  <c r="E1142" i="19" a="1"/>
  <c r="E1142" i="19" s="1"/>
  <c r="D1142" i="19" a="1"/>
  <c r="D1142" i="19" s="1"/>
  <c r="H1141" i="19" a="1"/>
  <c r="H1141" i="19" s="1"/>
  <c r="G1141" i="19" a="1"/>
  <c r="G1141" i="19" s="1"/>
  <c r="F1141" i="19" a="1"/>
  <c r="F1141" i="19" s="1"/>
  <c r="E1141" i="19" a="1"/>
  <c r="E1141" i="19" s="1"/>
  <c r="D1141" i="19" a="1"/>
  <c r="D1141" i="19" s="1"/>
  <c r="H1140" i="19" a="1"/>
  <c r="H1140" i="19" s="1"/>
  <c r="G1140" i="19"/>
  <c r="G1140" i="19" a="1"/>
  <c r="F1140" i="19" a="1"/>
  <c r="F1140" i="19" s="1"/>
  <c r="E1140" i="19" a="1"/>
  <c r="E1140" i="19" s="1"/>
  <c r="D1140" i="19" a="1"/>
  <c r="D1140" i="19" s="1"/>
  <c r="H1139" i="19" a="1"/>
  <c r="H1139" i="19" s="1"/>
  <c r="G1139" i="19"/>
  <c r="G1139" i="19" a="1"/>
  <c r="F1139" i="19" a="1"/>
  <c r="F1139" i="19" s="1"/>
  <c r="E1139" i="19" a="1"/>
  <c r="E1139" i="19" s="1"/>
  <c r="D1139" i="19" a="1"/>
  <c r="D1139" i="19" s="1"/>
  <c r="H1138" i="19" a="1"/>
  <c r="H1138" i="19" s="1"/>
  <c r="G1138" i="19"/>
  <c r="G1138" i="19" a="1"/>
  <c r="F1138" i="19" a="1"/>
  <c r="F1138" i="19" s="1"/>
  <c r="E1138" i="19" a="1"/>
  <c r="E1138" i="19" s="1"/>
  <c r="D1138" i="19" a="1"/>
  <c r="D1138" i="19" s="1"/>
  <c r="H1137" i="19" a="1"/>
  <c r="H1137" i="19" s="1"/>
  <c r="G1137" i="19" a="1"/>
  <c r="G1137" i="19" s="1"/>
  <c r="F1137" i="19" a="1"/>
  <c r="F1137" i="19" s="1"/>
  <c r="E1137" i="19" a="1"/>
  <c r="E1137" i="19" s="1"/>
  <c r="D1137" i="19"/>
  <c r="D1137" i="19" a="1"/>
  <c r="H1136" i="19" a="1"/>
  <c r="H1136" i="19" s="1"/>
  <c r="G1136" i="19" a="1"/>
  <c r="G1136" i="19" s="1"/>
  <c r="F1136" i="19" a="1"/>
  <c r="F1136" i="19" s="1"/>
  <c r="E1136" i="19" a="1"/>
  <c r="E1136" i="19" s="1"/>
  <c r="D1136" i="19" a="1"/>
  <c r="D1136" i="19" s="1"/>
  <c r="H1135" i="19" a="1"/>
  <c r="H1135" i="19" s="1"/>
  <c r="G1135" i="19" a="1"/>
  <c r="G1135" i="19" s="1"/>
  <c r="F1135" i="19" a="1"/>
  <c r="F1135" i="19" s="1"/>
  <c r="E1135" i="19" a="1"/>
  <c r="E1135" i="19" s="1"/>
  <c r="D1135" i="19"/>
  <c r="D1135" i="19" a="1"/>
  <c r="H1134" i="19" a="1"/>
  <c r="H1134" i="19" s="1"/>
  <c r="G1134" i="19" a="1"/>
  <c r="G1134" i="19" s="1"/>
  <c r="F1134" i="19" a="1"/>
  <c r="F1134" i="19" s="1"/>
  <c r="E1134" i="19" a="1"/>
  <c r="E1134" i="19" s="1"/>
  <c r="D1134" i="19" a="1"/>
  <c r="D1134" i="19" s="1"/>
  <c r="H1133" i="19" a="1"/>
  <c r="H1133" i="19" s="1"/>
  <c r="G1133" i="19" a="1"/>
  <c r="G1133" i="19" s="1"/>
  <c r="F1133" i="19" a="1"/>
  <c r="F1133" i="19" s="1"/>
  <c r="E1133" i="19" a="1"/>
  <c r="E1133" i="19" s="1"/>
  <c r="D1133" i="19" a="1"/>
  <c r="D1133" i="19" s="1"/>
  <c r="H1132" i="19" a="1"/>
  <c r="H1132" i="19" s="1"/>
  <c r="G1132" i="19" a="1"/>
  <c r="G1132" i="19" s="1"/>
  <c r="F1132" i="19" a="1"/>
  <c r="F1132" i="19" s="1"/>
  <c r="E1132" i="19"/>
  <c r="E1132" i="19" a="1"/>
  <c r="D1132" i="19" a="1"/>
  <c r="D1132" i="19" s="1"/>
  <c r="H1131" i="19" a="1"/>
  <c r="H1131" i="19" s="1"/>
  <c r="G1131" i="19" a="1"/>
  <c r="G1131" i="19" s="1"/>
  <c r="F1131" i="19" a="1"/>
  <c r="F1131" i="19" s="1"/>
  <c r="E1131" i="19" a="1"/>
  <c r="E1131" i="19" s="1"/>
  <c r="D1131" i="19"/>
  <c r="D1131" i="19" a="1"/>
  <c r="H1130" i="19" a="1"/>
  <c r="H1130" i="19" s="1"/>
  <c r="G1130" i="19" a="1"/>
  <c r="G1130" i="19" s="1"/>
  <c r="F1130" i="19" a="1"/>
  <c r="F1130" i="19" s="1"/>
  <c r="E1130" i="19"/>
  <c r="E1130" i="19" a="1"/>
  <c r="D1130" i="19"/>
  <c r="D1130" i="19" a="1"/>
  <c r="H1129" i="19" a="1"/>
  <c r="H1129" i="19" s="1"/>
  <c r="G1129" i="19" a="1"/>
  <c r="G1129" i="19" s="1"/>
  <c r="F1129" i="19" a="1"/>
  <c r="F1129" i="19" s="1"/>
  <c r="E1129" i="19" a="1"/>
  <c r="E1129" i="19" s="1"/>
  <c r="D1129" i="19" a="1"/>
  <c r="D1129" i="19" s="1"/>
  <c r="H1128" i="19" a="1"/>
  <c r="H1128" i="19" s="1"/>
  <c r="G1128" i="19" a="1"/>
  <c r="G1128" i="19" s="1"/>
  <c r="F1128" i="19" a="1"/>
  <c r="F1128" i="19" s="1"/>
  <c r="E1128" i="19" a="1"/>
  <c r="E1128" i="19" s="1"/>
  <c r="D1128" i="19" a="1"/>
  <c r="D1128" i="19" s="1"/>
  <c r="H1127" i="19" a="1"/>
  <c r="H1127" i="19" s="1"/>
  <c r="G1127" i="19" a="1"/>
  <c r="G1127" i="19" s="1"/>
  <c r="F1127" i="19"/>
  <c r="F1127" i="19" a="1"/>
  <c r="E1127" i="19" a="1"/>
  <c r="E1127" i="19" s="1"/>
  <c r="D1127" i="19" a="1"/>
  <c r="D1127" i="19" s="1"/>
  <c r="H1126" i="19" a="1"/>
  <c r="H1126" i="19" s="1"/>
  <c r="G1126" i="19" a="1"/>
  <c r="G1126" i="19" s="1"/>
  <c r="F1126" i="19" a="1"/>
  <c r="F1126" i="19" s="1"/>
  <c r="E1126" i="19"/>
  <c r="E1126" i="19" a="1"/>
  <c r="D1126" i="19" a="1"/>
  <c r="D1126" i="19" s="1"/>
  <c r="H1125" i="19" a="1"/>
  <c r="H1125" i="19" s="1"/>
  <c r="G1125" i="19" a="1"/>
  <c r="G1125" i="19" s="1"/>
  <c r="F1125" i="19"/>
  <c r="F1125" i="19" a="1"/>
  <c r="E1125" i="19"/>
  <c r="E1125" i="19" a="1"/>
  <c r="D1125" i="19" a="1"/>
  <c r="D1125" i="19" s="1"/>
  <c r="H1124" i="19" a="1"/>
  <c r="H1124" i="19" s="1"/>
  <c r="G1124" i="19" a="1"/>
  <c r="G1124" i="19" s="1"/>
  <c r="F1124" i="19" a="1"/>
  <c r="F1124" i="19" s="1"/>
  <c r="E1124" i="19" a="1"/>
  <c r="E1124" i="19" s="1"/>
  <c r="D1124" i="19" a="1"/>
  <c r="D1124" i="19" s="1"/>
  <c r="H1123" i="19" a="1"/>
  <c r="H1123" i="19" s="1"/>
  <c r="G1123" i="19" a="1"/>
  <c r="G1123" i="19" s="1"/>
  <c r="F1123" i="19" a="1"/>
  <c r="F1123" i="19" s="1"/>
  <c r="E1123" i="19" a="1"/>
  <c r="E1123" i="19" s="1"/>
  <c r="D1123" i="19" a="1"/>
  <c r="D1123" i="19" s="1"/>
  <c r="H1122" i="19" a="1"/>
  <c r="H1122" i="19" s="1"/>
  <c r="G1122" i="19"/>
  <c r="G1122" i="19" a="1"/>
  <c r="F1122" i="19" a="1"/>
  <c r="F1122" i="19" s="1"/>
  <c r="E1122" i="19" a="1"/>
  <c r="E1122" i="19" s="1"/>
  <c r="D1122" i="19" a="1"/>
  <c r="D1122" i="19" s="1"/>
  <c r="H1121" i="19" a="1"/>
  <c r="H1121" i="19" s="1"/>
  <c r="G1121" i="19" a="1"/>
  <c r="G1121" i="19" s="1"/>
  <c r="F1121" i="19"/>
  <c r="F1121" i="19" a="1"/>
  <c r="E1121" i="19" a="1"/>
  <c r="E1121" i="19" s="1"/>
  <c r="D1121" i="19" a="1"/>
  <c r="D1121" i="19" s="1"/>
  <c r="H1120" i="19" a="1"/>
  <c r="H1120" i="19" s="1"/>
  <c r="G1120" i="19"/>
  <c r="G1120" i="19" a="1"/>
  <c r="F1120" i="19"/>
  <c r="F1120" i="19" a="1"/>
  <c r="E1120" i="19" a="1"/>
  <c r="E1120" i="19" s="1"/>
  <c r="D1120" i="19" a="1"/>
  <c r="D1120" i="19" s="1"/>
  <c r="H1119" i="19" a="1"/>
  <c r="H1119" i="19" s="1"/>
  <c r="G1119" i="19" a="1"/>
  <c r="G1119" i="19" s="1"/>
  <c r="F1119" i="19"/>
  <c r="F1119" i="19" a="1"/>
  <c r="E1119" i="19" a="1"/>
  <c r="E1119" i="19" s="1"/>
  <c r="D1119" i="19" a="1"/>
  <c r="D1119" i="19" s="1"/>
  <c r="H1118" i="19" a="1"/>
  <c r="H1118" i="19" s="1"/>
  <c r="G1118" i="19" a="1"/>
  <c r="G1118" i="19" s="1"/>
  <c r="F1118" i="19" a="1"/>
  <c r="F1118" i="19" s="1"/>
  <c r="E1118" i="19" a="1"/>
  <c r="E1118" i="19" s="1"/>
  <c r="D1118" i="19" a="1"/>
  <c r="D1118" i="19" s="1"/>
  <c r="H1117" i="19" a="1"/>
  <c r="H1117" i="19" s="1"/>
  <c r="G1117" i="19" a="1"/>
  <c r="G1117" i="19" s="1"/>
  <c r="F1117" i="19" a="1"/>
  <c r="F1117" i="19" s="1"/>
  <c r="E1117" i="19" a="1"/>
  <c r="E1117" i="19" s="1"/>
  <c r="D1117" i="19" a="1"/>
  <c r="D1117" i="19" s="1"/>
  <c r="H1116" i="19" a="1"/>
  <c r="H1116" i="19" s="1"/>
  <c r="G1116" i="19"/>
  <c r="G1116" i="19" a="1"/>
  <c r="F1116" i="19" a="1"/>
  <c r="F1116" i="19" s="1"/>
  <c r="E1116" i="19" a="1"/>
  <c r="E1116" i="19" s="1"/>
  <c r="D1116" i="19" a="1"/>
  <c r="D1116" i="19" s="1"/>
  <c r="H1115" i="19" a="1"/>
  <c r="H1115" i="19" s="1"/>
  <c r="G1115" i="19"/>
  <c r="G1115" i="19" a="1"/>
  <c r="F1115" i="19" a="1"/>
  <c r="F1115" i="19" s="1"/>
  <c r="E1115" i="19" a="1"/>
  <c r="E1115" i="19" s="1"/>
  <c r="D1115" i="19" a="1"/>
  <c r="D1115" i="19" s="1"/>
  <c r="H1114" i="19" a="1"/>
  <c r="H1114" i="19" s="1"/>
  <c r="G1114" i="19" a="1"/>
  <c r="G1114" i="19" s="1"/>
  <c r="F1114" i="19" a="1"/>
  <c r="F1114" i="19" s="1"/>
  <c r="E1114" i="19" a="1"/>
  <c r="E1114" i="19" s="1"/>
  <c r="D1114" i="19" a="1"/>
  <c r="D1114" i="19" s="1"/>
  <c r="H1113" i="19" a="1"/>
  <c r="H1113" i="19" s="1"/>
  <c r="G1113" i="19" a="1"/>
  <c r="G1113" i="19" s="1"/>
  <c r="F1113" i="19" a="1"/>
  <c r="F1113" i="19" s="1"/>
  <c r="E1113" i="19" a="1"/>
  <c r="E1113" i="19" s="1"/>
  <c r="D1113" i="19"/>
  <c r="D1113" i="19" a="1"/>
  <c r="H1112" i="19" a="1"/>
  <c r="H1112" i="19" s="1"/>
  <c r="G1112" i="19" a="1"/>
  <c r="G1112" i="19" s="1"/>
  <c r="F1112" i="19" a="1"/>
  <c r="F1112" i="19" s="1"/>
  <c r="E1112" i="19" a="1"/>
  <c r="E1112" i="19" s="1"/>
  <c r="D1112" i="19" a="1"/>
  <c r="D1112" i="19" s="1"/>
  <c r="H1111" i="19" a="1"/>
  <c r="H1111" i="19" s="1"/>
  <c r="G1111" i="19" a="1"/>
  <c r="G1111" i="19" s="1"/>
  <c r="F1111" i="19" a="1"/>
  <c r="F1111" i="19" s="1"/>
  <c r="E1111" i="19" a="1"/>
  <c r="E1111" i="19" s="1"/>
  <c r="D1111" i="19"/>
  <c r="D1111" i="19" a="1"/>
  <c r="H1110" i="19" a="1"/>
  <c r="H1110" i="19" s="1"/>
  <c r="G1110" i="19" a="1"/>
  <c r="G1110" i="19" s="1"/>
  <c r="F1110" i="19" a="1"/>
  <c r="F1110" i="19" s="1"/>
  <c r="E1110" i="19" a="1"/>
  <c r="E1110" i="19" s="1"/>
  <c r="D1110" i="19" a="1"/>
  <c r="D1110" i="19" s="1"/>
  <c r="H1109" i="19" a="1"/>
  <c r="H1109" i="19" s="1"/>
  <c r="G1109" i="19" a="1"/>
  <c r="G1109" i="19" s="1"/>
  <c r="F1109" i="19" a="1"/>
  <c r="F1109" i="19" s="1"/>
  <c r="E1109" i="19" a="1"/>
  <c r="E1109" i="19" s="1"/>
  <c r="D1109" i="19" a="1"/>
  <c r="D1109" i="19" s="1"/>
  <c r="H1108" i="19" a="1"/>
  <c r="H1108" i="19" s="1"/>
  <c r="G1108" i="19" a="1"/>
  <c r="G1108" i="19" s="1"/>
  <c r="F1108" i="19" a="1"/>
  <c r="F1108" i="19" s="1"/>
  <c r="E1108" i="19"/>
  <c r="E1108" i="19" a="1"/>
  <c r="D1108" i="19" a="1"/>
  <c r="D1108" i="19" s="1"/>
  <c r="H1107" i="19" a="1"/>
  <c r="H1107" i="19" s="1"/>
  <c r="G1107" i="19" a="1"/>
  <c r="G1107" i="19" s="1"/>
  <c r="F1107" i="19" a="1"/>
  <c r="F1107" i="19" s="1"/>
  <c r="E1107" i="19" a="1"/>
  <c r="E1107" i="19" s="1"/>
  <c r="D1107" i="19"/>
  <c r="D1107" i="19" a="1"/>
  <c r="H1106" i="19" a="1"/>
  <c r="H1106" i="19" s="1"/>
  <c r="G1106" i="19" a="1"/>
  <c r="G1106" i="19" s="1"/>
  <c r="F1106" i="19" a="1"/>
  <c r="F1106" i="19" s="1"/>
  <c r="E1106" i="19"/>
  <c r="E1106" i="19" a="1"/>
  <c r="D1106" i="19"/>
  <c r="D1106" i="19" a="1"/>
  <c r="H1105" i="19" a="1"/>
  <c r="H1105" i="19" s="1"/>
  <c r="G1105" i="19" a="1"/>
  <c r="G1105" i="19" s="1"/>
  <c r="F1105" i="19" a="1"/>
  <c r="F1105" i="19" s="1"/>
  <c r="E1105" i="19" a="1"/>
  <c r="E1105" i="19" s="1"/>
  <c r="D1105" i="19"/>
  <c r="D1105" i="19" a="1"/>
  <c r="H1104" i="19" a="1"/>
  <c r="H1104" i="19" s="1"/>
  <c r="G1104" i="19" a="1"/>
  <c r="G1104" i="19" s="1"/>
  <c r="F1104" i="19" a="1"/>
  <c r="F1104" i="19" s="1"/>
  <c r="E1104" i="19" a="1"/>
  <c r="E1104" i="19" s="1"/>
  <c r="D1104" i="19" a="1"/>
  <c r="D1104" i="19" s="1"/>
  <c r="H1103" i="19" a="1"/>
  <c r="H1103" i="19" s="1"/>
  <c r="G1103" i="19" a="1"/>
  <c r="G1103" i="19" s="1"/>
  <c r="F1103" i="19"/>
  <c r="F1103" i="19" a="1"/>
  <c r="E1103" i="19" a="1"/>
  <c r="E1103" i="19" s="1"/>
  <c r="D1103" i="19" a="1"/>
  <c r="D1103" i="19" s="1"/>
  <c r="H1102" i="19" a="1"/>
  <c r="H1102" i="19" s="1"/>
  <c r="G1102" i="19" a="1"/>
  <c r="G1102" i="19" s="1"/>
  <c r="F1102" i="19" a="1"/>
  <c r="F1102" i="19" s="1"/>
  <c r="E1102" i="19"/>
  <c r="E1102" i="19" a="1"/>
  <c r="D1102" i="19" a="1"/>
  <c r="D1102" i="19" s="1"/>
  <c r="H1101" i="19" a="1"/>
  <c r="H1101" i="19" s="1"/>
  <c r="G1101" i="19" a="1"/>
  <c r="G1101" i="19" s="1"/>
  <c r="F1101" i="19"/>
  <c r="F1101" i="19" a="1"/>
  <c r="E1101" i="19"/>
  <c r="E1101" i="19" a="1"/>
  <c r="D1101" i="19" a="1"/>
  <c r="D1101" i="19" s="1"/>
  <c r="H1100" i="19" a="1"/>
  <c r="H1100" i="19" s="1"/>
  <c r="G1100" i="19" a="1"/>
  <c r="G1100" i="19" s="1"/>
  <c r="F1100" i="19" a="1"/>
  <c r="F1100" i="19" s="1"/>
  <c r="E1100" i="19"/>
  <c r="E1100" i="19" a="1"/>
  <c r="D1100" i="19" a="1"/>
  <c r="D1100" i="19" s="1"/>
  <c r="H1099" i="19" a="1"/>
  <c r="H1099" i="19" s="1"/>
  <c r="G1099" i="19" a="1"/>
  <c r="G1099" i="19" s="1"/>
  <c r="F1099" i="19" a="1"/>
  <c r="F1099" i="19" s="1"/>
  <c r="E1099" i="19" a="1"/>
  <c r="E1099" i="19" s="1"/>
  <c r="D1099" i="19" a="1"/>
  <c r="D1099" i="19" s="1"/>
  <c r="H1098" i="19" a="1"/>
  <c r="H1098" i="19" s="1"/>
  <c r="G1098" i="19"/>
  <c r="G1098" i="19" a="1"/>
  <c r="F1098" i="19" a="1"/>
  <c r="F1098" i="19" s="1"/>
  <c r="E1098" i="19" a="1"/>
  <c r="E1098" i="19" s="1"/>
  <c r="D1098" i="19"/>
  <c r="D1098" i="19" a="1"/>
  <c r="H1097" i="19" a="1"/>
  <c r="H1097" i="19" s="1"/>
  <c r="G1097" i="19" a="1"/>
  <c r="G1097" i="19" s="1"/>
  <c r="F1097" i="19" a="1"/>
  <c r="F1097" i="19" s="1"/>
  <c r="E1097" i="19" a="1"/>
  <c r="E1097" i="19" s="1"/>
  <c r="D1097" i="19" a="1"/>
  <c r="D1097" i="19" s="1"/>
  <c r="H1096" i="19" a="1"/>
  <c r="H1096" i="19" s="1"/>
  <c r="G1096" i="19"/>
  <c r="G1096" i="19" a="1"/>
  <c r="F1096" i="19" a="1"/>
  <c r="F1096" i="19" s="1"/>
  <c r="E1096" i="19" a="1"/>
  <c r="E1096" i="19" s="1"/>
  <c r="D1096" i="19" a="1"/>
  <c r="D1096" i="19" s="1"/>
  <c r="H1095" i="19" a="1"/>
  <c r="H1095" i="19" s="1"/>
  <c r="G1095" i="19"/>
  <c r="G1095" i="19" a="1"/>
  <c r="F1095" i="19"/>
  <c r="F1095" i="19" a="1"/>
  <c r="E1095" i="19"/>
  <c r="E1095" i="19" a="1"/>
  <c r="D1095" i="19" a="1"/>
  <c r="D1095" i="19" s="1"/>
  <c r="H1094" i="19" a="1"/>
  <c r="H1094" i="19" s="1"/>
  <c r="G1094" i="19" a="1"/>
  <c r="G1094" i="19" s="1"/>
  <c r="F1094" i="19" a="1"/>
  <c r="F1094" i="19" s="1"/>
  <c r="E1094" i="19"/>
  <c r="E1094" i="19" a="1"/>
  <c r="D1094" i="19"/>
  <c r="D1094" i="19" a="1"/>
  <c r="H1093" i="19" a="1"/>
  <c r="H1093" i="19" s="1"/>
  <c r="G1093" i="19" a="1"/>
  <c r="G1093" i="19" s="1"/>
  <c r="F1093" i="19" a="1"/>
  <c r="F1093" i="19" s="1"/>
  <c r="E1093" i="19" a="1"/>
  <c r="E1093" i="19" s="1"/>
  <c r="D1093" i="19" a="1"/>
  <c r="D1093" i="19" s="1"/>
  <c r="H1092" i="19" a="1"/>
  <c r="H1092" i="19" s="1"/>
  <c r="G1092" i="19"/>
  <c r="G1092" i="19" a="1"/>
  <c r="F1092" i="19" a="1"/>
  <c r="F1092" i="19" s="1"/>
  <c r="E1092" i="19" a="1"/>
  <c r="E1092" i="19" s="1"/>
  <c r="D1092" i="19" a="1"/>
  <c r="D1092" i="19" s="1"/>
  <c r="H1091" i="19" a="1"/>
  <c r="H1091" i="19" s="1"/>
  <c r="G1091" i="19" a="1"/>
  <c r="G1091" i="19" s="1"/>
  <c r="F1091" i="19"/>
  <c r="F1091" i="19" a="1"/>
  <c r="E1091" i="19" a="1"/>
  <c r="E1091" i="19" s="1"/>
  <c r="D1091" i="19" a="1"/>
  <c r="D1091" i="19" s="1"/>
  <c r="H1090" i="19" a="1"/>
  <c r="H1090" i="19" s="1"/>
  <c r="G1090" i="19" a="1"/>
  <c r="G1090" i="19" s="1"/>
  <c r="F1090" i="19" a="1"/>
  <c r="F1090" i="19" s="1"/>
  <c r="E1090" i="19" a="1"/>
  <c r="E1090" i="19" s="1"/>
  <c r="D1090" i="19" a="1"/>
  <c r="D1090" i="19" s="1"/>
  <c r="H1089" i="19" a="1"/>
  <c r="H1089" i="19" s="1"/>
  <c r="G1089" i="19"/>
  <c r="G1089" i="19" a="1"/>
  <c r="F1089" i="19"/>
  <c r="F1089" i="19" a="1"/>
  <c r="E1089" i="19" a="1"/>
  <c r="E1089" i="19" s="1"/>
  <c r="D1089" i="19" a="1"/>
  <c r="D1089" i="19" s="1"/>
  <c r="H1088" i="19" a="1"/>
  <c r="H1088" i="19" s="1"/>
  <c r="G1088" i="19" a="1"/>
  <c r="G1088" i="19" s="1"/>
  <c r="F1088" i="19"/>
  <c r="F1088" i="19" a="1"/>
  <c r="E1088" i="19"/>
  <c r="E1088" i="19" a="1"/>
  <c r="D1088" i="19"/>
  <c r="D1088" i="19" a="1"/>
  <c r="H1087" i="19" a="1"/>
  <c r="H1087" i="19" s="1"/>
  <c r="G1087" i="19" a="1"/>
  <c r="G1087" i="19" s="1"/>
  <c r="F1087" i="19" a="1"/>
  <c r="F1087" i="19" s="1"/>
  <c r="E1087" i="19" a="1"/>
  <c r="E1087" i="19" s="1"/>
  <c r="D1087" i="19"/>
  <c r="D1087" i="19" a="1"/>
  <c r="H1086" i="19" a="1"/>
  <c r="H1086" i="19" s="1"/>
  <c r="G1086" i="19"/>
  <c r="G1086" i="19" a="1"/>
  <c r="F1086" i="19" a="1"/>
  <c r="F1086" i="19" s="1"/>
  <c r="E1086" i="19" a="1"/>
  <c r="E1086" i="19" s="1"/>
  <c r="D1086" i="19" a="1"/>
  <c r="D1086" i="19" s="1"/>
  <c r="H1085" i="19" a="1"/>
  <c r="H1085" i="19" s="1"/>
  <c r="G1085" i="19"/>
  <c r="G1085" i="19" a="1"/>
  <c r="F1085" i="19"/>
  <c r="F1085" i="19" a="1"/>
  <c r="E1085" i="19" a="1"/>
  <c r="E1085" i="19" s="1"/>
  <c r="D1085" i="19" a="1"/>
  <c r="D1085" i="19" s="1"/>
  <c r="H1084" i="19" a="1"/>
  <c r="H1084" i="19" s="1"/>
  <c r="G1084" i="19" a="1"/>
  <c r="G1084" i="19" s="1"/>
  <c r="F1084" i="19" a="1"/>
  <c r="F1084" i="19" s="1"/>
  <c r="E1084" i="19"/>
  <c r="E1084" i="19" a="1"/>
  <c r="D1084" i="19" a="1"/>
  <c r="D1084" i="19" s="1"/>
  <c r="H1083" i="19" a="1"/>
  <c r="H1083" i="19" s="1"/>
  <c r="G1083" i="19"/>
  <c r="G1083" i="19" a="1"/>
  <c r="F1083" i="19" a="1"/>
  <c r="F1083" i="19" s="1"/>
  <c r="E1083" i="19" a="1"/>
  <c r="E1083" i="19" s="1"/>
  <c r="D1083" i="19" a="1"/>
  <c r="D1083" i="19" s="1"/>
  <c r="H1082" i="19" a="1"/>
  <c r="H1082" i="19" s="1"/>
  <c r="G1082" i="19" a="1"/>
  <c r="G1082" i="19" s="1"/>
  <c r="F1082" i="19"/>
  <c r="F1082" i="19" a="1"/>
  <c r="E1082" i="19" a="1"/>
  <c r="E1082" i="19" s="1"/>
  <c r="D1082" i="19" a="1"/>
  <c r="D1082" i="19" s="1"/>
  <c r="H1081" i="19" a="1"/>
  <c r="H1081" i="19" s="1"/>
  <c r="G1081" i="19" a="1"/>
  <c r="G1081" i="19" s="1"/>
  <c r="F1081" i="19" a="1"/>
  <c r="F1081" i="19" s="1"/>
  <c r="E1081" i="19"/>
  <c r="E1081" i="19" a="1"/>
  <c r="D1081" i="19"/>
  <c r="D1081" i="19" a="1"/>
  <c r="H1080" i="19" a="1"/>
  <c r="H1080" i="19" s="1"/>
  <c r="G1080" i="19" a="1"/>
  <c r="G1080" i="19" s="1"/>
  <c r="F1080" i="19" a="1"/>
  <c r="F1080" i="19" s="1"/>
  <c r="E1080" i="19" a="1"/>
  <c r="E1080" i="19" s="1"/>
  <c r="D1080" i="19" a="1"/>
  <c r="D1080" i="19" s="1"/>
  <c r="H1079" i="19" a="1"/>
  <c r="H1079" i="19" s="1"/>
  <c r="G1079" i="19"/>
  <c r="G1079" i="19" a="1"/>
  <c r="F1079" i="19" a="1"/>
  <c r="F1079" i="19" s="1"/>
  <c r="E1079" i="19" a="1"/>
  <c r="E1079" i="19" s="1"/>
  <c r="D1079" i="19" a="1"/>
  <c r="D1079" i="19" s="1"/>
  <c r="H1078" i="19" a="1"/>
  <c r="H1078" i="19" s="1"/>
  <c r="G1078" i="19" a="1"/>
  <c r="G1078" i="19" s="1"/>
  <c r="F1078" i="19"/>
  <c r="F1078" i="19" a="1"/>
  <c r="E1078" i="19"/>
  <c r="E1078" i="19" a="1"/>
  <c r="D1078" i="19" a="1"/>
  <c r="D1078" i="19" s="1"/>
  <c r="H1077" i="19" a="1"/>
  <c r="H1077" i="19" s="1"/>
  <c r="G1077" i="19" a="1"/>
  <c r="G1077" i="19" s="1"/>
  <c r="F1077" i="19" a="1"/>
  <c r="F1077" i="19" s="1"/>
  <c r="E1077" i="19" a="1"/>
  <c r="E1077" i="19" s="1"/>
  <c r="D1077" i="19"/>
  <c r="D1077" i="19" a="1"/>
  <c r="H1076" i="19" a="1"/>
  <c r="H1076" i="19" s="1"/>
  <c r="G1076" i="19" a="1"/>
  <c r="G1076" i="19" s="1"/>
  <c r="F1076" i="19" a="1"/>
  <c r="F1076" i="19" s="1"/>
  <c r="E1076" i="19" a="1"/>
  <c r="E1076" i="19" s="1"/>
  <c r="D1076" i="19"/>
  <c r="D1076" i="19" a="1"/>
  <c r="H1075" i="19" a="1"/>
  <c r="H1075" i="19" s="1"/>
  <c r="G1075" i="19" a="1"/>
  <c r="G1075" i="19" s="1"/>
  <c r="F1075" i="19" a="1"/>
  <c r="F1075" i="19" s="1"/>
  <c r="E1075" i="19"/>
  <c r="E1075" i="19" a="1"/>
  <c r="D1075" i="19" a="1"/>
  <c r="D1075" i="19" s="1"/>
  <c r="H1074" i="19" a="1"/>
  <c r="H1074" i="19" s="1"/>
  <c r="G1074" i="19"/>
  <c r="G1074" i="19" a="1"/>
  <c r="F1074" i="19" a="1"/>
  <c r="F1074" i="19" s="1"/>
  <c r="E1074" i="19" a="1"/>
  <c r="E1074" i="19" s="1"/>
  <c r="D1074" i="19"/>
  <c r="D1074" i="19" a="1"/>
  <c r="H1073" i="19" a="1"/>
  <c r="H1073" i="19" s="1"/>
  <c r="G1073" i="19" a="1"/>
  <c r="G1073" i="19" s="1"/>
  <c r="F1073" i="19" a="1"/>
  <c r="F1073" i="19" s="1"/>
  <c r="E1073" i="19" a="1"/>
  <c r="E1073" i="19" s="1"/>
  <c r="D1073" i="19" a="1"/>
  <c r="D1073" i="19" s="1"/>
  <c r="H1072" i="19" a="1"/>
  <c r="H1072" i="19" s="1"/>
  <c r="G1072" i="19"/>
  <c r="G1072" i="19" a="1"/>
  <c r="F1072" i="19"/>
  <c r="F1072" i="19" a="1"/>
  <c r="E1072" i="19" a="1"/>
  <c r="E1072" i="19" s="1"/>
  <c r="D1072" i="19" a="1"/>
  <c r="D1072" i="19" s="1"/>
  <c r="H1071" i="19" a="1"/>
  <c r="H1071" i="19" s="1"/>
  <c r="G1071" i="19"/>
  <c r="G1071" i="19" a="1"/>
  <c r="F1071" i="19" a="1"/>
  <c r="F1071" i="19" s="1"/>
  <c r="E1071" i="19"/>
  <c r="E1071" i="19" a="1"/>
  <c r="D1071" i="19"/>
  <c r="D1071" i="19" a="1"/>
  <c r="H1070" i="19" a="1"/>
  <c r="H1070" i="19" s="1"/>
  <c r="G1070" i="19" a="1"/>
  <c r="G1070" i="19" s="1"/>
  <c r="F1070" i="19" a="1"/>
  <c r="F1070" i="19" s="1"/>
  <c r="E1070" i="19" a="1"/>
  <c r="E1070" i="19" s="1"/>
  <c r="D1070" i="19" a="1"/>
  <c r="D1070" i="19" s="1"/>
  <c r="H1069" i="19" a="1"/>
  <c r="H1069" i="19" s="1"/>
  <c r="G1069" i="19" a="1"/>
  <c r="G1069" i="19" s="1"/>
  <c r="F1069" i="19" a="1"/>
  <c r="F1069" i="19" s="1"/>
  <c r="E1069" i="19" a="1"/>
  <c r="E1069" i="19" s="1"/>
  <c r="D1069" i="19" a="1"/>
  <c r="D1069" i="19" s="1"/>
  <c r="H1068" i="19" a="1"/>
  <c r="H1068" i="19" s="1"/>
  <c r="G1068" i="19" a="1"/>
  <c r="G1068" i="19" s="1"/>
  <c r="F1068" i="19" a="1"/>
  <c r="F1068" i="19" s="1"/>
  <c r="E1068" i="19" a="1"/>
  <c r="E1068" i="19" s="1"/>
  <c r="D1068" i="19"/>
  <c r="D1068" i="19" a="1"/>
  <c r="H1067" i="19" a="1"/>
  <c r="H1067" i="19" s="1"/>
  <c r="G1067" i="19" a="1"/>
  <c r="G1067" i="19" s="1"/>
  <c r="F1067" i="19" a="1"/>
  <c r="F1067" i="19" s="1"/>
  <c r="E1067" i="19" a="1"/>
  <c r="E1067" i="19" s="1"/>
  <c r="D1067" i="19" a="1"/>
  <c r="D1067" i="19" s="1"/>
  <c r="H1066" i="19" a="1"/>
  <c r="H1066" i="19" s="1"/>
  <c r="G1066" i="19"/>
  <c r="G1066" i="19" a="1"/>
  <c r="F1066" i="19" a="1"/>
  <c r="F1066" i="19" s="1"/>
  <c r="E1066" i="19" a="1"/>
  <c r="E1066" i="19" s="1"/>
  <c r="D1066" i="19" a="1"/>
  <c r="D1066" i="19" s="1"/>
  <c r="H1065" i="19" a="1"/>
  <c r="H1065" i="19" s="1"/>
  <c r="G1065" i="19" a="1"/>
  <c r="G1065" i="19" s="1"/>
  <c r="F1065" i="19"/>
  <c r="F1065" i="19" a="1"/>
  <c r="E1065" i="19"/>
  <c r="E1065" i="19" a="1"/>
  <c r="D1065" i="19" a="1"/>
  <c r="D1065" i="19" s="1"/>
  <c r="H1064" i="19" a="1"/>
  <c r="H1064" i="19" s="1"/>
  <c r="G1064" i="19" a="1"/>
  <c r="G1064" i="19" s="1"/>
  <c r="F1064" i="19"/>
  <c r="F1064" i="19" a="1"/>
  <c r="E1064" i="19" a="1"/>
  <c r="E1064" i="19" s="1"/>
  <c r="D1064" i="19"/>
  <c r="D1064" i="19" a="1"/>
  <c r="H1063" i="19" a="1"/>
  <c r="H1063" i="19" s="1"/>
  <c r="G1063" i="19" a="1"/>
  <c r="G1063" i="19" s="1"/>
  <c r="F1063" i="19" a="1"/>
  <c r="F1063" i="19" s="1"/>
  <c r="E1063" i="19" a="1"/>
  <c r="E1063" i="19" s="1"/>
  <c r="D1063" i="19" a="1"/>
  <c r="D1063" i="19" s="1"/>
  <c r="H1062" i="19" a="1"/>
  <c r="H1062" i="19" s="1"/>
  <c r="G1062" i="19"/>
  <c r="G1062" i="19" a="1"/>
  <c r="F1062" i="19" a="1"/>
  <c r="F1062" i="19" s="1"/>
  <c r="E1062" i="19" a="1"/>
  <c r="E1062" i="19" s="1"/>
  <c r="D1062" i="19" a="1"/>
  <c r="D1062" i="19" s="1"/>
  <c r="H1061" i="19" a="1"/>
  <c r="H1061" i="19" s="1"/>
  <c r="G1061" i="19"/>
  <c r="G1061" i="19" a="1"/>
  <c r="F1061" i="19" a="1"/>
  <c r="F1061" i="19" s="1"/>
  <c r="E1061" i="19" a="1"/>
  <c r="E1061" i="19" s="1"/>
  <c r="D1061" i="19" a="1"/>
  <c r="D1061" i="19" s="1"/>
  <c r="H1060" i="19" a="1"/>
  <c r="H1060" i="19" s="1"/>
  <c r="G1060" i="19" a="1"/>
  <c r="G1060" i="19" s="1"/>
  <c r="F1060" i="19" a="1"/>
  <c r="F1060" i="19" s="1"/>
  <c r="E1060" i="19"/>
  <c r="E1060" i="19" a="1"/>
  <c r="D1060" i="19" a="1"/>
  <c r="D1060" i="19" s="1"/>
  <c r="H1059" i="19" a="1"/>
  <c r="H1059" i="19" s="1"/>
  <c r="G1059" i="19"/>
  <c r="G1059" i="19" a="1"/>
  <c r="F1059" i="19"/>
  <c r="F1059" i="19" a="1"/>
  <c r="E1059" i="19" a="1"/>
  <c r="E1059" i="19" s="1"/>
  <c r="D1059" i="19" a="1"/>
  <c r="D1059" i="19" s="1"/>
  <c r="H1058" i="19" a="1"/>
  <c r="H1058" i="19" s="1"/>
  <c r="G1058" i="19" a="1"/>
  <c r="G1058" i="19" s="1"/>
  <c r="F1058" i="19" a="1"/>
  <c r="F1058" i="19" s="1"/>
  <c r="E1058" i="19"/>
  <c r="E1058" i="19" a="1"/>
  <c r="D1058" i="19"/>
  <c r="D1058" i="19" a="1"/>
  <c r="H1057" i="19" a="1"/>
  <c r="H1057" i="19" s="1"/>
  <c r="G1057" i="19" a="1"/>
  <c r="G1057" i="19" s="1"/>
  <c r="F1057" i="19" a="1"/>
  <c r="F1057" i="19" s="1"/>
  <c r="E1057" i="19"/>
  <c r="E1057" i="19" a="1"/>
  <c r="D1057" i="19" a="1"/>
  <c r="D1057" i="19" s="1"/>
  <c r="H1056" i="19" a="1"/>
  <c r="H1056" i="19" s="1"/>
  <c r="G1056" i="19"/>
  <c r="G1056" i="19" a="1"/>
  <c r="F1056" i="19" a="1"/>
  <c r="F1056" i="19" s="1"/>
  <c r="E1056" i="19" a="1"/>
  <c r="E1056" i="19" s="1"/>
  <c r="D1056" i="19" a="1"/>
  <c r="D1056" i="19" s="1"/>
  <c r="H1055" i="19" a="1"/>
  <c r="H1055" i="19" s="1"/>
  <c r="G1055" i="19" a="1"/>
  <c r="G1055" i="19" s="1"/>
  <c r="F1055" i="19"/>
  <c r="F1055" i="19" a="1"/>
  <c r="E1055" i="19" a="1"/>
  <c r="E1055" i="19" s="1"/>
  <c r="D1055" i="19" a="1"/>
  <c r="D1055" i="19" s="1"/>
  <c r="H1054" i="19" a="1"/>
  <c r="H1054" i="19" s="1"/>
  <c r="G1054" i="19" a="1"/>
  <c r="G1054" i="19" s="1"/>
  <c r="F1054" i="19"/>
  <c r="F1054" i="19" a="1"/>
  <c r="E1054" i="19" a="1"/>
  <c r="E1054" i="19" s="1"/>
  <c r="D1054" i="19" a="1"/>
  <c r="D1054" i="19" s="1"/>
  <c r="H1053" i="19" a="1"/>
  <c r="H1053" i="19" s="1"/>
  <c r="G1053" i="19"/>
  <c r="G1053" i="19" a="1"/>
  <c r="F1053" i="19" a="1"/>
  <c r="F1053" i="19" s="1"/>
  <c r="E1053" i="19" a="1"/>
  <c r="E1053" i="19" s="1"/>
  <c r="D1053" i="19"/>
  <c r="D1053" i="19" a="1"/>
  <c r="H1052" i="19" a="1"/>
  <c r="H1052" i="19" s="1"/>
  <c r="G1052" i="19" a="1"/>
  <c r="G1052" i="19" s="1"/>
  <c r="F1052" i="19"/>
  <c r="F1052" i="19" a="1"/>
  <c r="E1052" i="19"/>
  <c r="E1052" i="19" a="1"/>
  <c r="D1052" i="19" a="1"/>
  <c r="D1052" i="19" s="1"/>
  <c r="H1051" i="19" a="1"/>
  <c r="H1051" i="19" s="1"/>
  <c r="G1051" i="19" a="1"/>
  <c r="G1051" i="19" s="1"/>
  <c r="F1051" i="19" a="1"/>
  <c r="F1051" i="19" s="1"/>
  <c r="E1051" i="19" a="1"/>
  <c r="E1051" i="19" s="1"/>
  <c r="D1051" i="19"/>
  <c r="D1051" i="19" a="1"/>
  <c r="H1050" i="19" a="1"/>
  <c r="H1050" i="19" s="1"/>
  <c r="G1050" i="19" a="1"/>
  <c r="G1050" i="19" s="1"/>
  <c r="F1050" i="19" a="1"/>
  <c r="F1050" i="19" s="1"/>
  <c r="E1050" i="19" a="1"/>
  <c r="E1050" i="19" s="1"/>
  <c r="D1050" i="19"/>
  <c r="D1050" i="19" a="1"/>
  <c r="H1049" i="19" a="1"/>
  <c r="H1049" i="19" s="1"/>
  <c r="G1049" i="19"/>
  <c r="G1049" i="19" a="1"/>
  <c r="F1049" i="19"/>
  <c r="F1049" i="19" a="1"/>
  <c r="E1049" i="19" a="1"/>
  <c r="E1049" i="19" s="1"/>
  <c r="D1049" i="19" a="1"/>
  <c r="D1049" i="19" s="1"/>
  <c r="H1048" i="19" a="1"/>
  <c r="H1048" i="19" s="1"/>
  <c r="G1048" i="19" a="1"/>
  <c r="G1048" i="19" s="1"/>
  <c r="F1048" i="19" a="1"/>
  <c r="F1048" i="19" s="1"/>
  <c r="E1048" i="19"/>
  <c r="E1048" i="19" a="1"/>
  <c r="D1048" i="19" a="1"/>
  <c r="D1048" i="19" s="1"/>
  <c r="H1047" i="19" a="1"/>
  <c r="H1047" i="19" s="1"/>
  <c r="G1047" i="19" a="1"/>
  <c r="G1047" i="19" s="1"/>
  <c r="F1047" i="19" a="1"/>
  <c r="F1047" i="19" s="1"/>
  <c r="E1047" i="19"/>
  <c r="E1047" i="19" a="1"/>
  <c r="D1047" i="19" a="1"/>
  <c r="D1047" i="19" s="1"/>
  <c r="H1046" i="19" a="1"/>
  <c r="H1046" i="19" s="1"/>
  <c r="G1046" i="19" a="1"/>
  <c r="G1046" i="19" s="1"/>
  <c r="F1046" i="19"/>
  <c r="F1046" i="19" a="1"/>
  <c r="E1046" i="19" a="1"/>
  <c r="E1046" i="19" s="1"/>
  <c r="D1046" i="19" a="1"/>
  <c r="D1046" i="19" s="1"/>
  <c r="H1045" i="19" a="1"/>
  <c r="H1045" i="19" s="1"/>
  <c r="G1045" i="19" a="1"/>
  <c r="G1045" i="19" s="1"/>
  <c r="F1045" i="19" a="1"/>
  <c r="F1045" i="19" s="1"/>
  <c r="E1045" i="19"/>
  <c r="E1045" i="19" a="1"/>
  <c r="D1045" i="19"/>
  <c r="D1045" i="19" a="1"/>
  <c r="H1044" i="19" a="1"/>
  <c r="H1044" i="19" s="1"/>
  <c r="G1044" i="19" a="1"/>
  <c r="G1044" i="19" s="1"/>
  <c r="F1044" i="19" a="1"/>
  <c r="F1044" i="19" s="1"/>
  <c r="E1044" i="19" a="1"/>
  <c r="E1044" i="19" s="1"/>
  <c r="D1044" i="19" a="1"/>
  <c r="D1044" i="19" s="1"/>
  <c r="H1043" i="19" a="1"/>
  <c r="H1043" i="19" s="1"/>
  <c r="G1043" i="19"/>
  <c r="G1043" i="19" a="1"/>
  <c r="F1043" i="19" a="1"/>
  <c r="F1043" i="19" s="1"/>
  <c r="E1043" i="19" a="1"/>
  <c r="E1043" i="19" s="1"/>
  <c r="D1043" i="19" a="1"/>
  <c r="D1043" i="19" s="1"/>
  <c r="H1042" i="19" a="1"/>
  <c r="H1042" i="19" s="1"/>
  <c r="G1042" i="19" a="1"/>
  <c r="G1042" i="19" s="1"/>
  <c r="F1042" i="19" a="1"/>
  <c r="F1042" i="19" s="1"/>
  <c r="E1042" i="19"/>
  <c r="E1042" i="19" a="1"/>
  <c r="D1042" i="19" a="1"/>
  <c r="D1042" i="19" s="1"/>
  <c r="H1041" i="19" a="1"/>
  <c r="H1041" i="19" s="1"/>
  <c r="G1041" i="19" a="1"/>
  <c r="G1041" i="19" s="1"/>
  <c r="F1041" i="19" a="1"/>
  <c r="F1041" i="19" s="1"/>
  <c r="E1041" i="19" a="1"/>
  <c r="E1041" i="19" s="1"/>
  <c r="D1041" i="19"/>
  <c r="D1041" i="19" a="1"/>
  <c r="H1040" i="19" a="1"/>
  <c r="H1040" i="19" s="1"/>
  <c r="G1040" i="19" a="1"/>
  <c r="G1040" i="19" s="1"/>
  <c r="F1040" i="19" a="1"/>
  <c r="F1040" i="19" s="1"/>
  <c r="E1040" i="19" a="1"/>
  <c r="E1040" i="19" s="1"/>
  <c r="D1040" i="19"/>
  <c r="D1040" i="19" a="1"/>
  <c r="H1039" i="19" a="1"/>
  <c r="H1039" i="19" s="1"/>
  <c r="G1039" i="19" a="1"/>
  <c r="G1039" i="19" s="1"/>
  <c r="F1039" i="19" a="1"/>
  <c r="F1039" i="19" s="1"/>
  <c r="E1039" i="19"/>
  <c r="E1039" i="19" a="1"/>
  <c r="D1039" i="19" a="1"/>
  <c r="D1039" i="19" s="1"/>
  <c r="H1038" i="19" a="1"/>
  <c r="H1038" i="19" s="1"/>
  <c r="G1038" i="19" a="1"/>
  <c r="G1038" i="19" s="1"/>
  <c r="F1038" i="19" a="1"/>
  <c r="F1038" i="19" s="1"/>
  <c r="E1038" i="19" a="1"/>
  <c r="E1038" i="19" s="1"/>
  <c r="D1038" i="19" a="1"/>
  <c r="D1038" i="19" s="1"/>
  <c r="H1037" i="19" a="1"/>
  <c r="H1037" i="19" s="1"/>
  <c r="G1037" i="19" a="1"/>
  <c r="G1037" i="19" s="1"/>
  <c r="F1037" i="19" a="1"/>
  <c r="F1037" i="19" s="1"/>
  <c r="E1037" i="19" a="1"/>
  <c r="E1037" i="19" s="1"/>
  <c r="D1037" i="19" a="1"/>
  <c r="D1037" i="19" s="1"/>
  <c r="H1036" i="19" a="1"/>
  <c r="H1036" i="19" s="1"/>
  <c r="G1036" i="19"/>
  <c r="G1036" i="19" a="1"/>
  <c r="F1036" i="19"/>
  <c r="F1036" i="19" a="1"/>
  <c r="E1036" i="19" a="1"/>
  <c r="E1036" i="19" s="1"/>
  <c r="D1036" i="19" a="1"/>
  <c r="D1036" i="19" s="1"/>
  <c r="H1035" i="19" a="1"/>
  <c r="H1035" i="19" s="1"/>
  <c r="G1035" i="19"/>
  <c r="G1035" i="19" a="1"/>
  <c r="F1035" i="19" a="1"/>
  <c r="F1035" i="19" s="1"/>
  <c r="E1035" i="19" a="1"/>
  <c r="E1035" i="19" s="1"/>
  <c r="D1035" i="19"/>
  <c r="D1035" i="19" a="1"/>
  <c r="H1034" i="19" a="1"/>
  <c r="H1034" i="19" s="1"/>
  <c r="G1034" i="19" a="1"/>
  <c r="G1034" i="19" s="1"/>
  <c r="F1034" i="19" a="1"/>
  <c r="F1034" i="19" s="1"/>
  <c r="E1034" i="19" a="1"/>
  <c r="E1034" i="19" s="1"/>
  <c r="D1034" i="19" a="1"/>
  <c r="D1034" i="19" s="1"/>
  <c r="H1033" i="19" a="1"/>
  <c r="H1033" i="19" s="1"/>
  <c r="G1033" i="19" a="1"/>
  <c r="G1033" i="19" s="1"/>
  <c r="F1033" i="19" a="1"/>
  <c r="F1033" i="19" s="1"/>
  <c r="E1033" i="19" a="1"/>
  <c r="E1033" i="19" s="1"/>
  <c r="D1033" i="19" a="1"/>
  <c r="D1033" i="19" s="1"/>
  <c r="H1032" i="19" a="1"/>
  <c r="H1032" i="19" s="1"/>
  <c r="G1032" i="19" a="1"/>
  <c r="G1032" i="19" s="1"/>
  <c r="F1032" i="19" a="1"/>
  <c r="F1032" i="19" s="1"/>
  <c r="E1032" i="19" a="1"/>
  <c r="E1032" i="19" s="1"/>
  <c r="D1032" i="19"/>
  <c r="D1032" i="19" a="1"/>
  <c r="H1031" i="19" a="1"/>
  <c r="H1031" i="19" s="1"/>
  <c r="G1031" i="19" a="1"/>
  <c r="G1031" i="19" s="1"/>
  <c r="F1031" i="19" a="1"/>
  <c r="F1031" i="19" s="1"/>
  <c r="E1031" i="19" a="1"/>
  <c r="E1031" i="19" s="1"/>
  <c r="D1031" i="19" a="1"/>
  <c r="D1031" i="19" s="1"/>
  <c r="H1030" i="19" a="1"/>
  <c r="H1030" i="19" s="1"/>
  <c r="G1030" i="19"/>
  <c r="G1030" i="19" a="1"/>
  <c r="F1030" i="19" a="1"/>
  <c r="F1030" i="19" s="1"/>
  <c r="E1030" i="19" a="1"/>
  <c r="E1030" i="19" s="1"/>
  <c r="D1030" i="19" a="1"/>
  <c r="D1030" i="19" s="1"/>
  <c r="H1029" i="19" a="1"/>
  <c r="H1029" i="19" s="1"/>
  <c r="G1029" i="19" a="1"/>
  <c r="G1029" i="19" s="1"/>
  <c r="F1029" i="19"/>
  <c r="F1029" i="19" a="1"/>
  <c r="E1029" i="19"/>
  <c r="E1029" i="19" a="1"/>
  <c r="D1029" i="19" a="1"/>
  <c r="D1029" i="19" s="1"/>
  <c r="H1028" i="19" a="1"/>
  <c r="H1028" i="19" s="1"/>
  <c r="G1028" i="19" a="1"/>
  <c r="G1028" i="19" s="1"/>
  <c r="F1028" i="19"/>
  <c r="F1028" i="19" a="1"/>
  <c r="E1028" i="19" a="1"/>
  <c r="E1028" i="19" s="1"/>
  <c r="D1028" i="19" a="1"/>
  <c r="D1028" i="19" s="1"/>
  <c r="H1027" i="19" a="1"/>
  <c r="H1027" i="19" s="1"/>
  <c r="G1027" i="19" a="1"/>
  <c r="G1027" i="19" s="1"/>
  <c r="F1027" i="19" a="1"/>
  <c r="F1027" i="19" s="1"/>
  <c r="E1027" i="19" a="1"/>
  <c r="E1027" i="19" s="1"/>
  <c r="D1027" i="19" a="1"/>
  <c r="D1027" i="19" s="1"/>
  <c r="H1026" i="19" a="1"/>
  <c r="H1026" i="19" s="1"/>
  <c r="G1026" i="19"/>
  <c r="G1026" i="19" a="1"/>
  <c r="F1026" i="19" a="1"/>
  <c r="F1026" i="19" s="1"/>
  <c r="E1026" i="19" a="1"/>
  <c r="E1026" i="19" s="1"/>
  <c r="D1026" i="19" a="1"/>
  <c r="D1026" i="19" s="1"/>
  <c r="H1025" i="19" a="1"/>
  <c r="H1025" i="19" s="1"/>
  <c r="G1025" i="19"/>
  <c r="G1025" i="19" a="1"/>
  <c r="F1025" i="19" a="1"/>
  <c r="F1025" i="19" s="1"/>
  <c r="E1025" i="19" a="1"/>
  <c r="E1025" i="19" s="1"/>
  <c r="D1025" i="19" a="1"/>
  <c r="D1025" i="19" s="1"/>
  <c r="H1024" i="19" a="1"/>
  <c r="H1024" i="19" s="1"/>
  <c r="G1024" i="19" a="1"/>
  <c r="G1024" i="19" s="1"/>
  <c r="F1024" i="19" a="1"/>
  <c r="F1024" i="19" s="1"/>
  <c r="E1024" i="19" a="1"/>
  <c r="E1024" i="19" s="1"/>
  <c r="D1024" i="19" a="1"/>
  <c r="D1024" i="19" s="1"/>
  <c r="H1023" i="19" a="1"/>
  <c r="H1023" i="19" s="1"/>
  <c r="G1023" i="19" a="1"/>
  <c r="G1023" i="19" s="1"/>
  <c r="F1023" i="19"/>
  <c r="F1023" i="19" a="1"/>
  <c r="E1023" i="19" a="1"/>
  <c r="E1023" i="19" s="1"/>
  <c r="D1023" i="19" a="1"/>
  <c r="D1023" i="19" s="1"/>
  <c r="H1022" i="19" a="1"/>
  <c r="H1022" i="19" s="1"/>
  <c r="G1022" i="19" a="1"/>
  <c r="G1022" i="19" s="1"/>
  <c r="F1022" i="19" a="1"/>
  <c r="F1022" i="19" s="1"/>
  <c r="E1022" i="19"/>
  <c r="E1022" i="19" a="1"/>
  <c r="D1022" i="19"/>
  <c r="D1022" i="19" a="1"/>
  <c r="H1021" i="19" a="1"/>
  <c r="H1021" i="19" s="1"/>
  <c r="G1021" i="19" a="1"/>
  <c r="G1021" i="19" s="1"/>
  <c r="F1021" i="19" a="1"/>
  <c r="F1021" i="19" s="1"/>
  <c r="E1021" i="19"/>
  <c r="E1021" i="19" a="1"/>
  <c r="D1021" i="19" a="1"/>
  <c r="D1021" i="19" s="1"/>
  <c r="H1020" i="19" a="1"/>
  <c r="H1020" i="19" s="1"/>
  <c r="G1020" i="19"/>
  <c r="G1020" i="19" a="1"/>
  <c r="F1020" i="19" a="1"/>
  <c r="F1020" i="19" s="1"/>
  <c r="E1020" i="19" a="1"/>
  <c r="E1020" i="19" s="1"/>
  <c r="D1020" i="19" a="1"/>
  <c r="D1020" i="19" s="1"/>
  <c r="H1019" i="19" a="1"/>
  <c r="H1019" i="19" s="1"/>
  <c r="G1019" i="19"/>
  <c r="G1019" i="19" a="1"/>
  <c r="F1019" i="19" a="1"/>
  <c r="F1019" i="19" s="1"/>
  <c r="E1019" i="19" a="1"/>
  <c r="E1019" i="19" s="1"/>
  <c r="D1019" i="19" a="1"/>
  <c r="D1019" i="19" s="1"/>
  <c r="H1018" i="19" a="1"/>
  <c r="H1018" i="19" s="1"/>
  <c r="G1018" i="19" a="1"/>
  <c r="G1018" i="19" s="1"/>
  <c r="F1018" i="19" a="1"/>
  <c r="F1018" i="19" s="1"/>
  <c r="E1018" i="19" a="1"/>
  <c r="E1018" i="19" s="1"/>
  <c r="D1018" i="19" a="1"/>
  <c r="D1018" i="19" s="1"/>
  <c r="H1017" i="19" a="1"/>
  <c r="H1017" i="19" s="1"/>
  <c r="G1017" i="19"/>
  <c r="G1017" i="19" a="1"/>
  <c r="F1017" i="19" a="1"/>
  <c r="F1017" i="19" s="1"/>
  <c r="E1017" i="19" a="1"/>
  <c r="E1017" i="19" s="1"/>
  <c r="D1017" i="19" a="1"/>
  <c r="D1017" i="19" s="1"/>
  <c r="H1016" i="19" a="1"/>
  <c r="H1016" i="19" s="1"/>
  <c r="G1016" i="19" a="1"/>
  <c r="G1016" i="19" s="1"/>
  <c r="F1016" i="19" a="1"/>
  <c r="F1016" i="19" s="1"/>
  <c r="E1016" i="19"/>
  <c r="E1016" i="19" a="1"/>
  <c r="D1016" i="19" a="1"/>
  <c r="D1016" i="19" s="1"/>
  <c r="H1015" i="19" a="1"/>
  <c r="H1015" i="19" s="1"/>
  <c r="G1015" i="19" a="1"/>
  <c r="G1015" i="19" s="1"/>
  <c r="F1015" i="19" a="1"/>
  <c r="F1015" i="19" s="1"/>
  <c r="E1015" i="19" a="1"/>
  <c r="E1015" i="19" s="1"/>
  <c r="D1015" i="19" a="1"/>
  <c r="D1015" i="19" s="1"/>
  <c r="H1014" i="19" a="1"/>
  <c r="H1014" i="19" s="1"/>
  <c r="G1014" i="19" a="1"/>
  <c r="G1014" i="19" s="1"/>
  <c r="F1014" i="19" a="1"/>
  <c r="F1014" i="19" s="1"/>
  <c r="E1014" i="19" a="1"/>
  <c r="E1014" i="19" s="1"/>
  <c r="D1014" i="19" a="1"/>
  <c r="D1014" i="19" s="1"/>
  <c r="H1013" i="19" a="1"/>
  <c r="H1013" i="19" s="1"/>
  <c r="G1013" i="19"/>
  <c r="G1013" i="19" a="1"/>
  <c r="F1013" i="19"/>
  <c r="F1013" i="19" a="1"/>
  <c r="E1013" i="19" a="1"/>
  <c r="E1013" i="19" s="1"/>
  <c r="D1013" i="19" a="1"/>
  <c r="D1013" i="19" s="1"/>
  <c r="H1012" i="19" a="1"/>
  <c r="H1012" i="19" s="1"/>
  <c r="G1012" i="19" a="1"/>
  <c r="G1012" i="19" s="1"/>
  <c r="F1012" i="19" a="1"/>
  <c r="F1012" i="19" s="1"/>
  <c r="E1012" i="19" a="1"/>
  <c r="E1012" i="19" s="1"/>
  <c r="D1012" i="19" a="1"/>
  <c r="D1012" i="19" s="1"/>
  <c r="H1011" i="19" a="1"/>
  <c r="H1011" i="19" s="1"/>
  <c r="G1011" i="19" a="1"/>
  <c r="G1011" i="19" s="1"/>
  <c r="F1011" i="19" a="1"/>
  <c r="F1011" i="19" s="1"/>
  <c r="E1011" i="19"/>
  <c r="E1011" i="19" a="1"/>
  <c r="D1011" i="19" a="1"/>
  <c r="D1011" i="19" s="1"/>
  <c r="H1010" i="19" a="1"/>
  <c r="H1010" i="19" s="1"/>
  <c r="G1010" i="19" a="1"/>
  <c r="G1010" i="19" s="1"/>
  <c r="F1010" i="19"/>
  <c r="F1010" i="19" a="1"/>
  <c r="E1010" i="19" a="1"/>
  <c r="E1010" i="19" s="1"/>
  <c r="D1010" i="19" a="1"/>
  <c r="D1010" i="19" s="1"/>
  <c r="H1009" i="19" a="1"/>
  <c r="H1009" i="19" s="1"/>
  <c r="G1009" i="19" a="1"/>
  <c r="G1009" i="19" s="1"/>
  <c r="F1009" i="19" a="1"/>
  <c r="F1009" i="19" s="1"/>
  <c r="E1009" i="19" a="1"/>
  <c r="E1009" i="19" s="1"/>
  <c r="D1009" i="19"/>
  <c r="D1009" i="19" a="1"/>
  <c r="H1008" i="19" a="1"/>
  <c r="H1008" i="19" s="1"/>
  <c r="G1008" i="19" a="1"/>
  <c r="G1008" i="19" s="1"/>
  <c r="F1008" i="19" a="1"/>
  <c r="F1008" i="19" s="1"/>
  <c r="E1008" i="19" a="1"/>
  <c r="E1008" i="19" s="1"/>
  <c r="D1008" i="19" a="1"/>
  <c r="D1008" i="19" s="1"/>
  <c r="H1007" i="19" a="1"/>
  <c r="H1007" i="19" s="1"/>
  <c r="G1007" i="19"/>
  <c r="G1007" i="19" a="1"/>
  <c r="F1007" i="19" a="1"/>
  <c r="F1007" i="19" s="1"/>
  <c r="E1007" i="19" a="1"/>
  <c r="E1007" i="19" s="1"/>
  <c r="D1007" i="19" a="1"/>
  <c r="D1007" i="19" s="1"/>
  <c r="H1006" i="19" a="1"/>
  <c r="H1006" i="19" s="1"/>
  <c r="G1006" i="19"/>
  <c r="G1006" i="19" a="1"/>
  <c r="F1006" i="19" a="1"/>
  <c r="F1006" i="19" s="1"/>
  <c r="E1006" i="19"/>
  <c r="E1006" i="19" a="1"/>
  <c r="D1006" i="19" a="1"/>
  <c r="D1006" i="19" s="1"/>
  <c r="H1005" i="19" a="1"/>
  <c r="H1005" i="19" s="1"/>
  <c r="G1005" i="19" a="1"/>
  <c r="G1005" i="19" s="1"/>
  <c r="F1005" i="19" a="1"/>
  <c r="F1005" i="19" s="1"/>
  <c r="E1005" i="19" a="1"/>
  <c r="E1005" i="19" s="1"/>
  <c r="D1005" i="19" a="1"/>
  <c r="D1005" i="19" s="1"/>
  <c r="H1004" i="19" a="1"/>
  <c r="H1004" i="19" s="1"/>
  <c r="G1004" i="19" a="1"/>
  <c r="G1004" i="19" s="1"/>
  <c r="F1004" i="19" a="1"/>
  <c r="F1004" i="19" s="1"/>
  <c r="E1004" i="19" a="1"/>
  <c r="E1004" i="19" s="1"/>
  <c r="D1004" i="19" a="1"/>
  <c r="D1004" i="19" s="1"/>
  <c r="H1003" i="19" a="1"/>
  <c r="H1003" i="19" s="1"/>
  <c r="G1003" i="19" a="1"/>
  <c r="G1003" i="19" s="1"/>
  <c r="F1003" i="19" a="1"/>
  <c r="F1003" i="19" s="1"/>
  <c r="E1003" i="19"/>
  <c r="E1003" i="19" a="1"/>
  <c r="D1003" i="19" a="1"/>
  <c r="D1003" i="19" s="1"/>
  <c r="H1002" i="19" a="1"/>
  <c r="H1002" i="19" s="1"/>
  <c r="G1002" i="19" a="1"/>
  <c r="G1002" i="19" s="1"/>
  <c r="F1002" i="19" a="1"/>
  <c r="F1002" i="19" s="1"/>
  <c r="E1002" i="19" a="1"/>
  <c r="E1002" i="19" s="1"/>
  <c r="D1002" i="19" a="1"/>
  <c r="D1002" i="19" s="1"/>
  <c r="H1001" i="19" a="1"/>
  <c r="H1001" i="19" s="1"/>
  <c r="G1001" i="19" a="1"/>
  <c r="G1001" i="19" s="1"/>
  <c r="F1001" i="19" a="1"/>
  <c r="F1001" i="19" s="1"/>
  <c r="E1001" i="19" a="1"/>
  <c r="E1001" i="19" s="1"/>
  <c r="D1001" i="19" a="1"/>
  <c r="D1001" i="19" s="1"/>
  <c r="H1000" i="19" a="1"/>
  <c r="H1000" i="19" s="1"/>
  <c r="G1000" i="19" a="1"/>
  <c r="G1000" i="19" s="1"/>
  <c r="F1000" i="19"/>
  <c r="F1000" i="19" a="1"/>
  <c r="E1000" i="19" a="1"/>
  <c r="E1000" i="19" s="1"/>
  <c r="D1000" i="19" a="1"/>
  <c r="D1000" i="19" s="1"/>
  <c r="H999" i="19" a="1"/>
  <c r="H999" i="19" s="1"/>
  <c r="G999" i="19" a="1"/>
  <c r="G999" i="19" s="1"/>
  <c r="F999" i="19"/>
  <c r="F999" i="19" a="1"/>
  <c r="E999" i="19"/>
  <c r="E999" i="19" a="1"/>
  <c r="D999" i="19"/>
  <c r="D999" i="19" a="1"/>
  <c r="H998" i="19" a="1"/>
  <c r="H998" i="19" s="1"/>
  <c r="G998" i="19" a="1"/>
  <c r="G998" i="19" s="1"/>
  <c r="F998" i="19" a="1"/>
  <c r="F998" i="19" s="1"/>
  <c r="E998" i="19" a="1"/>
  <c r="E998" i="19" s="1"/>
  <c r="D998" i="19"/>
  <c r="D998" i="19" a="1"/>
  <c r="H997" i="19" a="1"/>
  <c r="H997" i="19" s="1"/>
  <c r="G997" i="19" a="1"/>
  <c r="G997" i="19" s="1"/>
  <c r="F997" i="19" a="1"/>
  <c r="F997" i="19" s="1"/>
  <c r="E997" i="19" a="1"/>
  <c r="E997" i="19" s="1"/>
  <c r="D997" i="19" a="1"/>
  <c r="D997" i="19" s="1"/>
  <c r="H996" i="19" a="1"/>
  <c r="H996" i="19" s="1"/>
  <c r="G996" i="19" a="1"/>
  <c r="G996" i="19" s="1"/>
  <c r="F996" i="19" a="1"/>
  <c r="F996" i="19" s="1"/>
  <c r="E996" i="19" a="1"/>
  <c r="E996" i="19" s="1"/>
  <c r="D996" i="19"/>
  <c r="D996" i="19" a="1"/>
  <c r="H995" i="19" a="1"/>
  <c r="H995" i="19" s="1"/>
  <c r="G995" i="19" a="1"/>
  <c r="G995" i="19" s="1"/>
  <c r="F995" i="19" a="1"/>
  <c r="F995" i="19" s="1"/>
  <c r="E995" i="19" a="1"/>
  <c r="E995" i="19" s="1"/>
  <c r="D995" i="19" a="1"/>
  <c r="D995" i="19" s="1"/>
  <c r="H994" i="19" a="1"/>
  <c r="H994" i="19" s="1"/>
  <c r="G994" i="19"/>
  <c r="G994" i="19" a="1"/>
  <c r="F994" i="19" a="1"/>
  <c r="F994" i="19" s="1"/>
  <c r="E994" i="19" a="1"/>
  <c r="E994" i="19" s="1"/>
  <c r="D994" i="19" a="1"/>
  <c r="D994" i="19" s="1"/>
  <c r="H993" i="19" a="1"/>
  <c r="H993" i="19" s="1"/>
  <c r="G993" i="19" a="1"/>
  <c r="G993" i="19" s="1"/>
  <c r="F993" i="19" a="1"/>
  <c r="F993" i="19" s="1"/>
  <c r="E993" i="19"/>
  <c r="E993" i="19" a="1"/>
  <c r="D993" i="19" a="1"/>
  <c r="D993" i="19" s="1"/>
  <c r="H992" i="19" a="1"/>
  <c r="H992" i="19" s="1"/>
  <c r="G992" i="19" a="1"/>
  <c r="G992" i="19" s="1"/>
  <c r="F992" i="19" a="1"/>
  <c r="F992" i="19" s="1"/>
  <c r="E992" i="19"/>
  <c r="E992" i="19" a="1"/>
  <c r="D992" i="19"/>
  <c r="D992" i="19" a="1"/>
  <c r="H991" i="19" a="1"/>
  <c r="H991" i="19" s="1"/>
  <c r="G991" i="19" a="1"/>
  <c r="G991" i="19" s="1"/>
  <c r="F991" i="19" a="1"/>
  <c r="F991" i="19" s="1"/>
  <c r="E991" i="19" a="1"/>
  <c r="E991" i="19" s="1"/>
  <c r="D991" i="19" a="1"/>
  <c r="D991" i="19" s="1"/>
  <c r="H990" i="19" a="1"/>
  <c r="H990" i="19" s="1"/>
  <c r="G990" i="19" a="1"/>
  <c r="G990" i="19" s="1"/>
  <c r="F990" i="19" a="1"/>
  <c r="F990" i="19" s="1"/>
  <c r="E990" i="19" a="1"/>
  <c r="E990" i="19" s="1"/>
  <c r="D990" i="19" a="1"/>
  <c r="D990" i="19" s="1"/>
  <c r="H989" i="19" a="1"/>
  <c r="H989" i="19" s="1"/>
  <c r="G989" i="19"/>
  <c r="G989" i="19" a="1"/>
  <c r="F989" i="19" a="1"/>
  <c r="F989" i="19" s="1"/>
  <c r="E989" i="19" a="1"/>
  <c r="E989" i="19" s="1"/>
  <c r="D989" i="19"/>
  <c r="D989" i="19" a="1"/>
  <c r="H988" i="19" a="1"/>
  <c r="H988" i="19" s="1"/>
  <c r="G988" i="19"/>
  <c r="G988" i="19" a="1"/>
  <c r="F988" i="19" a="1"/>
  <c r="F988" i="19" s="1"/>
  <c r="E988" i="19"/>
  <c r="E988" i="19" a="1"/>
  <c r="D988" i="19" a="1"/>
  <c r="D988" i="19" s="1"/>
  <c r="H987" i="19" a="1"/>
  <c r="H987" i="19" s="1"/>
  <c r="G987" i="19"/>
  <c r="G987" i="19" a="1"/>
  <c r="F987" i="19"/>
  <c r="F987" i="19" a="1"/>
  <c r="E987" i="19" a="1"/>
  <c r="E987" i="19" s="1"/>
  <c r="D987" i="19" a="1"/>
  <c r="D987" i="19" s="1"/>
  <c r="H986" i="19" a="1"/>
  <c r="H986" i="19" s="1"/>
  <c r="G986" i="19" a="1"/>
  <c r="G986" i="19" s="1"/>
  <c r="F986" i="19"/>
  <c r="F986" i="19" a="1"/>
  <c r="E986" i="19"/>
  <c r="E986" i="19" a="1"/>
  <c r="D986" i="19" a="1"/>
  <c r="D986" i="19" s="1"/>
  <c r="H985" i="19" a="1"/>
  <c r="H985" i="19" s="1"/>
  <c r="G985" i="19"/>
  <c r="G985" i="19" a="1"/>
  <c r="F985" i="19" a="1"/>
  <c r="F985" i="19" s="1"/>
  <c r="E985" i="19"/>
  <c r="E985" i="19" a="1"/>
  <c r="D985" i="19"/>
  <c r="D985" i="19" a="1"/>
  <c r="H984" i="19" a="1"/>
  <c r="H984" i="19" s="1"/>
  <c r="G984" i="19"/>
  <c r="G984" i="19" a="1"/>
  <c r="F984" i="19" a="1"/>
  <c r="F984" i="19" s="1"/>
  <c r="E984" i="19"/>
  <c r="E984" i="19" a="1"/>
  <c r="D984" i="19"/>
  <c r="D984" i="19" a="1"/>
  <c r="H983" i="19" a="1"/>
  <c r="H983" i="19" s="1"/>
  <c r="G983" i="19" a="1"/>
  <c r="G983" i="19" s="1"/>
  <c r="F983" i="19" a="1"/>
  <c r="F983" i="19" s="1"/>
  <c r="E983" i="19" a="1"/>
  <c r="E983" i="19" s="1"/>
  <c r="D983" i="19"/>
  <c r="D983" i="19" a="1"/>
  <c r="H982" i="19" a="1"/>
  <c r="H982" i="19" s="1"/>
  <c r="G982" i="19"/>
  <c r="G982" i="19" a="1"/>
  <c r="F982" i="19" a="1"/>
  <c r="F982" i="19" s="1"/>
  <c r="E982" i="19"/>
  <c r="E982" i="19" a="1"/>
  <c r="D982" i="19"/>
  <c r="D982" i="19" a="1"/>
  <c r="H981" i="19" a="1"/>
  <c r="H981" i="19" s="1"/>
  <c r="G981" i="19"/>
  <c r="G981" i="19" a="1"/>
  <c r="F981" i="19"/>
  <c r="F981" i="19" a="1"/>
  <c r="E981" i="19" a="1"/>
  <c r="E981" i="19" s="1"/>
  <c r="D981" i="19" a="1"/>
  <c r="D981" i="19" s="1"/>
  <c r="H980" i="19" a="1"/>
  <c r="H980" i="19" s="1"/>
  <c r="G980" i="19" a="1"/>
  <c r="G980" i="19" s="1"/>
  <c r="F980" i="19"/>
  <c r="F980" i="19" a="1"/>
  <c r="E980" i="19"/>
  <c r="E980" i="19" a="1"/>
  <c r="D980" i="19" a="1"/>
  <c r="D980" i="19" s="1"/>
  <c r="H979" i="19" a="1"/>
  <c r="H979" i="19" s="1"/>
  <c r="G979" i="19"/>
  <c r="G979" i="19" a="1"/>
  <c r="F979" i="19"/>
  <c r="F979" i="19" a="1"/>
  <c r="E979" i="19"/>
  <c r="E979" i="19" a="1"/>
  <c r="D979" i="19"/>
  <c r="D979" i="19" a="1"/>
  <c r="H978" i="19" a="1"/>
  <c r="H978" i="19" s="1"/>
  <c r="G978" i="19" a="1"/>
  <c r="G978" i="19" s="1"/>
  <c r="F978" i="19" a="1"/>
  <c r="F978" i="19" s="1"/>
  <c r="E978" i="19" a="1"/>
  <c r="E978" i="19" s="1"/>
  <c r="D978" i="19"/>
  <c r="D978" i="19" a="1"/>
  <c r="H977" i="19" a="1"/>
  <c r="H977" i="19" s="1"/>
  <c r="G977" i="19" a="1"/>
  <c r="G977" i="19" s="1"/>
  <c r="F977" i="19"/>
  <c r="F977" i="19" a="1"/>
  <c r="E977" i="19"/>
  <c r="E977" i="19" a="1"/>
  <c r="D977" i="19"/>
  <c r="D977" i="19" a="1"/>
  <c r="H976" i="19" a="1"/>
  <c r="H976" i="19" s="1"/>
  <c r="G976" i="19"/>
  <c r="G976" i="19" a="1"/>
  <c r="F976" i="19" a="1"/>
  <c r="F976" i="19" s="1"/>
  <c r="E976" i="19" a="1"/>
  <c r="E976" i="19" s="1"/>
  <c r="D976" i="19"/>
  <c r="D976" i="19" a="1"/>
  <c r="H975" i="19" a="1"/>
  <c r="H975" i="19" s="1"/>
  <c r="G975" i="19"/>
  <c r="G975" i="19" a="1"/>
  <c r="F975" i="19"/>
  <c r="F975" i="19" a="1"/>
  <c r="E975" i="19" a="1"/>
  <c r="E975" i="19" s="1"/>
  <c r="D975" i="19"/>
  <c r="D975" i="19" a="1"/>
  <c r="H974" i="19" a="1"/>
  <c r="H974" i="19" s="1"/>
  <c r="G974" i="19"/>
  <c r="G974" i="19" a="1"/>
  <c r="F974" i="19"/>
  <c r="F974" i="19" a="1"/>
  <c r="E974" i="19"/>
  <c r="E974" i="19" a="1"/>
  <c r="D974" i="19" a="1"/>
  <c r="D974" i="19" s="1"/>
  <c r="H973" i="19" a="1"/>
  <c r="H973" i="19" s="1"/>
  <c r="G973" i="19" a="1"/>
  <c r="G973" i="19" s="1"/>
  <c r="F973" i="19"/>
  <c r="F973" i="19" a="1"/>
  <c r="E973" i="19"/>
  <c r="E973" i="19" a="1"/>
  <c r="D973" i="19"/>
  <c r="D973" i="19" a="1"/>
  <c r="H972" i="19" a="1"/>
  <c r="H972" i="19" s="1"/>
  <c r="G972" i="19" a="1"/>
  <c r="G972" i="19" s="1"/>
  <c r="F972" i="19"/>
  <c r="F972" i="19" a="1"/>
  <c r="E972" i="19"/>
  <c r="E972" i="19" a="1"/>
  <c r="D972" i="19"/>
  <c r="D972" i="19" a="1"/>
  <c r="H971" i="19" a="1"/>
  <c r="H971" i="19" s="1"/>
  <c r="G971" i="19" a="1"/>
  <c r="G971" i="19" s="1"/>
  <c r="F971" i="19" a="1"/>
  <c r="F971" i="19" s="1"/>
  <c r="E971" i="19"/>
  <c r="E971" i="19" a="1"/>
  <c r="D971" i="19" a="1"/>
  <c r="D971" i="19" s="1"/>
  <c r="H970" i="19" a="1"/>
  <c r="H970" i="19" s="1"/>
  <c r="G970" i="19"/>
  <c r="G970" i="19" a="1"/>
  <c r="F970" i="19" a="1"/>
  <c r="F970" i="19" s="1"/>
  <c r="E970" i="19"/>
  <c r="E970" i="19" a="1"/>
  <c r="D970" i="19" a="1"/>
  <c r="D970" i="19" s="1"/>
  <c r="H969" i="19" a="1"/>
  <c r="H969" i="19" s="1"/>
  <c r="G969" i="19"/>
  <c r="G969" i="19" a="1"/>
  <c r="F969" i="19"/>
  <c r="F969" i="19" a="1"/>
  <c r="E969" i="19" a="1"/>
  <c r="E969" i="19" s="1"/>
  <c r="D969" i="19" a="1"/>
  <c r="D969" i="19" s="1"/>
  <c r="H968" i="19" a="1"/>
  <c r="H968" i="19" s="1"/>
  <c r="G968" i="19"/>
  <c r="G968" i="19" a="1"/>
  <c r="F968" i="19"/>
  <c r="F968" i="19" a="1"/>
  <c r="E968" i="19"/>
  <c r="E968" i="19" a="1"/>
  <c r="D968" i="19" a="1"/>
  <c r="D968" i="19" s="1"/>
  <c r="H967" i="19" a="1"/>
  <c r="H967" i="19" s="1"/>
  <c r="G967" i="19"/>
  <c r="G967" i="19" a="1"/>
  <c r="F967" i="19" a="1"/>
  <c r="F967" i="19" s="1"/>
  <c r="E967" i="19"/>
  <c r="E967" i="19" a="1"/>
  <c r="D967" i="19"/>
  <c r="D967" i="19" a="1"/>
  <c r="H966" i="19" a="1"/>
  <c r="H966" i="19" s="1"/>
  <c r="G966" i="19" a="1"/>
  <c r="G966" i="19" s="1"/>
  <c r="F966" i="19" a="1"/>
  <c r="F966" i="19" s="1"/>
  <c r="E966" i="19" a="1"/>
  <c r="E966" i="19" s="1"/>
  <c r="D966" i="19"/>
  <c r="D966" i="19" a="1"/>
  <c r="H965" i="19" a="1"/>
  <c r="H965" i="19" s="1"/>
  <c r="G965" i="19" a="1"/>
  <c r="G965" i="19" s="1"/>
  <c r="F965" i="19"/>
  <c r="F965" i="19" a="1"/>
  <c r="E965" i="19"/>
  <c r="E965" i="19" a="1"/>
  <c r="D965" i="19"/>
  <c r="D965" i="19" a="1"/>
  <c r="H964" i="19" a="1"/>
  <c r="H964" i="19" s="1"/>
  <c r="G964" i="19"/>
  <c r="G964" i="19" a="1"/>
  <c r="F964" i="19" a="1"/>
  <c r="F964" i="19" s="1"/>
  <c r="E964" i="19"/>
  <c r="E964" i="19" a="1"/>
  <c r="D964" i="19" a="1"/>
  <c r="D964" i="19" s="1"/>
  <c r="H963" i="19" a="1"/>
  <c r="H963" i="19" s="1"/>
  <c r="G963" i="19"/>
  <c r="G963" i="19" a="1"/>
  <c r="F963" i="19"/>
  <c r="F963" i="19" a="1"/>
  <c r="E963" i="19" a="1"/>
  <c r="E963" i="19" s="1"/>
  <c r="D963" i="19"/>
  <c r="D963" i="19" a="1"/>
  <c r="H962" i="19" a="1"/>
  <c r="H962" i="19" s="1"/>
  <c r="G962" i="19"/>
  <c r="G962" i="19" a="1"/>
  <c r="F962" i="19"/>
  <c r="F962" i="19" a="1"/>
  <c r="E962" i="19"/>
  <c r="E962" i="19" a="1"/>
  <c r="D962" i="19" a="1"/>
  <c r="D962" i="19" s="1"/>
  <c r="H961" i="19" a="1"/>
  <c r="H961" i="19" s="1"/>
  <c r="G961" i="19" a="1"/>
  <c r="G961" i="19" s="1"/>
  <c r="F961" i="19" a="1"/>
  <c r="F961" i="19" s="1"/>
  <c r="E961" i="19"/>
  <c r="E961" i="19" a="1"/>
  <c r="D961" i="19"/>
  <c r="D961" i="19" a="1"/>
  <c r="H960" i="19" a="1"/>
  <c r="H960" i="19" s="1"/>
  <c r="G960" i="19"/>
  <c r="G960" i="19" a="1"/>
  <c r="F960" i="19" a="1"/>
  <c r="F960" i="19" s="1"/>
  <c r="E960" i="19"/>
  <c r="E960" i="19" a="1"/>
  <c r="D960" i="19"/>
  <c r="D960" i="19" a="1"/>
  <c r="H959" i="19" a="1"/>
  <c r="H959" i="19" s="1"/>
  <c r="G959" i="19" a="1"/>
  <c r="G959" i="19" s="1"/>
  <c r="F959" i="19"/>
  <c r="F959" i="19" a="1"/>
  <c r="E959" i="19" a="1"/>
  <c r="E959" i="19" s="1"/>
  <c r="D959" i="19" a="1"/>
  <c r="D959" i="19" s="1"/>
  <c r="H958" i="19" a="1"/>
  <c r="H958" i="19" s="1"/>
  <c r="G958" i="19"/>
  <c r="G958" i="19" a="1"/>
  <c r="F958" i="19" a="1"/>
  <c r="F958" i="19" s="1"/>
  <c r="E958" i="19" a="1"/>
  <c r="E958" i="19" s="1"/>
  <c r="D958" i="19"/>
  <c r="D958" i="19" a="1"/>
  <c r="H957" i="19" a="1"/>
  <c r="H957" i="19" s="1"/>
  <c r="G957" i="19"/>
  <c r="G957" i="19" a="1"/>
  <c r="F957" i="19"/>
  <c r="F957" i="19" a="1"/>
  <c r="E957" i="19" a="1"/>
  <c r="E957" i="19" s="1"/>
  <c r="D957" i="19" a="1"/>
  <c r="D957" i="19" s="1"/>
  <c r="H956" i="19" a="1"/>
  <c r="H956" i="19" s="1"/>
  <c r="G956" i="19" a="1"/>
  <c r="G956" i="19" s="1"/>
  <c r="F956" i="19"/>
  <c r="F956" i="19" a="1"/>
  <c r="E956" i="19"/>
  <c r="E956" i="19" a="1"/>
  <c r="D956" i="19" a="1"/>
  <c r="D956" i="19" s="1"/>
  <c r="H955" i="19" a="1"/>
  <c r="H955" i="19" s="1"/>
  <c r="G955" i="19" a="1"/>
  <c r="G955" i="19" s="1"/>
  <c r="F955" i="19"/>
  <c r="F955" i="19" a="1"/>
  <c r="E955" i="19"/>
  <c r="E955" i="19" a="1"/>
  <c r="D955" i="19"/>
  <c r="D955" i="19" a="1"/>
  <c r="H954" i="19" a="1"/>
  <c r="H954" i="19" s="1"/>
  <c r="G954" i="19" a="1"/>
  <c r="G954" i="19" s="1"/>
  <c r="F954" i="19" a="1"/>
  <c r="F954" i="19" s="1"/>
  <c r="E954" i="19"/>
  <c r="E954" i="19" a="1"/>
  <c r="D954" i="19"/>
  <c r="D954" i="19" a="1"/>
  <c r="H953" i="19" a="1"/>
  <c r="H953" i="19" s="1"/>
  <c r="G953" i="19" a="1"/>
  <c r="G953" i="19" s="1"/>
  <c r="F953" i="19" a="1"/>
  <c r="F953" i="19" s="1"/>
  <c r="E953" i="19" a="1"/>
  <c r="E953" i="19" s="1"/>
  <c r="D953" i="19" a="1"/>
  <c r="D953" i="19" s="1"/>
  <c r="H952" i="19" a="1"/>
  <c r="H952" i="19" s="1"/>
  <c r="G952" i="19" a="1"/>
  <c r="G952" i="19" s="1"/>
  <c r="F952" i="19" a="1"/>
  <c r="F952" i="19" s="1"/>
  <c r="E952" i="19"/>
  <c r="E952" i="19" a="1"/>
  <c r="D952" i="19" a="1"/>
  <c r="D952" i="19" s="1"/>
  <c r="H951" i="19" a="1"/>
  <c r="H951" i="19" s="1"/>
  <c r="G951" i="19"/>
  <c r="G951" i="19" a="1"/>
  <c r="F951" i="19" a="1"/>
  <c r="F951" i="19" s="1"/>
  <c r="E951" i="19" a="1"/>
  <c r="E951" i="19" s="1"/>
  <c r="D951" i="19" a="1"/>
  <c r="D951" i="19" s="1"/>
  <c r="H950" i="19" a="1"/>
  <c r="H950" i="19" s="1"/>
  <c r="G950" i="19" a="1"/>
  <c r="G950" i="19" s="1"/>
  <c r="F950" i="19"/>
  <c r="F950" i="19" a="1"/>
  <c r="E950" i="19" a="1"/>
  <c r="E950" i="19" s="1"/>
  <c r="D950" i="19" a="1"/>
  <c r="D950" i="19" s="1"/>
  <c r="H949" i="19" a="1"/>
  <c r="H949" i="19" s="1"/>
  <c r="G949" i="19" a="1"/>
  <c r="G949" i="19" s="1"/>
  <c r="F949" i="19" a="1"/>
  <c r="F949" i="19" s="1"/>
  <c r="E949" i="19"/>
  <c r="E949" i="19" a="1"/>
  <c r="D949" i="19" a="1"/>
  <c r="D949" i="19" s="1"/>
  <c r="H948" i="19" a="1"/>
  <c r="H948" i="19" s="1"/>
  <c r="G948" i="19" a="1"/>
  <c r="G948" i="19" s="1"/>
  <c r="F948" i="19"/>
  <c r="F948" i="19" a="1"/>
  <c r="E948" i="19" a="1"/>
  <c r="E948" i="19" s="1"/>
  <c r="D948" i="19"/>
  <c r="D948" i="19" a="1"/>
  <c r="H947" i="19" a="1"/>
  <c r="H947" i="19" s="1"/>
  <c r="G947" i="19" a="1"/>
  <c r="G947" i="19" s="1"/>
  <c r="F947" i="19" a="1"/>
  <c r="F947" i="19" s="1"/>
  <c r="E947" i="19" a="1"/>
  <c r="E947" i="19" s="1"/>
  <c r="D947" i="19"/>
  <c r="D947" i="19" a="1"/>
  <c r="H946" i="19" a="1"/>
  <c r="H946" i="19" s="1"/>
  <c r="G946" i="19" a="1"/>
  <c r="G946" i="19" s="1"/>
  <c r="F946" i="19" a="1"/>
  <c r="F946" i="19" s="1"/>
  <c r="E946" i="19"/>
  <c r="E946" i="19" a="1"/>
  <c r="D946" i="19"/>
  <c r="D946" i="19" a="1"/>
  <c r="H945" i="19" a="1"/>
  <c r="H945" i="19" s="1"/>
  <c r="G945" i="19" a="1"/>
  <c r="G945" i="19" s="1"/>
  <c r="F945" i="19" a="1"/>
  <c r="F945" i="19" s="1"/>
  <c r="E945" i="19" a="1"/>
  <c r="E945" i="19" s="1"/>
  <c r="D945" i="19" a="1"/>
  <c r="D945" i="19" s="1"/>
  <c r="H944" i="19" a="1"/>
  <c r="H944" i="19" s="1"/>
  <c r="G944" i="19" a="1"/>
  <c r="G944" i="19" s="1"/>
  <c r="F944" i="19" a="1"/>
  <c r="F944" i="19" s="1"/>
  <c r="E944" i="19" a="1"/>
  <c r="E944" i="19" s="1"/>
  <c r="D944" i="19" a="1"/>
  <c r="D944" i="19" s="1"/>
  <c r="H943" i="19" a="1"/>
  <c r="H943" i="19" s="1"/>
  <c r="G943" i="19"/>
  <c r="G943" i="19" a="1"/>
  <c r="F943" i="19" a="1"/>
  <c r="F943" i="19" s="1"/>
  <c r="E943" i="19" a="1"/>
  <c r="E943" i="19" s="1"/>
  <c r="D943" i="19" a="1"/>
  <c r="D943" i="19" s="1"/>
  <c r="H942" i="19" a="1"/>
  <c r="H942" i="19" s="1"/>
  <c r="G942" i="19" a="1"/>
  <c r="G942" i="19" s="1"/>
  <c r="F942" i="19" a="1"/>
  <c r="F942" i="19" s="1"/>
  <c r="E942" i="19"/>
  <c r="E942" i="19" a="1"/>
  <c r="D942" i="19" a="1"/>
  <c r="D942" i="19" s="1"/>
  <c r="H941" i="19" a="1"/>
  <c r="H941" i="19" s="1"/>
  <c r="G941" i="19" a="1"/>
  <c r="G941" i="19" s="1"/>
  <c r="F941" i="19"/>
  <c r="F941" i="19" a="1"/>
  <c r="E941" i="19"/>
  <c r="E941" i="19" a="1"/>
  <c r="D941" i="19"/>
  <c r="D941" i="19" a="1"/>
  <c r="H940" i="19" a="1"/>
  <c r="H940" i="19" s="1"/>
  <c r="G940" i="19" a="1"/>
  <c r="G940" i="19" s="1"/>
  <c r="F940" i="19" a="1"/>
  <c r="F940" i="19" s="1"/>
  <c r="E940" i="19" a="1"/>
  <c r="E940" i="19" s="1"/>
  <c r="D940" i="19" a="1"/>
  <c r="D940" i="19" s="1"/>
  <c r="H939" i="19" a="1"/>
  <c r="H939" i="19" s="1"/>
  <c r="G939" i="19" a="1"/>
  <c r="G939" i="19" s="1"/>
  <c r="F939" i="19" a="1"/>
  <c r="F939" i="19" s="1"/>
  <c r="E939" i="19" a="1"/>
  <c r="E939" i="19" s="1"/>
  <c r="D939" i="19" a="1"/>
  <c r="D939" i="19" s="1"/>
  <c r="H938" i="19" a="1"/>
  <c r="H938" i="19" s="1"/>
  <c r="G938" i="19"/>
  <c r="G938" i="19" a="1"/>
  <c r="F938" i="19" a="1"/>
  <c r="F938" i="19" s="1"/>
  <c r="E938" i="19" a="1"/>
  <c r="E938" i="19" s="1"/>
  <c r="D938" i="19" a="1"/>
  <c r="D938" i="19" s="1"/>
  <c r="H937" i="19" a="1"/>
  <c r="H937" i="19" s="1"/>
  <c r="G937" i="19" a="1"/>
  <c r="G937" i="19" s="1"/>
  <c r="F937" i="19"/>
  <c r="F937" i="19" a="1"/>
  <c r="E937" i="19" a="1"/>
  <c r="E937" i="19" s="1"/>
  <c r="D937" i="19" a="1"/>
  <c r="D937" i="19" s="1"/>
  <c r="H936" i="19" a="1"/>
  <c r="H936" i="19" s="1"/>
  <c r="G936" i="19"/>
  <c r="G936" i="19" a="1"/>
  <c r="F936" i="19"/>
  <c r="F936" i="19" a="1"/>
  <c r="E936" i="19"/>
  <c r="E936" i="19" a="1"/>
  <c r="D936" i="19" a="1"/>
  <c r="D936" i="19" s="1"/>
  <c r="H935" i="19" a="1"/>
  <c r="H935" i="19" s="1"/>
  <c r="G935" i="19" a="1"/>
  <c r="G935" i="19" s="1"/>
  <c r="F935" i="19" a="1"/>
  <c r="F935" i="19" s="1"/>
  <c r="E935" i="19" a="1"/>
  <c r="E935" i="19" s="1"/>
  <c r="D935" i="19" a="1"/>
  <c r="D935" i="19" s="1"/>
  <c r="H934" i="19" a="1"/>
  <c r="H934" i="19" s="1"/>
  <c r="G934" i="19" a="1"/>
  <c r="G934" i="19" s="1"/>
  <c r="F934" i="19" a="1"/>
  <c r="F934" i="19" s="1"/>
  <c r="E934" i="19" a="1"/>
  <c r="E934" i="19" s="1"/>
  <c r="D934" i="19"/>
  <c r="D934" i="19" a="1"/>
  <c r="H933" i="19" a="1"/>
  <c r="H933" i="19" s="1"/>
  <c r="G933" i="19" a="1"/>
  <c r="G933" i="19" s="1"/>
  <c r="F933" i="19" a="1"/>
  <c r="F933" i="19" s="1"/>
  <c r="E933" i="19" a="1"/>
  <c r="E933" i="19" s="1"/>
  <c r="D933" i="19" a="1"/>
  <c r="D933" i="19" s="1"/>
  <c r="H932" i="19" a="1"/>
  <c r="H932" i="19" s="1"/>
  <c r="G932" i="19"/>
  <c r="G932" i="19" a="1"/>
  <c r="F932" i="19" a="1"/>
  <c r="F932" i="19" s="1"/>
  <c r="E932" i="19" a="1"/>
  <c r="E932" i="19" s="1"/>
  <c r="D932" i="19" a="1"/>
  <c r="D932" i="19" s="1"/>
  <c r="H931" i="19" a="1"/>
  <c r="H931" i="19" s="1"/>
  <c r="G931" i="19"/>
  <c r="G931" i="19" a="1"/>
  <c r="F931" i="19"/>
  <c r="F931" i="19" a="1"/>
  <c r="E931" i="19" a="1"/>
  <c r="E931" i="19" s="1"/>
  <c r="D931" i="19" a="1"/>
  <c r="D931" i="19" s="1"/>
  <c r="H930" i="19" a="1"/>
  <c r="H930" i="19" s="1"/>
  <c r="G930" i="19" a="1"/>
  <c r="G930" i="19" s="1"/>
  <c r="F930" i="19" a="1"/>
  <c r="F930" i="19" s="1"/>
  <c r="E930" i="19" a="1"/>
  <c r="E930" i="19" s="1"/>
  <c r="D930" i="19" a="1"/>
  <c r="D930" i="19" s="1"/>
  <c r="H929" i="19" a="1"/>
  <c r="H929" i="19" s="1"/>
  <c r="G929" i="19" a="1"/>
  <c r="G929" i="19" s="1"/>
  <c r="F929" i="19" a="1"/>
  <c r="F929" i="19" s="1"/>
  <c r="E929" i="19"/>
  <c r="E929" i="19" a="1"/>
  <c r="D929" i="19" a="1"/>
  <c r="D929" i="19" s="1"/>
  <c r="H928" i="19" a="1"/>
  <c r="H928" i="19" s="1"/>
  <c r="G928" i="19" a="1"/>
  <c r="G928" i="19" s="1"/>
  <c r="F928" i="19" a="1"/>
  <c r="F928" i="19" s="1"/>
  <c r="E928" i="19" a="1"/>
  <c r="E928" i="19" s="1"/>
  <c r="D928" i="19" a="1"/>
  <c r="D928" i="19" s="1"/>
  <c r="H927" i="19" a="1"/>
  <c r="H927" i="19" s="1"/>
  <c r="G927" i="19" a="1"/>
  <c r="G927" i="19" s="1"/>
  <c r="F927" i="19" a="1"/>
  <c r="F927" i="19" s="1"/>
  <c r="E927" i="19" a="1"/>
  <c r="E927" i="19" s="1"/>
  <c r="D927" i="19"/>
  <c r="D927" i="19" a="1"/>
  <c r="H926" i="19" a="1"/>
  <c r="H926" i="19" s="1"/>
  <c r="G926" i="19"/>
  <c r="G926" i="19" a="1"/>
  <c r="F926" i="19" a="1"/>
  <c r="F926" i="19" s="1"/>
  <c r="E926" i="19" a="1"/>
  <c r="E926" i="19" s="1"/>
  <c r="D926" i="19" a="1"/>
  <c r="D926" i="19" s="1"/>
  <c r="H925" i="19" a="1"/>
  <c r="H925" i="19" s="1"/>
  <c r="G925" i="19" a="1"/>
  <c r="G925" i="19" s="1"/>
  <c r="F925" i="19" a="1"/>
  <c r="F925" i="19" s="1"/>
  <c r="E925" i="19" a="1"/>
  <c r="E925" i="19" s="1"/>
  <c r="D925" i="19" a="1"/>
  <c r="D925" i="19" s="1"/>
  <c r="H924" i="19" a="1"/>
  <c r="H924" i="19" s="1"/>
  <c r="G924" i="19" a="1"/>
  <c r="G924" i="19" s="1"/>
  <c r="F924" i="19"/>
  <c r="F924" i="19" a="1"/>
  <c r="E924" i="19" a="1"/>
  <c r="E924" i="19" s="1"/>
  <c r="D924" i="19" a="1"/>
  <c r="D924" i="19" s="1"/>
  <c r="H923" i="19" a="1"/>
  <c r="H923" i="19" s="1"/>
  <c r="G923" i="19" a="1"/>
  <c r="G923" i="19" s="1"/>
  <c r="F923" i="19" a="1"/>
  <c r="F923" i="19" s="1"/>
  <c r="E923" i="19" a="1"/>
  <c r="E923" i="19" s="1"/>
  <c r="D923" i="19"/>
  <c r="D923" i="19" a="1"/>
  <c r="H922" i="19" a="1"/>
  <c r="H922" i="19" s="1"/>
  <c r="G922" i="19" a="1"/>
  <c r="G922" i="19" s="1"/>
  <c r="F922" i="19" a="1"/>
  <c r="F922" i="19" s="1"/>
  <c r="E922" i="19"/>
  <c r="E922" i="19" a="1"/>
  <c r="D922" i="19"/>
  <c r="D922" i="19" a="1"/>
  <c r="H921" i="19" a="1"/>
  <c r="H921" i="19" s="1"/>
  <c r="G921" i="19" a="1"/>
  <c r="G921" i="19" s="1"/>
  <c r="F921" i="19" a="1"/>
  <c r="F921" i="19" s="1"/>
  <c r="E921" i="19"/>
  <c r="E921" i="19" a="1"/>
  <c r="D921" i="19"/>
  <c r="D921" i="19" a="1"/>
  <c r="H920" i="19" a="1"/>
  <c r="H920" i="19" s="1"/>
  <c r="G920" i="19"/>
  <c r="G920" i="19" a="1"/>
  <c r="F920" i="19" a="1"/>
  <c r="F920" i="19" s="1"/>
  <c r="E920" i="19" a="1"/>
  <c r="E920" i="19" s="1"/>
  <c r="D920" i="19" a="1"/>
  <c r="D920" i="19" s="1"/>
  <c r="H919" i="19" a="1"/>
  <c r="H919" i="19" s="1"/>
  <c r="G919" i="19"/>
  <c r="G919" i="19" a="1"/>
  <c r="F919" i="19"/>
  <c r="F919" i="19" a="1"/>
  <c r="E919" i="19" a="1"/>
  <c r="E919" i="19" s="1"/>
  <c r="D919" i="19" a="1"/>
  <c r="D919" i="19" s="1"/>
  <c r="H918" i="19" a="1"/>
  <c r="H918" i="19" s="1"/>
  <c r="G918" i="19" a="1"/>
  <c r="G918" i="19" s="1"/>
  <c r="F918" i="19"/>
  <c r="F918" i="19" a="1"/>
  <c r="E918" i="19" a="1"/>
  <c r="E918" i="19" s="1"/>
  <c r="D918" i="19" a="1"/>
  <c r="D918" i="19" s="1"/>
  <c r="H917" i="19" a="1"/>
  <c r="H917" i="19" s="1"/>
  <c r="G917" i="19"/>
  <c r="G917" i="19" a="1"/>
  <c r="F917" i="19"/>
  <c r="F917" i="19" a="1"/>
  <c r="E917" i="19" a="1"/>
  <c r="E917" i="19" s="1"/>
  <c r="D917" i="19"/>
  <c r="D917" i="19" a="1"/>
  <c r="H916" i="19" a="1"/>
  <c r="H916" i="19" s="1"/>
  <c r="G916" i="19" a="1"/>
  <c r="G916" i="19" s="1"/>
  <c r="F916" i="19"/>
  <c r="F916" i="19" a="1"/>
  <c r="E916" i="19"/>
  <c r="E916" i="19" a="1"/>
  <c r="D916" i="19"/>
  <c r="D916" i="19" a="1"/>
  <c r="H915" i="19" a="1"/>
  <c r="H915" i="19" s="1"/>
  <c r="G915" i="19" a="1"/>
  <c r="G915" i="19" s="1"/>
  <c r="F915" i="19" a="1"/>
  <c r="F915" i="19" s="1"/>
  <c r="E915" i="19" a="1"/>
  <c r="E915" i="19" s="1"/>
  <c r="D915" i="19"/>
  <c r="D915" i="19" a="1"/>
  <c r="H914" i="19" a="1"/>
  <c r="H914" i="19" s="1"/>
  <c r="G914" i="19"/>
  <c r="G914" i="19" a="1"/>
  <c r="F914" i="19" a="1"/>
  <c r="F914" i="19" s="1"/>
  <c r="E914" i="19" a="1"/>
  <c r="E914" i="19" s="1"/>
  <c r="D914" i="19"/>
  <c r="D914" i="19" a="1"/>
  <c r="H913" i="19" a="1"/>
  <c r="H913" i="19" s="1"/>
  <c r="G913" i="19"/>
  <c r="G913" i="19" a="1"/>
  <c r="F913" i="19"/>
  <c r="F913" i="19" a="1"/>
  <c r="E913" i="19" a="1"/>
  <c r="E913" i="19" s="1"/>
  <c r="D913" i="19" a="1"/>
  <c r="D913" i="19" s="1"/>
  <c r="H912" i="19" a="1"/>
  <c r="H912" i="19" s="1"/>
  <c r="G912" i="19"/>
  <c r="G912" i="19" a="1"/>
  <c r="F912" i="19"/>
  <c r="F912" i="19" a="1"/>
  <c r="E912" i="19"/>
  <c r="E912" i="19" a="1"/>
  <c r="D912" i="19" a="1"/>
  <c r="D912" i="19" s="1"/>
  <c r="H911" i="19" a="1"/>
  <c r="H911" i="19" s="1"/>
  <c r="G911" i="19"/>
  <c r="G911" i="19" a="1"/>
  <c r="F911" i="19" a="1"/>
  <c r="F911" i="19" s="1"/>
  <c r="E911" i="19"/>
  <c r="E911" i="19" a="1"/>
  <c r="D911" i="19" a="1"/>
  <c r="D911" i="19" s="1"/>
  <c r="H910" i="19" a="1"/>
  <c r="H910" i="19" s="1"/>
  <c r="G910" i="19" a="1"/>
  <c r="G910" i="19" s="1"/>
  <c r="F910" i="19"/>
  <c r="F910" i="19" a="1"/>
  <c r="E910" i="19"/>
  <c r="E910" i="19" a="1"/>
  <c r="D910" i="19" a="1"/>
  <c r="D910" i="19" s="1"/>
  <c r="H909" i="19" a="1"/>
  <c r="H909" i="19" s="1"/>
  <c r="G909" i="19" a="1"/>
  <c r="G909" i="19" s="1"/>
  <c r="F909" i="19" a="1"/>
  <c r="F909" i="19" s="1"/>
  <c r="E909" i="19"/>
  <c r="E909" i="19" a="1"/>
  <c r="D909" i="19"/>
  <c r="D909" i="19" a="1"/>
  <c r="H908" i="19" a="1"/>
  <c r="H908" i="19" s="1"/>
  <c r="G908" i="19" a="1"/>
  <c r="G908" i="19" s="1"/>
  <c r="F908" i="19" a="1"/>
  <c r="F908" i="19" s="1"/>
  <c r="E908" i="19" a="1"/>
  <c r="E908" i="19" s="1"/>
  <c r="D908" i="19" a="1"/>
  <c r="D908" i="19" s="1"/>
  <c r="H907" i="19" a="1"/>
  <c r="H907" i="19" s="1"/>
  <c r="G907" i="19"/>
  <c r="G907" i="19" a="1"/>
  <c r="F907" i="19"/>
  <c r="F907" i="19" a="1"/>
  <c r="E907" i="19" a="1"/>
  <c r="E907" i="19" s="1"/>
  <c r="D907" i="19" a="1"/>
  <c r="D907" i="19" s="1"/>
  <c r="H906" i="19" a="1"/>
  <c r="H906" i="19" s="1"/>
  <c r="G906" i="19" a="1"/>
  <c r="G906" i="19" s="1"/>
  <c r="F906" i="19"/>
  <c r="F906" i="19" a="1"/>
  <c r="E906" i="19"/>
  <c r="E906" i="19" a="1"/>
  <c r="D906" i="19" a="1"/>
  <c r="D906" i="19" s="1"/>
  <c r="H905" i="19" a="1"/>
  <c r="H905" i="19" s="1"/>
  <c r="G905" i="19" a="1"/>
  <c r="G905" i="19" s="1"/>
  <c r="F905" i="19"/>
  <c r="F905" i="19" a="1"/>
  <c r="E905" i="19" a="1"/>
  <c r="E905" i="19" s="1"/>
  <c r="D905" i="19"/>
  <c r="D905" i="19" a="1"/>
  <c r="H904" i="19" a="1"/>
  <c r="H904" i="19" s="1"/>
  <c r="G904" i="19" a="1"/>
  <c r="G904" i="19" s="1"/>
  <c r="F904" i="19"/>
  <c r="F904" i="19" a="1"/>
  <c r="E904" i="19" a="1"/>
  <c r="E904" i="19" s="1"/>
  <c r="D904" i="19"/>
  <c r="D904" i="19" a="1"/>
  <c r="H903" i="19" a="1"/>
  <c r="H903" i="19" s="1"/>
  <c r="G903" i="19" a="1"/>
  <c r="G903" i="19" s="1"/>
  <c r="F903" i="19" a="1"/>
  <c r="F903" i="19" s="1"/>
  <c r="E903" i="19" a="1"/>
  <c r="E903" i="19" s="1"/>
  <c r="D903" i="19"/>
  <c r="D903" i="19" a="1"/>
  <c r="H902" i="19" a="1"/>
  <c r="H902" i="19" s="1"/>
  <c r="G902" i="19"/>
  <c r="G902" i="19" a="1"/>
  <c r="F902" i="19" a="1"/>
  <c r="F902" i="19" s="1"/>
  <c r="E902" i="19" a="1"/>
  <c r="E902" i="19" s="1"/>
  <c r="D902" i="19"/>
  <c r="D902" i="19" a="1"/>
  <c r="H901" i="19" a="1"/>
  <c r="H901" i="19" s="1"/>
  <c r="G901" i="19"/>
  <c r="G901" i="19" a="1"/>
  <c r="F901" i="19" a="1"/>
  <c r="F901" i="19" s="1"/>
  <c r="E901" i="19" a="1"/>
  <c r="E901" i="19" s="1"/>
  <c r="D901" i="19" a="1"/>
  <c r="D901" i="19" s="1"/>
  <c r="H900" i="19" a="1"/>
  <c r="H900" i="19" s="1"/>
  <c r="G900" i="19"/>
  <c r="G900" i="19" a="1"/>
  <c r="F900" i="19" a="1"/>
  <c r="F900" i="19" s="1"/>
  <c r="E900" i="19"/>
  <c r="E900" i="19" a="1"/>
  <c r="D900" i="19" a="1"/>
  <c r="D900" i="19" s="1"/>
  <c r="H899" i="19" a="1"/>
  <c r="H899" i="19" s="1"/>
  <c r="G899" i="19"/>
  <c r="G899" i="19" a="1"/>
  <c r="F899" i="19"/>
  <c r="F899" i="19" a="1"/>
  <c r="E899" i="19"/>
  <c r="E899" i="19" a="1"/>
  <c r="D899" i="19" a="1"/>
  <c r="D899" i="19" s="1"/>
  <c r="H898" i="19" a="1"/>
  <c r="H898" i="19" s="1"/>
  <c r="G898" i="19" a="1"/>
  <c r="G898" i="19" s="1"/>
  <c r="F898" i="19" a="1"/>
  <c r="F898" i="19" s="1"/>
  <c r="E898" i="19"/>
  <c r="E898" i="19" a="1"/>
  <c r="D898" i="19"/>
  <c r="D898" i="19" a="1"/>
  <c r="H897" i="19" a="1"/>
  <c r="H897" i="19" s="1"/>
  <c r="G897" i="19" a="1"/>
  <c r="G897" i="19" s="1"/>
  <c r="F897" i="19" a="1"/>
  <c r="F897" i="19" s="1"/>
  <c r="E897" i="19"/>
  <c r="E897" i="19" a="1"/>
  <c r="D897" i="19" a="1"/>
  <c r="D897" i="19" s="1"/>
  <c r="H896" i="19" a="1"/>
  <c r="H896" i="19" s="1"/>
  <c r="G896" i="19"/>
  <c r="G896" i="19" a="1"/>
  <c r="F896" i="19" a="1"/>
  <c r="F896" i="19" s="1"/>
  <c r="E896" i="19" a="1"/>
  <c r="E896" i="19" s="1"/>
  <c r="D896" i="19" a="1"/>
  <c r="D896" i="19" s="1"/>
  <c r="H895" i="19" a="1"/>
  <c r="H895" i="19" s="1"/>
  <c r="G895" i="19" a="1"/>
  <c r="G895" i="19" s="1"/>
  <c r="F895" i="19"/>
  <c r="F895" i="19" a="1"/>
  <c r="E895" i="19" a="1"/>
  <c r="E895" i="19" s="1"/>
  <c r="D895" i="19" a="1"/>
  <c r="D895" i="19" s="1"/>
  <c r="H894" i="19" a="1"/>
  <c r="H894" i="19" s="1"/>
  <c r="G894" i="19" a="1"/>
  <c r="G894" i="19" s="1"/>
  <c r="F894" i="19"/>
  <c r="F894" i="19" a="1"/>
  <c r="E894" i="19" a="1"/>
  <c r="E894" i="19" s="1"/>
  <c r="D894" i="19" a="1"/>
  <c r="D894" i="19" s="1"/>
  <c r="H893" i="19" a="1"/>
  <c r="H893" i="19" s="1"/>
  <c r="G893" i="19" a="1"/>
  <c r="G893" i="19" s="1"/>
  <c r="F893" i="19"/>
  <c r="F893" i="19" a="1"/>
  <c r="E893" i="19" a="1"/>
  <c r="E893" i="19" s="1"/>
  <c r="D893" i="19"/>
  <c r="D893" i="19" a="1"/>
  <c r="H892" i="19" a="1"/>
  <c r="H892" i="19" s="1"/>
  <c r="G892" i="19" a="1"/>
  <c r="G892" i="19" s="1"/>
  <c r="F892" i="19"/>
  <c r="F892" i="19" a="1"/>
  <c r="E892" i="19"/>
  <c r="E892" i="19" a="1"/>
  <c r="D892" i="19"/>
  <c r="D892" i="19" a="1"/>
  <c r="H891" i="19" a="1"/>
  <c r="H891" i="19" s="1"/>
  <c r="G891" i="19" a="1"/>
  <c r="G891" i="19" s="1"/>
  <c r="F891" i="19" a="1"/>
  <c r="F891" i="19" s="1"/>
  <c r="E891" i="19" a="1"/>
  <c r="E891" i="19" s="1"/>
  <c r="D891" i="19"/>
  <c r="D891" i="19" a="1"/>
  <c r="H890" i="19" a="1"/>
  <c r="H890" i="19" s="1"/>
  <c r="G890" i="19"/>
  <c r="G890" i="19" a="1"/>
  <c r="F890" i="19" a="1"/>
  <c r="F890" i="19" s="1"/>
  <c r="E890" i="19" a="1"/>
  <c r="E890" i="19" s="1"/>
  <c r="D890" i="19"/>
  <c r="D890" i="19" a="1"/>
  <c r="H889" i="19" a="1"/>
  <c r="H889" i="19" s="1"/>
  <c r="G889" i="19"/>
  <c r="G889" i="19" a="1"/>
  <c r="F889" i="19"/>
  <c r="F889" i="19" a="1"/>
  <c r="E889" i="19" a="1"/>
  <c r="E889" i="19" s="1"/>
  <c r="D889" i="19" a="1"/>
  <c r="D889" i="19" s="1"/>
  <c r="H888" i="19" a="1"/>
  <c r="H888" i="19" s="1"/>
  <c r="G888" i="19"/>
  <c r="G888" i="19" a="1"/>
  <c r="F888" i="19" a="1"/>
  <c r="F888" i="19" s="1"/>
  <c r="E888" i="19"/>
  <c r="E888" i="19" a="1"/>
  <c r="D888" i="19" a="1"/>
  <c r="D888" i="19" s="1"/>
  <c r="H887" i="19" a="1"/>
  <c r="H887" i="19" s="1"/>
  <c r="G887" i="19"/>
  <c r="G887" i="19" a="1"/>
  <c r="F887" i="19" a="1"/>
  <c r="F887" i="19" s="1"/>
  <c r="E887" i="19"/>
  <c r="E887" i="19" a="1"/>
  <c r="D887" i="19" a="1"/>
  <c r="D887" i="19" s="1"/>
  <c r="H886" i="19" a="1"/>
  <c r="H886" i="19" s="1"/>
  <c r="G886" i="19" a="1"/>
  <c r="G886" i="19" s="1"/>
  <c r="F886" i="19" a="1"/>
  <c r="F886" i="19" s="1"/>
  <c r="E886" i="19"/>
  <c r="E886" i="19" a="1"/>
  <c r="D886" i="19" a="1"/>
  <c r="D886" i="19" s="1"/>
  <c r="H885" i="19" a="1"/>
  <c r="H885" i="19" s="1"/>
  <c r="G885" i="19" a="1"/>
  <c r="G885" i="19" s="1"/>
  <c r="F885" i="19" a="1"/>
  <c r="F885" i="19" s="1"/>
  <c r="E885" i="19"/>
  <c r="E885" i="19" a="1"/>
  <c r="D885" i="19"/>
  <c r="D885" i="19" a="1"/>
  <c r="H884" i="19" a="1"/>
  <c r="H884" i="19" s="1"/>
  <c r="G884" i="19" a="1"/>
  <c r="G884" i="19" s="1"/>
  <c r="F884" i="19" a="1"/>
  <c r="F884" i="19" s="1"/>
  <c r="E884" i="19" a="1"/>
  <c r="E884" i="19" s="1"/>
  <c r="D884" i="19" a="1"/>
  <c r="D884" i="19" s="1"/>
  <c r="H883" i="19" a="1"/>
  <c r="H883" i="19" s="1"/>
  <c r="G883" i="19" a="1"/>
  <c r="G883" i="19" s="1"/>
  <c r="F883" i="19"/>
  <c r="F883" i="19" a="1"/>
  <c r="E883" i="19" a="1"/>
  <c r="E883" i="19" s="1"/>
  <c r="D883" i="19" a="1"/>
  <c r="D883" i="19" s="1"/>
  <c r="H882" i="19" a="1"/>
  <c r="H882" i="19" s="1"/>
  <c r="G882" i="19" a="1"/>
  <c r="G882" i="19" s="1"/>
  <c r="F882" i="19"/>
  <c r="F882" i="19" a="1"/>
  <c r="E882" i="19" a="1"/>
  <c r="E882" i="19" s="1"/>
  <c r="D882" i="19" a="1"/>
  <c r="D882" i="19" s="1"/>
  <c r="H881" i="19" a="1"/>
  <c r="H881" i="19" s="1"/>
  <c r="G881" i="19" a="1"/>
  <c r="G881" i="19" s="1"/>
  <c r="F881" i="19"/>
  <c r="F881" i="19" a="1"/>
  <c r="E881" i="19" a="1"/>
  <c r="E881" i="19" s="1"/>
  <c r="D881" i="19"/>
  <c r="D881" i="19" a="1"/>
  <c r="H880" i="19" a="1"/>
  <c r="H880" i="19" s="1"/>
  <c r="G880" i="19" a="1"/>
  <c r="G880" i="19" s="1"/>
  <c r="F880" i="19"/>
  <c r="F880" i="19" a="1"/>
  <c r="E880" i="19" a="1"/>
  <c r="E880" i="19" s="1"/>
  <c r="D880" i="19"/>
  <c r="D880" i="19" a="1"/>
  <c r="H879" i="19" a="1"/>
  <c r="H879" i="19" s="1"/>
  <c r="G879" i="19" a="1"/>
  <c r="G879" i="19" s="1"/>
  <c r="F879" i="19" a="1"/>
  <c r="F879" i="19" s="1"/>
  <c r="E879" i="19"/>
  <c r="E879" i="19" a="1"/>
  <c r="D879" i="19"/>
  <c r="D879" i="19" a="1"/>
  <c r="H878" i="19" a="1"/>
  <c r="H878" i="19" s="1"/>
  <c r="G878" i="19"/>
  <c r="G878" i="19" a="1"/>
  <c r="F878" i="19" a="1"/>
  <c r="F878" i="19" s="1"/>
  <c r="E878" i="19" a="1"/>
  <c r="E878" i="19" s="1"/>
  <c r="D878" i="19"/>
  <c r="D878" i="19" a="1"/>
  <c r="H877" i="19" a="1"/>
  <c r="H877" i="19" s="1"/>
  <c r="G877" i="19"/>
  <c r="G877" i="19" a="1"/>
  <c r="F877" i="19" a="1"/>
  <c r="F877" i="19" s="1"/>
  <c r="E877" i="19" a="1"/>
  <c r="E877" i="19" s="1"/>
  <c r="D877" i="19" a="1"/>
  <c r="D877" i="19" s="1"/>
  <c r="H876" i="19" a="1"/>
  <c r="H876" i="19" s="1"/>
  <c r="G876" i="19"/>
  <c r="G876" i="19" a="1"/>
  <c r="F876" i="19"/>
  <c r="F876" i="19" a="1"/>
  <c r="E876" i="19"/>
  <c r="E876" i="19" a="1"/>
  <c r="D876" i="19" a="1"/>
  <c r="D876" i="19" s="1"/>
  <c r="H875" i="19" a="1"/>
  <c r="H875" i="19" s="1"/>
  <c r="G875" i="19"/>
  <c r="G875" i="19" a="1"/>
  <c r="F875" i="19" a="1"/>
  <c r="F875" i="19" s="1"/>
  <c r="E875" i="19"/>
  <c r="E875" i="19" a="1"/>
  <c r="D875" i="19" a="1"/>
  <c r="D875" i="19" s="1"/>
  <c r="H874" i="19" a="1"/>
  <c r="H874" i="19" s="1"/>
  <c r="G874" i="19" a="1"/>
  <c r="G874" i="19" s="1"/>
  <c r="F874" i="19" a="1"/>
  <c r="F874" i="19" s="1"/>
  <c r="E874" i="19"/>
  <c r="E874" i="19" a="1"/>
  <c r="D874" i="19" a="1"/>
  <c r="D874" i="19" s="1"/>
  <c r="H873" i="19" a="1"/>
  <c r="H873" i="19" s="1"/>
  <c r="G873" i="19" a="1"/>
  <c r="G873" i="19" s="1"/>
  <c r="F873" i="19" a="1"/>
  <c r="F873" i="19" s="1"/>
  <c r="E873" i="19"/>
  <c r="E873" i="19" a="1"/>
  <c r="D873" i="19" a="1"/>
  <c r="D873" i="19" s="1"/>
  <c r="H872" i="19" a="1"/>
  <c r="H872" i="19" s="1"/>
  <c r="G872" i="19" a="1"/>
  <c r="G872" i="19" s="1"/>
  <c r="F872" i="19" a="1"/>
  <c r="F872" i="19" s="1"/>
  <c r="E872" i="19" a="1"/>
  <c r="E872" i="19" s="1"/>
  <c r="D872" i="19" a="1"/>
  <c r="D872" i="19" s="1"/>
  <c r="H871" i="19" a="1"/>
  <c r="H871" i="19" s="1"/>
  <c r="G871" i="19" a="1"/>
  <c r="G871" i="19" s="1"/>
  <c r="F871" i="19"/>
  <c r="F871" i="19" a="1"/>
  <c r="E871" i="19" a="1"/>
  <c r="E871" i="19" s="1"/>
  <c r="D871" i="19" a="1"/>
  <c r="D871" i="19" s="1"/>
  <c r="H870" i="19" a="1"/>
  <c r="H870" i="19" s="1"/>
  <c r="G870" i="19"/>
  <c r="G870" i="19" a="1"/>
  <c r="F870" i="19"/>
  <c r="F870" i="19" a="1"/>
  <c r="E870" i="19" a="1"/>
  <c r="E870" i="19" s="1"/>
  <c r="D870" i="19" a="1"/>
  <c r="D870" i="19" s="1"/>
  <c r="H869" i="19" a="1"/>
  <c r="H869" i="19" s="1"/>
  <c r="G869" i="19" a="1"/>
  <c r="G869" i="19" s="1"/>
  <c r="F869" i="19"/>
  <c r="F869" i="19" a="1"/>
  <c r="E869" i="19"/>
  <c r="E869" i="19" a="1"/>
  <c r="D869" i="19"/>
  <c r="D869" i="19" a="1"/>
  <c r="H868" i="19" a="1"/>
  <c r="H868" i="19" s="1"/>
  <c r="G868" i="19" a="1"/>
  <c r="G868" i="19" s="1"/>
  <c r="F868" i="19"/>
  <c r="F868" i="19" a="1"/>
  <c r="E868" i="19" a="1"/>
  <c r="E868" i="19" s="1"/>
  <c r="D868" i="19"/>
  <c r="D868" i="19" a="1"/>
  <c r="H867" i="19" a="1"/>
  <c r="H867" i="19" s="1"/>
  <c r="G867" i="19" a="1"/>
  <c r="G867" i="19" s="1"/>
  <c r="F867" i="19" a="1"/>
  <c r="F867" i="19" s="1"/>
  <c r="E867" i="19" a="1"/>
  <c r="E867" i="19" s="1"/>
  <c r="D867" i="19"/>
  <c r="D867" i="19" a="1"/>
  <c r="H866" i="19" a="1"/>
  <c r="H866" i="19" s="1"/>
  <c r="G866" i="19"/>
  <c r="G866" i="19" a="1"/>
  <c r="F866" i="19" a="1"/>
  <c r="F866" i="19" s="1"/>
  <c r="E866" i="19" a="1"/>
  <c r="E866" i="19" s="1"/>
  <c r="D866" i="19"/>
  <c r="D866" i="19" a="1"/>
  <c r="H865" i="19" a="1"/>
  <c r="H865" i="19" s="1"/>
  <c r="G865" i="19"/>
  <c r="G865" i="19" a="1"/>
  <c r="F865" i="19" a="1"/>
  <c r="F865" i="19" s="1"/>
  <c r="E865" i="19" a="1"/>
  <c r="E865" i="19" s="1"/>
  <c r="D865" i="19" a="1"/>
  <c r="D865" i="19" s="1"/>
  <c r="H864" i="19" a="1"/>
  <c r="H864" i="19" s="1"/>
  <c r="G864" i="19"/>
  <c r="G864" i="19" a="1"/>
  <c r="F864" i="19" a="1"/>
  <c r="F864" i="19" s="1"/>
  <c r="E864" i="19"/>
  <c r="E864" i="19" a="1"/>
  <c r="D864" i="19" a="1"/>
  <c r="D864" i="19" s="1"/>
  <c r="H863" i="19" a="1"/>
  <c r="H863" i="19" s="1"/>
  <c r="G863" i="19"/>
  <c r="G863" i="19" a="1"/>
  <c r="F863" i="19" a="1"/>
  <c r="F863" i="19" s="1"/>
  <c r="E863" i="19"/>
  <c r="E863" i="19" a="1"/>
  <c r="D863" i="19" a="1"/>
  <c r="D863" i="19" s="1"/>
  <c r="H862" i="19" a="1"/>
  <c r="H862" i="19" s="1"/>
  <c r="G862" i="19" a="1"/>
  <c r="G862" i="19" s="1"/>
  <c r="F862" i="19" a="1"/>
  <c r="F862" i="19" s="1"/>
  <c r="E862" i="19"/>
  <c r="E862" i="19" a="1"/>
  <c r="D862" i="19"/>
  <c r="D862" i="19" a="1"/>
  <c r="H861" i="19" a="1"/>
  <c r="H861" i="19" s="1"/>
  <c r="G861" i="19" a="1"/>
  <c r="G861" i="19" s="1"/>
  <c r="F861" i="19" a="1"/>
  <c r="F861" i="19" s="1"/>
  <c r="E861" i="19"/>
  <c r="E861" i="19" a="1"/>
  <c r="D861" i="19" a="1"/>
  <c r="D861" i="19" s="1"/>
  <c r="H860" i="19" a="1"/>
  <c r="H860" i="19" s="1"/>
  <c r="G860" i="19" a="1"/>
  <c r="G860" i="19" s="1"/>
  <c r="F860" i="19" a="1"/>
  <c r="F860" i="19" s="1"/>
  <c r="E860" i="19" a="1"/>
  <c r="E860" i="19" s="1"/>
  <c r="D860" i="19" a="1"/>
  <c r="D860" i="19" s="1"/>
  <c r="H859" i="19" a="1"/>
  <c r="H859" i="19" s="1"/>
  <c r="G859" i="19" a="1"/>
  <c r="G859" i="19" s="1"/>
  <c r="F859" i="19"/>
  <c r="F859" i="19" a="1"/>
  <c r="E859" i="19" a="1"/>
  <c r="E859" i="19" s="1"/>
  <c r="D859" i="19" a="1"/>
  <c r="D859" i="19" s="1"/>
  <c r="H858" i="19" a="1"/>
  <c r="H858" i="19" s="1"/>
  <c r="G858" i="19" a="1"/>
  <c r="G858" i="19" s="1"/>
  <c r="F858" i="19"/>
  <c r="F858" i="19" a="1"/>
  <c r="E858" i="19" a="1"/>
  <c r="E858" i="19" s="1"/>
  <c r="D858" i="19" a="1"/>
  <c r="D858" i="19" s="1"/>
  <c r="H857" i="19" a="1"/>
  <c r="H857" i="19" s="1"/>
  <c r="G857" i="19" a="1"/>
  <c r="G857" i="19" s="1"/>
  <c r="F857" i="19"/>
  <c r="F857" i="19" a="1"/>
  <c r="E857" i="19" a="1"/>
  <c r="E857" i="19" s="1"/>
  <c r="D857" i="19"/>
  <c r="D857" i="19" a="1"/>
  <c r="H856" i="19" a="1"/>
  <c r="H856" i="19" s="1"/>
  <c r="G856" i="19" a="1"/>
  <c r="G856" i="19" s="1"/>
  <c r="F856" i="19"/>
  <c r="F856" i="19" a="1"/>
  <c r="E856" i="19"/>
  <c r="E856" i="19" a="1"/>
  <c r="D856" i="19"/>
  <c r="D856" i="19" a="1"/>
  <c r="H855" i="19" a="1"/>
  <c r="H855" i="19" s="1"/>
  <c r="G855" i="19" a="1"/>
  <c r="G855" i="19" s="1"/>
  <c r="F855" i="19" a="1"/>
  <c r="F855" i="19" s="1"/>
  <c r="E855" i="19" a="1"/>
  <c r="E855" i="19" s="1"/>
  <c r="D855" i="19"/>
  <c r="D855" i="19" a="1"/>
  <c r="H854" i="19" a="1"/>
  <c r="H854" i="19" s="1"/>
  <c r="G854" i="19"/>
  <c r="G854" i="19" a="1"/>
  <c r="F854" i="19" a="1"/>
  <c r="F854" i="19" s="1"/>
  <c r="E854" i="19" a="1"/>
  <c r="E854" i="19" s="1"/>
  <c r="D854" i="19"/>
  <c r="D854" i="19" a="1"/>
  <c r="H853" i="19" a="1"/>
  <c r="H853" i="19" s="1"/>
  <c r="G853" i="19"/>
  <c r="G853" i="19" a="1"/>
  <c r="F853" i="19" a="1"/>
  <c r="F853" i="19" s="1"/>
  <c r="E853" i="19" a="1"/>
  <c r="E853" i="19" s="1"/>
  <c r="D853" i="19" a="1"/>
  <c r="D853" i="19" s="1"/>
  <c r="H852" i="19" a="1"/>
  <c r="H852" i="19" s="1"/>
  <c r="G852" i="19"/>
  <c r="G852" i="19" a="1"/>
  <c r="F852" i="19" a="1"/>
  <c r="F852" i="19" s="1"/>
  <c r="E852" i="19"/>
  <c r="E852" i="19" a="1"/>
  <c r="D852" i="19" a="1"/>
  <c r="D852" i="19" s="1"/>
  <c r="H851" i="19" a="1"/>
  <c r="H851" i="19" s="1"/>
  <c r="G851" i="19"/>
  <c r="G851" i="19" a="1"/>
  <c r="F851" i="19" a="1"/>
  <c r="F851" i="19" s="1"/>
  <c r="E851" i="19"/>
  <c r="E851" i="19" a="1"/>
  <c r="D851" i="19" a="1"/>
  <c r="D851" i="19" s="1"/>
  <c r="H850" i="19" a="1"/>
  <c r="H850" i="19" s="1"/>
  <c r="G850" i="19" a="1"/>
  <c r="G850" i="19" s="1"/>
  <c r="F850" i="19" a="1"/>
  <c r="F850" i="19" s="1"/>
  <c r="E850" i="19"/>
  <c r="E850" i="19" a="1"/>
  <c r="D850" i="19" a="1"/>
  <c r="D850" i="19" s="1"/>
  <c r="H849" i="19" a="1"/>
  <c r="H849" i="19" s="1"/>
  <c r="G849" i="19" a="1"/>
  <c r="G849" i="19" s="1"/>
  <c r="F849" i="19" a="1"/>
  <c r="F849" i="19" s="1"/>
  <c r="E849" i="19"/>
  <c r="E849" i="19" a="1"/>
  <c r="D849" i="19"/>
  <c r="D849" i="19" a="1"/>
  <c r="H848" i="19" a="1"/>
  <c r="H848" i="19" s="1"/>
  <c r="G848" i="19" a="1"/>
  <c r="G848" i="19" s="1"/>
  <c r="F848" i="19" a="1"/>
  <c r="F848" i="19" s="1"/>
  <c r="E848" i="19" a="1"/>
  <c r="E848" i="19" s="1"/>
  <c r="D848" i="19" a="1"/>
  <c r="D848" i="19" s="1"/>
  <c r="H847" i="19" a="1"/>
  <c r="H847" i="19" s="1"/>
  <c r="G847" i="19"/>
  <c r="G847" i="19" a="1"/>
  <c r="F847" i="19"/>
  <c r="F847" i="19" a="1"/>
  <c r="E847" i="19" a="1"/>
  <c r="E847" i="19" s="1"/>
  <c r="D847" i="19" a="1"/>
  <c r="D847" i="19" s="1"/>
  <c r="H846" i="19" a="1"/>
  <c r="H846" i="19" s="1"/>
  <c r="G846" i="19" a="1"/>
  <c r="G846" i="19" s="1"/>
  <c r="F846" i="19"/>
  <c r="F846" i="19" a="1"/>
  <c r="E846" i="19"/>
  <c r="E846" i="19" a="1"/>
  <c r="D846" i="19" a="1"/>
  <c r="D846" i="19" s="1"/>
  <c r="H845" i="19" a="1"/>
  <c r="H845" i="19" s="1"/>
  <c r="G845" i="19" a="1"/>
  <c r="G845" i="19" s="1"/>
  <c r="F845" i="19"/>
  <c r="F845" i="19" a="1"/>
  <c r="E845" i="19" a="1"/>
  <c r="E845" i="19" s="1"/>
  <c r="D845" i="19"/>
  <c r="D845" i="19" a="1"/>
  <c r="H844" i="19" a="1"/>
  <c r="H844" i="19" s="1"/>
  <c r="G844" i="19" a="1"/>
  <c r="G844" i="19" s="1"/>
  <c r="F844" i="19"/>
  <c r="F844" i="19" a="1"/>
  <c r="E844" i="19" a="1"/>
  <c r="E844" i="19" s="1"/>
  <c r="D844" i="19"/>
  <c r="D844" i="19" a="1"/>
  <c r="H843" i="19" a="1"/>
  <c r="H843" i="19" s="1"/>
  <c r="G843" i="19" a="1"/>
  <c r="G843" i="19" s="1"/>
  <c r="F843" i="19" a="1"/>
  <c r="F843" i="19" s="1"/>
  <c r="E843" i="19" a="1"/>
  <c r="E843" i="19" s="1"/>
  <c r="D843" i="19"/>
  <c r="D843" i="19" a="1"/>
  <c r="H842" i="19" a="1"/>
  <c r="H842" i="19" s="1"/>
  <c r="G842" i="19"/>
  <c r="G842" i="19" a="1"/>
  <c r="F842" i="19" a="1"/>
  <c r="F842" i="19" s="1"/>
  <c r="E842" i="19" a="1"/>
  <c r="E842" i="19" s="1"/>
  <c r="D842" i="19"/>
  <c r="D842" i="19" a="1"/>
  <c r="H841" i="19" a="1"/>
  <c r="H841" i="19" s="1"/>
  <c r="G841" i="19"/>
  <c r="G841" i="19" a="1"/>
  <c r="F841" i="19" a="1"/>
  <c r="F841" i="19" s="1"/>
  <c r="E841" i="19" a="1"/>
  <c r="E841" i="19" s="1"/>
  <c r="D841" i="19" a="1"/>
  <c r="D841" i="19" s="1"/>
  <c r="H840" i="19" a="1"/>
  <c r="H840" i="19" s="1"/>
  <c r="G840" i="19"/>
  <c r="G840" i="19" a="1"/>
  <c r="F840" i="19"/>
  <c r="F840" i="19" a="1"/>
  <c r="E840" i="19"/>
  <c r="E840" i="19" a="1"/>
  <c r="D840" i="19" a="1"/>
  <c r="D840" i="19" s="1"/>
  <c r="H839" i="19" a="1"/>
  <c r="H839" i="19" s="1"/>
  <c r="G839" i="19"/>
  <c r="G839" i="19" a="1"/>
  <c r="F839" i="19" a="1"/>
  <c r="F839" i="19" s="1"/>
  <c r="E839" i="19"/>
  <c r="E839" i="19" a="1"/>
  <c r="D839" i="19" a="1"/>
  <c r="D839" i="19" s="1"/>
  <c r="H838" i="19" a="1"/>
  <c r="H838" i="19" s="1"/>
  <c r="G838" i="19" a="1"/>
  <c r="G838" i="19" s="1"/>
  <c r="F838" i="19" a="1"/>
  <c r="F838" i="19" s="1"/>
  <c r="E838" i="19"/>
  <c r="E838" i="19" a="1"/>
  <c r="D838" i="19" a="1"/>
  <c r="D838" i="19" s="1"/>
  <c r="H837" i="19" a="1"/>
  <c r="H837" i="19" s="1"/>
  <c r="G837" i="19" a="1"/>
  <c r="G837" i="19" s="1"/>
  <c r="F837" i="19" a="1"/>
  <c r="F837" i="19" s="1"/>
  <c r="E837" i="19"/>
  <c r="E837" i="19" a="1"/>
  <c r="D837" i="19" a="1"/>
  <c r="D837" i="19" s="1"/>
  <c r="H836" i="19" a="1"/>
  <c r="H836" i="19" s="1"/>
  <c r="G836" i="19" a="1"/>
  <c r="G836" i="19" s="1"/>
  <c r="F836" i="19" a="1"/>
  <c r="F836" i="19" s="1"/>
  <c r="E836" i="19" a="1"/>
  <c r="E836" i="19" s="1"/>
  <c r="D836" i="19" a="1"/>
  <c r="D836" i="19" s="1"/>
  <c r="H835" i="19" a="1"/>
  <c r="H835" i="19" s="1"/>
  <c r="G835" i="19" a="1"/>
  <c r="G835" i="19" s="1"/>
  <c r="F835" i="19"/>
  <c r="F835" i="19" a="1"/>
  <c r="E835" i="19" a="1"/>
  <c r="E835" i="19" s="1"/>
  <c r="D835" i="19" a="1"/>
  <c r="D835" i="19" s="1"/>
  <c r="H834" i="19" a="1"/>
  <c r="H834" i="19" s="1"/>
  <c r="G834" i="19" a="1"/>
  <c r="G834" i="19" s="1"/>
  <c r="F834" i="19"/>
  <c r="F834" i="19" a="1"/>
  <c r="E834" i="19" a="1"/>
  <c r="E834" i="19" s="1"/>
  <c r="D834" i="19" a="1"/>
  <c r="D834" i="19" s="1"/>
  <c r="H833" i="19" a="1"/>
  <c r="H833" i="19" s="1"/>
  <c r="G833" i="19" a="1"/>
  <c r="G833" i="19" s="1"/>
  <c r="F833" i="19"/>
  <c r="F833" i="19" a="1"/>
  <c r="E833" i="19" a="1"/>
  <c r="E833" i="19" s="1"/>
  <c r="D833" i="19"/>
  <c r="D833" i="19" a="1"/>
  <c r="H832" i="19" a="1"/>
  <c r="H832" i="19" s="1"/>
  <c r="G832" i="19" a="1"/>
  <c r="G832" i="19" s="1"/>
  <c r="F832" i="19"/>
  <c r="F832" i="19" a="1"/>
  <c r="E832" i="19" a="1"/>
  <c r="E832" i="19" s="1"/>
  <c r="D832" i="19"/>
  <c r="D832" i="19" a="1"/>
  <c r="H831" i="19" a="1"/>
  <c r="H831" i="19" s="1"/>
  <c r="G831" i="19" a="1"/>
  <c r="G831" i="19" s="1"/>
  <c r="F831" i="19" a="1"/>
  <c r="F831" i="19" s="1"/>
  <c r="E831" i="19" a="1"/>
  <c r="E831" i="19" s="1"/>
  <c r="D831" i="19"/>
  <c r="D831" i="19" a="1"/>
  <c r="H830" i="19" a="1"/>
  <c r="H830" i="19" s="1"/>
  <c r="G830" i="19"/>
  <c r="G830" i="19" a="1"/>
  <c r="F830" i="19" a="1"/>
  <c r="F830" i="19" s="1"/>
  <c r="E830" i="19" a="1"/>
  <c r="E830" i="19" s="1"/>
  <c r="D830" i="19"/>
  <c r="D830" i="19" a="1"/>
  <c r="H829" i="19" a="1"/>
  <c r="H829" i="19" s="1"/>
  <c r="G829" i="19"/>
  <c r="G829" i="19" a="1"/>
  <c r="F829" i="19" a="1"/>
  <c r="F829" i="19" s="1"/>
  <c r="E829" i="19" a="1"/>
  <c r="E829" i="19" s="1"/>
  <c r="D829" i="19" a="1"/>
  <c r="D829" i="19" s="1"/>
  <c r="H828" i="19" a="1"/>
  <c r="H828" i="19" s="1"/>
  <c r="G828" i="19"/>
  <c r="G828" i="19" a="1"/>
  <c r="F828" i="19" a="1"/>
  <c r="F828" i="19" s="1"/>
  <c r="E828" i="19"/>
  <c r="E828" i="19" a="1"/>
  <c r="D828" i="19" a="1"/>
  <c r="D828" i="19" s="1"/>
  <c r="H827" i="19" a="1"/>
  <c r="H827" i="19" s="1"/>
  <c r="G827" i="19"/>
  <c r="G827" i="19" a="1"/>
  <c r="F827" i="19"/>
  <c r="F827" i="19" a="1"/>
  <c r="E827" i="19"/>
  <c r="E827" i="19" a="1"/>
  <c r="D827" i="19" a="1"/>
  <c r="D827" i="19" s="1"/>
  <c r="H826" i="19" a="1"/>
  <c r="H826" i="19" s="1"/>
  <c r="G826" i="19" a="1"/>
  <c r="G826" i="19" s="1"/>
  <c r="F826" i="19" a="1"/>
  <c r="F826" i="19" s="1"/>
  <c r="E826" i="19"/>
  <c r="E826" i="19" a="1"/>
  <c r="D826" i="19"/>
  <c r="D826" i="19" a="1"/>
  <c r="H825" i="19" a="1"/>
  <c r="H825" i="19" s="1"/>
  <c r="G825" i="19" a="1"/>
  <c r="G825" i="19" s="1"/>
  <c r="F825" i="19" a="1"/>
  <c r="F825" i="19" s="1"/>
  <c r="E825" i="19"/>
  <c r="E825" i="19" a="1"/>
  <c r="D825" i="19" a="1"/>
  <c r="D825" i="19" s="1"/>
  <c r="H824" i="19" a="1"/>
  <c r="H824" i="19" s="1"/>
  <c r="G824" i="19" a="1"/>
  <c r="G824" i="19" s="1"/>
  <c r="F824" i="19" a="1"/>
  <c r="F824" i="19" s="1"/>
  <c r="E824" i="19" a="1"/>
  <c r="E824" i="19" s="1"/>
  <c r="D824" i="19" a="1"/>
  <c r="D824" i="19" s="1"/>
  <c r="H823" i="19" a="1"/>
  <c r="H823" i="19" s="1"/>
  <c r="G823" i="19" a="1"/>
  <c r="G823" i="19" s="1"/>
  <c r="F823" i="19"/>
  <c r="F823" i="19" a="1"/>
  <c r="E823" i="19" a="1"/>
  <c r="E823" i="19" s="1"/>
  <c r="D823" i="19" a="1"/>
  <c r="D823" i="19" s="1"/>
  <c r="H822" i="19" a="1"/>
  <c r="H822" i="19" s="1"/>
  <c r="G822" i="19" a="1"/>
  <c r="G822" i="19" s="1"/>
  <c r="F822" i="19"/>
  <c r="F822" i="19" a="1"/>
  <c r="E822" i="19" a="1"/>
  <c r="E822" i="19" s="1"/>
  <c r="D822" i="19" a="1"/>
  <c r="D822" i="19" s="1"/>
  <c r="H821" i="19" a="1"/>
  <c r="H821" i="19" s="1"/>
  <c r="G821" i="19" a="1"/>
  <c r="G821" i="19" s="1"/>
  <c r="F821" i="19"/>
  <c r="F821" i="19" a="1"/>
  <c r="E821" i="19" a="1"/>
  <c r="E821" i="19" s="1"/>
  <c r="D821" i="19"/>
  <c r="D821" i="19" a="1"/>
  <c r="H820" i="19" a="1"/>
  <c r="H820" i="19" s="1"/>
  <c r="G820" i="19" a="1"/>
  <c r="G820" i="19" s="1"/>
  <c r="F820" i="19"/>
  <c r="F820" i="19" a="1"/>
  <c r="E820" i="19"/>
  <c r="E820" i="19" a="1"/>
  <c r="D820" i="19"/>
  <c r="D820" i="19" a="1"/>
  <c r="H819" i="19" a="1"/>
  <c r="H819" i="19" s="1"/>
  <c r="G819" i="19" a="1"/>
  <c r="G819" i="19" s="1"/>
  <c r="F819" i="19" a="1"/>
  <c r="F819" i="19" s="1"/>
  <c r="E819" i="19" a="1"/>
  <c r="E819" i="19" s="1"/>
  <c r="D819" i="19"/>
  <c r="D819" i="19" a="1"/>
  <c r="H818" i="19" a="1"/>
  <c r="H818" i="19" s="1"/>
  <c r="G818" i="19"/>
  <c r="G818" i="19" a="1"/>
  <c r="F818" i="19" a="1"/>
  <c r="F818" i="19" s="1"/>
  <c r="E818" i="19" a="1"/>
  <c r="E818" i="19" s="1"/>
  <c r="D818" i="19"/>
  <c r="D818" i="19" a="1"/>
  <c r="H817" i="19" a="1"/>
  <c r="H817" i="19" s="1"/>
  <c r="G817" i="19"/>
  <c r="G817" i="19" a="1"/>
  <c r="F817" i="19" a="1"/>
  <c r="F817" i="19" s="1"/>
  <c r="E817" i="19" a="1"/>
  <c r="E817" i="19" s="1"/>
  <c r="D817" i="19" a="1"/>
  <c r="D817" i="19" s="1"/>
  <c r="H816" i="19" a="1"/>
  <c r="H816" i="19" s="1"/>
  <c r="G816" i="19"/>
  <c r="G816" i="19" a="1"/>
  <c r="F816" i="19" a="1"/>
  <c r="F816" i="19" s="1"/>
  <c r="E816" i="19"/>
  <c r="E816" i="19" a="1"/>
  <c r="D816" i="19" a="1"/>
  <c r="D816" i="19" s="1"/>
  <c r="H815" i="19" a="1"/>
  <c r="H815" i="19" s="1"/>
  <c r="G815" i="19"/>
  <c r="G815" i="19" a="1"/>
  <c r="F815" i="19" a="1"/>
  <c r="F815" i="19" s="1"/>
  <c r="E815" i="19"/>
  <c r="E815" i="19" a="1"/>
  <c r="D815" i="19" a="1"/>
  <c r="D815" i="19" s="1"/>
  <c r="H814" i="19" a="1"/>
  <c r="H814" i="19" s="1"/>
  <c r="G814" i="19" a="1"/>
  <c r="G814" i="19" s="1"/>
  <c r="F814" i="19" a="1"/>
  <c r="F814" i="19" s="1"/>
  <c r="E814" i="19"/>
  <c r="E814" i="19" a="1"/>
  <c r="D814" i="19" a="1"/>
  <c r="D814" i="19" s="1"/>
  <c r="H813" i="19" a="1"/>
  <c r="H813" i="19" s="1"/>
  <c r="G813" i="19" a="1"/>
  <c r="G813" i="19" s="1"/>
  <c r="F813" i="19" a="1"/>
  <c r="F813" i="19" s="1"/>
  <c r="E813" i="19"/>
  <c r="E813" i="19" a="1"/>
  <c r="D813" i="19"/>
  <c r="D813" i="19" a="1"/>
  <c r="H812" i="19" a="1"/>
  <c r="H812" i="19" s="1"/>
  <c r="G812" i="19" a="1"/>
  <c r="G812" i="19" s="1"/>
  <c r="F812" i="19" a="1"/>
  <c r="F812" i="19" s="1"/>
  <c r="E812" i="19" a="1"/>
  <c r="E812" i="19" s="1"/>
  <c r="D812" i="19" a="1"/>
  <c r="D812" i="19" s="1"/>
  <c r="H811" i="19" a="1"/>
  <c r="H811" i="19" s="1"/>
  <c r="G811" i="19" a="1"/>
  <c r="G811" i="19" s="1"/>
  <c r="F811" i="19"/>
  <c r="F811" i="19" a="1"/>
  <c r="E811" i="19" a="1"/>
  <c r="E811" i="19" s="1"/>
  <c r="D811" i="19" a="1"/>
  <c r="D811" i="19" s="1"/>
  <c r="H810" i="19" a="1"/>
  <c r="H810" i="19" s="1"/>
  <c r="G810" i="19" a="1"/>
  <c r="G810" i="19" s="1"/>
  <c r="F810" i="19"/>
  <c r="F810" i="19" a="1"/>
  <c r="E810" i="19"/>
  <c r="E810" i="19" a="1"/>
  <c r="D810" i="19" a="1"/>
  <c r="D810" i="19" s="1"/>
  <c r="H809" i="19" a="1"/>
  <c r="H809" i="19" s="1"/>
  <c r="G809" i="19" a="1"/>
  <c r="G809" i="19" s="1"/>
  <c r="F809" i="19"/>
  <c r="F809" i="19" a="1"/>
  <c r="E809" i="19" a="1"/>
  <c r="E809" i="19" s="1"/>
  <c r="D809" i="19"/>
  <c r="D809" i="19" a="1"/>
  <c r="H808" i="19" a="1"/>
  <c r="H808" i="19" s="1"/>
  <c r="G808" i="19" a="1"/>
  <c r="G808" i="19" s="1"/>
  <c r="F808" i="19"/>
  <c r="F808" i="19" a="1"/>
  <c r="E808" i="19" a="1"/>
  <c r="E808" i="19" s="1"/>
  <c r="D808" i="19"/>
  <c r="D808" i="19" a="1"/>
  <c r="H807" i="19" a="1"/>
  <c r="H807" i="19" s="1"/>
  <c r="G807" i="19" a="1"/>
  <c r="G807" i="19" s="1"/>
  <c r="F807" i="19" a="1"/>
  <c r="F807" i="19" s="1"/>
  <c r="E807" i="19" a="1"/>
  <c r="E807" i="19" s="1"/>
  <c r="D807" i="19"/>
  <c r="D807" i="19" a="1"/>
  <c r="H806" i="19" a="1"/>
  <c r="H806" i="19" s="1"/>
  <c r="G806" i="19"/>
  <c r="G806" i="19" a="1"/>
  <c r="F806" i="19" a="1"/>
  <c r="F806" i="19" s="1"/>
  <c r="E806" i="19" a="1"/>
  <c r="E806" i="19" s="1"/>
  <c r="D806" i="19"/>
  <c r="D806" i="19" a="1"/>
  <c r="H805" i="19" a="1"/>
  <c r="H805" i="19" s="1"/>
  <c r="G805" i="19"/>
  <c r="G805" i="19" a="1"/>
  <c r="F805" i="19" a="1"/>
  <c r="F805" i="19" s="1"/>
  <c r="E805" i="19" a="1"/>
  <c r="E805" i="19" s="1"/>
  <c r="D805" i="19" a="1"/>
  <c r="D805" i="19" s="1"/>
  <c r="H804" i="19" a="1"/>
  <c r="H804" i="19" s="1"/>
  <c r="G804" i="19"/>
  <c r="G804" i="19" a="1"/>
  <c r="F804" i="19"/>
  <c r="F804" i="19" a="1"/>
  <c r="E804" i="19"/>
  <c r="E804" i="19" a="1"/>
  <c r="D804" i="19" a="1"/>
  <c r="D804" i="19" s="1"/>
  <c r="H803" i="19" a="1"/>
  <c r="H803" i="19" s="1"/>
  <c r="G803" i="19"/>
  <c r="G803" i="19" a="1"/>
  <c r="F803" i="19" a="1"/>
  <c r="F803" i="19" s="1"/>
  <c r="E803" i="19"/>
  <c r="E803" i="19" a="1"/>
  <c r="D803" i="19"/>
  <c r="D803" i="19" a="1"/>
  <c r="H802" i="19" a="1"/>
  <c r="H802" i="19" s="1"/>
  <c r="G802" i="19"/>
  <c r="G802" i="19" a="1"/>
  <c r="F802" i="19" a="1"/>
  <c r="F802" i="19" s="1"/>
  <c r="E802" i="19" a="1"/>
  <c r="E802" i="19" s="1"/>
  <c r="D802" i="19"/>
  <c r="D802" i="19" a="1"/>
  <c r="H801" i="19" a="1"/>
  <c r="H801" i="19" s="1"/>
  <c r="G801" i="19"/>
  <c r="G801" i="19" a="1"/>
  <c r="F801" i="19"/>
  <c r="F801" i="19" a="1"/>
  <c r="E801" i="19" a="1"/>
  <c r="E801" i="19" s="1"/>
  <c r="D801" i="19" a="1"/>
  <c r="D801" i="19" s="1"/>
  <c r="H800" i="19" a="1"/>
  <c r="H800" i="19" s="1"/>
  <c r="G800" i="19" a="1"/>
  <c r="G800" i="19" s="1"/>
  <c r="F800" i="19" a="1"/>
  <c r="F800" i="19" s="1"/>
  <c r="E800" i="19"/>
  <c r="E800" i="19" a="1"/>
  <c r="D800" i="19" a="1"/>
  <c r="D800" i="19" s="1"/>
  <c r="H799" i="19" a="1"/>
  <c r="H799" i="19" s="1"/>
  <c r="G799" i="19"/>
  <c r="G799" i="19" a="1"/>
  <c r="F799" i="19" a="1"/>
  <c r="F799" i="19" s="1"/>
  <c r="E799" i="19" a="1"/>
  <c r="E799" i="19" s="1"/>
  <c r="D799" i="19"/>
  <c r="D799" i="19" a="1"/>
  <c r="H798" i="19" a="1"/>
  <c r="H798" i="19" s="1"/>
  <c r="G798" i="19" a="1"/>
  <c r="G798" i="19" s="1"/>
  <c r="F798" i="19"/>
  <c r="F798" i="19" a="1"/>
  <c r="E798" i="19" a="1"/>
  <c r="E798" i="19" s="1"/>
  <c r="D798" i="19"/>
  <c r="D798" i="19" a="1"/>
  <c r="H797" i="19" a="1"/>
  <c r="H797" i="19" s="1"/>
  <c r="G797" i="19" a="1"/>
  <c r="G797" i="19" s="1"/>
  <c r="F797" i="19" a="1"/>
  <c r="F797" i="19" s="1"/>
  <c r="E797" i="19"/>
  <c r="E797" i="19" a="1"/>
  <c r="D797" i="19" a="1"/>
  <c r="D797" i="19" s="1"/>
  <c r="H796" i="19" a="1"/>
  <c r="H796" i="19" s="1"/>
  <c r="G796" i="19"/>
  <c r="G796" i="19" a="1"/>
  <c r="F796" i="19" a="1"/>
  <c r="F796" i="19" s="1"/>
  <c r="E796" i="19" a="1"/>
  <c r="E796" i="19" s="1"/>
  <c r="D796" i="19"/>
  <c r="D796" i="19" a="1"/>
  <c r="H795" i="19" a="1"/>
  <c r="H795" i="19" s="1"/>
  <c r="G795" i="19" a="1"/>
  <c r="G795" i="19" s="1"/>
  <c r="F795" i="19"/>
  <c r="F795" i="19" a="1"/>
  <c r="E795" i="19" a="1"/>
  <c r="E795" i="19" s="1"/>
  <c r="D795" i="19" a="1"/>
  <c r="D795" i="19" s="1"/>
  <c r="H794" i="19" a="1"/>
  <c r="H794" i="19" s="1"/>
  <c r="G794" i="19" a="1"/>
  <c r="G794" i="19" s="1"/>
  <c r="F794" i="19" a="1"/>
  <c r="F794" i="19" s="1"/>
  <c r="E794" i="19"/>
  <c r="E794" i="19" a="1"/>
  <c r="D794" i="19" a="1"/>
  <c r="D794" i="19" s="1"/>
  <c r="H793" i="19" a="1"/>
  <c r="H793" i="19" s="1"/>
  <c r="G793" i="19"/>
  <c r="G793" i="19" a="1"/>
  <c r="F793" i="19" a="1"/>
  <c r="F793" i="19" s="1"/>
  <c r="E793" i="19"/>
  <c r="E793" i="19" a="1"/>
  <c r="D793" i="19"/>
  <c r="D793" i="19" a="1"/>
  <c r="H792" i="19" a="1"/>
  <c r="H792" i="19" s="1"/>
  <c r="G792" i="19" a="1"/>
  <c r="G792" i="19" s="1"/>
  <c r="F792" i="19"/>
  <c r="F792" i="19" a="1"/>
  <c r="E792" i="19" a="1"/>
  <c r="E792" i="19" s="1"/>
  <c r="D792" i="19"/>
  <c r="D792" i="19" a="1"/>
  <c r="H791" i="19" a="1"/>
  <c r="H791" i="19" s="1"/>
  <c r="G791" i="19" a="1"/>
  <c r="G791" i="19" s="1"/>
  <c r="F791" i="19" a="1"/>
  <c r="F791" i="19" s="1"/>
  <c r="E791" i="19"/>
  <c r="E791" i="19" a="1"/>
  <c r="D791" i="19" a="1"/>
  <c r="D791" i="19" s="1"/>
  <c r="H790" i="19" a="1"/>
  <c r="H790" i="19" s="1"/>
  <c r="G790" i="19"/>
  <c r="G790" i="19" a="1"/>
  <c r="F790" i="19" a="1"/>
  <c r="F790" i="19" s="1"/>
  <c r="E790" i="19" a="1"/>
  <c r="E790" i="19" s="1"/>
  <c r="D790" i="19"/>
  <c r="D790" i="19" a="1"/>
  <c r="H789" i="19" a="1"/>
  <c r="H789" i="19" s="1"/>
  <c r="G789" i="19" a="1"/>
  <c r="G789" i="19" s="1"/>
  <c r="F789" i="19"/>
  <c r="F789" i="19" a="1"/>
  <c r="E789" i="19" a="1"/>
  <c r="E789" i="19" s="1"/>
  <c r="D789" i="19" a="1"/>
  <c r="D789" i="19" s="1"/>
  <c r="H788" i="19" a="1"/>
  <c r="H788" i="19" s="1"/>
  <c r="G788" i="19" a="1"/>
  <c r="G788" i="19" s="1"/>
  <c r="F788" i="19"/>
  <c r="F788" i="19" a="1"/>
  <c r="E788" i="19"/>
  <c r="E788" i="19" a="1"/>
  <c r="D788" i="19" a="1"/>
  <c r="D788" i="19" s="1"/>
  <c r="H787" i="19" a="1"/>
  <c r="H787" i="19" s="1"/>
  <c r="G787" i="19"/>
  <c r="G787" i="19" a="1"/>
  <c r="F787" i="19" a="1"/>
  <c r="F787" i="19" s="1"/>
  <c r="E787" i="19" a="1"/>
  <c r="E787" i="19" s="1"/>
  <c r="D787" i="19"/>
  <c r="D787" i="19" a="1"/>
  <c r="H786" i="19" a="1"/>
  <c r="H786" i="19" s="1"/>
  <c r="G786" i="19" a="1"/>
  <c r="G786" i="19" s="1"/>
  <c r="F786" i="19"/>
  <c r="F786" i="19" a="1"/>
  <c r="E786" i="19" a="1"/>
  <c r="E786" i="19" s="1"/>
  <c r="D786" i="19" a="1"/>
  <c r="D786" i="19" s="1"/>
  <c r="H785" i="19" a="1"/>
  <c r="H785" i="19" s="1"/>
  <c r="G785" i="19" a="1"/>
  <c r="G785" i="19" s="1"/>
  <c r="F785" i="19" a="1"/>
  <c r="F785" i="19" s="1"/>
  <c r="E785" i="19"/>
  <c r="E785" i="19" a="1"/>
  <c r="D785" i="19" a="1"/>
  <c r="D785" i="19" s="1"/>
  <c r="H784" i="19" a="1"/>
  <c r="H784" i="19" s="1"/>
  <c r="G784" i="19"/>
  <c r="G784" i="19" a="1"/>
  <c r="F784" i="19" a="1"/>
  <c r="F784" i="19" s="1"/>
  <c r="E784" i="19" a="1"/>
  <c r="E784" i="19" s="1"/>
  <c r="D784" i="19"/>
  <c r="D784" i="19" a="1"/>
  <c r="H783" i="19" a="1"/>
  <c r="H783" i="19" s="1"/>
  <c r="G783" i="19"/>
  <c r="G783" i="19" a="1"/>
  <c r="F783" i="19"/>
  <c r="F783" i="19" a="1"/>
  <c r="E783" i="19" a="1"/>
  <c r="E783" i="19" s="1"/>
  <c r="D783" i="19" a="1"/>
  <c r="D783" i="19" s="1"/>
  <c r="H782" i="19" a="1"/>
  <c r="H782" i="19" s="1"/>
  <c r="G782" i="19" a="1"/>
  <c r="G782" i="19" s="1"/>
  <c r="F782" i="19" a="1"/>
  <c r="F782" i="19" s="1"/>
  <c r="E782" i="19"/>
  <c r="E782" i="19" a="1"/>
  <c r="D782" i="19" a="1"/>
  <c r="D782" i="19" s="1"/>
  <c r="H781" i="19" a="1"/>
  <c r="H781" i="19" s="1"/>
  <c r="G781" i="19"/>
  <c r="G781" i="19" a="1"/>
  <c r="F781" i="19" a="1"/>
  <c r="F781" i="19" s="1"/>
  <c r="E781" i="19" a="1"/>
  <c r="E781" i="19" s="1"/>
  <c r="D781" i="19"/>
  <c r="D781" i="19" a="1"/>
  <c r="H780" i="19" a="1"/>
  <c r="H780" i="19" s="1"/>
  <c r="G780" i="19" a="1"/>
  <c r="G780" i="19" s="1"/>
  <c r="F780" i="19"/>
  <c r="F780" i="19" a="1"/>
  <c r="E780" i="19" a="1"/>
  <c r="E780" i="19" s="1"/>
  <c r="D780" i="19" a="1"/>
  <c r="D780" i="19" s="1"/>
  <c r="H779" i="19" a="1"/>
  <c r="H779" i="19" s="1"/>
  <c r="G779" i="19" a="1"/>
  <c r="G779" i="19" s="1"/>
  <c r="F779" i="19" a="1"/>
  <c r="F779" i="19" s="1"/>
  <c r="E779" i="19"/>
  <c r="E779" i="19" a="1"/>
  <c r="D779" i="19" a="1"/>
  <c r="D779" i="19" s="1"/>
  <c r="H778" i="19" a="1"/>
  <c r="H778" i="19" s="1"/>
  <c r="G778" i="19"/>
  <c r="G778" i="19" a="1"/>
  <c r="F778" i="19" a="1"/>
  <c r="F778" i="19" s="1"/>
  <c r="E778" i="19" a="1"/>
  <c r="E778" i="19" s="1"/>
  <c r="D778" i="19"/>
  <c r="D778" i="19" a="1"/>
  <c r="H777" i="19" a="1"/>
  <c r="H777" i="19" s="1"/>
  <c r="G777" i="19"/>
  <c r="G777" i="19" a="1"/>
  <c r="F777" i="19"/>
  <c r="F777" i="19" a="1"/>
  <c r="E777" i="19" a="1"/>
  <c r="E777" i="19" s="1"/>
  <c r="D777" i="19" a="1"/>
  <c r="D777" i="19" s="1"/>
  <c r="H776" i="19" a="1"/>
  <c r="H776" i="19" s="1"/>
  <c r="G776" i="19" a="1"/>
  <c r="G776" i="19" s="1"/>
  <c r="F776" i="19" a="1"/>
  <c r="F776" i="19" s="1"/>
  <c r="E776" i="19"/>
  <c r="E776" i="19" a="1"/>
  <c r="D776" i="19" a="1"/>
  <c r="D776" i="19" s="1"/>
  <c r="H775" i="19" a="1"/>
  <c r="H775" i="19" s="1"/>
  <c r="G775" i="19"/>
  <c r="G775" i="19" a="1"/>
  <c r="F775" i="19" a="1"/>
  <c r="F775" i="19" s="1"/>
  <c r="E775" i="19" a="1"/>
  <c r="E775" i="19" s="1"/>
  <c r="D775" i="19"/>
  <c r="D775" i="19" a="1"/>
  <c r="H774" i="19" a="1"/>
  <c r="H774" i="19" s="1"/>
  <c r="G774" i="19" a="1"/>
  <c r="G774" i="19" s="1"/>
  <c r="F774" i="19" a="1"/>
  <c r="F774" i="19" s="1"/>
  <c r="E774" i="19" a="1"/>
  <c r="E774" i="19" s="1"/>
  <c r="D774" i="19"/>
  <c r="D774" i="19" a="1"/>
  <c r="H773" i="19" a="1"/>
  <c r="H773" i="19" s="1"/>
  <c r="G773" i="19" a="1"/>
  <c r="G773" i="19" s="1"/>
  <c r="F773" i="19" a="1"/>
  <c r="F773" i="19" s="1"/>
  <c r="E773" i="19" a="1"/>
  <c r="E773" i="19" s="1"/>
  <c r="D773" i="19" a="1"/>
  <c r="D773" i="19" s="1"/>
  <c r="H772" i="19" a="1"/>
  <c r="H772" i="19" s="1"/>
  <c r="G772" i="19"/>
  <c r="G772" i="19" a="1"/>
  <c r="F772" i="19" a="1"/>
  <c r="F772" i="19" s="1"/>
  <c r="E772" i="19" a="1"/>
  <c r="E772" i="19" s="1"/>
  <c r="D772" i="19" a="1"/>
  <c r="D772" i="19" s="1"/>
  <c r="H771" i="19" a="1"/>
  <c r="H771" i="19" s="1"/>
  <c r="G771" i="19"/>
  <c r="G771" i="19" a="1"/>
  <c r="F771" i="19"/>
  <c r="F771" i="19" a="1"/>
  <c r="E771" i="19" a="1"/>
  <c r="E771" i="19" s="1"/>
  <c r="D771" i="19" a="1"/>
  <c r="D771" i="19" s="1"/>
  <c r="H770" i="19" a="1"/>
  <c r="H770" i="19" s="1"/>
  <c r="G770" i="19" a="1"/>
  <c r="G770" i="19" s="1"/>
  <c r="F770" i="19" a="1"/>
  <c r="F770" i="19" s="1"/>
  <c r="E770" i="19"/>
  <c r="E770" i="19" a="1"/>
  <c r="D770" i="19" a="1"/>
  <c r="D770" i="19" s="1"/>
  <c r="H769" i="19" a="1"/>
  <c r="H769" i="19" s="1"/>
  <c r="G769" i="19" a="1"/>
  <c r="G769" i="19" s="1"/>
  <c r="F769" i="19" a="1"/>
  <c r="F769" i="19" s="1"/>
  <c r="E769" i="19"/>
  <c r="E769" i="19" a="1"/>
  <c r="D769" i="19"/>
  <c r="D769" i="19" a="1"/>
  <c r="H768" i="19" a="1"/>
  <c r="H768" i="19" s="1"/>
  <c r="G768" i="19" a="1"/>
  <c r="G768" i="19" s="1"/>
  <c r="F768" i="19" a="1"/>
  <c r="F768" i="19" s="1"/>
  <c r="E768" i="19" a="1"/>
  <c r="E768" i="19" s="1"/>
  <c r="D768" i="19" a="1"/>
  <c r="D768" i="19" s="1"/>
  <c r="H767" i="19" a="1"/>
  <c r="H767" i="19" s="1"/>
  <c r="G767" i="19" a="1"/>
  <c r="G767" i="19" s="1"/>
  <c r="F767" i="19" a="1"/>
  <c r="F767" i="19" s="1"/>
  <c r="E767" i="19" a="1"/>
  <c r="E767" i="19" s="1"/>
  <c r="D767" i="19" a="1"/>
  <c r="D767" i="19" s="1"/>
  <c r="H766" i="19" a="1"/>
  <c r="H766" i="19" s="1"/>
  <c r="G766" i="19"/>
  <c r="G766" i="19" a="1"/>
  <c r="F766" i="19" a="1"/>
  <c r="F766" i="19" s="1"/>
  <c r="E766" i="19" a="1"/>
  <c r="E766" i="19" s="1"/>
  <c r="D766" i="19"/>
  <c r="D766" i="19" a="1"/>
  <c r="H765" i="19" a="1"/>
  <c r="H765" i="19" s="1"/>
  <c r="G765" i="19" a="1"/>
  <c r="G765" i="19" s="1"/>
  <c r="F765" i="19"/>
  <c r="F765" i="19" a="1"/>
  <c r="E765" i="19" a="1"/>
  <c r="E765" i="19" s="1"/>
  <c r="D765" i="19" a="1"/>
  <c r="D765" i="19" s="1"/>
  <c r="H764" i="19" a="1"/>
  <c r="H764" i="19" s="1"/>
  <c r="G764" i="19" a="1"/>
  <c r="G764" i="19" s="1"/>
  <c r="F764" i="19"/>
  <c r="F764" i="19" a="1"/>
  <c r="E764" i="19"/>
  <c r="E764" i="19" a="1"/>
  <c r="D764" i="19" a="1"/>
  <c r="D764" i="19" s="1"/>
  <c r="H763" i="19" a="1"/>
  <c r="H763" i="19" s="1"/>
  <c r="G763" i="19" a="1"/>
  <c r="G763" i="19" s="1"/>
  <c r="F763" i="19" a="1"/>
  <c r="F763" i="19" s="1"/>
  <c r="E763" i="19"/>
  <c r="E763" i="19" a="1"/>
  <c r="D763" i="19"/>
  <c r="D763" i="19" a="1"/>
  <c r="H762" i="19" a="1"/>
  <c r="H762" i="19" s="1"/>
  <c r="G762" i="19" a="1"/>
  <c r="G762" i="19" s="1"/>
  <c r="F762" i="19" a="1"/>
  <c r="F762" i="19" s="1"/>
  <c r="E762" i="19" a="1"/>
  <c r="E762" i="19" s="1"/>
  <c r="D762" i="19"/>
  <c r="D762" i="19" a="1"/>
  <c r="H761" i="19" a="1"/>
  <c r="H761" i="19" s="1"/>
  <c r="G761" i="19" a="1"/>
  <c r="G761" i="19" s="1"/>
  <c r="F761" i="19" a="1"/>
  <c r="F761" i="19" s="1"/>
  <c r="E761" i="19"/>
  <c r="E761" i="19" a="1"/>
  <c r="D761" i="19" a="1"/>
  <c r="D761" i="19" s="1"/>
  <c r="H760" i="19" a="1"/>
  <c r="H760" i="19" s="1"/>
  <c r="G760" i="19"/>
  <c r="G760" i="19" a="1"/>
  <c r="F760" i="19" a="1"/>
  <c r="F760" i="19" s="1"/>
  <c r="E760" i="19" a="1"/>
  <c r="E760" i="19" s="1"/>
  <c r="D760" i="19"/>
  <c r="D760" i="19" a="1"/>
  <c r="H759" i="19" a="1"/>
  <c r="H759" i="19" s="1"/>
  <c r="G759" i="19"/>
  <c r="G759" i="19" a="1"/>
  <c r="F759" i="19"/>
  <c r="F759" i="19" a="1"/>
  <c r="E759" i="19" a="1"/>
  <c r="E759" i="19" s="1"/>
  <c r="D759" i="19" a="1"/>
  <c r="D759" i="19" s="1"/>
  <c r="H758" i="19" a="1"/>
  <c r="H758" i="19" s="1"/>
  <c r="G758" i="19" a="1"/>
  <c r="G758" i="19" s="1"/>
  <c r="F758" i="19"/>
  <c r="F758" i="19" a="1"/>
  <c r="E758" i="19"/>
  <c r="E758" i="19" a="1"/>
  <c r="D758" i="19" a="1"/>
  <c r="D758" i="19" s="1"/>
  <c r="H757" i="19" a="1"/>
  <c r="H757" i="19" s="1"/>
  <c r="G757" i="19" a="1"/>
  <c r="G757" i="19" s="1"/>
  <c r="F757" i="19" a="1"/>
  <c r="F757" i="19" s="1"/>
  <c r="E757" i="19" a="1"/>
  <c r="E757" i="19" s="1"/>
  <c r="D757" i="19"/>
  <c r="D757" i="19" a="1"/>
  <c r="H756" i="19" a="1"/>
  <c r="H756" i="19" s="1"/>
  <c r="G756" i="19" a="1"/>
  <c r="G756" i="19" s="1"/>
  <c r="F756" i="19"/>
  <c r="F756" i="19" a="1"/>
  <c r="E756" i="19" a="1"/>
  <c r="E756" i="19" s="1"/>
  <c r="D756" i="19" a="1"/>
  <c r="D756" i="19" s="1"/>
  <c r="H755" i="19" a="1"/>
  <c r="H755" i="19" s="1"/>
  <c r="G755" i="19" a="1"/>
  <c r="G755" i="19" s="1"/>
  <c r="F755" i="19" a="1"/>
  <c r="F755" i="19" s="1"/>
  <c r="E755" i="19" a="1"/>
  <c r="E755" i="19" s="1"/>
  <c r="D755" i="19" a="1"/>
  <c r="D755" i="19" s="1"/>
  <c r="H754" i="19" a="1"/>
  <c r="H754" i="19" s="1"/>
  <c r="G754" i="19" a="1"/>
  <c r="G754" i="19" s="1"/>
  <c r="F754" i="19" a="1"/>
  <c r="F754" i="19" s="1"/>
  <c r="E754" i="19" a="1"/>
  <c r="E754" i="19" s="1"/>
  <c r="D754" i="19"/>
  <c r="D754" i="19" a="1"/>
  <c r="H753" i="19" a="1"/>
  <c r="H753" i="19" s="1"/>
  <c r="G753" i="19" a="1"/>
  <c r="G753" i="19" s="1"/>
  <c r="F753" i="19" a="1"/>
  <c r="F753" i="19" s="1"/>
  <c r="E753" i="19" a="1"/>
  <c r="E753" i="19" s="1"/>
  <c r="D753" i="19" a="1"/>
  <c r="D753" i="19" s="1"/>
  <c r="H752" i="19" a="1"/>
  <c r="H752" i="19" s="1"/>
  <c r="G752" i="19" a="1"/>
  <c r="G752" i="19" s="1"/>
  <c r="F752" i="19" a="1"/>
  <c r="F752" i="19" s="1"/>
  <c r="E752" i="19" a="1"/>
  <c r="E752" i="19" s="1"/>
  <c r="D752" i="19" a="1"/>
  <c r="D752" i="19" s="1"/>
  <c r="H751" i="19" a="1"/>
  <c r="H751" i="19" s="1"/>
  <c r="G751" i="19" a="1"/>
  <c r="G751" i="19" s="1"/>
  <c r="F751" i="19" a="1"/>
  <c r="F751" i="19" s="1"/>
  <c r="E751" i="19" a="1"/>
  <c r="E751" i="19" s="1"/>
  <c r="D751" i="19" a="1"/>
  <c r="D751" i="19" s="1"/>
  <c r="H750" i="19" a="1"/>
  <c r="H750" i="19" s="1"/>
  <c r="G750" i="19" a="1"/>
  <c r="G750" i="19" s="1"/>
  <c r="F750" i="19"/>
  <c r="F750" i="19" a="1"/>
  <c r="E750" i="19" a="1"/>
  <c r="E750" i="19" s="1"/>
  <c r="D750" i="19"/>
  <c r="D750" i="19" a="1"/>
  <c r="H749" i="19" a="1"/>
  <c r="H749" i="19" s="1"/>
  <c r="G749" i="19" a="1"/>
  <c r="G749" i="19" s="1"/>
  <c r="F749" i="19" a="1"/>
  <c r="F749" i="19" s="1"/>
  <c r="E749" i="19"/>
  <c r="E749" i="19" a="1"/>
  <c r="D749" i="19" a="1"/>
  <c r="D749" i="19" s="1"/>
  <c r="H748" i="19" a="1"/>
  <c r="H748" i="19" s="1"/>
  <c r="G748" i="19" a="1"/>
  <c r="G748" i="19" s="1"/>
  <c r="F748" i="19" a="1"/>
  <c r="F748" i="19" s="1"/>
  <c r="E748" i="19" a="1"/>
  <c r="E748" i="19" s="1"/>
  <c r="D748" i="19"/>
  <c r="D748" i="19" a="1"/>
  <c r="H747" i="19" a="1"/>
  <c r="H747" i="19" s="1"/>
  <c r="G747" i="19"/>
  <c r="G747" i="19" a="1"/>
  <c r="F747" i="19" a="1"/>
  <c r="F747" i="19" s="1"/>
  <c r="E747" i="19" a="1"/>
  <c r="E747" i="19" s="1"/>
  <c r="D747" i="19" a="1"/>
  <c r="D747" i="19" s="1"/>
  <c r="H746" i="19" a="1"/>
  <c r="H746" i="19" s="1"/>
  <c r="G746" i="19" a="1"/>
  <c r="G746" i="19" s="1"/>
  <c r="F746" i="19" a="1"/>
  <c r="F746" i="19" s="1"/>
  <c r="E746" i="19" a="1"/>
  <c r="E746" i="19" s="1"/>
  <c r="D746" i="19" a="1"/>
  <c r="D746" i="19" s="1"/>
  <c r="H745" i="19" a="1"/>
  <c r="H745" i="19" s="1"/>
  <c r="G745" i="19"/>
  <c r="G745" i="19" a="1"/>
  <c r="F745" i="19" a="1"/>
  <c r="F745" i="19" s="1"/>
  <c r="E745" i="19" a="1"/>
  <c r="E745" i="19" s="1"/>
  <c r="D745" i="19" a="1"/>
  <c r="D745" i="19" s="1"/>
  <c r="H744" i="19" a="1"/>
  <c r="H744" i="19" s="1"/>
  <c r="G744" i="19" a="1"/>
  <c r="G744" i="19" s="1"/>
  <c r="F744" i="19" a="1"/>
  <c r="F744" i="19" s="1"/>
  <c r="E744" i="19" a="1"/>
  <c r="E744" i="19" s="1"/>
  <c r="D744" i="19"/>
  <c r="D744" i="19" a="1"/>
  <c r="H743" i="19" a="1"/>
  <c r="H743" i="19" s="1"/>
  <c r="G743" i="19" a="1"/>
  <c r="G743" i="19" s="1"/>
  <c r="F743" i="19" a="1"/>
  <c r="F743" i="19" s="1"/>
  <c r="E743" i="19"/>
  <c r="E743" i="19" a="1"/>
  <c r="D743" i="19" a="1"/>
  <c r="D743" i="19" s="1"/>
  <c r="H742" i="19" a="1"/>
  <c r="H742" i="19" s="1"/>
  <c r="G742" i="19" a="1"/>
  <c r="G742" i="19" s="1"/>
  <c r="F742" i="19" a="1"/>
  <c r="F742" i="19" s="1"/>
  <c r="E742" i="19" a="1"/>
  <c r="E742" i="19" s="1"/>
  <c r="D742" i="19"/>
  <c r="D742" i="19" a="1"/>
  <c r="H741" i="19" a="1"/>
  <c r="H741" i="19" s="1"/>
  <c r="G741" i="19" a="1"/>
  <c r="G741" i="19" s="1"/>
  <c r="F741" i="19" a="1"/>
  <c r="F741" i="19" s="1"/>
  <c r="E741" i="19" a="1"/>
  <c r="E741" i="19" s="1"/>
  <c r="D741" i="19" a="1"/>
  <c r="D741" i="19" s="1"/>
  <c r="H740" i="19" a="1"/>
  <c r="H740" i="19" s="1"/>
  <c r="G740" i="19" a="1"/>
  <c r="G740" i="19" s="1"/>
  <c r="F740" i="19" a="1"/>
  <c r="F740" i="19" s="1"/>
  <c r="E740" i="19" a="1"/>
  <c r="E740" i="19" s="1"/>
  <c r="D740" i="19" a="1"/>
  <c r="D740" i="19" s="1"/>
  <c r="H739" i="19" a="1"/>
  <c r="H739" i="19" s="1"/>
  <c r="G739" i="19"/>
  <c r="G739" i="19" a="1"/>
  <c r="F739" i="19" a="1"/>
  <c r="F739" i="19" s="1"/>
  <c r="E739" i="19" a="1"/>
  <c r="E739" i="19" s="1"/>
  <c r="D739" i="19" a="1"/>
  <c r="D739" i="19" s="1"/>
  <c r="H738" i="19" a="1"/>
  <c r="H738" i="19" s="1"/>
  <c r="G738" i="19" a="1"/>
  <c r="G738" i="19" s="1"/>
  <c r="F738" i="19"/>
  <c r="F738" i="19" a="1"/>
  <c r="E738" i="19" a="1"/>
  <c r="E738" i="19" s="1"/>
  <c r="D738" i="19" a="1"/>
  <c r="D738" i="19" s="1"/>
  <c r="H737" i="19" a="1"/>
  <c r="H737" i="19" s="1"/>
  <c r="G737" i="19" a="1"/>
  <c r="G737" i="19" s="1"/>
  <c r="F737" i="19" a="1"/>
  <c r="F737" i="19" s="1"/>
  <c r="E737" i="19" a="1"/>
  <c r="E737" i="19" s="1"/>
  <c r="D737" i="19" a="1"/>
  <c r="D737" i="19" s="1"/>
  <c r="H736" i="19" a="1"/>
  <c r="H736" i="19" s="1"/>
  <c r="G736" i="19" a="1"/>
  <c r="G736" i="19" s="1"/>
  <c r="F736" i="19" a="1"/>
  <c r="F736" i="19" s="1"/>
  <c r="E736" i="19" a="1"/>
  <c r="E736" i="19" s="1"/>
  <c r="D736" i="19"/>
  <c r="D736" i="19" a="1"/>
  <c r="H735" i="19" a="1"/>
  <c r="H735" i="19" s="1"/>
  <c r="G735" i="19" a="1"/>
  <c r="G735" i="19" s="1"/>
  <c r="F735" i="19" a="1"/>
  <c r="F735" i="19" s="1"/>
  <c r="E735" i="19" a="1"/>
  <c r="E735" i="19" s="1"/>
  <c r="D735" i="19" a="1"/>
  <c r="D735" i="19" s="1"/>
  <c r="H734" i="19" a="1"/>
  <c r="H734" i="19" s="1"/>
  <c r="G734" i="19" a="1"/>
  <c r="G734" i="19" s="1"/>
  <c r="F734" i="19" a="1"/>
  <c r="F734" i="19" s="1"/>
  <c r="E734" i="19" a="1"/>
  <c r="E734" i="19" s="1"/>
  <c r="D734" i="19" a="1"/>
  <c r="D734" i="19" s="1"/>
  <c r="H733" i="19" a="1"/>
  <c r="H733" i="19" s="1"/>
  <c r="G733" i="19" a="1"/>
  <c r="G733" i="19" s="1"/>
  <c r="F733" i="19" a="1"/>
  <c r="F733" i="19" s="1"/>
  <c r="E733" i="19"/>
  <c r="E733" i="19" a="1"/>
  <c r="D733" i="19"/>
  <c r="D733" i="19" a="1"/>
  <c r="H732" i="19" a="1"/>
  <c r="H732" i="19" s="1"/>
  <c r="G732" i="19" a="1"/>
  <c r="G732" i="19" s="1"/>
  <c r="F732" i="19" a="1"/>
  <c r="F732" i="19" s="1"/>
  <c r="E732" i="19" a="1"/>
  <c r="E732" i="19" s="1"/>
  <c r="D732" i="19"/>
  <c r="D732" i="19" a="1"/>
  <c r="H731" i="19" a="1"/>
  <c r="H731" i="19" s="1"/>
  <c r="G731" i="19"/>
  <c r="G731" i="19" a="1"/>
  <c r="F731" i="19" a="1"/>
  <c r="F731" i="19" s="1"/>
  <c r="E731" i="19" a="1"/>
  <c r="E731" i="19" s="1"/>
  <c r="D731" i="19" a="1"/>
  <c r="D731" i="19" s="1"/>
  <c r="H730" i="19" a="1"/>
  <c r="H730" i="19" s="1"/>
  <c r="G730" i="19"/>
  <c r="G730" i="19" a="1"/>
  <c r="F730" i="19"/>
  <c r="F730" i="19" a="1"/>
  <c r="E730" i="19" a="1"/>
  <c r="E730" i="19" s="1"/>
  <c r="D730" i="19" a="1"/>
  <c r="D730" i="19" s="1"/>
  <c r="H729" i="19" a="1"/>
  <c r="H729" i="19" s="1"/>
  <c r="G729" i="19"/>
  <c r="G729" i="19" a="1"/>
  <c r="F729" i="19"/>
  <c r="F729" i="19" a="1"/>
  <c r="E729" i="19" a="1"/>
  <c r="E729" i="19" s="1"/>
  <c r="D729" i="19"/>
  <c r="D729" i="19" a="1"/>
  <c r="H728" i="19" a="1"/>
  <c r="H728" i="19" s="1"/>
  <c r="G728" i="19" a="1"/>
  <c r="G728" i="19" s="1"/>
  <c r="F728" i="19"/>
  <c r="F728" i="19" a="1"/>
  <c r="E728" i="19"/>
  <c r="E728" i="19" a="1"/>
  <c r="D728" i="19" a="1"/>
  <c r="D728" i="19" s="1"/>
  <c r="H727" i="19" a="1"/>
  <c r="H727" i="19" s="1"/>
  <c r="G727" i="19" a="1"/>
  <c r="G727" i="19" s="1"/>
  <c r="F727" i="19" a="1"/>
  <c r="F727" i="19" s="1"/>
  <c r="E727" i="19"/>
  <c r="E727" i="19" a="1"/>
  <c r="D727" i="19"/>
  <c r="D727" i="19" a="1"/>
  <c r="H726" i="19" a="1"/>
  <c r="H726" i="19" s="1"/>
  <c r="G726" i="19"/>
  <c r="G726" i="19" a="1"/>
  <c r="F726" i="19"/>
  <c r="F726" i="19" a="1"/>
  <c r="E726" i="19"/>
  <c r="E726" i="19" a="1"/>
  <c r="D726" i="19"/>
  <c r="D726" i="19" a="1"/>
  <c r="H725" i="19" a="1"/>
  <c r="H725" i="19" s="1"/>
  <c r="G725" i="19" a="1"/>
  <c r="G725" i="19" s="1"/>
  <c r="F725" i="19" a="1"/>
  <c r="F725" i="19" s="1"/>
  <c r="E725" i="19" a="1"/>
  <c r="E725" i="19" s="1"/>
  <c r="D725" i="19" a="1"/>
  <c r="D725" i="19" s="1"/>
  <c r="H724" i="19" a="1"/>
  <c r="H724" i="19" s="1"/>
  <c r="G724" i="19"/>
  <c r="G724" i="19" a="1"/>
  <c r="F724" i="19" a="1"/>
  <c r="F724" i="19" s="1"/>
  <c r="E724" i="19" a="1"/>
  <c r="E724" i="19" s="1"/>
  <c r="D724" i="19"/>
  <c r="D724" i="19" a="1"/>
  <c r="H723" i="19" a="1"/>
  <c r="H723" i="19" s="1"/>
  <c r="G723" i="19"/>
  <c r="G723" i="19" a="1"/>
  <c r="F723" i="19"/>
  <c r="F723" i="19" a="1"/>
  <c r="E723" i="19" a="1"/>
  <c r="E723" i="19" s="1"/>
  <c r="D723" i="19"/>
  <c r="D723" i="19" a="1"/>
  <c r="H722" i="19" a="1"/>
  <c r="H722" i="19" s="1"/>
  <c r="G722" i="19" a="1"/>
  <c r="G722" i="19" s="1"/>
  <c r="F722" i="19"/>
  <c r="F722" i="19" a="1"/>
  <c r="E722" i="19"/>
  <c r="E722" i="19" a="1"/>
  <c r="D722" i="19" a="1"/>
  <c r="D722" i="19" s="1"/>
  <c r="H721" i="19" a="1"/>
  <c r="H721" i="19" s="1"/>
  <c r="G721" i="19" a="1"/>
  <c r="G721" i="19" s="1"/>
  <c r="F721" i="19"/>
  <c r="F721" i="19" a="1"/>
  <c r="E721" i="19"/>
  <c r="E721" i="19" a="1"/>
  <c r="D721" i="19"/>
  <c r="D721" i="19" a="1"/>
  <c r="H720" i="19" a="1"/>
  <c r="H720" i="19" s="1"/>
  <c r="G720" i="19" a="1"/>
  <c r="G720" i="19" s="1"/>
  <c r="F720" i="19"/>
  <c r="F720" i="19" a="1"/>
  <c r="E720" i="19"/>
  <c r="E720" i="19" a="1"/>
  <c r="D720" i="19"/>
  <c r="D720" i="19" a="1"/>
  <c r="H719" i="19" a="1"/>
  <c r="H719" i="19" s="1"/>
  <c r="G719" i="19" a="1"/>
  <c r="G719" i="19" s="1"/>
  <c r="F719" i="19" a="1"/>
  <c r="F719" i="19" s="1"/>
  <c r="E719" i="19"/>
  <c r="E719" i="19" a="1"/>
  <c r="D719" i="19" a="1"/>
  <c r="D719" i="19" s="1"/>
  <c r="H718" i="19" a="1"/>
  <c r="H718" i="19" s="1"/>
  <c r="G718" i="19"/>
  <c r="G718" i="19" a="1"/>
  <c r="F718" i="19" a="1"/>
  <c r="F718" i="19" s="1"/>
  <c r="E718" i="19" a="1"/>
  <c r="E718" i="19" s="1"/>
  <c r="D718" i="19" a="1"/>
  <c r="D718" i="19" s="1"/>
  <c r="H717" i="19" a="1"/>
  <c r="H717" i="19" s="1"/>
  <c r="G717" i="19"/>
  <c r="G717" i="19" a="1"/>
  <c r="F717" i="19"/>
  <c r="F717" i="19" a="1"/>
  <c r="E717" i="19" a="1"/>
  <c r="E717" i="19" s="1"/>
  <c r="D717" i="19"/>
  <c r="D717" i="19" a="1"/>
  <c r="H716" i="19" a="1"/>
  <c r="H716" i="19" s="1"/>
  <c r="G716" i="19"/>
  <c r="G716" i="19" a="1"/>
  <c r="F716" i="19"/>
  <c r="F716" i="19" a="1"/>
  <c r="E716" i="19"/>
  <c r="E716" i="19" a="1"/>
  <c r="D716" i="19" a="1"/>
  <c r="D716" i="19" s="1"/>
  <c r="H715" i="19" a="1"/>
  <c r="H715" i="19" s="1"/>
  <c r="G715" i="19" a="1"/>
  <c r="G715" i="19" s="1"/>
  <c r="F715" i="19" a="1"/>
  <c r="F715" i="19" s="1"/>
  <c r="E715" i="19"/>
  <c r="E715" i="19" a="1"/>
  <c r="D715" i="19"/>
  <c r="D715" i="19" a="1"/>
  <c r="H714" i="19" a="1"/>
  <c r="H714" i="19" s="1"/>
  <c r="G714" i="19"/>
  <c r="G714" i="19" a="1"/>
  <c r="F714" i="19"/>
  <c r="F714" i="19" a="1"/>
  <c r="E714" i="19" a="1"/>
  <c r="E714" i="19" s="1"/>
  <c r="D714" i="19"/>
  <c r="D714" i="19" a="1"/>
  <c r="H713" i="19" a="1"/>
  <c r="H713" i="19" s="1"/>
  <c r="G713" i="19" a="1"/>
  <c r="G713" i="19" s="1"/>
  <c r="F713" i="19" a="1"/>
  <c r="F713" i="19" s="1"/>
  <c r="E713" i="19" a="1"/>
  <c r="E713" i="19" s="1"/>
  <c r="D713" i="19" a="1"/>
  <c r="D713" i="19" s="1"/>
  <c r="H712" i="19" a="1"/>
  <c r="H712" i="19" s="1"/>
  <c r="G712" i="19"/>
  <c r="G712" i="19" a="1"/>
  <c r="F712" i="19" a="1"/>
  <c r="F712" i="19" s="1"/>
  <c r="E712" i="19"/>
  <c r="E712" i="19" a="1"/>
  <c r="D712" i="19"/>
  <c r="D712" i="19" a="1"/>
  <c r="H711" i="19" a="1"/>
  <c r="H711" i="19" s="1"/>
  <c r="G711" i="19"/>
  <c r="G711" i="19" a="1"/>
  <c r="F711" i="19"/>
  <c r="F711" i="19" a="1"/>
  <c r="E711" i="19" a="1"/>
  <c r="E711" i="19" s="1"/>
  <c r="D711" i="19"/>
  <c r="D711" i="19" a="1"/>
  <c r="H710" i="19" a="1"/>
  <c r="H710" i="19" s="1"/>
  <c r="G710" i="19" a="1"/>
  <c r="G710" i="19" s="1"/>
  <c r="F710" i="19"/>
  <c r="F710" i="19" a="1"/>
  <c r="E710" i="19" a="1"/>
  <c r="E710" i="19" s="1"/>
  <c r="D710" i="19" a="1"/>
  <c r="D710" i="19" s="1"/>
  <c r="H709" i="19" a="1"/>
  <c r="H709" i="19" s="1"/>
  <c r="G709" i="19" a="1"/>
  <c r="G709" i="19" s="1"/>
  <c r="F709" i="19" a="1"/>
  <c r="F709" i="19" s="1"/>
  <c r="E709" i="19"/>
  <c r="E709" i="19" a="1"/>
  <c r="D709" i="19" a="1"/>
  <c r="D709" i="19" s="1"/>
  <c r="H708" i="19" a="1"/>
  <c r="H708" i="19" s="1"/>
  <c r="G708" i="19" a="1"/>
  <c r="G708" i="19" s="1"/>
  <c r="F708" i="19"/>
  <c r="F708" i="19" a="1"/>
  <c r="E708" i="19" a="1"/>
  <c r="E708" i="19" s="1"/>
  <c r="D708" i="19"/>
  <c r="D708" i="19" a="1"/>
  <c r="H707" i="19" a="1"/>
  <c r="H707" i="19" s="1"/>
  <c r="G707" i="19" a="1"/>
  <c r="G707" i="19" s="1"/>
  <c r="F707" i="19" a="1"/>
  <c r="F707" i="19" s="1"/>
  <c r="E707" i="19" a="1"/>
  <c r="E707" i="19" s="1"/>
  <c r="D707" i="19"/>
  <c r="D707" i="19" a="1"/>
  <c r="H706" i="19" a="1"/>
  <c r="H706" i="19" s="1"/>
  <c r="G706" i="19" a="1"/>
  <c r="G706" i="19" s="1"/>
  <c r="F706" i="19" a="1"/>
  <c r="F706" i="19" s="1"/>
  <c r="E706" i="19" a="1"/>
  <c r="E706" i="19" s="1"/>
  <c r="D706" i="19" a="1"/>
  <c r="D706" i="19" s="1"/>
  <c r="H705" i="19" a="1"/>
  <c r="H705" i="19" s="1"/>
  <c r="G705" i="19"/>
  <c r="G705" i="19" a="1"/>
  <c r="F705" i="19" a="1"/>
  <c r="F705" i="19" s="1"/>
  <c r="E705" i="19" a="1"/>
  <c r="E705" i="19" s="1"/>
  <c r="D705" i="19" a="1"/>
  <c r="D705" i="19" s="1"/>
  <c r="H704" i="19" a="1"/>
  <c r="H704" i="19" s="1"/>
  <c r="G704" i="19" a="1"/>
  <c r="G704" i="19" s="1"/>
  <c r="F704" i="19"/>
  <c r="F704" i="19" a="1"/>
  <c r="E704" i="19" a="1"/>
  <c r="E704" i="19" s="1"/>
  <c r="D704" i="19" a="1"/>
  <c r="D704" i="19" s="1"/>
  <c r="H703" i="19" a="1"/>
  <c r="H703" i="19" s="1"/>
  <c r="G703" i="19" a="1"/>
  <c r="G703" i="19" s="1"/>
  <c r="F703" i="19" a="1"/>
  <c r="F703" i="19" s="1"/>
  <c r="E703" i="19"/>
  <c r="E703" i="19" a="1"/>
  <c r="D703" i="19" a="1"/>
  <c r="D703" i="19" s="1"/>
  <c r="H702" i="19" a="1"/>
  <c r="H702" i="19" s="1"/>
  <c r="G702" i="19"/>
  <c r="G702" i="19" a="1"/>
  <c r="F702" i="19" a="1"/>
  <c r="F702" i="19" s="1"/>
  <c r="E702" i="19" a="1"/>
  <c r="E702" i="19" s="1"/>
  <c r="D702" i="19"/>
  <c r="D702" i="19" a="1"/>
  <c r="H701" i="19" a="1"/>
  <c r="H701" i="19" s="1"/>
  <c r="G701" i="19" a="1"/>
  <c r="G701" i="19" s="1"/>
  <c r="F701" i="19" a="1"/>
  <c r="F701" i="19" s="1"/>
  <c r="E701" i="19"/>
  <c r="E701" i="19" a="1"/>
  <c r="D701" i="19" a="1"/>
  <c r="D701" i="19" s="1"/>
  <c r="H700" i="19" a="1"/>
  <c r="H700" i="19" s="1"/>
  <c r="G700" i="19" a="1"/>
  <c r="G700" i="19" s="1"/>
  <c r="F700" i="19" a="1"/>
  <c r="F700" i="19" s="1"/>
  <c r="E700" i="19" a="1"/>
  <c r="E700" i="19" s="1"/>
  <c r="D700" i="19" a="1"/>
  <c r="D700" i="19" s="1"/>
  <c r="H699" i="19" a="1"/>
  <c r="H699" i="19" s="1"/>
  <c r="G699" i="19"/>
  <c r="G699" i="19" a="1"/>
  <c r="F699" i="19" a="1"/>
  <c r="F699" i="19" s="1"/>
  <c r="E699" i="19" a="1"/>
  <c r="E699" i="19" s="1"/>
  <c r="D699" i="19" a="1"/>
  <c r="D699" i="19" s="1"/>
  <c r="H698" i="19" a="1"/>
  <c r="H698" i="19" s="1"/>
  <c r="G698" i="19" a="1"/>
  <c r="G698" i="19" s="1"/>
  <c r="F698" i="19"/>
  <c r="F698" i="19" a="1"/>
  <c r="E698" i="19" a="1"/>
  <c r="E698" i="19" s="1"/>
  <c r="D698" i="19" a="1"/>
  <c r="D698" i="19" s="1"/>
  <c r="H697" i="19" a="1"/>
  <c r="H697" i="19" s="1"/>
  <c r="G697" i="19" a="1"/>
  <c r="G697" i="19" s="1"/>
  <c r="F697" i="19" a="1"/>
  <c r="F697" i="19" s="1"/>
  <c r="E697" i="19"/>
  <c r="E697" i="19" a="1"/>
  <c r="D697" i="19" a="1"/>
  <c r="D697" i="19" s="1"/>
  <c r="H696" i="19" a="1"/>
  <c r="H696" i="19" s="1"/>
  <c r="G696" i="19"/>
  <c r="G696" i="19" a="1"/>
  <c r="F696" i="19" a="1"/>
  <c r="F696" i="19" s="1"/>
  <c r="E696" i="19" a="1"/>
  <c r="E696" i="19" s="1"/>
  <c r="D696" i="19"/>
  <c r="D696" i="19" a="1"/>
  <c r="H695" i="19" a="1"/>
  <c r="H695" i="19" s="1"/>
  <c r="G695" i="19" a="1"/>
  <c r="G695" i="19" s="1"/>
  <c r="F695" i="19"/>
  <c r="F695" i="19" a="1"/>
  <c r="E695" i="19" a="1"/>
  <c r="E695" i="19" s="1"/>
  <c r="D695" i="19" a="1"/>
  <c r="D695" i="19" s="1"/>
  <c r="H694" i="19" a="1"/>
  <c r="H694" i="19" s="1"/>
  <c r="G694" i="19" a="1"/>
  <c r="G694" i="19" s="1"/>
  <c r="F694" i="19" a="1"/>
  <c r="F694" i="19" s="1"/>
  <c r="E694" i="19" a="1"/>
  <c r="E694" i="19" s="1"/>
  <c r="D694" i="19" a="1"/>
  <c r="D694" i="19" s="1"/>
  <c r="H693" i="19" a="1"/>
  <c r="H693" i="19" s="1"/>
  <c r="G693" i="19"/>
  <c r="G693" i="19" a="1"/>
  <c r="F693" i="19" a="1"/>
  <c r="F693" i="19" s="1"/>
  <c r="E693" i="19" a="1"/>
  <c r="E693" i="19" s="1"/>
  <c r="D693" i="19" a="1"/>
  <c r="D693" i="19" s="1"/>
  <c r="H692" i="19" a="1"/>
  <c r="H692" i="19" s="1"/>
  <c r="G692" i="19" a="1"/>
  <c r="G692" i="19" s="1"/>
  <c r="F692" i="19"/>
  <c r="F692" i="19" a="1"/>
  <c r="E692" i="19" a="1"/>
  <c r="E692" i="19" s="1"/>
  <c r="D692" i="19" a="1"/>
  <c r="D692" i="19" s="1"/>
  <c r="H691" i="19" a="1"/>
  <c r="H691" i="19" s="1"/>
  <c r="G691" i="19" a="1"/>
  <c r="G691" i="19" s="1"/>
  <c r="F691" i="19" a="1"/>
  <c r="F691" i="19" s="1"/>
  <c r="E691" i="19"/>
  <c r="E691" i="19" a="1"/>
  <c r="D691" i="19" a="1"/>
  <c r="D691" i="19" s="1"/>
  <c r="H690" i="19" a="1"/>
  <c r="H690" i="19" s="1"/>
  <c r="G690" i="19" a="1"/>
  <c r="G690" i="19" s="1"/>
  <c r="F690" i="19" a="1"/>
  <c r="F690" i="19" s="1"/>
  <c r="E690" i="19" a="1"/>
  <c r="E690" i="19" s="1"/>
  <c r="D690" i="19"/>
  <c r="D690" i="19" a="1"/>
  <c r="H689" i="19" a="1"/>
  <c r="H689" i="19" s="1"/>
  <c r="G689" i="19" a="1"/>
  <c r="G689" i="19" s="1"/>
  <c r="F689" i="19" a="1"/>
  <c r="F689" i="19" s="1"/>
  <c r="E689" i="19" a="1"/>
  <c r="E689" i="19" s="1"/>
  <c r="D689" i="19" a="1"/>
  <c r="D689" i="19" s="1"/>
  <c r="H688" i="19" a="1"/>
  <c r="H688" i="19" s="1"/>
  <c r="G688" i="19" a="1"/>
  <c r="G688" i="19" s="1"/>
  <c r="F688" i="19" a="1"/>
  <c r="F688" i="19" s="1"/>
  <c r="E688" i="19" a="1"/>
  <c r="E688" i="19" s="1"/>
  <c r="D688" i="19" a="1"/>
  <c r="D688" i="19" s="1"/>
  <c r="H687" i="19" a="1"/>
  <c r="H687" i="19" s="1"/>
  <c r="G687" i="19"/>
  <c r="G687" i="19" a="1"/>
  <c r="F687" i="19" a="1"/>
  <c r="F687" i="19" s="1"/>
  <c r="E687" i="19" a="1"/>
  <c r="E687" i="19" s="1"/>
  <c r="D687" i="19" a="1"/>
  <c r="D687" i="19" s="1"/>
  <c r="H686" i="19" a="1"/>
  <c r="H686" i="19" s="1"/>
  <c r="G686" i="19" a="1"/>
  <c r="G686" i="19" s="1"/>
  <c r="F686" i="19"/>
  <c r="F686" i="19" a="1"/>
  <c r="E686" i="19" a="1"/>
  <c r="E686" i="19" s="1"/>
  <c r="D686" i="19" a="1"/>
  <c r="D686" i="19" s="1"/>
  <c r="H685" i="19" a="1"/>
  <c r="H685" i="19" s="1"/>
  <c r="G685" i="19" a="1"/>
  <c r="G685" i="19" s="1"/>
  <c r="F685" i="19" a="1"/>
  <c r="F685" i="19" s="1"/>
  <c r="E685" i="19"/>
  <c r="E685" i="19" a="1"/>
  <c r="D685" i="19" a="1"/>
  <c r="D685" i="19" s="1"/>
  <c r="H684" i="19" a="1"/>
  <c r="H684" i="19" s="1"/>
  <c r="G684" i="19" a="1"/>
  <c r="G684" i="19" s="1"/>
  <c r="F684" i="19" a="1"/>
  <c r="F684" i="19" s="1"/>
  <c r="E684" i="19" a="1"/>
  <c r="E684" i="19" s="1"/>
  <c r="D684" i="19"/>
  <c r="D684" i="19" a="1"/>
  <c r="H683" i="19" a="1"/>
  <c r="H683" i="19" s="1"/>
  <c r="G683" i="19" a="1"/>
  <c r="G683" i="19" s="1"/>
  <c r="F683" i="19" a="1"/>
  <c r="F683" i="19" s="1"/>
  <c r="E683" i="19" a="1"/>
  <c r="E683" i="19" s="1"/>
  <c r="D683" i="19" a="1"/>
  <c r="D683" i="19" s="1"/>
  <c r="H682" i="19" a="1"/>
  <c r="H682" i="19" s="1"/>
  <c r="G682" i="19" a="1"/>
  <c r="G682" i="19" s="1"/>
  <c r="F682" i="19" a="1"/>
  <c r="F682" i="19" s="1"/>
  <c r="E682" i="19" a="1"/>
  <c r="E682" i="19" s="1"/>
  <c r="D682" i="19" a="1"/>
  <c r="D682" i="19" s="1"/>
  <c r="H681" i="19" a="1"/>
  <c r="H681" i="19" s="1"/>
  <c r="G681" i="19"/>
  <c r="G681" i="19" a="1"/>
  <c r="F681" i="19" a="1"/>
  <c r="F681" i="19" s="1"/>
  <c r="E681" i="19" a="1"/>
  <c r="E681" i="19" s="1"/>
  <c r="D681" i="19" a="1"/>
  <c r="D681" i="19" s="1"/>
  <c r="H680" i="19" a="1"/>
  <c r="H680" i="19" s="1"/>
  <c r="G680" i="19" a="1"/>
  <c r="G680" i="19" s="1"/>
  <c r="F680" i="19"/>
  <c r="F680" i="19" a="1"/>
  <c r="E680" i="19" a="1"/>
  <c r="E680" i="19" s="1"/>
  <c r="D680" i="19" a="1"/>
  <c r="D680" i="19" s="1"/>
  <c r="H679" i="19" a="1"/>
  <c r="H679" i="19" s="1"/>
  <c r="G679" i="19" a="1"/>
  <c r="G679" i="19" s="1"/>
  <c r="F679" i="19"/>
  <c r="F679" i="19" a="1"/>
  <c r="E679" i="19"/>
  <c r="E679" i="19" a="1"/>
  <c r="D679" i="19" a="1"/>
  <c r="D679" i="19" s="1"/>
  <c r="H678" i="19" a="1"/>
  <c r="H678" i="19" s="1"/>
  <c r="G678" i="19" a="1"/>
  <c r="G678" i="19" s="1"/>
  <c r="F678" i="19" a="1"/>
  <c r="F678" i="19" s="1"/>
  <c r="E678" i="19" a="1"/>
  <c r="E678" i="19" s="1"/>
  <c r="D678" i="19"/>
  <c r="D678" i="19" a="1"/>
  <c r="H677" i="19" a="1"/>
  <c r="H677" i="19" s="1"/>
  <c r="G677" i="19" a="1"/>
  <c r="G677" i="19" s="1"/>
  <c r="F677" i="19" a="1"/>
  <c r="F677" i="19" s="1"/>
  <c r="E677" i="19" a="1"/>
  <c r="E677" i="19" s="1"/>
  <c r="D677" i="19" a="1"/>
  <c r="D677" i="19" s="1"/>
  <c r="H676" i="19" a="1"/>
  <c r="H676" i="19" s="1"/>
  <c r="G676" i="19" a="1"/>
  <c r="G676" i="19" s="1"/>
  <c r="F676" i="19" a="1"/>
  <c r="F676" i="19" s="1"/>
  <c r="E676" i="19" a="1"/>
  <c r="E676" i="19" s="1"/>
  <c r="D676" i="19" a="1"/>
  <c r="D676" i="19" s="1"/>
  <c r="H675" i="19" a="1"/>
  <c r="H675" i="19" s="1"/>
  <c r="G675" i="19"/>
  <c r="G675" i="19" a="1"/>
  <c r="F675" i="19" a="1"/>
  <c r="F675" i="19" s="1"/>
  <c r="E675" i="19" a="1"/>
  <c r="E675" i="19" s="1"/>
  <c r="D675" i="19" a="1"/>
  <c r="D675" i="19" s="1"/>
  <c r="H674" i="19" a="1"/>
  <c r="H674" i="19" s="1"/>
  <c r="G674" i="19" a="1"/>
  <c r="G674" i="19" s="1"/>
  <c r="F674" i="19"/>
  <c r="F674" i="19" a="1"/>
  <c r="E674" i="19" a="1"/>
  <c r="E674" i="19" s="1"/>
  <c r="D674" i="19" a="1"/>
  <c r="D674" i="19" s="1"/>
  <c r="H673" i="19" a="1"/>
  <c r="H673" i="19" s="1"/>
  <c r="G673" i="19"/>
  <c r="G673" i="19" a="1"/>
  <c r="F673" i="19" a="1"/>
  <c r="F673" i="19" s="1"/>
  <c r="E673" i="19"/>
  <c r="E673" i="19" a="1"/>
  <c r="D673" i="19" a="1"/>
  <c r="D673" i="19" s="1"/>
  <c r="H672" i="19" a="1"/>
  <c r="H672" i="19" s="1"/>
  <c r="G672" i="19" a="1"/>
  <c r="G672" i="19" s="1"/>
  <c r="F672" i="19" a="1"/>
  <c r="F672" i="19" s="1"/>
  <c r="E672" i="19" a="1"/>
  <c r="E672" i="19" s="1"/>
  <c r="D672" i="19"/>
  <c r="D672" i="19" a="1"/>
  <c r="H671" i="19" a="1"/>
  <c r="H671" i="19" s="1"/>
  <c r="G671" i="19" a="1"/>
  <c r="G671" i="19" s="1"/>
  <c r="F671" i="19" a="1"/>
  <c r="F671" i="19" s="1"/>
  <c r="E671" i="19" a="1"/>
  <c r="E671" i="19" s="1"/>
  <c r="D671" i="19" a="1"/>
  <c r="D671" i="19" s="1"/>
  <c r="H670" i="19" a="1"/>
  <c r="H670" i="19" s="1"/>
  <c r="G670" i="19" a="1"/>
  <c r="G670" i="19" s="1"/>
  <c r="F670" i="19" a="1"/>
  <c r="F670" i="19" s="1"/>
  <c r="E670" i="19" a="1"/>
  <c r="E670" i="19" s="1"/>
  <c r="D670" i="19" a="1"/>
  <c r="D670" i="19" s="1"/>
  <c r="H669" i="19" a="1"/>
  <c r="H669" i="19" s="1"/>
  <c r="G669" i="19" a="1"/>
  <c r="G669" i="19" s="1"/>
  <c r="F669" i="19" a="1"/>
  <c r="F669" i="19" s="1"/>
  <c r="E669" i="19" a="1"/>
  <c r="E669" i="19" s="1"/>
  <c r="D669" i="19" a="1"/>
  <c r="D669" i="19" s="1"/>
  <c r="H668" i="19" a="1"/>
  <c r="H668" i="19" s="1"/>
  <c r="G668" i="19" a="1"/>
  <c r="G668" i="19" s="1"/>
  <c r="F668" i="19" a="1"/>
  <c r="F668" i="19" s="1"/>
  <c r="E668" i="19" a="1"/>
  <c r="E668" i="19" s="1"/>
  <c r="D668" i="19" a="1"/>
  <c r="D668" i="19" s="1"/>
  <c r="H667" i="19" a="1"/>
  <c r="H667" i="19" s="1"/>
  <c r="G667" i="19" a="1"/>
  <c r="G667" i="19" s="1"/>
  <c r="F667" i="19" a="1"/>
  <c r="F667" i="19" s="1"/>
  <c r="E667" i="19" a="1"/>
  <c r="E667" i="19" s="1"/>
  <c r="D667" i="19" a="1"/>
  <c r="D667" i="19" s="1"/>
  <c r="H666" i="19" a="1"/>
  <c r="H666" i="19" s="1"/>
  <c r="G666" i="19" a="1"/>
  <c r="G666" i="19" s="1"/>
  <c r="F666" i="19" a="1"/>
  <c r="F666" i="19" s="1"/>
  <c r="E666" i="19" a="1"/>
  <c r="E666" i="19" s="1"/>
  <c r="D666" i="19" a="1"/>
  <c r="D666" i="19" s="1"/>
  <c r="H665" i="19" a="1"/>
  <c r="H665" i="19" s="1"/>
  <c r="G665" i="19" a="1"/>
  <c r="G665" i="19" s="1"/>
  <c r="F665" i="19" a="1"/>
  <c r="F665" i="19" s="1"/>
  <c r="E665" i="19" a="1"/>
  <c r="E665" i="19" s="1"/>
  <c r="D665" i="19"/>
  <c r="D665" i="19" a="1"/>
  <c r="H664" i="19" a="1"/>
  <c r="H664" i="19" s="1"/>
  <c r="G664" i="19" a="1"/>
  <c r="G664" i="19" s="1"/>
  <c r="F664" i="19" a="1"/>
  <c r="F664" i="19" s="1"/>
  <c r="E664" i="19" a="1"/>
  <c r="E664" i="19" s="1"/>
  <c r="D664" i="19" a="1"/>
  <c r="D664" i="19" s="1"/>
  <c r="H663" i="19" a="1"/>
  <c r="H663" i="19" s="1"/>
  <c r="G663" i="19"/>
  <c r="G663" i="19" a="1"/>
  <c r="F663" i="19" a="1"/>
  <c r="F663" i="19" s="1"/>
  <c r="E663" i="19" a="1"/>
  <c r="E663" i="19" s="1"/>
  <c r="D663" i="19" a="1"/>
  <c r="D663" i="19" s="1"/>
  <c r="H662" i="19" a="1"/>
  <c r="H662" i="19" s="1"/>
  <c r="G662" i="19" a="1"/>
  <c r="G662" i="19" s="1"/>
  <c r="F662" i="19" a="1"/>
  <c r="F662" i="19" s="1"/>
  <c r="E662" i="19" a="1"/>
  <c r="E662" i="19" s="1"/>
  <c r="D662" i="19" a="1"/>
  <c r="D662" i="19" s="1"/>
  <c r="H661" i="19" a="1"/>
  <c r="H661" i="19" s="1"/>
  <c r="G661" i="19" a="1"/>
  <c r="G661" i="19" s="1"/>
  <c r="F661" i="19" a="1"/>
  <c r="F661" i="19" s="1"/>
  <c r="E661" i="19" a="1"/>
  <c r="E661" i="19" s="1"/>
  <c r="D661" i="19" a="1"/>
  <c r="D661" i="19" s="1"/>
  <c r="H660" i="19" a="1"/>
  <c r="H660" i="19" s="1"/>
  <c r="G660" i="19"/>
  <c r="G660" i="19" a="1"/>
  <c r="F660" i="19" a="1"/>
  <c r="F660" i="19" s="1"/>
  <c r="E660" i="19" a="1"/>
  <c r="E660" i="19" s="1"/>
  <c r="D660" i="19" a="1"/>
  <c r="D660" i="19" s="1"/>
  <c r="H659" i="19" a="1"/>
  <c r="H659" i="19" s="1"/>
  <c r="G659" i="19" a="1"/>
  <c r="G659" i="19" s="1"/>
  <c r="F659" i="19" a="1"/>
  <c r="F659" i="19" s="1"/>
  <c r="E659" i="19"/>
  <c r="E659" i="19" a="1"/>
  <c r="D659" i="19" a="1"/>
  <c r="D659" i="19" s="1"/>
  <c r="H658" i="19" a="1"/>
  <c r="H658" i="19" s="1"/>
  <c r="G658" i="19" a="1"/>
  <c r="G658" i="19" s="1"/>
  <c r="F658" i="19" a="1"/>
  <c r="F658" i="19" s="1"/>
  <c r="E658" i="19" a="1"/>
  <c r="E658" i="19" s="1"/>
  <c r="D658" i="19" a="1"/>
  <c r="D658" i="19" s="1"/>
  <c r="H657" i="19" a="1"/>
  <c r="H657" i="19" s="1"/>
  <c r="G657" i="19" a="1"/>
  <c r="G657" i="19" s="1"/>
  <c r="F657" i="19" a="1"/>
  <c r="F657" i="19" s="1"/>
  <c r="E657" i="19" a="1"/>
  <c r="E657" i="19" s="1"/>
  <c r="D657" i="19" a="1"/>
  <c r="D657" i="19" s="1"/>
  <c r="H656" i="19" a="1"/>
  <c r="H656" i="19" s="1"/>
  <c r="G656" i="19" a="1"/>
  <c r="G656" i="19" s="1"/>
  <c r="F656" i="19"/>
  <c r="F656" i="19" a="1"/>
  <c r="E656" i="19" a="1"/>
  <c r="E656" i="19" s="1"/>
  <c r="D656" i="19" a="1"/>
  <c r="D656" i="19" s="1"/>
  <c r="H655" i="19" a="1"/>
  <c r="H655" i="19" s="1"/>
  <c r="G655" i="19" a="1"/>
  <c r="G655" i="19" s="1"/>
  <c r="F655" i="19" a="1"/>
  <c r="F655" i="19" s="1"/>
  <c r="E655" i="19" a="1"/>
  <c r="E655" i="19" s="1"/>
  <c r="D655" i="19" a="1"/>
  <c r="D655" i="19" s="1"/>
  <c r="H654" i="19" a="1"/>
  <c r="H654" i="19" s="1"/>
  <c r="G654" i="19" a="1"/>
  <c r="G654" i="19" s="1"/>
  <c r="F654" i="19" a="1"/>
  <c r="F654" i="19" s="1"/>
  <c r="E654" i="19" a="1"/>
  <c r="E654" i="19" s="1"/>
  <c r="D654" i="19" a="1"/>
  <c r="D654" i="19" s="1"/>
  <c r="H653" i="19" a="1"/>
  <c r="H653" i="19" s="1"/>
  <c r="G653" i="19" a="1"/>
  <c r="G653" i="19" s="1"/>
  <c r="F653" i="19" a="1"/>
  <c r="F653" i="19" s="1"/>
  <c r="E653" i="19" a="1"/>
  <c r="E653" i="19" s="1"/>
  <c r="D653" i="19" a="1"/>
  <c r="D653" i="19" s="1"/>
  <c r="H652" i="19" a="1"/>
  <c r="H652" i="19" s="1"/>
  <c r="G652" i="19" a="1"/>
  <c r="G652" i="19" s="1"/>
  <c r="F652" i="19" a="1"/>
  <c r="F652" i="19" s="1"/>
  <c r="E652" i="19" a="1"/>
  <c r="E652" i="19" s="1"/>
  <c r="D652" i="19"/>
  <c r="D652" i="19" a="1"/>
  <c r="H651" i="19" a="1"/>
  <c r="H651" i="19" s="1"/>
  <c r="G651" i="19" a="1"/>
  <c r="G651" i="19" s="1"/>
  <c r="F651" i="19" a="1"/>
  <c r="F651" i="19" s="1"/>
  <c r="E651" i="19" a="1"/>
  <c r="E651" i="19" s="1"/>
  <c r="D651" i="19" a="1"/>
  <c r="D651" i="19" s="1"/>
  <c r="H650" i="19" a="1"/>
  <c r="H650" i="19" s="1"/>
  <c r="G650" i="19"/>
  <c r="G650" i="19" a="1"/>
  <c r="F650" i="19" a="1"/>
  <c r="F650" i="19" s="1"/>
  <c r="E650" i="19" a="1"/>
  <c r="E650" i="19" s="1"/>
  <c r="D650" i="19" a="1"/>
  <c r="D650" i="19" s="1"/>
  <c r="H649" i="19" a="1"/>
  <c r="H649" i="19" s="1"/>
  <c r="G649" i="19" a="1"/>
  <c r="G649" i="19" s="1"/>
  <c r="F649" i="19" a="1"/>
  <c r="F649" i="19" s="1"/>
  <c r="E649" i="19" a="1"/>
  <c r="E649" i="19" s="1"/>
  <c r="D649" i="19" a="1"/>
  <c r="D649" i="19" s="1"/>
  <c r="H648" i="19" a="1"/>
  <c r="H648" i="19" s="1"/>
  <c r="G648" i="19" a="1"/>
  <c r="G648" i="19" s="1"/>
  <c r="F648" i="19" a="1"/>
  <c r="F648" i="19" s="1"/>
  <c r="E648" i="19" a="1"/>
  <c r="E648" i="19" s="1"/>
  <c r="D648" i="19" a="1"/>
  <c r="D648" i="19" s="1"/>
  <c r="H647" i="19" a="1"/>
  <c r="H647" i="19" s="1"/>
  <c r="G647" i="19" a="1"/>
  <c r="G647" i="19" s="1"/>
  <c r="F647" i="19" a="1"/>
  <c r="F647" i="19" s="1"/>
  <c r="E647" i="19" a="1"/>
  <c r="E647" i="19" s="1"/>
  <c r="D647" i="19" a="1"/>
  <c r="D647" i="19" s="1"/>
  <c r="H646" i="19" a="1"/>
  <c r="H646" i="19" s="1"/>
  <c r="G646" i="19" a="1"/>
  <c r="G646" i="19" s="1"/>
  <c r="F646" i="19" a="1"/>
  <c r="F646" i="19" s="1"/>
  <c r="E646" i="19" a="1"/>
  <c r="E646" i="19" s="1"/>
  <c r="D646" i="19" a="1"/>
  <c r="D646" i="19" s="1"/>
  <c r="H645" i="19" a="1"/>
  <c r="H645" i="19" s="1"/>
  <c r="G645" i="19" a="1"/>
  <c r="G645" i="19" s="1"/>
  <c r="F645" i="19" a="1"/>
  <c r="F645" i="19" s="1"/>
  <c r="E645" i="19" a="1"/>
  <c r="E645" i="19" s="1"/>
  <c r="D645" i="19" a="1"/>
  <c r="D645" i="19" s="1"/>
  <c r="H644" i="19" a="1"/>
  <c r="H644" i="19" s="1"/>
  <c r="G644" i="19" a="1"/>
  <c r="G644" i="19" s="1"/>
  <c r="F644" i="19" a="1"/>
  <c r="F644" i="19" s="1"/>
  <c r="E644" i="19" a="1"/>
  <c r="E644" i="19" s="1"/>
  <c r="D644" i="19" a="1"/>
  <c r="D644" i="19" s="1"/>
  <c r="H643" i="19" a="1"/>
  <c r="H643" i="19" s="1"/>
  <c r="G643" i="19" a="1"/>
  <c r="G643" i="19" s="1"/>
  <c r="F643" i="19"/>
  <c r="F643" i="19" a="1"/>
  <c r="E643" i="19" a="1"/>
  <c r="E643" i="19" s="1"/>
  <c r="D643" i="19" a="1"/>
  <c r="D643" i="19" s="1"/>
  <c r="H642" i="19" a="1"/>
  <c r="H642" i="19" s="1"/>
  <c r="G642" i="19" a="1"/>
  <c r="G642" i="19" s="1"/>
  <c r="F642" i="19" a="1"/>
  <c r="F642" i="19" s="1"/>
  <c r="E642" i="19" a="1"/>
  <c r="E642" i="19" s="1"/>
  <c r="D642" i="19" a="1"/>
  <c r="D642" i="19" s="1"/>
  <c r="H641" i="19" a="1"/>
  <c r="H641" i="19" s="1"/>
  <c r="G641" i="19" a="1"/>
  <c r="G641" i="19" s="1"/>
  <c r="F641" i="19" a="1"/>
  <c r="F641" i="19" s="1"/>
  <c r="E641" i="19" a="1"/>
  <c r="E641" i="19" s="1"/>
  <c r="D641" i="19" a="1"/>
  <c r="D641" i="19" s="1"/>
  <c r="H640" i="19" a="1"/>
  <c r="H640" i="19" s="1"/>
  <c r="G640" i="19" a="1"/>
  <c r="G640" i="19" s="1"/>
  <c r="F640" i="19" a="1"/>
  <c r="F640" i="19" s="1"/>
  <c r="E640" i="19" a="1"/>
  <c r="E640" i="19" s="1"/>
  <c r="D640" i="19" a="1"/>
  <c r="D640" i="19" s="1"/>
  <c r="H639" i="19" a="1"/>
  <c r="H639" i="19" s="1"/>
  <c r="G639" i="19" a="1"/>
  <c r="G639" i="19" s="1"/>
  <c r="F639" i="19" a="1"/>
  <c r="F639" i="19" s="1"/>
  <c r="E639" i="19" a="1"/>
  <c r="E639" i="19" s="1"/>
  <c r="D639" i="19"/>
  <c r="D639" i="19" a="1"/>
  <c r="H638" i="19" a="1"/>
  <c r="H638" i="19" s="1"/>
  <c r="G638" i="19" a="1"/>
  <c r="G638" i="19" s="1"/>
  <c r="F638" i="19" a="1"/>
  <c r="F638" i="19" s="1"/>
  <c r="E638" i="19" a="1"/>
  <c r="E638" i="19" s="1"/>
  <c r="D638" i="19" a="1"/>
  <c r="D638" i="19" s="1"/>
  <c r="H637" i="19" a="1"/>
  <c r="H637" i="19" s="1"/>
  <c r="G637" i="19" a="1"/>
  <c r="G637" i="19" s="1"/>
  <c r="F637" i="19" a="1"/>
  <c r="F637" i="19" s="1"/>
  <c r="E637" i="19" a="1"/>
  <c r="E637" i="19" s="1"/>
  <c r="D637" i="19" a="1"/>
  <c r="D637" i="19" s="1"/>
  <c r="H636" i="19" a="1"/>
  <c r="H636" i="19" s="1"/>
  <c r="G636" i="19" a="1"/>
  <c r="G636" i="19" s="1"/>
  <c r="F636" i="19" a="1"/>
  <c r="F636" i="19" s="1"/>
  <c r="E636" i="19" a="1"/>
  <c r="E636" i="19" s="1"/>
  <c r="D636" i="19" a="1"/>
  <c r="D636" i="19" s="1"/>
  <c r="H635" i="19" a="1"/>
  <c r="H635" i="19" s="1"/>
  <c r="G635" i="19" a="1"/>
  <c r="G635" i="19" s="1"/>
  <c r="F635" i="19" a="1"/>
  <c r="F635" i="19" s="1"/>
  <c r="E635" i="19" a="1"/>
  <c r="E635" i="19" s="1"/>
  <c r="D635" i="19" a="1"/>
  <c r="D635" i="19" s="1"/>
  <c r="H634" i="19" a="1"/>
  <c r="H634" i="19" s="1"/>
  <c r="G634" i="19" a="1"/>
  <c r="G634" i="19" s="1"/>
  <c r="F634" i="19" a="1"/>
  <c r="F634" i="19" s="1"/>
  <c r="E634" i="19" a="1"/>
  <c r="E634" i="19" s="1"/>
  <c r="D634" i="19" a="1"/>
  <c r="D634" i="19" s="1"/>
  <c r="H633" i="19" a="1"/>
  <c r="H633" i="19" s="1"/>
  <c r="G633" i="19" a="1"/>
  <c r="G633" i="19" s="1"/>
  <c r="F633" i="19" a="1"/>
  <c r="F633" i="19" s="1"/>
  <c r="E633" i="19" a="1"/>
  <c r="E633" i="19" s="1"/>
  <c r="D633" i="19" a="1"/>
  <c r="D633" i="19" s="1"/>
  <c r="H632" i="19" a="1"/>
  <c r="H632" i="19" s="1"/>
  <c r="G632" i="19" a="1"/>
  <c r="G632" i="19" s="1"/>
  <c r="F632" i="19" a="1"/>
  <c r="F632" i="19" s="1"/>
  <c r="E632" i="19" a="1"/>
  <c r="E632" i="19" s="1"/>
  <c r="D632" i="19" a="1"/>
  <c r="D632" i="19" s="1"/>
  <c r="H631" i="19" a="1"/>
  <c r="H631" i="19" s="1"/>
  <c r="G631" i="19" a="1"/>
  <c r="G631" i="19" s="1"/>
  <c r="F631" i="19" a="1"/>
  <c r="F631" i="19" s="1"/>
  <c r="E631" i="19" a="1"/>
  <c r="E631" i="19" s="1"/>
  <c r="D631" i="19" a="1"/>
  <c r="D631" i="19" s="1"/>
  <c r="H630" i="19" a="1"/>
  <c r="H630" i="19" s="1"/>
  <c r="G630" i="19" a="1"/>
  <c r="G630" i="19" s="1"/>
  <c r="F630" i="19"/>
  <c r="F630" i="19" a="1"/>
  <c r="E630" i="19" a="1"/>
  <c r="E630" i="19" s="1"/>
  <c r="D630" i="19" a="1"/>
  <c r="D630" i="19" s="1"/>
  <c r="H629" i="19" a="1"/>
  <c r="H629" i="19" s="1"/>
  <c r="G629" i="19" a="1"/>
  <c r="G629" i="19" s="1"/>
  <c r="F629" i="19" a="1"/>
  <c r="F629" i="19" s="1"/>
  <c r="E629" i="19" a="1"/>
  <c r="E629" i="19" s="1"/>
  <c r="D629" i="19" a="1"/>
  <c r="D629" i="19" s="1"/>
  <c r="H628" i="19" a="1"/>
  <c r="H628" i="19" s="1"/>
  <c r="G628" i="19" a="1"/>
  <c r="G628" i="19" s="1"/>
  <c r="F628" i="19" a="1"/>
  <c r="F628" i="19" s="1"/>
  <c r="E628" i="19" a="1"/>
  <c r="E628" i="19" s="1"/>
  <c r="D628" i="19" a="1"/>
  <c r="D628" i="19" s="1"/>
  <c r="H627" i="19" a="1"/>
  <c r="H627" i="19" s="1"/>
  <c r="G627" i="19" a="1"/>
  <c r="G627" i="19" s="1"/>
  <c r="F627" i="19" a="1"/>
  <c r="F627" i="19" s="1"/>
  <c r="E627" i="19" a="1"/>
  <c r="E627" i="19" s="1"/>
  <c r="D627" i="19" a="1"/>
  <c r="D627" i="19" s="1"/>
  <c r="H626" i="19" a="1"/>
  <c r="H626" i="19" s="1"/>
  <c r="G626" i="19" a="1"/>
  <c r="G626" i="19" s="1"/>
  <c r="F626" i="19" a="1"/>
  <c r="F626" i="19" s="1"/>
  <c r="E626" i="19" a="1"/>
  <c r="E626" i="19" s="1"/>
  <c r="D626" i="19" a="1"/>
  <c r="D626" i="19" s="1"/>
  <c r="H625" i="19" a="1"/>
  <c r="H625" i="19" s="1"/>
  <c r="G625" i="19" a="1"/>
  <c r="G625" i="19" s="1"/>
  <c r="F625" i="19" a="1"/>
  <c r="F625" i="19" s="1"/>
  <c r="E625" i="19" a="1"/>
  <c r="E625" i="19" s="1"/>
  <c r="D625" i="19" a="1"/>
  <c r="D625" i="19" s="1"/>
  <c r="H624" i="19" a="1"/>
  <c r="H624" i="19" s="1"/>
  <c r="G624" i="19" a="1"/>
  <c r="G624" i="19" s="1"/>
  <c r="F624" i="19" a="1"/>
  <c r="F624" i="19" s="1"/>
  <c r="E624" i="19" a="1"/>
  <c r="E624" i="19" s="1"/>
  <c r="D624" i="19" a="1"/>
  <c r="D624" i="19" s="1"/>
  <c r="H623" i="19" a="1"/>
  <c r="H623" i="19" s="1"/>
  <c r="G623" i="19" a="1"/>
  <c r="G623" i="19" s="1"/>
  <c r="F623" i="19" a="1"/>
  <c r="F623" i="19" s="1"/>
  <c r="E623" i="19" a="1"/>
  <c r="E623" i="19" s="1"/>
  <c r="D623" i="19" a="1"/>
  <c r="D623" i="19" s="1"/>
  <c r="H622" i="19" a="1"/>
  <c r="H622" i="19" s="1"/>
  <c r="G622" i="19" a="1"/>
  <c r="G622" i="19" s="1"/>
  <c r="F622" i="19" a="1"/>
  <c r="F622" i="19" s="1"/>
  <c r="E622" i="19" a="1"/>
  <c r="E622" i="19" s="1"/>
  <c r="D622" i="19" a="1"/>
  <c r="D622" i="19" s="1"/>
  <c r="H621" i="19" a="1"/>
  <c r="H621" i="19" s="1"/>
  <c r="G621" i="19" a="1"/>
  <c r="G621" i="19" s="1"/>
  <c r="F621" i="19" a="1"/>
  <c r="F621" i="19" s="1"/>
  <c r="E621" i="19" a="1"/>
  <c r="E621" i="19" s="1"/>
  <c r="D621" i="19" a="1"/>
  <c r="D621" i="19" s="1"/>
  <c r="H620" i="19" a="1"/>
  <c r="H620" i="19" s="1"/>
  <c r="G620" i="19" a="1"/>
  <c r="G620" i="19" s="1"/>
  <c r="F620" i="19" a="1"/>
  <c r="F620" i="19" s="1"/>
  <c r="E620" i="19" a="1"/>
  <c r="E620" i="19" s="1"/>
  <c r="D620" i="19" a="1"/>
  <c r="D620" i="19" s="1"/>
  <c r="H619" i="19" a="1"/>
  <c r="H619" i="19" s="1"/>
  <c r="G619" i="19" a="1"/>
  <c r="G619" i="19" s="1"/>
  <c r="F619" i="19" a="1"/>
  <c r="F619" i="19" s="1"/>
  <c r="E619" i="19" a="1"/>
  <c r="E619" i="19" s="1"/>
  <c r="D619" i="19" a="1"/>
  <c r="D619" i="19" s="1"/>
  <c r="H618" i="19" a="1"/>
  <c r="H618" i="19" s="1"/>
  <c r="G618" i="19" a="1"/>
  <c r="G618" i="19" s="1"/>
  <c r="F618" i="19" a="1"/>
  <c r="F618" i="19" s="1"/>
  <c r="E618" i="19" a="1"/>
  <c r="E618" i="19" s="1"/>
  <c r="D618" i="19" a="1"/>
  <c r="D618" i="19" s="1"/>
  <c r="H617" i="19" a="1"/>
  <c r="H617" i="19" s="1"/>
  <c r="G617" i="19" a="1"/>
  <c r="G617" i="19" s="1"/>
  <c r="F617" i="19"/>
  <c r="F617" i="19" a="1"/>
  <c r="E617" i="19" a="1"/>
  <c r="E617" i="19" s="1"/>
  <c r="D617" i="19" a="1"/>
  <c r="D617" i="19" s="1"/>
  <c r="H616" i="19" a="1"/>
  <c r="H616" i="19" s="1"/>
  <c r="G616" i="19" a="1"/>
  <c r="G616" i="19" s="1"/>
  <c r="F616" i="19" a="1"/>
  <c r="F616" i="19" s="1"/>
  <c r="E616" i="19" a="1"/>
  <c r="E616" i="19" s="1"/>
  <c r="D616" i="19" a="1"/>
  <c r="D616" i="19" s="1"/>
  <c r="H615" i="19" a="1"/>
  <c r="H615" i="19" s="1"/>
  <c r="G615" i="19" a="1"/>
  <c r="G615" i="19" s="1"/>
  <c r="F615" i="19" a="1"/>
  <c r="F615" i="19" s="1"/>
  <c r="E615" i="19" a="1"/>
  <c r="E615" i="19" s="1"/>
  <c r="D615" i="19" a="1"/>
  <c r="D615" i="19" s="1"/>
  <c r="H614" i="19" a="1"/>
  <c r="H614" i="19" s="1"/>
  <c r="G614" i="19" a="1"/>
  <c r="G614" i="19" s="1"/>
  <c r="F614" i="19" a="1"/>
  <c r="F614" i="19" s="1"/>
  <c r="E614" i="19" a="1"/>
  <c r="E614" i="19" s="1"/>
  <c r="D614" i="19" a="1"/>
  <c r="D614" i="19" s="1"/>
  <c r="H613" i="19" a="1"/>
  <c r="H613" i="19" s="1"/>
  <c r="G613" i="19" a="1"/>
  <c r="G613" i="19" s="1"/>
  <c r="F613" i="19" a="1"/>
  <c r="F613" i="19" s="1"/>
  <c r="E613" i="19" a="1"/>
  <c r="E613" i="19" s="1"/>
  <c r="D613" i="19" a="1"/>
  <c r="D613" i="19" s="1"/>
  <c r="H612" i="19" a="1"/>
  <c r="H612" i="19" s="1"/>
  <c r="G612" i="19" a="1"/>
  <c r="G612" i="19" s="1"/>
  <c r="F612" i="19" a="1"/>
  <c r="F612" i="19" s="1"/>
  <c r="E612" i="19" a="1"/>
  <c r="E612" i="19" s="1"/>
  <c r="D612" i="19" a="1"/>
  <c r="D612" i="19" s="1"/>
  <c r="H611" i="19" a="1"/>
  <c r="H611" i="19" s="1"/>
  <c r="G611" i="19" a="1"/>
  <c r="G611" i="19" s="1"/>
  <c r="F611" i="19" a="1"/>
  <c r="F611" i="19" s="1"/>
  <c r="E611" i="19" a="1"/>
  <c r="E611" i="19" s="1"/>
  <c r="D611" i="19" a="1"/>
  <c r="D611" i="19" s="1"/>
  <c r="H610" i="19" a="1"/>
  <c r="H610" i="19" s="1"/>
  <c r="G610" i="19" a="1"/>
  <c r="G610" i="19" s="1"/>
  <c r="F610" i="19" a="1"/>
  <c r="F610" i="19" s="1"/>
  <c r="E610" i="19" a="1"/>
  <c r="E610" i="19" s="1"/>
  <c r="D610" i="19" a="1"/>
  <c r="D610" i="19" s="1"/>
  <c r="H609" i="19" a="1"/>
  <c r="H609" i="19" s="1"/>
  <c r="G609" i="19" a="1"/>
  <c r="G609" i="19" s="1"/>
  <c r="F609" i="19" a="1"/>
  <c r="F609" i="19" s="1"/>
  <c r="E609" i="19" a="1"/>
  <c r="E609" i="19" s="1"/>
  <c r="D609" i="19"/>
  <c r="D609" i="19" a="1"/>
  <c r="H608" i="19" a="1"/>
  <c r="H608" i="19" s="1"/>
  <c r="G608" i="19" a="1"/>
  <c r="G608" i="19" s="1"/>
  <c r="F608" i="19" a="1"/>
  <c r="F608" i="19" s="1"/>
  <c r="E608" i="19" a="1"/>
  <c r="E608" i="19" s="1"/>
  <c r="D608" i="19" a="1"/>
  <c r="D608" i="19" s="1"/>
  <c r="H607" i="19" a="1"/>
  <c r="H607" i="19" s="1"/>
  <c r="G607" i="19"/>
  <c r="G607" i="19" a="1"/>
  <c r="F607" i="19"/>
  <c r="F607" i="19" a="1"/>
  <c r="E607" i="19" a="1"/>
  <c r="E607" i="19" s="1"/>
  <c r="D607" i="19" a="1"/>
  <c r="D607" i="19" s="1"/>
  <c r="H606" i="19" a="1"/>
  <c r="H606" i="19" s="1"/>
  <c r="G606" i="19" a="1"/>
  <c r="G606" i="19" s="1"/>
  <c r="F606" i="19" a="1"/>
  <c r="F606" i="19" s="1"/>
  <c r="E606" i="19" a="1"/>
  <c r="E606" i="19" s="1"/>
  <c r="D606" i="19" a="1"/>
  <c r="D606" i="19" s="1"/>
  <c r="H605" i="19" a="1"/>
  <c r="H605" i="19" s="1"/>
  <c r="G605" i="19" a="1"/>
  <c r="G605" i="19" s="1"/>
  <c r="F605" i="19" a="1"/>
  <c r="F605" i="19" s="1"/>
  <c r="E605" i="19" a="1"/>
  <c r="E605" i="19" s="1"/>
  <c r="D605" i="19" a="1"/>
  <c r="D605" i="19" s="1"/>
  <c r="H604" i="19" a="1"/>
  <c r="H604" i="19" s="1"/>
  <c r="G604" i="19" a="1"/>
  <c r="G604" i="19" s="1"/>
  <c r="F604" i="19" a="1"/>
  <c r="F604" i="19" s="1"/>
  <c r="E604" i="19" a="1"/>
  <c r="E604" i="19" s="1"/>
  <c r="D604" i="19" a="1"/>
  <c r="D604" i="19" s="1"/>
  <c r="H603" i="19" a="1"/>
  <c r="H603" i="19" s="1"/>
  <c r="G603" i="19" a="1"/>
  <c r="G603" i="19" s="1"/>
  <c r="F603" i="19" a="1"/>
  <c r="F603" i="19" s="1"/>
  <c r="E603" i="19" a="1"/>
  <c r="E603" i="19" s="1"/>
  <c r="D603" i="19"/>
  <c r="D603" i="19" a="1"/>
  <c r="H602" i="19" a="1"/>
  <c r="H602" i="19" s="1"/>
  <c r="G602" i="19" a="1"/>
  <c r="G602" i="19" s="1"/>
  <c r="F602" i="19" a="1"/>
  <c r="F602" i="19" s="1"/>
  <c r="E602" i="19" a="1"/>
  <c r="E602" i="19" s="1"/>
  <c r="D602" i="19" a="1"/>
  <c r="D602" i="19" s="1"/>
  <c r="H601" i="19" a="1"/>
  <c r="H601" i="19" s="1"/>
  <c r="G601" i="19"/>
  <c r="G601" i="19" a="1"/>
  <c r="F601" i="19" a="1"/>
  <c r="F601" i="19" s="1"/>
  <c r="E601" i="19" a="1"/>
  <c r="E601" i="19" s="1"/>
  <c r="D601" i="19" a="1"/>
  <c r="D601" i="19" s="1"/>
  <c r="H600" i="19" a="1"/>
  <c r="H600" i="19" s="1"/>
  <c r="G600" i="19" a="1"/>
  <c r="G600" i="19" s="1"/>
  <c r="F600" i="19" a="1"/>
  <c r="F600" i="19" s="1"/>
  <c r="E600" i="19"/>
  <c r="E600" i="19" a="1"/>
  <c r="D600" i="19" a="1"/>
  <c r="D600" i="19" s="1"/>
  <c r="H599" i="19" a="1"/>
  <c r="H599" i="19" s="1"/>
  <c r="G599" i="19" a="1"/>
  <c r="G599" i="19" s="1"/>
  <c r="F599" i="19" a="1"/>
  <c r="F599" i="19" s="1"/>
  <c r="E599" i="19" a="1"/>
  <c r="E599" i="19" s="1"/>
  <c r="D599" i="19" a="1"/>
  <c r="D599" i="19" s="1"/>
  <c r="H598" i="19" a="1"/>
  <c r="H598" i="19" s="1"/>
  <c r="G598" i="19" a="1"/>
  <c r="G598" i="19" s="1"/>
  <c r="F598" i="19" a="1"/>
  <c r="F598" i="19" s="1"/>
  <c r="E598" i="19" a="1"/>
  <c r="E598" i="19" s="1"/>
  <c r="D598" i="19" a="1"/>
  <c r="D598" i="19" s="1"/>
  <c r="H597" i="19" a="1"/>
  <c r="H597" i="19" s="1"/>
  <c r="G597" i="19"/>
  <c r="G597" i="19" a="1"/>
  <c r="F597" i="19" a="1"/>
  <c r="F597" i="19" s="1"/>
  <c r="E597" i="19" a="1"/>
  <c r="E597" i="19" s="1"/>
  <c r="D597" i="19" a="1"/>
  <c r="D597" i="19" s="1"/>
  <c r="H596" i="19" a="1"/>
  <c r="H596" i="19" s="1"/>
  <c r="G596" i="19" a="1"/>
  <c r="G596" i="19" s="1"/>
  <c r="F596" i="19" a="1"/>
  <c r="F596" i="19" s="1"/>
  <c r="E596" i="19" a="1"/>
  <c r="E596" i="19" s="1"/>
  <c r="D596" i="19" a="1"/>
  <c r="D596" i="19" s="1"/>
  <c r="H595" i="19" a="1"/>
  <c r="H595" i="19" s="1"/>
  <c r="G595" i="19" a="1"/>
  <c r="G595" i="19" s="1"/>
  <c r="F595" i="19" a="1"/>
  <c r="F595" i="19" s="1"/>
  <c r="E595" i="19" a="1"/>
  <c r="E595" i="19" s="1"/>
  <c r="D595" i="19" a="1"/>
  <c r="D595" i="19" s="1"/>
  <c r="H594" i="19" a="1"/>
  <c r="H594" i="19" s="1"/>
  <c r="G594" i="19" a="1"/>
  <c r="G594" i="19" s="1"/>
  <c r="F594" i="19" a="1"/>
  <c r="F594" i="19" s="1"/>
  <c r="E594" i="19" a="1"/>
  <c r="E594" i="19" s="1"/>
  <c r="D594" i="19" a="1"/>
  <c r="D594" i="19" s="1"/>
  <c r="H593" i="19" a="1"/>
  <c r="H593" i="19" s="1"/>
  <c r="G593" i="19" a="1"/>
  <c r="G593" i="19" s="1"/>
  <c r="F593" i="19" a="1"/>
  <c r="F593" i="19" s="1"/>
  <c r="E593" i="19"/>
  <c r="E593" i="19" a="1"/>
  <c r="D593" i="19"/>
  <c r="D593" i="19" a="1"/>
  <c r="H592" i="19" a="1"/>
  <c r="H592" i="19" s="1"/>
  <c r="G592" i="19" a="1"/>
  <c r="G592" i="19" s="1"/>
  <c r="F592" i="19" a="1"/>
  <c r="F592" i="19" s="1"/>
  <c r="E592" i="19" a="1"/>
  <c r="E592" i="19" s="1"/>
  <c r="D592" i="19" a="1"/>
  <c r="D592" i="19" s="1"/>
  <c r="H591" i="19" a="1"/>
  <c r="H591" i="19" s="1"/>
  <c r="G591" i="19"/>
  <c r="G591" i="19" a="1"/>
  <c r="F591" i="19" a="1"/>
  <c r="F591" i="19" s="1"/>
  <c r="E591" i="19" a="1"/>
  <c r="E591" i="19" s="1"/>
  <c r="D591" i="19" a="1"/>
  <c r="D591" i="19" s="1"/>
  <c r="H590" i="19" a="1"/>
  <c r="H590" i="19" s="1"/>
  <c r="G590" i="19" a="1"/>
  <c r="G590" i="19" s="1"/>
  <c r="F590" i="19"/>
  <c r="F590" i="19" a="1"/>
  <c r="E590" i="19" a="1"/>
  <c r="E590" i="19" s="1"/>
  <c r="D590" i="19" a="1"/>
  <c r="D590" i="19" s="1"/>
  <c r="H589" i="19" a="1"/>
  <c r="H589" i="19" s="1"/>
  <c r="G589" i="19" a="1"/>
  <c r="G589" i="19" s="1"/>
  <c r="F589" i="19" a="1"/>
  <c r="F589" i="19" s="1"/>
  <c r="E589" i="19" a="1"/>
  <c r="E589" i="19" s="1"/>
  <c r="D589" i="19" a="1"/>
  <c r="D589" i="19" s="1"/>
  <c r="H588" i="19" a="1"/>
  <c r="H588" i="19" s="1"/>
  <c r="G588" i="19" a="1"/>
  <c r="G588" i="19" s="1"/>
  <c r="F588" i="19" a="1"/>
  <c r="F588" i="19" s="1"/>
  <c r="E588" i="19" a="1"/>
  <c r="E588" i="19" s="1"/>
  <c r="D588" i="19" a="1"/>
  <c r="D588" i="19" s="1"/>
  <c r="H587" i="19" a="1"/>
  <c r="H587" i="19" s="1"/>
  <c r="G587" i="19" a="1"/>
  <c r="G587" i="19" s="1"/>
  <c r="F587" i="19"/>
  <c r="F587" i="19" a="1"/>
  <c r="E587" i="19" a="1"/>
  <c r="E587" i="19" s="1"/>
  <c r="D587" i="19" a="1"/>
  <c r="D587" i="19" s="1"/>
  <c r="H586" i="19" a="1"/>
  <c r="H586" i="19" s="1"/>
  <c r="G586" i="19" a="1"/>
  <c r="G586" i="19" s="1"/>
  <c r="F586" i="19" a="1"/>
  <c r="F586" i="19" s="1"/>
  <c r="E586" i="19" a="1"/>
  <c r="E586" i="19" s="1"/>
  <c r="D586" i="19"/>
  <c r="D586" i="19" a="1"/>
  <c r="H585" i="19" a="1"/>
  <c r="H585" i="19" s="1"/>
  <c r="G585" i="19" a="1"/>
  <c r="G585" i="19" s="1"/>
  <c r="F585" i="19" a="1"/>
  <c r="F585" i="19" s="1"/>
  <c r="E585" i="19" a="1"/>
  <c r="E585" i="19" s="1"/>
  <c r="D585" i="19" a="1"/>
  <c r="D585" i="19" s="1"/>
  <c r="H584" i="19" a="1"/>
  <c r="H584" i="19" s="1"/>
  <c r="G584" i="19" a="1"/>
  <c r="G584" i="19" s="1"/>
  <c r="F584" i="19" a="1"/>
  <c r="F584" i="19" s="1"/>
  <c r="E584" i="19" a="1"/>
  <c r="E584" i="19" s="1"/>
  <c r="D584" i="19" a="1"/>
  <c r="D584" i="19" s="1"/>
  <c r="H583" i="19" a="1"/>
  <c r="H583" i="19" s="1"/>
  <c r="G583" i="19" a="1"/>
  <c r="G583" i="19" s="1"/>
  <c r="F583" i="19" a="1"/>
  <c r="F583" i="19" s="1"/>
  <c r="E583" i="19"/>
  <c r="E583" i="19" a="1"/>
  <c r="D583" i="19" a="1"/>
  <c r="D583" i="19" s="1"/>
  <c r="H582" i="19" a="1"/>
  <c r="H582" i="19" s="1"/>
  <c r="G582" i="19" a="1"/>
  <c r="G582" i="19" s="1"/>
  <c r="F582" i="19" a="1"/>
  <c r="F582" i="19" s="1"/>
  <c r="E582" i="19" a="1"/>
  <c r="E582" i="19" s="1"/>
  <c r="D582" i="19" a="1"/>
  <c r="D582" i="19" s="1"/>
  <c r="H581" i="19" a="1"/>
  <c r="H581" i="19" s="1"/>
  <c r="G581" i="19" a="1"/>
  <c r="G581" i="19" s="1"/>
  <c r="F581" i="19"/>
  <c r="F581" i="19" a="1"/>
  <c r="E581" i="19" a="1"/>
  <c r="E581" i="19" s="1"/>
  <c r="D581" i="19" a="1"/>
  <c r="D581" i="19" s="1"/>
  <c r="H580" i="19" a="1"/>
  <c r="H580" i="19" s="1"/>
  <c r="G580" i="19" a="1"/>
  <c r="G580" i="19" s="1"/>
  <c r="F580" i="19" a="1"/>
  <c r="F580" i="19" s="1"/>
  <c r="E580" i="19" a="1"/>
  <c r="E580" i="19" s="1"/>
  <c r="D580" i="19"/>
  <c r="D580" i="19" a="1"/>
  <c r="H579" i="19" a="1"/>
  <c r="H579" i="19" s="1"/>
  <c r="G579" i="19" a="1"/>
  <c r="G579" i="19" s="1"/>
  <c r="F579" i="19" a="1"/>
  <c r="F579" i="19" s="1"/>
  <c r="E579" i="19" a="1"/>
  <c r="E579" i="19" s="1"/>
  <c r="D579" i="19" a="1"/>
  <c r="D579" i="19" s="1"/>
  <c r="H578" i="19" a="1"/>
  <c r="H578" i="19" s="1"/>
  <c r="G578" i="19"/>
  <c r="G578" i="19" a="1"/>
  <c r="F578" i="19" a="1"/>
  <c r="F578" i="19" s="1"/>
  <c r="E578" i="19" a="1"/>
  <c r="E578" i="19" s="1"/>
  <c r="D578" i="19" a="1"/>
  <c r="D578" i="19" s="1"/>
  <c r="H577" i="19" a="1"/>
  <c r="H577" i="19" s="1"/>
  <c r="G577" i="19" a="1"/>
  <c r="G577" i="19" s="1"/>
  <c r="F577" i="19" a="1"/>
  <c r="F577" i="19" s="1"/>
  <c r="E577" i="19" a="1"/>
  <c r="E577" i="19" s="1"/>
  <c r="D577" i="19" a="1"/>
  <c r="D577" i="19" s="1"/>
  <c r="H576" i="19" a="1"/>
  <c r="H576" i="19" s="1"/>
  <c r="G576" i="19" a="1"/>
  <c r="G576" i="19" s="1"/>
  <c r="F576" i="19" a="1"/>
  <c r="F576" i="19" s="1"/>
  <c r="E576" i="19" a="1"/>
  <c r="E576" i="19" s="1"/>
  <c r="D576" i="19"/>
  <c r="D576" i="19" a="1"/>
  <c r="H575" i="19" a="1"/>
  <c r="H575" i="19" s="1"/>
  <c r="G575" i="19" a="1"/>
  <c r="G575" i="19" s="1"/>
  <c r="F575" i="19" a="1"/>
  <c r="F575" i="19" s="1"/>
  <c r="E575" i="19" a="1"/>
  <c r="E575" i="19" s="1"/>
  <c r="D575" i="19" a="1"/>
  <c r="D575" i="19" s="1"/>
  <c r="H574" i="19" a="1"/>
  <c r="H574" i="19" s="1"/>
  <c r="G574" i="19" a="1"/>
  <c r="G574" i="19" s="1"/>
  <c r="F574" i="19" a="1"/>
  <c r="F574" i="19" s="1"/>
  <c r="E574" i="19" a="1"/>
  <c r="E574" i="19" s="1"/>
  <c r="D574" i="19" a="1"/>
  <c r="D574" i="19" s="1"/>
  <c r="H573" i="19" a="1"/>
  <c r="H573" i="19" s="1"/>
  <c r="G573" i="19" a="1"/>
  <c r="G573" i="19" s="1"/>
  <c r="F573" i="19" a="1"/>
  <c r="F573" i="19" s="1"/>
  <c r="E573" i="19" a="1"/>
  <c r="E573" i="19" s="1"/>
  <c r="D573" i="19" a="1"/>
  <c r="D573" i="19" s="1"/>
  <c r="H572" i="19" a="1"/>
  <c r="H572" i="19" s="1"/>
  <c r="G572" i="19" a="1"/>
  <c r="G572" i="19" s="1"/>
  <c r="F572" i="19" a="1"/>
  <c r="F572" i="19" s="1"/>
  <c r="E572" i="19" a="1"/>
  <c r="E572" i="19" s="1"/>
  <c r="D572" i="19" a="1"/>
  <c r="D572" i="19" s="1"/>
  <c r="H571" i="19" a="1"/>
  <c r="H571" i="19" s="1"/>
  <c r="G571" i="19"/>
  <c r="G571" i="19" a="1"/>
  <c r="F571" i="19"/>
  <c r="F571" i="19" a="1"/>
  <c r="E571" i="19" a="1"/>
  <c r="E571" i="19" s="1"/>
  <c r="D571" i="19" a="1"/>
  <c r="D571" i="19" s="1"/>
  <c r="H570" i="19" a="1"/>
  <c r="H570" i="19" s="1"/>
  <c r="G570" i="19" a="1"/>
  <c r="G570" i="19" s="1"/>
  <c r="F570" i="19" a="1"/>
  <c r="F570" i="19" s="1"/>
  <c r="E570" i="19" a="1"/>
  <c r="E570" i="19" s="1"/>
  <c r="D570" i="19"/>
  <c r="D570" i="19" a="1"/>
  <c r="H569" i="19" a="1"/>
  <c r="H569" i="19" s="1"/>
  <c r="G569" i="19" a="1"/>
  <c r="G569" i="19" s="1"/>
  <c r="F569" i="19" a="1"/>
  <c r="F569" i="19" s="1"/>
  <c r="E569" i="19" a="1"/>
  <c r="E569" i="19" s="1"/>
  <c r="D569" i="19" a="1"/>
  <c r="D569" i="19" s="1"/>
  <c r="H568" i="19" a="1"/>
  <c r="H568" i="19" s="1"/>
  <c r="G568" i="19" a="1"/>
  <c r="G568" i="19" s="1"/>
  <c r="F568" i="19" a="1"/>
  <c r="F568" i="19" s="1"/>
  <c r="E568" i="19" a="1"/>
  <c r="E568" i="19" s="1"/>
  <c r="D568" i="19" a="1"/>
  <c r="D568" i="19" s="1"/>
  <c r="H567" i="19" a="1"/>
  <c r="H567" i="19" s="1"/>
  <c r="G567" i="19" a="1"/>
  <c r="G567" i="19" s="1"/>
  <c r="F567" i="19" a="1"/>
  <c r="F567" i="19" s="1"/>
  <c r="E567" i="19" a="1"/>
  <c r="E567" i="19" s="1"/>
  <c r="D567" i="19" a="1"/>
  <c r="D567" i="19" s="1"/>
  <c r="H566" i="19" a="1"/>
  <c r="H566" i="19" s="1"/>
  <c r="G566" i="19" a="1"/>
  <c r="G566" i="19" s="1"/>
  <c r="F566" i="19" a="1"/>
  <c r="F566" i="19" s="1"/>
  <c r="E566" i="19" a="1"/>
  <c r="E566" i="19" s="1"/>
  <c r="D566" i="19" a="1"/>
  <c r="D566" i="19" s="1"/>
  <c r="H565" i="19" a="1"/>
  <c r="H565" i="19" s="1"/>
  <c r="G565" i="19" a="1"/>
  <c r="G565" i="19" s="1"/>
  <c r="F565" i="19" a="1"/>
  <c r="F565" i="19" s="1"/>
  <c r="E565" i="19" a="1"/>
  <c r="E565" i="19" s="1"/>
  <c r="D565" i="19" a="1"/>
  <c r="D565" i="19" s="1"/>
  <c r="H564" i="19" a="1"/>
  <c r="H564" i="19" s="1"/>
  <c r="G564" i="19" a="1"/>
  <c r="G564" i="19" s="1"/>
  <c r="F564" i="19" a="1"/>
  <c r="F564" i="19" s="1"/>
  <c r="E564" i="19"/>
  <c r="E564" i="19" a="1"/>
  <c r="D564" i="19" a="1"/>
  <c r="D564" i="19" s="1"/>
  <c r="H563" i="19" a="1"/>
  <c r="H563" i="19" s="1"/>
  <c r="G563" i="19" a="1"/>
  <c r="G563" i="19" s="1"/>
  <c r="F563" i="19" a="1"/>
  <c r="F563" i="19" s="1"/>
  <c r="E563" i="19" a="1"/>
  <c r="E563" i="19" s="1"/>
  <c r="D563" i="19" a="1"/>
  <c r="D563" i="19" s="1"/>
  <c r="H562" i="19" a="1"/>
  <c r="H562" i="19" s="1"/>
  <c r="G562" i="19" a="1"/>
  <c r="G562" i="19" s="1"/>
  <c r="F562" i="19" a="1"/>
  <c r="F562" i="19" s="1"/>
  <c r="E562" i="19" a="1"/>
  <c r="E562" i="19" s="1"/>
  <c r="D562" i="19" a="1"/>
  <c r="D562" i="19" s="1"/>
  <c r="H561" i="19" a="1"/>
  <c r="H561" i="19" s="1"/>
  <c r="G561" i="19"/>
  <c r="G561" i="19" a="1"/>
  <c r="F561" i="19" a="1"/>
  <c r="F561" i="19" s="1"/>
  <c r="E561" i="19" a="1"/>
  <c r="E561" i="19" s="1"/>
  <c r="D561" i="19" a="1"/>
  <c r="D561" i="19" s="1"/>
  <c r="H560" i="19" a="1"/>
  <c r="H560" i="19" s="1"/>
  <c r="G560" i="19" a="1"/>
  <c r="G560" i="19" s="1"/>
  <c r="F560" i="19" a="1"/>
  <c r="F560" i="19" s="1"/>
  <c r="E560" i="19" a="1"/>
  <c r="E560" i="19" s="1"/>
  <c r="D560" i="19" a="1"/>
  <c r="D560" i="19" s="1"/>
  <c r="H559" i="19" a="1"/>
  <c r="H559" i="19" s="1"/>
  <c r="G559" i="19" a="1"/>
  <c r="G559" i="19" s="1"/>
  <c r="F559" i="19" a="1"/>
  <c r="F559" i="19" s="1"/>
  <c r="E559" i="19" a="1"/>
  <c r="E559" i="19" s="1"/>
  <c r="D559" i="19" a="1"/>
  <c r="D559" i="19" s="1"/>
  <c r="H558" i="19" a="1"/>
  <c r="H558" i="19" s="1"/>
  <c r="G558" i="19" a="1"/>
  <c r="G558" i="19" s="1"/>
  <c r="F558" i="19" a="1"/>
  <c r="F558" i="19" s="1"/>
  <c r="E558" i="19"/>
  <c r="E558" i="19" a="1"/>
  <c r="D558" i="19" a="1"/>
  <c r="D558" i="19" s="1"/>
  <c r="H557" i="19" a="1"/>
  <c r="H557" i="19" s="1"/>
  <c r="G557" i="19" a="1"/>
  <c r="G557" i="19" s="1"/>
  <c r="F557" i="19" a="1"/>
  <c r="F557" i="19" s="1"/>
  <c r="E557" i="19" a="1"/>
  <c r="E557" i="19" s="1"/>
  <c r="D557" i="19" a="1"/>
  <c r="D557" i="19" s="1"/>
  <c r="H556" i="19" a="1"/>
  <c r="H556" i="19" s="1"/>
  <c r="G556" i="19" a="1"/>
  <c r="G556" i="19" s="1"/>
  <c r="F556" i="19" a="1"/>
  <c r="F556" i="19" s="1"/>
  <c r="E556" i="19" a="1"/>
  <c r="E556" i="19" s="1"/>
  <c r="D556" i="19" a="1"/>
  <c r="D556" i="19" s="1"/>
  <c r="H555" i="19" a="1"/>
  <c r="H555" i="19" s="1"/>
  <c r="G555" i="19" a="1"/>
  <c r="G555" i="19" s="1"/>
  <c r="F555" i="19" a="1"/>
  <c r="F555" i="19" s="1"/>
  <c r="E555" i="19" a="1"/>
  <c r="E555" i="19" s="1"/>
  <c r="D555" i="19" a="1"/>
  <c r="D555" i="19" s="1"/>
  <c r="H554" i="19" a="1"/>
  <c r="H554" i="19" s="1"/>
  <c r="G554" i="19" a="1"/>
  <c r="G554" i="19" s="1"/>
  <c r="F554" i="19"/>
  <c r="F554" i="19" a="1"/>
  <c r="E554" i="19" a="1"/>
  <c r="E554" i="19" s="1"/>
  <c r="D554" i="19" a="1"/>
  <c r="D554" i="19" s="1"/>
  <c r="H553" i="19" a="1"/>
  <c r="H553" i="19" s="1"/>
  <c r="G553" i="19" a="1"/>
  <c r="G553" i="19" s="1"/>
  <c r="F553" i="19" a="1"/>
  <c r="F553" i="19" s="1"/>
  <c r="E553" i="19" a="1"/>
  <c r="E553" i="19" s="1"/>
  <c r="D553" i="19" a="1"/>
  <c r="D553" i="19" s="1"/>
  <c r="H552" i="19" a="1"/>
  <c r="H552" i="19" s="1"/>
  <c r="G552" i="19"/>
  <c r="G552" i="19" a="1"/>
  <c r="F552" i="19" a="1"/>
  <c r="F552" i="19" s="1"/>
  <c r="E552" i="19" a="1"/>
  <c r="E552" i="19" s="1"/>
  <c r="D552" i="19" a="1"/>
  <c r="D552" i="19" s="1"/>
  <c r="H551" i="19" a="1"/>
  <c r="H551" i="19" s="1"/>
  <c r="G551" i="19" a="1"/>
  <c r="G551" i="19" s="1"/>
  <c r="F551" i="19" a="1"/>
  <c r="F551" i="19" s="1"/>
  <c r="E551" i="19"/>
  <c r="E551" i="19" a="1"/>
  <c r="D551" i="19"/>
  <c r="D551" i="19" a="1"/>
  <c r="H550" i="19" a="1"/>
  <c r="H550" i="19" s="1"/>
  <c r="G550" i="19" a="1"/>
  <c r="G550" i="19" s="1"/>
  <c r="F550" i="19" a="1"/>
  <c r="F550" i="19" s="1"/>
  <c r="E550" i="19" a="1"/>
  <c r="E550" i="19" s="1"/>
  <c r="D550" i="19" a="1"/>
  <c r="D550" i="19" s="1"/>
  <c r="H549" i="19" a="1"/>
  <c r="H549" i="19" s="1"/>
  <c r="G549" i="19"/>
  <c r="G549" i="19" a="1"/>
  <c r="F549" i="19" a="1"/>
  <c r="F549" i="19" s="1"/>
  <c r="E549" i="19" a="1"/>
  <c r="E549" i="19" s="1"/>
  <c r="D549" i="19" a="1"/>
  <c r="D549" i="19" s="1"/>
  <c r="H548" i="19" a="1"/>
  <c r="H548" i="19" s="1"/>
  <c r="G548" i="19" a="1"/>
  <c r="G548" i="19" s="1"/>
  <c r="F548" i="19" a="1"/>
  <c r="F548" i="19" s="1"/>
  <c r="E548" i="19" a="1"/>
  <c r="E548" i="19" s="1"/>
  <c r="D548" i="19" a="1"/>
  <c r="D548" i="19" s="1"/>
  <c r="H547" i="19" a="1"/>
  <c r="H547" i="19" s="1"/>
  <c r="G547" i="19" a="1"/>
  <c r="G547" i="19" s="1"/>
  <c r="F547" i="19" a="1"/>
  <c r="F547" i="19" s="1"/>
  <c r="E547" i="19"/>
  <c r="E547" i="19" a="1"/>
  <c r="D547" i="19" a="1"/>
  <c r="D547" i="19" s="1"/>
  <c r="H546" i="19" a="1"/>
  <c r="H546" i="19" s="1"/>
  <c r="G546" i="19" a="1"/>
  <c r="G546" i="19" s="1"/>
  <c r="F546" i="19" a="1"/>
  <c r="F546" i="19" s="1"/>
  <c r="E546" i="19" a="1"/>
  <c r="E546" i="19" s="1"/>
  <c r="D546" i="19" a="1"/>
  <c r="D546" i="19" s="1"/>
  <c r="H545" i="19" a="1"/>
  <c r="H545" i="19" s="1"/>
  <c r="G545" i="19" a="1"/>
  <c r="G545" i="19" s="1"/>
  <c r="F545" i="19"/>
  <c r="F545" i="19" a="1"/>
  <c r="E545" i="19" a="1"/>
  <c r="E545" i="19" s="1"/>
  <c r="D545" i="19" a="1"/>
  <c r="D545" i="19" s="1"/>
  <c r="H544" i="19" a="1"/>
  <c r="H544" i="19" s="1"/>
  <c r="G544" i="19" a="1"/>
  <c r="G544" i="19" s="1"/>
  <c r="F544" i="19" a="1"/>
  <c r="F544" i="19" s="1"/>
  <c r="E544" i="19" a="1"/>
  <c r="E544" i="19" s="1"/>
  <c r="D544" i="19" a="1"/>
  <c r="D544" i="19" s="1"/>
  <c r="H543" i="19" a="1"/>
  <c r="H543" i="19" s="1"/>
  <c r="G543" i="19" a="1"/>
  <c r="G543" i="19" s="1"/>
  <c r="F543" i="19" a="1"/>
  <c r="F543" i="19" s="1"/>
  <c r="E543" i="19" a="1"/>
  <c r="E543" i="19" s="1"/>
  <c r="D543" i="19" a="1"/>
  <c r="D543" i="19" s="1"/>
  <c r="H542" i="19" a="1"/>
  <c r="H542" i="19" s="1"/>
  <c r="G542" i="19" a="1"/>
  <c r="G542" i="19" s="1"/>
  <c r="F542" i="19" a="1"/>
  <c r="F542" i="19" s="1"/>
  <c r="E542" i="19" a="1"/>
  <c r="E542" i="19" s="1"/>
  <c r="D542" i="19" a="1"/>
  <c r="D542" i="19" s="1"/>
  <c r="H541" i="19" a="1"/>
  <c r="H541" i="19" s="1"/>
  <c r="G541" i="19" a="1"/>
  <c r="G541" i="19" s="1"/>
  <c r="F541" i="19" a="1"/>
  <c r="F541" i="19" s="1"/>
  <c r="E541" i="19"/>
  <c r="E541" i="19" a="1"/>
  <c r="D541" i="19" a="1"/>
  <c r="D541" i="19" s="1"/>
  <c r="H540" i="19" a="1"/>
  <c r="H540" i="19" s="1"/>
  <c r="G540" i="19" a="1"/>
  <c r="G540" i="19" s="1"/>
  <c r="F540" i="19" a="1"/>
  <c r="F540" i="19" s="1"/>
  <c r="E540" i="19" a="1"/>
  <c r="E540" i="19" s="1"/>
  <c r="D540" i="19"/>
  <c r="D540" i="19" a="1"/>
  <c r="H539" i="19" a="1"/>
  <c r="H539" i="19" s="1"/>
  <c r="G539" i="19" a="1"/>
  <c r="G539" i="19" s="1"/>
  <c r="F539" i="19" a="1"/>
  <c r="F539" i="19" s="1"/>
  <c r="E539" i="19" a="1"/>
  <c r="E539" i="19" s="1"/>
  <c r="D539" i="19" a="1"/>
  <c r="D539" i="19" s="1"/>
  <c r="H538" i="19" a="1"/>
  <c r="H538" i="19" s="1"/>
  <c r="G538" i="19" a="1"/>
  <c r="G538" i="19" s="1"/>
  <c r="F538" i="19" a="1"/>
  <c r="F538" i="19" s="1"/>
  <c r="E538" i="19"/>
  <c r="E538" i="19" a="1"/>
  <c r="D538" i="19" a="1"/>
  <c r="D538" i="19" s="1"/>
  <c r="H537" i="19" a="1"/>
  <c r="H537" i="19" s="1"/>
  <c r="G537" i="19" a="1"/>
  <c r="G537" i="19" s="1"/>
  <c r="F537" i="19" a="1"/>
  <c r="F537" i="19" s="1"/>
  <c r="E537" i="19" a="1"/>
  <c r="E537" i="19" s="1"/>
  <c r="D537" i="19"/>
  <c r="D537" i="19" a="1"/>
  <c r="H536" i="19" a="1"/>
  <c r="H536" i="19" s="1"/>
  <c r="G536" i="19"/>
  <c r="G536" i="19" a="1"/>
  <c r="F536" i="19" a="1"/>
  <c r="F536" i="19" s="1"/>
  <c r="E536" i="19" a="1"/>
  <c r="E536" i="19" s="1"/>
  <c r="D536" i="19" a="1"/>
  <c r="D536" i="19" s="1"/>
  <c r="H535" i="19" a="1"/>
  <c r="H535" i="19" s="1"/>
  <c r="G535" i="19" a="1"/>
  <c r="G535" i="19" s="1"/>
  <c r="F535" i="19"/>
  <c r="F535" i="19" a="1"/>
  <c r="E535" i="19" a="1"/>
  <c r="E535" i="19" s="1"/>
  <c r="D535" i="19" a="1"/>
  <c r="D535" i="19" s="1"/>
  <c r="H534" i="19" a="1"/>
  <c r="H534" i="19" s="1"/>
  <c r="G534" i="19" a="1"/>
  <c r="G534" i="19" s="1"/>
  <c r="F534" i="19" a="1"/>
  <c r="F534" i="19" s="1"/>
  <c r="E534" i="19" a="1"/>
  <c r="E534" i="19" s="1"/>
  <c r="D534" i="19"/>
  <c r="D534" i="19" a="1"/>
  <c r="H533" i="19" a="1"/>
  <c r="H533" i="19" s="1"/>
  <c r="G533" i="19" a="1"/>
  <c r="G533" i="19" s="1"/>
  <c r="F533" i="19" a="1"/>
  <c r="F533" i="19" s="1"/>
  <c r="E533" i="19" a="1"/>
  <c r="E533" i="19" s="1"/>
  <c r="D533" i="19" a="1"/>
  <c r="D533" i="19" s="1"/>
  <c r="H532" i="19" a="1"/>
  <c r="H532" i="19" s="1"/>
  <c r="G532" i="19" a="1"/>
  <c r="G532" i="19" s="1"/>
  <c r="F532" i="19" a="1"/>
  <c r="F532" i="19" s="1"/>
  <c r="E532" i="19" a="1"/>
  <c r="E532" i="19" s="1"/>
  <c r="D532" i="19" a="1"/>
  <c r="D532" i="19" s="1"/>
  <c r="H531" i="19" a="1"/>
  <c r="H531" i="19" s="1"/>
  <c r="G531" i="19" a="1"/>
  <c r="G531" i="19" s="1"/>
  <c r="F531" i="19" a="1"/>
  <c r="F531" i="19" s="1"/>
  <c r="E531" i="19" a="1"/>
  <c r="E531" i="19" s="1"/>
  <c r="D531" i="19"/>
  <c r="D531" i="19" a="1"/>
  <c r="H530" i="19" a="1"/>
  <c r="H530" i="19" s="1"/>
  <c r="G530" i="19"/>
  <c r="G530" i="19" a="1"/>
  <c r="F530" i="19"/>
  <c r="F530" i="19" a="1"/>
  <c r="E530" i="19"/>
  <c r="E530" i="19" a="1"/>
  <c r="D530" i="19" a="1"/>
  <c r="D530" i="19" s="1"/>
  <c r="H529" i="19" a="1"/>
  <c r="H529" i="19" s="1"/>
  <c r="G529" i="19"/>
  <c r="G529" i="19" a="1"/>
  <c r="F529" i="19"/>
  <c r="F529" i="19" a="1"/>
  <c r="E529" i="19"/>
  <c r="E529" i="19" a="1"/>
  <c r="D529" i="19"/>
  <c r="D529" i="19" a="1"/>
  <c r="H528" i="19" a="1"/>
  <c r="H528" i="19" s="1"/>
  <c r="G528" i="19"/>
  <c r="G528" i="19" a="1"/>
  <c r="F528" i="19"/>
  <c r="F528" i="19" a="1"/>
  <c r="E528" i="19"/>
  <c r="E528" i="19" a="1"/>
  <c r="D528" i="19"/>
  <c r="D528" i="19" a="1"/>
  <c r="H527" i="19" a="1"/>
  <c r="H527" i="19" s="1"/>
  <c r="G527" i="19" a="1"/>
  <c r="G527" i="19" s="1"/>
  <c r="F527" i="19"/>
  <c r="F527" i="19" a="1"/>
  <c r="E527" i="19"/>
  <c r="E527" i="19" a="1"/>
  <c r="D527" i="19"/>
  <c r="D527" i="19" a="1"/>
  <c r="H526" i="19" a="1"/>
  <c r="H526" i="19" s="1"/>
  <c r="G526" i="19" a="1"/>
  <c r="G526" i="19" s="1"/>
  <c r="F526" i="19" a="1"/>
  <c r="F526" i="19" s="1"/>
  <c r="E526" i="19" a="1"/>
  <c r="E526" i="19" s="1"/>
  <c r="D526" i="19"/>
  <c r="D526" i="19" a="1"/>
  <c r="H525" i="19" a="1"/>
  <c r="H525" i="19" s="1"/>
  <c r="G525" i="19"/>
  <c r="G525" i="19" a="1"/>
  <c r="F525" i="19" a="1"/>
  <c r="F525" i="19" s="1"/>
  <c r="E525" i="19"/>
  <c r="E525" i="19" a="1"/>
  <c r="D525" i="19" a="1"/>
  <c r="D525" i="19" s="1"/>
  <c r="H524" i="19" a="1"/>
  <c r="H524" i="19" s="1"/>
  <c r="G524" i="19"/>
  <c r="G524" i="19" a="1"/>
  <c r="F524" i="19"/>
  <c r="F524" i="19" a="1"/>
  <c r="E524" i="19"/>
  <c r="E524" i="19" a="1"/>
  <c r="D524" i="19" a="1"/>
  <c r="D524" i="19" s="1"/>
  <c r="H523" i="19" a="1"/>
  <c r="H523" i="19" s="1"/>
  <c r="G523" i="19"/>
  <c r="G523" i="19" a="1"/>
  <c r="F523" i="19"/>
  <c r="F523" i="19" a="1"/>
  <c r="E523" i="19"/>
  <c r="E523" i="19" a="1"/>
  <c r="D523" i="19"/>
  <c r="D523" i="19" a="1"/>
  <c r="H522" i="19" a="1"/>
  <c r="H522" i="19" s="1"/>
  <c r="G522" i="19" a="1"/>
  <c r="G522" i="19" s="1"/>
  <c r="F522" i="19"/>
  <c r="F522" i="19" a="1"/>
  <c r="E522" i="19"/>
  <c r="E522" i="19" a="1"/>
  <c r="D522" i="19"/>
  <c r="D522" i="19" a="1"/>
  <c r="H521" i="19" a="1"/>
  <c r="H521" i="19" s="1"/>
  <c r="G521" i="19"/>
  <c r="G521" i="19" a="1"/>
  <c r="F521" i="19" a="1"/>
  <c r="F521" i="19" s="1"/>
  <c r="E521" i="19"/>
  <c r="E521" i="19" a="1"/>
  <c r="D521" i="19"/>
  <c r="D521" i="19" a="1"/>
  <c r="H520" i="19" a="1"/>
  <c r="H520" i="19" s="1"/>
  <c r="G520" i="19" a="1"/>
  <c r="G520" i="19" s="1"/>
  <c r="F520" i="19"/>
  <c r="F520" i="19" a="1"/>
  <c r="E520" i="19" a="1"/>
  <c r="E520" i="19" s="1"/>
  <c r="D520" i="19"/>
  <c r="D520" i="19" a="1"/>
  <c r="H519" i="19" a="1"/>
  <c r="H519" i="19" s="1"/>
  <c r="G519" i="19"/>
  <c r="G519" i="19" a="1"/>
  <c r="F519" i="19" a="1"/>
  <c r="F519" i="19" s="1"/>
  <c r="E519" i="19"/>
  <c r="E519" i="19" a="1"/>
  <c r="D519" i="19" a="1"/>
  <c r="D519" i="19" s="1"/>
  <c r="H518" i="19" a="1"/>
  <c r="H518" i="19" s="1"/>
  <c r="G518" i="19"/>
  <c r="G518" i="19" a="1"/>
  <c r="F518" i="19"/>
  <c r="F518" i="19" a="1"/>
  <c r="E518" i="19" a="1"/>
  <c r="E518" i="19" s="1"/>
  <c r="D518" i="19"/>
  <c r="D518" i="19" a="1"/>
  <c r="H517" i="19" a="1"/>
  <c r="H517" i="19" s="1"/>
  <c r="G517" i="19"/>
  <c r="G517" i="19" a="1"/>
  <c r="F517" i="19"/>
  <c r="F517" i="19" a="1"/>
  <c r="E517" i="19"/>
  <c r="E517" i="19" a="1"/>
  <c r="D517" i="19" a="1"/>
  <c r="D517" i="19" s="1"/>
  <c r="H516" i="19" a="1"/>
  <c r="H516" i="19" s="1"/>
  <c r="G516" i="19" a="1"/>
  <c r="G516" i="19" s="1"/>
  <c r="F516" i="19"/>
  <c r="F516" i="19" a="1"/>
  <c r="E516" i="19"/>
  <c r="E516" i="19" a="1"/>
  <c r="D516" i="19"/>
  <c r="D516" i="19" a="1"/>
  <c r="H515" i="19" a="1"/>
  <c r="H515" i="19" s="1"/>
  <c r="G515" i="19" a="1"/>
  <c r="G515" i="19" s="1"/>
  <c r="F515" i="19" a="1"/>
  <c r="F515" i="19" s="1"/>
  <c r="E515" i="19"/>
  <c r="E515" i="19" a="1"/>
  <c r="D515" i="19"/>
  <c r="D515" i="19" a="1"/>
  <c r="H514" i="19" a="1"/>
  <c r="H514" i="19" s="1"/>
  <c r="G514" i="19" a="1"/>
  <c r="G514" i="19" s="1"/>
  <c r="F514" i="19" a="1"/>
  <c r="F514" i="19" s="1"/>
  <c r="E514" i="19" a="1"/>
  <c r="E514" i="19" s="1"/>
  <c r="D514" i="19"/>
  <c r="D514" i="19" a="1"/>
  <c r="H513" i="19" a="1"/>
  <c r="H513" i="19" s="1"/>
  <c r="G513" i="19"/>
  <c r="G513" i="19" a="1"/>
  <c r="F513" i="19"/>
  <c r="F513" i="19" a="1"/>
  <c r="E513" i="19" a="1"/>
  <c r="E513" i="19" s="1"/>
  <c r="D513" i="19" a="1"/>
  <c r="D513" i="19" s="1"/>
  <c r="H512" i="19" a="1"/>
  <c r="H512" i="19" s="1"/>
  <c r="G512" i="19"/>
  <c r="G512" i="19" a="1"/>
  <c r="F512" i="19"/>
  <c r="F512" i="19" a="1"/>
  <c r="E512" i="19" a="1"/>
  <c r="E512" i="19" s="1"/>
  <c r="D512" i="19" a="1"/>
  <c r="D512" i="19" s="1"/>
  <c r="H511" i="19" a="1"/>
  <c r="H511" i="19" s="1"/>
  <c r="G511" i="19"/>
  <c r="G511" i="19" a="1"/>
  <c r="F511" i="19"/>
  <c r="F511" i="19" a="1"/>
  <c r="E511" i="19"/>
  <c r="E511" i="19" a="1"/>
  <c r="D511" i="19" a="1"/>
  <c r="D511" i="19" s="1"/>
  <c r="H510" i="19" a="1"/>
  <c r="H510" i="19" s="1"/>
  <c r="G510" i="19" a="1"/>
  <c r="G510" i="19" s="1"/>
  <c r="F510" i="19"/>
  <c r="F510" i="19" a="1"/>
  <c r="E510" i="19"/>
  <c r="E510" i="19" a="1"/>
  <c r="D510" i="19"/>
  <c r="D510" i="19" a="1"/>
  <c r="H509" i="19" a="1"/>
  <c r="H509" i="19" s="1"/>
  <c r="G509" i="19" a="1"/>
  <c r="G509" i="19" s="1"/>
  <c r="F509" i="19" a="1"/>
  <c r="F509" i="19" s="1"/>
  <c r="E509" i="19"/>
  <c r="E509" i="19" a="1"/>
  <c r="D509" i="19"/>
  <c r="D509" i="19" a="1"/>
  <c r="H508" i="19" a="1"/>
  <c r="H508" i="19" s="1"/>
  <c r="G508" i="19"/>
  <c r="G508" i="19" a="1"/>
  <c r="F508" i="19" a="1"/>
  <c r="F508" i="19" s="1"/>
  <c r="E508" i="19" a="1"/>
  <c r="E508" i="19" s="1"/>
  <c r="D508" i="19"/>
  <c r="D508" i="19" a="1"/>
  <c r="H507" i="19" a="1"/>
  <c r="H507" i="19" s="1"/>
  <c r="G507" i="19"/>
  <c r="G507" i="19" a="1"/>
  <c r="F507" i="19"/>
  <c r="F507" i="19" a="1"/>
  <c r="E507" i="19"/>
  <c r="E507" i="19" a="1"/>
  <c r="D507" i="19" a="1"/>
  <c r="D507" i="19" s="1"/>
  <c r="H506" i="19" a="1"/>
  <c r="H506" i="19" s="1"/>
  <c r="G506" i="19"/>
  <c r="G506" i="19" a="1"/>
  <c r="F506" i="19"/>
  <c r="F506" i="19" a="1"/>
  <c r="E506" i="19"/>
  <c r="E506" i="19" a="1"/>
  <c r="D506" i="19"/>
  <c r="D506" i="19" a="1"/>
  <c r="H505" i="19" a="1"/>
  <c r="H505" i="19" s="1"/>
  <c r="G505" i="19"/>
  <c r="G505" i="19" a="1"/>
  <c r="F505" i="19"/>
  <c r="F505" i="19" a="1"/>
  <c r="E505" i="19"/>
  <c r="E505" i="19" a="1"/>
  <c r="D505" i="19" a="1"/>
  <c r="D505" i="19" s="1"/>
  <c r="H504" i="19" a="1"/>
  <c r="H504" i="19" s="1"/>
  <c r="G504" i="19" a="1"/>
  <c r="G504" i="19" s="1"/>
  <c r="F504" i="19"/>
  <c r="F504" i="19" a="1"/>
  <c r="E504" i="19"/>
  <c r="E504" i="19" a="1"/>
  <c r="D504" i="19"/>
  <c r="D504" i="19" a="1"/>
  <c r="H503" i="19" a="1"/>
  <c r="H503" i="19" s="1"/>
  <c r="G503" i="19" a="1"/>
  <c r="G503" i="19" s="1"/>
  <c r="F503" i="19" a="1"/>
  <c r="F503" i="19" s="1"/>
  <c r="E503" i="19"/>
  <c r="E503" i="19" a="1"/>
  <c r="D503" i="19"/>
  <c r="D503" i="19" a="1"/>
  <c r="H502" i="19" a="1"/>
  <c r="H502" i="19" s="1"/>
  <c r="G502" i="19" a="1"/>
  <c r="G502" i="19" s="1"/>
  <c r="F502" i="19" a="1"/>
  <c r="F502" i="19" s="1"/>
  <c r="E502" i="19" a="1"/>
  <c r="E502" i="19" s="1"/>
  <c r="D502" i="19"/>
  <c r="D502" i="19" a="1"/>
  <c r="H501" i="19" a="1"/>
  <c r="H501" i="19" s="1"/>
  <c r="G501" i="19"/>
  <c r="G501" i="19" a="1"/>
  <c r="F501" i="19" a="1"/>
  <c r="F501" i="19" s="1"/>
  <c r="E501" i="19" a="1"/>
  <c r="E501" i="19" s="1"/>
  <c r="D501" i="19" a="1"/>
  <c r="D501" i="19" s="1"/>
  <c r="H500" i="19" a="1"/>
  <c r="H500" i="19" s="1"/>
  <c r="G500" i="19"/>
  <c r="G500" i="19" a="1"/>
  <c r="F500" i="19"/>
  <c r="F500" i="19" a="1"/>
  <c r="E500" i="19" a="1"/>
  <c r="E500" i="19" s="1"/>
  <c r="D500" i="19" a="1"/>
  <c r="D500" i="19" s="1"/>
  <c r="H499" i="19" a="1"/>
  <c r="H499" i="19" s="1"/>
  <c r="G499" i="19"/>
  <c r="G499" i="19" a="1"/>
  <c r="F499" i="19"/>
  <c r="F499" i="19" a="1"/>
  <c r="E499" i="19"/>
  <c r="E499" i="19" a="1"/>
  <c r="D499" i="19"/>
  <c r="D499" i="19" a="1"/>
  <c r="H498" i="19" a="1"/>
  <c r="H498" i="19" s="1"/>
  <c r="G498" i="19" a="1"/>
  <c r="G498" i="19" s="1"/>
  <c r="F498" i="19"/>
  <c r="F498" i="19" a="1"/>
  <c r="E498" i="19"/>
  <c r="E498" i="19" a="1"/>
  <c r="D498" i="19"/>
  <c r="D498" i="19" a="1"/>
  <c r="H497" i="19" a="1"/>
  <c r="H497" i="19" s="1"/>
  <c r="G497" i="19" a="1"/>
  <c r="G497" i="19" s="1"/>
  <c r="F497" i="19" a="1"/>
  <c r="F497" i="19" s="1"/>
  <c r="E497" i="19"/>
  <c r="E497" i="19" a="1"/>
  <c r="D497" i="19"/>
  <c r="D497" i="19" a="1"/>
  <c r="H496" i="19" a="1"/>
  <c r="H496" i="19" s="1"/>
  <c r="G496" i="19" a="1"/>
  <c r="G496" i="19" s="1"/>
  <c r="F496" i="19"/>
  <c r="F496" i="19" a="1"/>
  <c r="E496" i="19" a="1"/>
  <c r="E496" i="19" s="1"/>
  <c r="D496" i="19"/>
  <c r="D496" i="19" a="1"/>
  <c r="H495" i="19" a="1"/>
  <c r="H495" i="19" s="1"/>
  <c r="G495" i="19"/>
  <c r="G495" i="19" a="1"/>
  <c r="F495" i="19"/>
  <c r="F495" i="19" a="1"/>
  <c r="E495" i="19" a="1"/>
  <c r="E495" i="19" s="1"/>
  <c r="D495" i="19" a="1"/>
  <c r="D495" i="19" s="1"/>
  <c r="H494" i="19" a="1"/>
  <c r="H494" i="19" s="1"/>
  <c r="G494" i="19"/>
  <c r="G494" i="19" a="1"/>
  <c r="F494" i="19"/>
  <c r="F494" i="19" a="1"/>
  <c r="E494" i="19"/>
  <c r="E494" i="19" a="1"/>
  <c r="D494" i="19" a="1"/>
  <c r="D494" i="19" s="1"/>
  <c r="H493" i="19" a="1"/>
  <c r="H493" i="19" s="1"/>
  <c r="G493" i="19"/>
  <c r="G493" i="19" a="1"/>
  <c r="F493" i="19"/>
  <c r="F493" i="19" a="1"/>
  <c r="E493" i="19"/>
  <c r="E493" i="19" a="1"/>
  <c r="D493" i="19"/>
  <c r="D493" i="19" a="1"/>
  <c r="H492" i="19" a="1"/>
  <c r="H492" i="19" s="1"/>
  <c r="G492" i="19" a="1"/>
  <c r="G492" i="19" s="1"/>
  <c r="F492" i="19"/>
  <c r="F492" i="19" a="1"/>
  <c r="E492" i="19"/>
  <c r="E492" i="19" a="1"/>
  <c r="D492" i="19"/>
  <c r="D492" i="19" a="1"/>
  <c r="H491" i="19" a="1"/>
  <c r="H491" i="19" s="1"/>
  <c r="G491" i="19"/>
  <c r="G491" i="19" a="1"/>
  <c r="F491" i="19" a="1"/>
  <c r="F491" i="19" s="1"/>
  <c r="E491" i="19"/>
  <c r="E491" i="19" a="1"/>
  <c r="D491" i="19"/>
  <c r="D491" i="19" a="1"/>
  <c r="H490" i="19" a="1"/>
  <c r="H490" i="19" s="1"/>
  <c r="G490" i="19" a="1"/>
  <c r="G490" i="19" s="1"/>
  <c r="F490" i="19"/>
  <c r="F490" i="19" a="1"/>
  <c r="E490" i="19" a="1"/>
  <c r="E490" i="19" s="1"/>
  <c r="D490" i="19"/>
  <c r="D490" i="19" a="1"/>
  <c r="H489" i="19" a="1"/>
  <c r="H489" i="19" s="1"/>
  <c r="G489" i="19"/>
  <c r="G489" i="19" a="1"/>
  <c r="F489" i="19" a="1"/>
  <c r="F489" i="19" s="1"/>
  <c r="E489" i="19" a="1"/>
  <c r="E489" i="19" s="1"/>
  <c r="D489" i="19" a="1"/>
  <c r="D489" i="19" s="1"/>
  <c r="H488" i="19" a="1"/>
  <c r="H488" i="19" s="1"/>
  <c r="G488" i="19"/>
  <c r="G488" i="19" a="1"/>
  <c r="F488" i="19"/>
  <c r="F488" i="19" a="1"/>
  <c r="E488" i="19" a="1"/>
  <c r="E488" i="19" s="1"/>
  <c r="D488" i="19" a="1"/>
  <c r="D488" i="19" s="1"/>
  <c r="H487" i="19" a="1"/>
  <c r="H487" i="19" s="1"/>
  <c r="G487" i="19"/>
  <c r="G487" i="19" a="1"/>
  <c r="F487" i="19"/>
  <c r="F487" i="19" a="1"/>
  <c r="E487" i="19"/>
  <c r="E487" i="19" a="1"/>
  <c r="D487" i="19" a="1"/>
  <c r="D487" i="19" s="1"/>
  <c r="H486" i="19" a="1"/>
  <c r="H486" i="19" s="1"/>
  <c r="G486" i="19" a="1"/>
  <c r="G486" i="19" s="1"/>
  <c r="F486" i="19"/>
  <c r="F486" i="19" a="1"/>
  <c r="E486" i="19"/>
  <c r="E486" i="19" a="1"/>
  <c r="D486" i="19"/>
  <c r="D486" i="19" a="1"/>
  <c r="H485" i="19" a="1"/>
  <c r="H485" i="19" s="1"/>
  <c r="G485" i="19" a="1"/>
  <c r="G485" i="19" s="1"/>
  <c r="F485" i="19" a="1"/>
  <c r="F485" i="19" s="1"/>
  <c r="E485" i="19"/>
  <c r="E485" i="19" a="1"/>
  <c r="D485" i="19"/>
  <c r="D485" i="19" a="1"/>
  <c r="H484" i="19" a="1"/>
  <c r="H484" i="19" s="1"/>
  <c r="G484" i="19"/>
  <c r="G484" i="19" a="1"/>
  <c r="F484" i="19" a="1"/>
  <c r="F484" i="19" s="1"/>
  <c r="E484" i="19" a="1"/>
  <c r="E484" i="19" s="1"/>
  <c r="D484" i="19"/>
  <c r="D484" i="19" a="1"/>
  <c r="H483" i="19" a="1"/>
  <c r="H483" i="19" s="1"/>
  <c r="G483" i="19"/>
  <c r="G483" i="19" a="1"/>
  <c r="F483" i="19" a="1"/>
  <c r="F483" i="19" s="1"/>
  <c r="E483" i="19" a="1"/>
  <c r="E483" i="19" s="1"/>
  <c r="D483" i="19" a="1"/>
  <c r="D483" i="19" s="1"/>
  <c r="H482" i="19" a="1"/>
  <c r="H482" i="19" s="1"/>
  <c r="G482" i="19"/>
  <c r="G482" i="19" a="1"/>
  <c r="F482" i="19"/>
  <c r="F482" i="19" a="1"/>
  <c r="E482" i="19" a="1"/>
  <c r="E482" i="19" s="1"/>
  <c r="D482" i="19"/>
  <c r="D482" i="19" a="1"/>
  <c r="H481" i="19" a="1"/>
  <c r="H481" i="19" s="1"/>
  <c r="G481" i="19"/>
  <c r="G481" i="19" a="1"/>
  <c r="F481" i="19"/>
  <c r="F481" i="19" a="1"/>
  <c r="E481" i="19"/>
  <c r="E481" i="19" a="1"/>
  <c r="D481" i="19"/>
  <c r="D481" i="19" a="1"/>
  <c r="H480" i="19" a="1"/>
  <c r="H480" i="19" s="1"/>
  <c r="G480" i="19" a="1"/>
  <c r="G480" i="19" s="1"/>
  <c r="F480" i="19"/>
  <c r="F480" i="19" a="1"/>
  <c r="E480" i="19"/>
  <c r="E480" i="19" a="1"/>
  <c r="D480" i="19"/>
  <c r="D480" i="19" a="1"/>
  <c r="H479" i="19" a="1"/>
  <c r="H479" i="19" s="1"/>
  <c r="G479" i="19" a="1"/>
  <c r="G479" i="19" s="1"/>
  <c r="F479" i="19" a="1"/>
  <c r="F479" i="19" s="1"/>
  <c r="E479" i="19"/>
  <c r="E479" i="19" a="1"/>
  <c r="D479" i="19"/>
  <c r="D479" i="19" a="1"/>
  <c r="H478" i="19" a="1"/>
  <c r="H478" i="19" s="1"/>
  <c r="G478" i="19"/>
  <c r="G478" i="19" a="1"/>
  <c r="F478" i="19"/>
  <c r="F478" i="19" a="1"/>
  <c r="E478" i="19" a="1"/>
  <c r="E478" i="19" s="1"/>
  <c r="D478" i="19"/>
  <c r="D478" i="19" a="1"/>
  <c r="H477" i="19" a="1"/>
  <c r="H477" i="19" s="1"/>
  <c r="G477" i="19"/>
  <c r="G477" i="19" a="1"/>
  <c r="F477" i="19" a="1"/>
  <c r="F477" i="19" s="1"/>
  <c r="E477" i="19"/>
  <c r="E477" i="19" a="1"/>
  <c r="D477" i="19" a="1"/>
  <c r="D477" i="19" s="1"/>
  <c r="H476" i="19" a="1"/>
  <c r="H476" i="19" s="1"/>
  <c r="G476" i="19"/>
  <c r="G476" i="19" a="1"/>
  <c r="F476" i="19"/>
  <c r="F476" i="19" a="1"/>
  <c r="E476" i="19" a="1"/>
  <c r="E476" i="19" s="1"/>
  <c r="D476" i="19"/>
  <c r="D476" i="19" a="1"/>
  <c r="H475" i="19" a="1"/>
  <c r="H475" i="19" s="1"/>
  <c r="G475" i="19"/>
  <c r="G475" i="19" a="1"/>
  <c r="F475" i="19"/>
  <c r="F475" i="19" a="1"/>
  <c r="E475" i="19"/>
  <c r="E475" i="19" a="1"/>
  <c r="D475" i="19" a="1"/>
  <c r="D475" i="19" s="1"/>
  <c r="H474" i="19" a="1"/>
  <c r="H474" i="19" s="1"/>
  <c r="G474" i="19" a="1"/>
  <c r="G474" i="19" s="1"/>
  <c r="F474" i="19"/>
  <c r="F474" i="19" a="1"/>
  <c r="E474" i="19"/>
  <c r="E474" i="19" a="1"/>
  <c r="D474" i="19"/>
  <c r="D474" i="19" a="1"/>
  <c r="H473" i="19" a="1"/>
  <c r="H473" i="19" s="1"/>
  <c r="G473" i="19" a="1"/>
  <c r="G473" i="19" s="1"/>
  <c r="F473" i="19" a="1"/>
  <c r="F473" i="19" s="1"/>
  <c r="E473" i="19"/>
  <c r="E473" i="19" a="1"/>
  <c r="D473" i="19"/>
  <c r="D473" i="19" a="1"/>
  <c r="H472" i="19" a="1"/>
  <c r="H472" i="19" s="1"/>
  <c r="G472" i="19" a="1"/>
  <c r="G472" i="19" s="1"/>
  <c r="F472" i="19" a="1"/>
  <c r="F472" i="19" s="1"/>
  <c r="E472" i="19" a="1"/>
  <c r="E472" i="19" s="1"/>
  <c r="D472" i="19"/>
  <c r="D472" i="19" a="1"/>
  <c r="H471" i="19" a="1"/>
  <c r="H471" i="19" s="1"/>
  <c r="G471" i="19"/>
  <c r="G471" i="19" a="1"/>
  <c r="F471" i="19" a="1"/>
  <c r="F471" i="19" s="1"/>
  <c r="E471" i="19" a="1"/>
  <c r="E471" i="19" s="1"/>
  <c r="D471" i="19" a="1"/>
  <c r="D471" i="19" s="1"/>
  <c r="H470" i="19" a="1"/>
  <c r="H470" i="19" s="1"/>
  <c r="G470" i="19"/>
  <c r="G470" i="19" a="1"/>
  <c r="F470" i="19"/>
  <c r="F470" i="19" a="1"/>
  <c r="E470" i="19"/>
  <c r="E470" i="19" a="1"/>
  <c r="D470" i="19" a="1"/>
  <c r="D470" i="19" s="1"/>
  <c r="H469" i="19" a="1"/>
  <c r="H469" i="19" s="1"/>
  <c r="G469" i="19"/>
  <c r="G469" i="19" a="1"/>
  <c r="F469" i="19"/>
  <c r="F469" i="19" a="1"/>
  <c r="E469" i="19"/>
  <c r="E469" i="19" a="1"/>
  <c r="D469" i="19" a="1"/>
  <c r="D469" i="19" s="1"/>
  <c r="H468" i="19" a="1"/>
  <c r="H468" i="19" s="1"/>
  <c r="G468" i="19" a="1"/>
  <c r="G468" i="19" s="1"/>
  <c r="F468" i="19"/>
  <c r="F468" i="19" a="1"/>
  <c r="E468" i="19"/>
  <c r="E468" i="19" a="1"/>
  <c r="D468" i="19"/>
  <c r="D468" i="19" a="1"/>
  <c r="H467" i="19" a="1"/>
  <c r="H467" i="19" s="1"/>
  <c r="G467" i="19"/>
  <c r="G467" i="19" a="1"/>
  <c r="F467" i="19" a="1"/>
  <c r="F467" i="19" s="1"/>
  <c r="E467" i="19"/>
  <c r="E467" i="19" a="1"/>
  <c r="D467" i="19"/>
  <c r="D467" i="19" a="1"/>
  <c r="H466" i="19" a="1"/>
  <c r="H466" i="19" s="1"/>
  <c r="G466" i="19"/>
  <c r="G466" i="19" a="1"/>
  <c r="F466" i="19" a="1"/>
  <c r="F466" i="19" s="1"/>
  <c r="E466" i="19" a="1"/>
  <c r="E466" i="19" s="1"/>
  <c r="D466" i="19"/>
  <c r="D466" i="19" a="1"/>
  <c r="H465" i="19" a="1"/>
  <c r="H465" i="19" s="1"/>
  <c r="G465" i="19"/>
  <c r="G465" i="19" a="1"/>
  <c r="F465" i="19"/>
  <c r="F465" i="19" a="1"/>
  <c r="E465" i="19" a="1"/>
  <c r="E465" i="19" s="1"/>
  <c r="D465" i="19" a="1"/>
  <c r="D465" i="19" s="1"/>
  <c r="H464" i="19" a="1"/>
  <c r="H464" i="19" s="1"/>
  <c r="G464" i="19"/>
  <c r="G464" i="19" a="1"/>
  <c r="F464" i="19"/>
  <c r="F464" i="19" a="1"/>
  <c r="E464" i="19"/>
  <c r="E464" i="19" a="1"/>
  <c r="D464" i="19"/>
  <c r="D464" i="19" a="1"/>
  <c r="H463" i="19" a="1"/>
  <c r="H463" i="19" s="1"/>
  <c r="G463" i="19"/>
  <c r="G463" i="19" a="1"/>
  <c r="F463" i="19"/>
  <c r="F463" i="19" a="1"/>
  <c r="E463" i="19"/>
  <c r="E463" i="19" a="1"/>
  <c r="D463" i="19" a="1"/>
  <c r="D463" i="19" s="1"/>
  <c r="H462" i="19" a="1"/>
  <c r="H462" i="19" s="1"/>
  <c r="G462" i="19" a="1"/>
  <c r="G462" i="19" s="1"/>
  <c r="F462" i="19"/>
  <c r="F462" i="19" a="1"/>
  <c r="E462" i="19"/>
  <c r="E462" i="19" a="1"/>
  <c r="D462" i="19"/>
  <c r="D462" i="19" a="1"/>
  <c r="H461" i="19" a="1"/>
  <c r="H461" i="19" s="1"/>
  <c r="G461" i="19"/>
  <c r="G461" i="19" a="1"/>
  <c r="F461" i="19" a="1"/>
  <c r="F461" i="19" s="1"/>
  <c r="E461" i="19"/>
  <c r="E461" i="19" a="1"/>
  <c r="D461" i="19"/>
  <c r="D461" i="19" a="1"/>
  <c r="H460" i="19" a="1"/>
  <c r="H460" i="19" s="1"/>
  <c r="G460" i="19" a="1"/>
  <c r="G460" i="19" s="1"/>
  <c r="F460" i="19"/>
  <c r="F460" i="19" a="1"/>
  <c r="E460" i="19" a="1"/>
  <c r="E460" i="19" s="1"/>
  <c r="D460" i="19"/>
  <c r="D460" i="19" a="1"/>
  <c r="H459" i="19" a="1"/>
  <c r="H459" i="19" s="1"/>
  <c r="G459" i="19"/>
  <c r="G459" i="19" a="1"/>
  <c r="F459" i="19" a="1"/>
  <c r="F459" i="19" s="1"/>
  <c r="E459" i="19" a="1"/>
  <c r="E459" i="19" s="1"/>
  <c r="D459" i="19" a="1"/>
  <c r="D459" i="19" s="1"/>
  <c r="H458" i="19" a="1"/>
  <c r="H458" i="19" s="1"/>
  <c r="G458" i="19"/>
  <c r="G458" i="19" a="1"/>
  <c r="F458" i="19" a="1"/>
  <c r="F458" i="19" s="1"/>
  <c r="E458" i="19" a="1"/>
  <c r="E458" i="19" s="1"/>
  <c r="D458" i="19" a="1"/>
  <c r="D458" i="19" s="1"/>
  <c r="H457" i="19" a="1"/>
  <c r="H457" i="19" s="1"/>
  <c r="G457" i="19"/>
  <c r="G457" i="19" a="1"/>
  <c r="F457" i="19"/>
  <c r="F457" i="19" a="1"/>
  <c r="E457" i="19" a="1"/>
  <c r="E457" i="19" s="1"/>
  <c r="D457" i="19"/>
  <c r="D457" i="19" a="1"/>
  <c r="H456" i="19" a="1"/>
  <c r="H456" i="19" s="1"/>
  <c r="G456" i="19" a="1"/>
  <c r="G456" i="19" s="1"/>
  <c r="F456" i="19"/>
  <c r="F456" i="19" a="1"/>
  <c r="E456" i="19"/>
  <c r="E456" i="19" a="1"/>
  <c r="D456" i="19" a="1"/>
  <c r="D456" i="19" s="1"/>
  <c r="H455" i="19" a="1"/>
  <c r="H455" i="19" s="1"/>
  <c r="G455" i="19" a="1"/>
  <c r="G455" i="19" s="1"/>
  <c r="F455" i="19" a="1"/>
  <c r="F455" i="19" s="1"/>
  <c r="E455" i="19"/>
  <c r="E455" i="19" a="1"/>
  <c r="D455" i="19"/>
  <c r="D455" i="19" a="1"/>
  <c r="H454" i="19" a="1"/>
  <c r="H454" i="19" s="1"/>
  <c r="G454" i="19" a="1"/>
  <c r="G454" i="19" s="1"/>
  <c r="F454" i="19" a="1"/>
  <c r="F454" i="19" s="1"/>
  <c r="E454" i="19" a="1"/>
  <c r="E454" i="19" s="1"/>
  <c r="D454" i="19"/>
  <c r="D454" i="19" a="1"/>
  <c r="H453" i="19" a="1"/>
  <c r="H453" i="19" s="1"/>
  <c r="G453" i="19" a="1"/>
  <c r="G453" i="19" s="1"/>
  <c r="F453" i="19" a="1"/>
  <c r="F453" i="19" s="1"/>
  <c r="E453" i="19"/>
  <c r="E453" i="19" a="1"/>
  <c r="D453" i="19" a="1"/>
  <c r="D453" i="19" s="1"/>
  <c r="H452" i="19" a="1"/>
  <c r="H452" i="19" s="1"/>
  <c r="G452" i="19"/>
  <c r="G452" i="19" a="1"/>
  <c r="F452" i="19" a="1"/>
  <c r="F452" i="19" s="1"/>
  <c r="E452" i="19"/>
  <c r="E452" i="19" a="1"/>
  <c r="D452" i="19" a="1"/>
  <c r="D452" i="19" s="1"/>
  <c r="H451" i="19" a="1"/>
  <c r="H451" i="19" s="1"/>
  <c r="G451" i="19"/>
  <c r="G451" i="19" a="1"/>
  <c r="F451" i="19"/>
  <c r="F451" i="19" a="1"/>
  <c r="E451" i="19" a="1"/>
  <c r="E451" i="19" s="1"/>
  <c r="D451" i="19"/>
  <c r="D451" i="19" a="1"/>
  <c r="H450" i="19" a="1"/>
  <c r="H450" i="19" s="1"/>
  <c r="G450" i="19"/>
  <c r="G450" i="19" a="1"/>
  <c r="F450" i="19"/>
  <c r="F450" i="19" a="1"/>
  <c r="E450" i="19"/>
  <c r="E450" i="19" a="1"/>
  <c r="D450" i="19" a="1"/>
  <c r="D450" i="19" s="1"/>
  <c r="H449" i="19" a="1"/>
  <c r="H449" i="19" s="1"/>
  <c r="G449" i="19"/>
  <c r="G449" i="19" a="1"/>
  <c r="F449" i="19" a="1"/>
  <c r="F449" i="19" s="1"/>
  <c r="E449" i="19"/>
  <c r="E449" i="19" a="1"/>
  <c r="D449" i="19"/>
  <c r="D449" i="19" a="1"/>
  <c r="H448" i="19" a="1"/>
  <c r="H448" i="19" s="1"/>
  <c r="G448" i="19"/>
  <c r="G448" i="19" a="1"/>
  <c r="F448" i="19"/>
  <c r="F448" i="19" a="1"/>
  <c r="E448" i="19" a="1"/>
  <c r="E448" i="19" s="1"/>
  <c r="D448" i="19"/>
  <c r="D448" i="19" a="1"/>
  <c r="H447" i="19" a="1"/>
  <c r="H447" i="19" s="1"/>
  <c r="G447" i="19" a="1"/>
  <c r="G447" i="19" s="1"/>
  <c r="F447" i="19"/>
  <c r="F447" i="19" a="1"/>
  <c r="E447" i="19" a="1"/>
  <c r="E447" i="19" s="1"/>
  <c r="D447" i="19"/>
  <c r="D447" i="19" a="1"/>
  <c r="H446" i="19" a="1"/>
  <c r="H446" i="19" s="1"/>
  <c r="G446" i="19"/>
  <c r="G446" i="19" a="1"/>
  <c r="F446" i="19" a="1"/>
  <c r="F446" i="19" s="1"/>
  <c r="E446" i="19"/>
  <c r="E446" i="19" a="1"/>
  <c r="D446" i="19"/>
  <c r="D446" i="19" a="1"/>
  <c r="H445" i="19" a="1"/>
  <c r="H445" i="19" s="1"/>
  <c r="G445" i="19"/>
  <c r="G445" i="19" a="1"/>
  <c r="F445" i="19"/>
  <c r="F445" i="19" a="1"/>
  <c r="E445" i="19" a="1"/>
  <c r="E445" i="19" s="1"/>
  <c r="D445" i="19"/>
  <c r="D445" i="19" a="1"/>
  <c r="H444" i="19" a="1"/>
  <c r="H444" i="19" s="1"/>
  <c r="G444" i="19" a="1"/>
  <c r="G444" i="19" s="1"/>
  <c r="F444" i="19"/>
  <c r="F444" i="19" a="1"/>
  <c r="E444" i="19"/>
  <c r="E444" i="19" a="1"/>
  <c r="D444" i="19" a="1"/>
  <c r="D444" i="19" s="1"/>
  <c r="H443" i="19" a="1"/>
  <c r="H443" i="19" s="1"/>
  <c r="G443" i="19"/>
  <c r="G443" i="19" a="1"/>
  <c r="F443" i="19"/>
  <c r="F443" i="19" a="1"/>
  <c r="E443" i="19"/>
  <c r="E443" i="19" a="1"/>
  <c r="D443" i="19"/>
  <c r="D443" i="19" a="1"/>
  <c r="H442" i="19" a="1"/>
  <c r="H442" i="19" s="1"/>
  <c r="G442" i="19" a="1"/>
  <c r="G442" i="19" s="1"/>
  <c r="F442" i="19" a="1"/>
  <c r="F442" i="19" s="1"/>
  <c r="E442" i="19"/>
  <c r="E442" i="19" a="1"/>
  <c r="D442" i="19"/>
  <c r="D442" i="19" a="1"/>
  <c r="H441" i="19" a="1"/>
  <c r="H441" i="19" s="1"/>
  <c r="G441" i="19" a="1"/>
  <c r="G441" i="19" s="1"/>
  <c r="F441" i="19" a="1"/>
  <c r="F441" i="19" s="1"/>
  <c r="E441" i="19" a="1"/>
  <c r="E441" i="19" s="1"/>
  <c r="D441" i="19" a="1"/>
  <c r="D441" i="19" s="1"/>
  <c r="H440" i="19" a="1"/>
  <c r="H440" i="19" s="1"/>
  <c r="G440" i="19"/>
  <c r="G440" i="19" a="1"/>
  <c r="F440" i="19" a="1"/>
  <c r="F440" i="19" s="1"/>
  <c r="E440" i="19" a="1"/>
  <c r="E440" i="19" s="1"/>
  <c r="D440" i="19" a="1"/>
  <c r="D440" i="19" s="1"/>
  <c r="H439" i="19" a="1"/>
  <c r="H439" i="19" s="1"/>
  <c r="G439" i="19"/>
  <c r="G439" i="19" a="1"/>
  <c r="F439" i="19"/>
  <c r="F439" i="19" a="1"/>
  <c r="E439" i="19" a="1"/>
  <c r="E439" i="19" s="1"/>
  <c r="D439" i="19" a="1"/>
  <c r="D439" i="19" s="1"/>
  <c r="H438" i="19" a="1"/>
  <c r="H438" i="19" s="1"/>
  <c r="G438" i="19" a="1"/>
  <c r="G438" i="19" s="1"/>
  <c r="F438" i="19"/>
  <c r="F438" i="19" a="1"/>
  <c r="E438" i="19" a="1"/>
  <c r="E438" i="19" s="1"/>
  <c r="D438" i="19" a="1"/>
  <c r="D438" i="19" s="1"/>
  <c r="H437" i="19" a="1"/>
  <c r="H437" i="19" s="1"/>
  <c r="G437" i="19" a="1"/>
  <c r="G437" i="19" s="1"/>
  <c r="F437" i="19" a="1"/>
  <c r="F437" i="19" s="1"/>
  <c r="E437" i="19"/>
  <c r="E437" i="19" a="1"/>
  <c r="D437" i="19" a="1"/>
  <c r="D437" i="19" s="1"/>
  <c r="H436" i="19" a="1"/>
  <c r="H436" i="19" s="1"/>
  <c r="G436" i="19"/>
  <c r="G436" i="19" a="1"/>
  <c r="F436" i="19"/>
  <c r="F436" i="19" a="1"/>
  <c r="E436" i="19" a="1"/>
  <c r="E436" i="19" s="1"/>
  <c r="D436" i="19"/>
  <c r="D436" i="19" a="1"/>
  <c r="H435" i="19" a="1"/>
  <c r="H435" i="19" s="1"/>
  <c r="G435" i="19" a="1"/>
  <c r="G435" i="19" s="1"/>
  <c r="F435" i="19" a="1"/>
  <c r="F435" i="19" s="1"/>
  <c r="E435" i="19"/>
  <c r="E435" i="19" a="1"/>
  <c r="D435" i="19"/>
  <c r="D435" i="19" a="1"/>
  <c r="H434" i="19" a="1"/>
  <c r="H434" i="19" s="1"/>
  <c r="G434" i="19" a="1"/>
  <c r="G434" i="19" s="1"/>
  <c r="F434" i="19" a="1"/>
  <c r="F434" i="19" s="1"/>
  <c r="E434" i="19"/>
  <c r="E434" i="19" a="1"/>
  <c r="D434" i="19" a="1"/>
  <c r="D434" i="19" s="1"/>
  <c r="H433" i="19" a="1"/>
  <c r="H433" i="19" s="1"/>
  <c r="G433" i="19"/>
  <c r="G433" i="19" a="1"/>
  <c r="F433" i="19" a="1"/>
  <c r="F433" i="19" s="1"/>
  <c r="E433" i="19" a="1"/>
  <c r="E433" i="19" s="1"/>
  <c r="D433" i="19" a="1"/>
  <c r="D433" i="19" s="1"/>
  <c r="H432" i="19" a="1"/>
  <c r="H432" i="19" s="1"/>
  <c r="G432" i="19" a="1"/>
  <c r="G432" i="19" s="1"/>
  <c r="F432" i="19"/>
  <c r="F432" i="19" a="1"/>
  <c r="E432" i="19" a="1"/>
  <c r="E432" i="19" s="1"/>
  <c r="D432" i="19" a="1"/>
  <c r="D432" i="19" s="1"/>
  <c r="H431" i="19" a="1"/>
  <c r="H431" i="19" s="1"/>
  <c r="G431" i="19"/>
  <c r="G431" i="19" a="1"/>
  <c r="F431" i="19" a="1"/>
  <c r="F431" i="19" s="1"/>
  <c r="E431" i="19"/>
  <c r="E431" i="19" a="1"/>
  <c r="D431" i="19" a="1"/>
  <c r="D431" i="19" s="1"/>
  <c r="H430" i="19" a="1"/>
  <c r="H430" i="19" s="1"/>
  <c r="G430" i="19"/>
  <c r="G430" i="19" a="1"/>
  <c r="F430" i="19" a="1"/>
  <c r="F430" i="19" s="1"/>
  <c r="E430" i="19"/>
  <c r="E430" i="19" a="1"/>
  <c r="D430" i="19"/>
  <c r="D430" i="19" a="1"/>
  <c r="H429" i="19" a="1"/>
  <c r="H429" i="19" s="1"/>
  <c r="G429" i="19" a="1"/>
  <c r="G429" i="19" s="1"/>
  <c r="F429" i="19"/>
  <c r="F429" i="19" a="1"/>
  <c r="E429" i="19"/>
  <c r="E429" i="19" a="1"/>
  <c r="D429" i="19" a="1"/>
  <c r="D429" i="19" s="1"/>
  <c r="H428" i="19" a="1"/>
  <c r="H428" i="19" s="1"/>
  <c r="G428" i="19" a="1"/>
  <c r="G428" i="19" s="1"/>
  <c r="F428" i="19" a="1"/>
  <c r="F428" i="19" s="1"/>
  <c r="E428" i="19" a="1"/>
  <c r="E428" i="19" s="1"/>
  <c r="D428" i="19"/>
  <c r="D428" i="19" a="1"/>
  <c r="H427" i="19" a="1"/>
  <c r="H427" i="19" s="1"/>
  <c r="G427" i="19"/>
  <c r="G427" i="19" a="1"/>
  <c r="F427" i="19" a="1"/>
  <c r="F427" i="19" s="1"/>
  <c r="E427" i="19" a="1"/>
  <c r="E427" i="19" s="1"/>
  <c r="D427" i="19"/>
  <c r="D427" i="19" a="1"/>
  <c r="H426" i="19" a="1"/>
  <c r="H426" i="19" s="1"/>
  <c r="G426" i="19"/>
  <c r="G426" i="19" a="1"/>
  <c r="F426" i="19"/>
  <c r="F426" i="19" a="1"/>
  <c r="E426" i="19" a="1"/>
  <c r="E426" i="19" s="1"/>
  <c r="D426" i="19" a="1"/>
  <c r="D426" i="19" s="1"/>
  <c r="H425" i="19" a="1"/>
  <c r="H425" i="19" s="1"/>
  <c r="G425" i="19"/>
  <c r="G425" i="19" a="1"/>
  <c r="F425" i="19" a="1"/>
  <c r="F425" i="19" s="1"/>
  <c r="E425" i="19"/>
  <c r="E425" i="19" a="1"/>
  <c r="D425" i="19" a="1"/>
  <c r="D425" i="19" s="1"/>
  <c r="H424" i="19" a="1"/>
  <c r="H424" i="19" s="1"/>
  <c r="G424" i="19" a="1"/>
  <c r="G424" i="19" s="1"/>
  <c r="F424" i="19" a="1"/>
  <c r="F424" i="19" s="1"/>
  <c r="E424" i="19"/>
  <c r="E424" i="19" a="1"/>
  <c r="D424" i="19"/>
  <c r="D424" i="19" a="1"/>
  <c r="H423" i="19" a="1"/>
  <c r="H423" i="19" s="1"/>
  <c r="G423" i="19" a="1"/>
  <c r="G423" i="19" s="1"/>
  <c r="F423" i="19"/>
  <c r="F423" i="19" a="1"/>
  <c r="E423" i="19" a="1"/>
  <c r="E423" i="19" s="1"/>
  <c r="D423" i="19" a="1"/>
  <c r="D423" i="19" s="1"/>
  <c r="H422" i="19" a="1"/>
  <c r="H422" i="19" s="1"/>
  <c r="G422" i="19" a="1"/>
  <c r="G422" i="19" s="1"/>
  <c r="F422" i="19" a="1"/>
  <c r="F422" i="19" s="1"/>
  <c r="E422" i="19"/>
  <c r="E422" i="19" a="1"/>
  <c r="D422" i="19"/>
  <c r="D422" i="19" a="1"/>
  <c r="H421" i="19" a="1"/>
  <c r="H421" i="19" s="1"/>
  <c r="G421" i="19"/>
  <c r="G421" i="19" a="1"/>
  <c r="F421" i="19" a="1"/>
  <c r="F421" i="19" s="1"/>
  <c r="E421" i="19" a="1"/>
  <c r="E421" i="19" s="1"/>
  <c r="D421" i="19" a="1"/>
  <c r="D421" i="19" s="1"/>
  <c r="H420" i="19" a="1"/>
  <c r="H420" i="19" s="1"/>
  <c r="G420" i="19"/>
  <c r="G420" i="19" a="1"/>
  <c r="F420" i="19"/>
  <c r="F420" i="19" a="1"/>
  <c r="E420" i="19" a="1"/>
  <c r="E420" i="19" s="1"/>
  <c r="D420" i="19" a="1"/>
  <c r="D420" i="19" s="1"/>
  <c r="H419" i="19" a="1"/>
  <c r="H419" i="19" s="1"/>
  <c r="G419" i="19" a="1"/>
  <c r="G419" i="19" s="1"/>
  <c r="F419" i="19"/>
  <c r="F419" i="19" a="1"/>
  <c r="E419" i="19"/>
  <c r="E419" i="19" a="1"/>
  <c r="D419" i="19" a="1"/>
  <c r="D419" i="19" s="1"/>
  <c r="H418" i="19" a="1"/>
  <c r="H418" i="19" s="1"/>
  <c r="G418" i="19" a="1"/>
  <c r="G418" i="19" s="1"/>
  <c r="F418" i="19"/>
  <c r="F418" i="19" a="1"/>
  <c r="E418" i="19" a="1"/>
  <c r="E418" i="19" s="1"/>
  <c r="D418" i="19"/>
  <c r="D418" i="19" a="1"/>
  <c r="H417" i="19" a="1"/>
  <c r="H417" i="19" s="1"/>
  <c r="G417" i="19" a="1"/>
  <c r="G417" i="19" s="1"/>
  <c r="F417" i="19" a="1"/>
  <c r="F417" i="19" s="1"/>
  <c r="E417" i="19"/>
  <c r="E417" i="19" a="1"/>
  <c r="D417" i="19" a="1"/>
  <c r="D417" i="19" s="1"/>
  <c r="H416" i="19" a="1"/>
  <c r="H416" i="19" s="1"/>
  <c r="G416" i="19" a="1"/>
  <c r="G416" i="19" s="1"/>
  <c r="F416" i="19" a="1"/>
  <c r="F416" i="19" s="1"/>
  <c r="E416" i="19"/>
  <c r="E416" i="19" a="1"/>
  <c r="D416" i="19" a="1"/>
  <c r="D416" i="19" s="1"/>
  <c r="H415" i="19" a="1"/>
  <c r="H415" i="19" s="1"/>
  <c r="G415" i="19" a="1"/>
  <c r="G415" i="19" s="1"/>
  <c r="F415" i="19" a="1"/>
  <c r="F415" i="19" s="1"/>
  <c r="E415" i="19" a="1"/>
  <c r="E415" i="19" s="1"/>
  <c r="D415" i="19"/>
  <c r="D415" i="19" a="1"/>
  <c r="H414" i="19" a="1"/>
  <c r="H414" i="19" s="1"/>
  <c r="G414" i="19" a="1"/>
  <c r="G414" i="19" s="1"/>
  <c r="F414" i="19" a="1"/>
  <c r="F414" i="19" s="1"/>
  <c r="E414" i="19" a="1"/>
  <c r="E414" i="19" s="1"/>
  <c r="D414" i="19" a="1"/>
  <c r="D414" i="19" s="1"/>
  <c r="H413" i="19" a="1"/>
  <c r="H413" i="19" s="1"/>
  <c r="G413" i="19"/>
  <c r="G413" i="19" a="1"/>
  <c r="F413" i="19"/>
  <c r="F413" i="19" a="1"/>
  <c r="E413" i="19" a="1"/>
  <c r="E413" i="19" s="1"/>
  <c r="D413" i="19" a="1"/>
  <c r="D413" i="19" s="1"/>
  <c r="H412" i="19" a="1"/>
  <c r="H412" i="19" s="1"/>
  <c r="G412" i="19" a="1"/>
  <c r="G412" i="19" s="1"/>
  <c r="F412" i="19" a="1"/>
  <c r="F412" i="19" s="1"/>
  <c r="E412" i="19"/>
  <c r="E412" i="19" a="1"/>
  <c r="D412" i="19"/>
  <c r="D412" i="19" a="1"/>
  <c r="H411" i="19" a="1"/>
  <c r="H411" i="19" s="1"/>
  <c r="G411" i="19" a="1"/>
  <c r="G411" i="19" s="1"/>
  <c r="F411" i="19"/>
  <c r="F411" i="19" a="1"/>
  <c r="E411" i="19" a="1"/>
  <c r="E411" i="19" s="1"/>
  <c r="D411" i="19" a="1"/>
  <c r="D411" i="19" s="1"/>
  <c r="H410" i="19" a="1"/>
  <c r="H410" i="19" s="1"/>
  <c r="G410" i="19" a="1"/>
  <c r="G410" i="19" s="1"/>
  <c r="F410" i="19" a="1"/>
  <c r="F410" i="19" s="1"/>
  <c r="E410" i="19" a="1"/>
  <c r="E410" i="19" s="1"/>
  <c r="D410" i="19" a="1"/>
  <c r="D410" i="19" s="1"/>
  <c r="H409" i="19" a="1"/>
  <c r="H409" i="19" s="1"/>
  <c r="G409" i="19"/>
  <c r="G409" i="19" a="1"/>
  <c r="F409" i="19" a="1"/>
  <c r="F409" i="19" s="1"/>
  <c r="E409" i="19" a="1"/>
  <c r="E409" i="19" s="1"/>
  <c r="D409" i="19"/>
  <c r="D409" i="19" a="1"/>
  <c r="H408" i="19" a="1"/>
  <c r="H408" i="19" s="1"/>
  <c r="G408" i="19" a="1"/>
  <c r="G408" i="19" s="1"/>
  <c r="F408" i="19"/>
  <c r="F408" i="19" a="1"/>
  <c r="E408" i="19" a="1"/>
  <c r="E408" i="19" s="1"/>
  <c r="D408" i="19" a="1"/>
  <c r="D408" i="19" s="1"/>
  <c r="H407" i="19" a="1"/>
  <c r="H407" i="19" s="1"/>
  <c r="G407" i="19"/>
  <c r="G407" i="19" a="1"/>
  <c r="F407" i="19" a="1"/>
  <c r="F407" i="19" s="1"/>
  <c r="E407" i="19"/>
  <c r="E407" i="19" a="1"/>
  <c r="D407" i="19" a="1"/>
  <c r="D407" i="19" s="1"/>
  <c r="H406" i="19" a="1"/>
  <c r="H406" i="19" s="1"/>
  <c r="G406" i="19" a="1"/>
  <c r="G406" i="19" s="1"/>
  <c r="F406" i="19"/>
  <c r="F406" i="19" a="1"/>
  <c r="E406" i="19"/>
  <c r="E406" i="19" a="1"/>
  <c r="D406" i="19" a="1"/>
  <c r="D406" i="19" s="1"/>
  <c r="H405" i="19" a="1"/>
  <c r="H405" i="19" s="1"/>
  <c r="G405" i="19" a="1"/>
  <c r="G405" i="19" s="1"/>
  <c r="F405" i="19" a="1"/>
  <c r="F405" i="19" s="1"/>
  <c r="E405" i="19"/>
  <c r="E405" i="19" a="1"/>
  <c r="D405" i="19"/>
  <c r="D405" i="19" a="1"/>
  <c r="H404" i="19" a="1"/>
  <c r="H404" i="19" s="1"/>
  <c r="G404" i="19" a="1"/>
  <c r="G404" i="19" s="1"/>
  <c r="F404" i="19" a="1"/>
  <c r="F404" i="19" s="1"/>
  <c r="E404" i="19" a="1"/>
  <c r="E404" i="19" s="1"/>
  <c r="D404" i="19" a="1"/>
  <c r="D404" i="19" s="1"/>
  <c r="H403" i="19" a="1"/>
  <c r="H403" i="19" s="1"/>
  <c r="G403" i="19"/>
  <c r="G403" i="19" a="1"/>
  <c r="F403" i="19" a="1"/>
  <c r="F403" i="19" s="1"/>
  <c r="E403" i="19" a="1"/>
  <c r="E403" i="19" s="1"/>
  <c r="D403" i="19" a="1"/>
  <c r="D403" i="19" s="1"/>
  <c r="H402" i="19" a="1"/>
  <c r="H402" i="19" s="1"/>
  <c r="G402" i="19"/>
  <c r="G402" i="19" a="1"/>
  <c r="F402" i="19" a="1"/>
  <c r="F402" i="19" s="1"/>
  <c r="E402" i="19" a="1"/>
  <c r="E402" i="19" s="1"/>
  <c r="D402" i="19" a="1"/>
  <c r="D402" i="19" s="1"/>
  <c r="H401" i="19" a="1"/>
  <c r="H401" i="19" s="1"/>
  <c r="G401" i="19" a="1"/>
  <c r="G401" i="19" s="1"/>
  <c r="F401" i="19" a="1"/>
  <c r="F401" i="19" s="1"/>
  <c r="E401" i="19"/>
  <c r="E401" i="19" a="1"/>
  <c r="D401" i="19" a="1"/>
  <c r="D401" i="19" s="1"/>
  <c r="H400" i="19" a="1"/>
  <c r="H400" i="19" s="1"/>
  <c r="G400" i="19"/>
  <c r="G400" i="19" a="1"/>
  <c r="F400" i="19"/>
  <c r="F400" i="19" a="1"/>
  <c r="E400" i="19" a="1"/>
  <c r="E400" i="19" s="1"/>
  <c r="D400" i="19"/>
  <c r="D400" i="19" a="1"/>
  <c r="H399" i="19" a="1"/>
  <c r="H399" i="19" s="1"/>
  <c r="G399" i="19" a="1"/>
  <c r="G399" i="19" s="1"/>
  <c r="F399" i="19"/>
  <c r="F399" i="19" a="1"/>
  <c r="E399" i="19"/>
  <c r="E399" i="19" a="1"/>
  <c r="D399" i="19"/>
  <c r="D399" i="19" a="1"/>
  <c r="H398" i="19" a="1"/>
  <c r="H398" i="19" s="1"/>
  <c r="G398" i="19" a="1"/>
  <c r="G398" i="19" s="1"/>
  <c r="F398" i="19" a="1"/>
  <c r="F398" i="19" s="1"/>
  <c r="E398" i="19" a="1"/>
  <c r="E398" i="19" s="1"/>
  <c r="D398" i="19" a="1"/>
  <c r="D398" i="19" s="1"/>
  <c r="H397" i="19" a="1"/>
  <c r="H397" i="19" s="1"/>
  <c r="G397" i="19"/>
  <c r="G397" i="19" a="1"/>
  <c r="F397" i="19" a="1"/>
  <c r="F397" i="19" s="1"/>
  <c r="E397" i="19" a="1"/>
  <c r="E397" i="19" s="1"/>
  <c r="D397" i="19" a="1"/>
  <c r="D397" i="19" s="1"/>
  <c r="H396" i="19" a="1"/>
  <c r="H396" i="19" s="1"/>
  <c r="G396" i="19" a="1"/>
  <c r="G396" i="19" s="1"/>
  <c r="F396" i="19"/>
  <c r="F396" i="19" a="1"/>
  <c r="E396" i="19" a="1"/>
  <c r="E396" i="19" s="1"/>
  <c r="D396" i="19" a="1"/>
  <c r="D396" i="19" s="1"/>
  <c r="H395" i="19" a="1"/>
  <c r="H395" i="19" s="1"/>
  <c r="G395" i="19" a="1"/>
  <c r="G395" i="19" s="1"/>
  <c r="F395" i="19"/>
  <c r="F395" i="19" a="1"/>
  <c r="E395" i="19" a="1"/>
  <c r="E395" i="19" s="1"/>
  <c r="D395" i="19" a="1"/>
  <c r="D395" i="19" s="1"/>
  <c r="H394" i="19" a="1"/>
  <c r="H394" i="19" s="1"/>
  <c r="G394" i="19"/>
  <c r="G394" i="19" a="1"/>
  <c r="F394" i="19" a="1"/>
  <c r="F394" i="19" s="1"/>
  <c r="E394" i="19" a="1"/>
  <c r="E394" i="19" s="1"/>
  <c r="D394" i="19" a="1"/>
  <c r="D394" i="19" s="1"/>
  <c r="H393" i="19" a="1"/>
  <c r="H393" i="19" s="1"/>
  <c r="G393" i="19" a="1"/>
  <c r="G393" i="19" s="1"/>
  <c r="F393" i="19"/>
  <c r="F393" i="19" a="1"/>
  <c r="E393" i="19"/>
  <c r="E393" i="19" a="1"/>
  <c r="D393" i="19" a="1"/>
  <c r="D393" i="19" s="1"/>
  <c r="H392" i="19" a="1"/>
  <c r="H392" i="19" s="1"/>
  <c r="G392" i="19" a="1"/>
  <c r="G392" i="19" s="1"/>
  <c r="F392" i="19" a="1"/>
  <c r="F392" i="19" s="1"/>
  <c r="E392" i="19" a="1"/>
  <c r="E392" i="19" s="1"/>
  <c r="D392" i="19"/>
  <c r="D392" i="19" a="1"/>
  <c r="H391" i="19" a="1"/>
  <c r="H391" i="19" s="1"/>
  <c r="G391" i="19" a="1"/>
  <c r="G391" i="19" s="1"/>
  <c r="F391" i="19" a="1"/>
  <c r="F391" i="19" s="1"/>
  <c r="E391" i="19" a="1"/>
  <c r="E391" i="19" s="1"/>
  <c r="D391" i="19" a="1"/>
  <c r="D391" i="19" s="1"/>
  <c r="H390" i="19" a="1"/>
  <c r="H390" i="19" s="1"/>
  <c r="G390" i="19"/>
  <c r="G390" i="19" a="1"/>
  <c r="F390" i="19"/>
  <c r="F390" i="19" a="1"/>
  <c r="E390" i="19" a="1"/>
  <c r="E390" i="19" s="1"/>
  <c r="D390" i="19" a="1"/>
  <c r="D390" i="19" s="1"/>
  <c r="H389" i="19" a="1"/>
  <c r="H389" i="19" s="1"/>
  <c r="G389" i="19" a="1"/>
  <c r="G389" i="19" s="1"/>
  <c r="F389" i="19"/>
  <c r="F389" i="19" a="1"/>
  <c r="E389" i="19"/>
  <c r="E389" i="19" a="1"/>
  <c r="D389" i="19" a="1"/>
  <c r="D389" i="19" s="1"/>
  <c r="H388" i="19" a="1"/>
  <c r="H388" i="19" s="1"/>
  <c r="G388" i="19" a="1"/>
  <c r="G388" i="19" s="1"/>
  <c r="F388" i="19" a="1"/>
  <c r="F388" i="19" s="1"/>
  <c r="E388" i="19" a="1"/>
  <c r="E388" i="19" s="1"/>
  <c r="D388" i="19"/>
  <c r="D388" i="19" a="1"/>
  <c r="H387" i="19" a="1"/>
  <c r="H387" i="19" s="1"/>
  <c r="G387" i="19" a="1"/>
  <c r="G387" i="19" s="1"/>
  <c r="F387" i="19"/>
  <c r="F387" i="19" a="1"/>
  <c r="E387" i="19" a="1"/>
  <c r="E387" i="19" s="1"/>
  <c r="D387" i="19" a="1"/>
  <c r="D387" i="19" s="1"/>
  <c r="H386" i="19" a="1"/>
  <c r="H386" i="19" s="1"/>
  <c r="G386" i="19" a="1"/>
  <c r="G386" i="19" s="1"/>
  <c r="F386" i="19" a="1"/>
  <c r="F386" i="19" s="1"/>
  <c r="E386" i="19"/>
  <c r="E386" i="19" a="1"/>
  <c r="D386" i="19"/>
  <c r="D386" i="19" a="1"/>
  <c r="H385" i="19" a="1"/>
  <c r="H385" i="19" s="1"/>
  <c r="G385" i="19"/>
  <c r="G385" i="19" a="1"/>
  <c r="F385" i="19" a="1"/>
  <c r="F385" i="19" s="1"/>
  <c r="E385" i="19" a="1"/>
  <c r="E385" i="19" s="1"/>
  <c r="D385" i="19" a="1"/>
  <c r="D385" i="19" s="1"/>
  <c r="H384" i="19" a="1"/>
  <c r="H384" i="19" s="1"/>
  <c r="G384" i="19"/>
  <c r="G384" i="19" a="1"/>
  <c r="F384" i="19" a="1"/>
  <c r="F384" i="19" s="1"/>
  <c r="E384" i="19" a="1"/>
  <c r="E384" i="19" s="1"/>
  <c r="D384" i="19" a="1"/>
  <c r="D384" i="19" s="1"/>
  <c r="H383" i="19" a="1"/>
  <c r="H383" i="19" s="1"/>
  <c r="G383" i="19"/>
  <c r="G383" i="19" a="1"/>
  <c r="F383" i="19"/>
  <c r="F383" i="19" a="1"/>
  <c r="E383" i="19"/>
  <c r="E383" i="19" a="1"/>
  <c r="D383" i="19" a="1"/>
  <c r="D383" i="19" s="1"/>
  <c r="H382" i="19" a="1"/>
  <c r="H382" i="19" s="1"/>
  <c r="G382" i="19" a="1"/>
  <c r="G382" i="19" s="1"/>
  <c r="F382" i="19" a="1"/>
  <c r="F382" i="19" s="1"/>
  <c r="E382" i="19"/>
  <c r="E382" i="19" a="1"/>
  <c r="D382" i="19"/>
  <c r="D382" i="19" a="1"/>
  <c r="H381" i="19" a="1"/>
  <c r="H381" i="19" s="1"/>
  <c r="G381" i="19" a="1"/>
  <c r="G381" i="19" s="1"/>
  <c r="F381" i="19" a="1"/>
  <c r="F381" i="19" s="1"/>
  <c r="E381" i="19"/>
  <c r="E381" i="19" a="1"/>
  <c r="D381" i="19" a="1"/>
  <c r="D381" i="19" s="1"/>
  <c r="H380" i="19" a="1"/>
  <c r="H380" i="19" s="1"/>
  <c r="G380" i="19" a="1"/>
  <c r="G380" i="19" s="1"/>
  <c r="F380" i="19" a="1"/>
  <c r="F380" i="19" s="1"/>
  <c r="E380" i="19" a="1"/>
  <c r="E380" i="19" s="1"/>
  <c r="D380" i="19" a="1"/>
  <c r="D380" i="19" s="1"/>
  <c r="H379" i="19" a="1"/>
  <c r="H379" i="19" s="1"/>
  <c r="G379" i="19"/>
  <c r="G379" i="19" a="1"/>
  <c r="F379" i="19"/>
  <c r="F379" i="19" a="1"/>
  <c r="E379" i="19" a="1"/>
  <c r="E379" i="19" s="1"/>
  <c r="D379" i="19"/>
  <c r="D379" i="19" a="1"/>
  <c r="H378" i="19" a="1"/>
  <c r="H378" i="19" s="1"/>
  <c r="G378" i="19" a="1"/>
  <c r="G378" i="19" s="1"/>
  <c r="F378" i="19" a="1"/>
  <c r="F378" i="19" s="1"/>
  <c r="E378" i="19"/>
  <c r="E378" i="19" a="1"/>
  <c r="D378" i="19" a="1"/>
  <c r="D378" i="19" s="1"/>
  <c r="H377" i="19" a="1"/>
  <c r="H377" i="19" s="1"/>
  <c r="G377" i="19" a="1"/>
  <c r="G377" i="19" s="1"/>
  <c r="F377" i="19" a="1"/>
  <c r="F377" i="19" s="1"/>
  <c r="E377" i="19" a="1"/>
  <c r="E377" i="19" s="1"/>
  <c r="D377" i="19" a="1"/>
  <c r="D377" i="19" s="1"/>
  <c r="H376" i="19" a="1"/>
  <c r="H376" i="19" s="1"/>
  <c r="G376" i="19" a="1"/>
  <c r="G376" i="19" s="1"/>
  <c r="F376" i="19"/>
  <c r="F376" i="19" a="1"/>
  <c r="E376" i="19" a="1"/>
  <c r="E376" i="19" s="1"/>
  <c r="D376" i="19" a="1"/>
  <c r="D376" i="19" s="1"/>
  <c r="H375" i="19" a="1"/>
  <c r="H375" i="19" s="1"/>
  <c r="G375" i="19" a="1"/>
  <c r="G375" i="19" s="1"/>
  <c r="F375" i="19"/>
  <c r="F375" i="19" a="1"/>
  <c r="E375" i="19"/>
  <c r="E375" i="19" a="1"/>
  <c r="D375" i="19" a="1"/>
  <c r="D375" i="19" s="1"/>
  <c r="H374" i="19" a="1"/>
  <c r="H374" i="19" s="1"/>
  <c r="G374" i="19" a="1"/>
  <c r="G374" i="19" s="1"/>
  <c r="F374" i="19" a="1"/>
  <c r="F374" i="19" s="1"/>
  <c r="E374" i="19" a="1"/>
  <c r="E374" i="19" s="1"/>
  <c r="D374" i="19" a="1"/>
  <c r="D374" i="19" s="1"/>
  <c r="H373" i="19" a="1"/>
  <c r="H373" i="19" s="1"/>
  <c r="G373" i="19" a="1"/>
  <c r="G373" i="19" s="1"/>
  <c r="F373" i="19" a="1"/>
  <c r="F373" i="19" s="1"/>
  <c r="E373" i="19" a="1"/>
  <c r="E373" i="19" s="1"/>
  <c r="D373" i="19" a="1"/>
  <c r="D373" i="19" s="1"/>
  <c r="H372" i="19" a="1"/>
  <c r="H372" i="19" s="1"/>
  <c r="G372" i="19"/>
  <c r="G372" i="19" a="1"/>
  <c r="F372" i="19" a="1"/>
  <c r="F372" i="19" s="1"/>
  <c r="E372" i="19"/>
  <c r="E372" i="19" a="1"/>
  <c r="D372" i="19" a="1"/>
  <c r="D372" i="19" s="1"/>
  <c r="H371" i="19" a="1"/>
  <c r="H371" i="19" s="1"/>
  <c r="G371" i="19" a="1"/>
  <c r="G371" i="19" s="1"/>
  <c r="F371" i="19" a="1"/>
  <c r="F371" i="19" s="1"/>
  <c r="E371" i="19"/>
  <c r="E371" i="19" a="1"/>
  <c r="D371" i="19" a="1"/>
  <c r="D371" i="19" s="1"/>
  <c r="H370" i="19" a="1"/>
  <c r="H370" i="19" s="1"/>
  <c r="G370" i="19"/>
  <c r="G370" i="19" a="1"/>
  <c r="F370" i="19" a="1"/>
  <c r="F370" i="19" s="1"/>
  <c r="E370" i="19"/>
  <c r="E370" i="19" a="1"/>
  <c r="D370" i="19"/>
  <c r="D370" i="19" a="1"/>
  <c r="H369" i="19" a="1"/>
  <c r="H369" i="19" s="1"/>
  <c r="G369" i="19" a="1"/>
  <c r="G369" i="19" s="1"/>
  <c r="F369" i="19" a="1"/>
  <c r="F369" i="19" s="1"/>
  <c r="E369" i="19"/>
  <c r="E369" i="19" a="1"/>
  <c r="D369" i="19" a="1"/>
  <c r="D369" i="19" s="1"/>
  <c r="H368" i="19" a="1"/>
  <c r="H368" i="19" s="1"/>
  <c r="G368" i="19"/>
  <c r="G368" i="19" a="1"/>
  <c r="F368" i="19" a="1"/>
  <c r="F368" i="19" s="1"/>
  <c r="E368" i="19"/>
  <c r="E368" i="19" a="1"/>
  <c r="D368" i="19" a="1"/>
  <c r="D368" i="19" s="1"/>
  <c r="H367" i="19" a="1"/>
  <c r="H367" i="19" s="1"/>
  <c r="G367" i="19"/>
  <c r="G367" i="19" a="1"/>
  <c r="F367" i="19"/>
  <c r="F367" i="19" a="1"/>
  <c r="E367" i="19" a="1"/>
  <c r="E367" i="19" s="1"/>
  <c r="D367" i="19" a="1"/>
  <c r="D367" i="19" s="1"/>
  <c r="H366" i="19" a="1"/>
  <c r="H366" i="19" s="1"/>
  <c r="G366" i="19" a="1"/>
  <c r="G366" i="19" s="1"/>
  <c r="F366" i="19"/>
  <c r="F366" i="19" a="1"/>
  <c r="E366" i="19" a="1"/>
  <c r="E366" i="19" s="1"/>
  <c r="D366" i="19" a="1"/>
  <c r="D366" i="19" s="1"/>
  <c r="H365" i="19" a="1"/>
  <c r="H365" i="19" s="1"/>
  <c r="G365" i="19" a="1"/>
  <c r="G365" i="19" s="1"/>
  <c r="F365" i="19"/>
  <c r="F365" i="19" a="1"/>
  <c r="E365" i="19" a="1"/>
  <c r="E365" i="19" s="1"/>
  <c r="D365" i="19"/>
  <c r="D365" i="19" a="1"/>
  <c r="H364" i="19" a="1"/>
  <c r="H364" i="19" s="1"/>
  <c r="G364" i="19"/>
  <c r="G364" i="19" a="1"/>
  <c r="F364" i="19" a="1"/>
  <c r="F364" i="19" s="1"/>
  <c r="E364" i="19" a="1"/>
  <c r="E364" i="19" s="1"/>
  <c r="D364" i="19"/>
  <c r="D364" i="19" a="1"/>
  <c r="H363" i="19" a="1"/>
  <c r="H363" i="19" s="1"/>
  <c r="G363" i="19" a="1"/>
  <c r="G363" i="19" s="1"/>
  <c r="F363" i="19"/>
  <c r="F363" i="19" a="1"/>
  <c r="E363" i="19" a="1"/>
  <c r="E363" i="19" s="1"/>
  <c r="D363" i="19"/>
  <c r="D363" i="19" a="1"/>
  <c r="H362" i="19" a="1"/>
  <c r="H362" i="19" s="1"/>
  <c r="G362" i="19" a="1"/>
  <c r="G362" i="19" s="1"/>
  <c r="F362" i="19" a="1"/>
  <c r="F362" i="19" s="1"/>
  <c r="E362" i="19" a="1"/>
  <c r="E362" i="19" s="1"/>
  <c r="D362" i="19"/>
  <c r="D362" i="19" a="1"/>
  <c r="H361" i="19" a="1"/>
  <c r="H361" i="19" s="1"/>
  <c r="G361" i="19" a="1"/>
  <c r="G361" i="19" s="1"/>
  <c r="F361" i="19" a="1"/>
  <c r="F361" i="19" s="1"/>
  <c r="E361" i="19" a="1"/>
  <c r="E361" i="19" s="1"/>
  <c r="D361" i="19"/>
  <c r="D361" i="19" a="1"/>
  <c r="H360" i="19" a="1"/>
  <c r="H360" i="19" s="1"/>
  <c r="G360" i="19" a="1"/>
  <c r="G360" i="19" s="1"/>
  <c r="F360" i="19"/>
  <c r="F360" i="19" a="1"/>
  <c r="E360" i="19" a="1"/>
  <c r="E360" i="19" s="1"/>
  <c r="D360" i="19" a="1"/>
  <c r="D360" i="19" s="1"/>
  <c r="H359" i="19" a="1"/>
  <c r="H359" i="19" s="1"/>
  <c r="G359" i="19"/>
  <c r="G359" i="19" a="1"/>
  <c r="F359" i="19" a="1"/>
  <c r="F359" i="19" s="1"/>
  <c r="E359" i="19" a="1"/>
  <c r="E359" i="19" s="1"/>
  <c r="D359" i="19" a="1"/>
  <c r="D359" i="19" s="1"/>
  <c r="H358" i="19" a="1"/>
  <c r="H358" i="19" s="1"/>
  <c r="G358" i="19"/>
  <c r="G358" i="19" a="1"/>
  <c r="F358" i="19"/>
  <c r="F358" i="19" a="1"/>
  <c r="E358" i="19" a="1"/>
  <c r="E358" i="19" s="1"/>
  <c r="D358" i="19"/>
  <c r="D358" i="19" a="1"/>
  <c r="H357" i="19" a="1"/>
  <c r="H357" i="19" s="1"/>
  <c r="G357" i="19" a="1"/>
  <c r="G357" i="19" s="1"/>
  <c r="F357" i="19"/>
  <c r="F357" i="19" a="1"/>
  <c r="E357" i="19"/>
  <c r="E357" i="19" a="1"/>
  <c r="D357" i="19" a="1"/>
  <c r="D357" i="19" s="1"/>
  <c r="H356" i="19" a="1"/>
  <c r="H356" i="19" s="1"/>
  <c r="G356" i="19"/>
  <c r="G356" i="19" a="1"/>
  <c r="F356" i="19" a="1"/>
  <c r="F356" i="19" s="1"/>
  <c r="E356" i="19"/>
  <c r="E356" i="19" a="1"/>
  <c r="D356" i="19"/>
  <c r="D356" i="19" a="1"/>
  <c r="H355" i="19" a="1"/>
  <c r="H355" i="19" s="1"/>
  <c r="G355" i="19" a="1"/>
  <c r="G355" i="19" s="1"/>
  <c r="F355" i="19" a="1"/>
  <c r="F355" i="19" s="1"/>
  <c r="E355" i="19"/>
  <c r="E355" i="19" a="1"/>
  <c r="D355" i="19"/>
  <c r="D355" i="19" a="1"/>
  <c r="H354" i="19" a="1"/>
  <c r="H354" i="19" s="1"/>
  <c r="G354" i="19" a="1"/>
  <c r="G354" i="19" s="1"/>
  <c r="F354" i="19"/>
  <c r="F354" i="19" a="1"/>
  <c r="E354" i="19" a="1"/>
  <c r="E354" i="19" s="1"/>
  <c r="D354" i="19" a="1"/>
  <c r="D354" i="19" s="1"/>
  <c r="H353" i="19" a="1"/>
  <c r="H353" i="19" s="1"/>
  <c r="G353" i="19" a="1"/>
  <c r="G353" i="19" s="1"/>
  <c r="F353" i="19" a="1"/>
  <c r="F353" i="19" s="1"/>
  <c r="E353" i="19" a="1"/>
  <c r="E353" i="19" s="1"/>
  <c r="D353" i="19" a="1"/>
  <c r="D353" i="19" s="1"/>
  <c r="H352" i="19" a="1"/>
  <c r="H352" i="19" s="1"/>
  <c r="G352" i="19"/>
  <c r="G352" i="19" a="1"/>
  <c r="F352" i="19" a="1"/>
  <c r="F352" i="19" s="1"/>
  <c r="E352" i="19" a="1"/>
  <c r="E352" i="19" s="1"/>
  <c r="D352" i="19"/>
  <c r="D352" i="19" a="1"/>
  <c r="H351" i="19" a="1"/>
  <c r="H351" i="19" s="1"/>
  <c r="G351" i="19"/>
  <c r="G351" i="19" a="1"/>
  <c r="F351" i="19"/>
  <c r="F351" i="19" a="1"/>
  <c r="E351" i="19" a="1"/>
  <c r="E351" i="19" s="1"/>
  <c r="D351" i="19" a="1"/>
  <c r="D351" i="19" s="1"/>
  <c r="H350" i="19" a="1"/>
  <c r="H350" i="19" s="1"/>
  <c r="G350" i="19"/>
  <c r="G350" i="19" a="1"/>
  <c r="F350" i="19" a="1"/>
  <c r="F350" i="19" s="1"/>
  <c r="E350" i="19"/>
  <c r="E350" i="19" a="1"/>
  <c r="D350" i="19" a="1"/>
  <c r="D350" i="19" s="1"/>
  <c r="H349" i="19" a="1"/>
  <c r="H349" i="19" s="1"/>
  <c r="G349" i="19"/>
  <c r="G349" i="19" a="1"/>
  <c r="F349" i="19" a="1"/>
  <c r="F349" i="19" s="1"/>
  <c r="E349" i="19"/>
  <c r="E349" i="19" a="1"/>
  <c r="D349" i="19"/>
  <c r="D349" i="19" a="1"/>
  <c r="H348" i="19" a="1"/>
  <c r="H348" i="19" s="1"/>
  <c r="G348" i="19" a="1"/>
  <c r="G348" i="19" s="1"/>
  <c r="F348" i="19"/>
  <c r="F348" i="19" a="1"/>
  <c r="E348" i="19" a="1"/>
  <c r="E348" i="19" s="1"/>
  <c r="D348" i="19" a="1"/>
  <c r="D348" i="19" s="1"/>
  <c r="H347" i="19" a="1"/>
  <c r="H347" i="19" s="1"/>
  <c r="G347" i="19" a="1"/>
  <c r="G347" i="19" s="1"/>
  <c r="F347" i="19" a="1"/>
  <c r="F347" i="19" s="1"/>
  <c r="E347" i="19" a="1"/>
  <c r="E347" i="19" s="1"/>
  <c r="D347" i="19"/>
  <c r="D347" i="19" a="1"/>
  <c r="H346" i="19" a="1"/>
  <c r="H346" i="19" s="1"/>
  <c r="G346" i="19"/>
  <c r="G346" i="19" a="1"/>
  <c r="F346" i="19" a="1"/>
  <c r="F346" i="19" s="1"/>
  <c r="E346" i="19" a="1"/>
  <c r="E346" i="19" s="1"/>
  <c r="D346" i="19" a="1"/>
  <c r="D346" i="19" s="1"/>
  <c r="H345" i="19" a="1"/>
  <c r="H345" i="19" s="1"/>
  <c r="G345" i="19" a="1"/>
  <c r="G345" i="19" s="1"/>
  <c r="F345" i="19"/>
  <c r="F345" i="19" a="1"/>
  <c r="E345" i="19" a="1"/>
  <c r="E345" i="19" s="1"/>
  <c r="D345" i="19" a="1"/>
  <c r="D345" i="19" s="1"/>
  <c r="H344" i="19" a="1"/>
  <c r="H344" i="19" s="1"/>
  <c r="G344" i="19" a="1"/>
  <c r="G344" i="19" s="1"/>
  <c r="F344" i="19" a="1"/>
  <c r="F344" i="19" s="1"/>
  <c r="E344" i="19"/>
  <c r="E344" i="19" a="1"/>
  <c r="D344" i="19" a="1"/>
  <c r="D344" i="19" s="1"/>
  <c r="H343" i="19" a="1"/>
  <c r="H343" i="19" s="1"/>
  <c r="G343" i="19" a="1"/>
  <c r="G343" i="19" s="1"/>
  <c r="F343" i="19"/>
  <c r="F343" i="19" a="1"/>
  <c r="E343" i="19" a="1"/>
  <c r="E343" i="19" s="1"/>
  <c r="D343" i="19"/>
  <c r="D343" i="19" a="1"/>
  <c r="H342" i="19" a="1"/>
  <c r="H342" i="19" s="1"/>
  <c r="G342" i="19" a="1"/>
  <c r="G342" i="19" s="1"/>
  <c r="F342" i="19" a="1"/>
  <c r="F342" i="19" s="1"/>
  <c r="E342" i="19" a="1"/>
  <c r="E342" i="19" s="1"/>
  <c r="D342" i="19"/>
  <c r="D342" i="19" a="1"/>
  <c r="H341" i="19" a="1"/>
  <c r="H341" i="19" s="1"/>
  <c r="G341" i="19" a="1"/>
  <c r="G341" i="19" s="1"/>
  <c r="F341" i="19" a="1"/>
  <c r="F341" i="19" s="1"/>
  <c r="E341" i="19" a="1"/>
  <c r="E341" i="19" s="1"/>
  <c r="D341" i="19"/>
  <c r="D341" i="19" a="1"/>
  <c r="H340" i="19" a="1"/>
  <c r="H340" i="19" s="1"/>
  <c r="G340" i="19"/>
  <c r="G340" i="19" a="1"/>
  <c r="F340" i="19" a="1"/>
  <c r="F340" i="19" s="1"/>
  <c r="E340" i="19" a="1"/>
  <c r="E340" i="19" s="1"/>
  <c r="D340" i="19"/>
  <c r="D340" i="19" a="1"/>
  <c r="H339" i="19" a="1"/>
  <c r="H339" i="19" s="1"/>
  <c r="G339" i="19" a="1"/>
  <c r="G339" i="19" s="1"/>
  <c r="F339" i="19"/>
  <c r="F339" i="19" a="1"/>
  <c r="E339" i="19" a="1"/>
  <c r="E339" i="19" s="1"/>
  <c r="D339" i="19" a="1"/>
  <c r="D339" i="19" s="1"/>
  <c r="H338" i="19" a="1"/>
  <c r="H338" i="19" s="1"/>
  <c r="G338" i="19" a="1"/>
  <c r="G338" i="19" s="1"/>
  <c r="F338" i="19" a="1"/>
  <c r="F338" i="19" s="1"/>
  <c r="E338" i="19"/>
  <c r="E338" i="19" a="1"/>
  <c r="D338" i="19" a="1"/>
  <c r="D338" i="19" s="1"/>
  <c r="H337" i="19" a="1"/>
  <c r="H337" i="19" s="1"/>
  <c r="G337" i="19"/>
  <c r="G337" i="19" a="1"/>
  <c r="F337" i="19" a="1"/>
  <c r="F337" i="19" s="1"/>
  <c r="E337" i="19"/>
  <c r="E337" i="19" a="1"/>
  <c r="D337" i="19"/>
  <c r="D337" i="19" a="1"/>
  <c r="H336" i="19" a="1"/>
  <c r="H336" i="19" s="1"/>
  <c r="G336" i="19" a="1"/>
  <c r="G336" i="19" s="1"/>
  <c r="F336" i="19" a="1"/>
  <c r="F336" i="19" s="1"/>
  <c r="E336" i="19"/>
  <c r="E336" i="19" a="1"/>
  <c r="D336" i="19" a="1"/>
  <c r="D336" i="19" s="1"/>
  <c r="H335" i="19" a="1"/>
  <c r="H335" i="19" s="1"/>
  <c r="G335" i="19" a="1"/>
  <c r="G335" i="19" s="1"/>
  <c r="F335" i="19" a="1"/>
  <c r="F335" i="19" s="1"/>
  <c r="E335" i="19"/>
  <c r="E335" i="19" a="1"/>
  <c r="D335" i="19" a="1"/>
  <c r="D335" i="19" s="1"/>
  <c r="H334" i="19" a="1"/>
  <c r="H334" i="19" s="1"/>
  <c r="G334" i="19"/>
  <c r="G334" i="19" a="1"/>
  <c r="F334" i="19" a="1"/>
  <c r="F334" i="19" s="1"/>
  <c r="E334" i="19" a="1"/>
  <c r="E334" i="19" s="1"/>
  <c r="D334" i="19"/>
  <c r="D334" i="19" a="1"/>
  <c r="H333" i="19" a="1"/>
  <c r="H333" i="19" s="1"/>
  <c r="G333" i="19" a="1"/>
  <c r="G333" i="19" s="1"/>
  <c r="F333" i="19"/>
  <c r="F333" i="19" a="1"/>
  <c r="E333" i="19" a="1"/>
  <c r="E333" i="19" s="1"/>
  <c r="D333" i="19" a="1"/>
  <c r="D333" i="19" s="1"/>
  <c r="H332" i="19" a="1"/>
  <c r="H332" i="19" s="1"/>
  <c r="G332" i="19" a="1"/>
  <c r="G332" i="19" s="1"/>
  <c r="F332" i="19"/>
  <c r="F332" i="19" a="1"/>
  <c r="E332" i="19"/>
  <c r="E332" i="19" a="1"/>
  <c r="D332" i="19" a="1"/>
  <c r="D332" i="19" s="1"/>
  <c r="H331" i="19" a="1"/>
  <c r="H331" i="19" s="1"/>
  <c r="G331" i="19" a="1"/>
  <c r="G331" i="19" s="1"/>
  <c r="F331" i="19"/>
  <c r="F331" i="19" a="1"/>
  <c r="E331" i="19" a="1"/>
  <c r="E331" i="19" s="1"/>
  <c r="D331" i="19"/>
  <c r="D331" i="19" a="1"/>
  <c r="H330" i="19" a="1"/>
  <c r="H330" i="19" s="1"/>
  <c r="G330" i="19" a="1"/>
  <c r="G330" i="19" s="1"/>
  <c r="F330" i="19"/>
  <c r="F330" i="19" a="1"/>
  <c r="E330" i="19" a="1"/>
  <c r="E330" i="19" s="1"/>
  <c r="D330" i="19" a="1"/>
  <c r="D330" i="19" s="1"/>
  <c r="H329" i="19" a="1"/>
  <c r="H329" i="19" s="1"/>
  <c r="G329" i="19" a="1"/>
  <c r="G329" i="19" s="1"/>
  <c r="F329" i="19" a="1"/>
  <c r="F329" i="19" s="1"/>
  <c r="E329" i="19" a="1"/>
  <c r="E329" i="19" s="1"/>
  <c r="D329" i="19"/>
  <c r="D329" i="19" a="1"/>
  <c r="H328" i="19" a="1"/>
  <c r="H328" i="19" s="1"/>
  <c r="G328" i="19" a="1"/>
  <c r="G328" i="19" s="1"/>
  <c r="F328" i="19" a="1"/>
  <c r="F328" i="19" s="1"/>
  <c r="E328" i="19" a="1"/>
  <c r="E328" i="19" s="1"/>
  <c r="D328" i="19" a="1"/>
  <c r="D328" i="19" s="1"/>
  <c r="H327" i="19" a="1"/>
  <c r="H327" i="19" s="1"/>
  <c r="G327" i="19"/>
  <c r="G327" i="19" a="1"/>
  <c r="F327" i="19" a="1"/>
  <c r="F327" i="19" s="1"/>
  <c r="E327" i="19" a="1"/>
  <c r="E327" i="19" s="1"/>
  <c r="D327" i="19" a="1"/>
  <c r="D327" i="19" s="1"/>
  <c r="H326" i="19" a="1"/>
  <c r="H326" i="19" s="1"/>
  <c r="G326" i="19" a="1"/>
  <c r="G326" i="19" s="1"/>
  <c r="F326" i="19" a="1"/>
  <c r="F326" i="19" s="1"/>
  <c r="E326" i="19"/>
  <c r="E326" i="19" a="1"/>
  <c r="D326" i="19" a="1"/>
  <c r="D326" i="19" s="1"/>
  <c r="H325" i="19" a="1"/>
  <c r="H325" i="19" s="1"/>
  <c r="G325" i="19" a="1"/>
  <c r="G325" i="19" s="1"/>
  <c r="F325" i="19"/>
  <c r="F325" i="19" a="1"/>
  <c r="E325" i="19" a="1"/>
  <c r="E325" i="19" s="1"/>
  <c r="D325" i="19" a="1"/>
  <c r="D325" i="19" s="1"/>
  <c r="H324" i="19" a="1"/>
  <c r="H324" i="19" s="1"/>
  <c r="G324" i="19" a="1"/>
  <c r="G324" i="19" s="1"/>
  <c r="F324" i="19" a="1"/>
  <c r="F324" i="19" s="1"/>
  <c r="E324" i="19"/>
  <c r="E324" i="19" a="1"/>
  <c r="D324" i="19" a="1"/>
  <c r="D324" i="19" s="1"/>
  <c r="H323" i="19" a="1"/>
  <c r="H323" i="19" s="1"/>
  <c r="G323" i="19" a="1"/>
  <c r="G323" i="19" s="1"/>
  <c r="F323" i="19" a="1"/>
  <c r="F323" i="19" s="1"/>
  <c r="E323" i="19"/>
  <c r="E323" i="19" a="1"/>
  <c r="D323" i="19" a="1"/>
  <c r="D323" i="19" s="1"/>
  <c r="H322" i="19" a="1"/>
  <c r="H322" i="19" s="1"/>
  <c r="G322" i="19"/>
  <c r="G322" i="19" a="1"/>
  <c r="F322" i="19" a="1"/>
  <c r="F322" i="19" s="1"/>
  <c r="E322" i="19" a="1"/>
  <c r="E322" i="19" s="1"/>
  <c r="D322" i="19" a="1"/>
  <c r="D322" i="19" s="1"/>
  <c r="H321" i="19" a="1"/>
  <c r="H321" i="19" s="1"/>
  <c r="G321" i="19" a="1"/>
  <c r="G321" i="19" s="1"/>
  <c r="F321" i="19" a="1"/>
  <c r="F321" i="19" s="1"/>
  <c r="E321" i="19" a="1"/>
  <c r="E321" i="19" s="1"/>
  <c r="D321" i="19" a="1"/>
  <c r="D321" i="19" s="1"/>
  <c r="H320" i="19" a="1"/>
  <c r="H320" i="19" s="1"/>
  <c r="G320" i="19" a="1"/>
  <c r="G320" i="19" s="1"/>
  <c r="F320" i="19"/>
  <c r="F320" i="19" a="1"/>
  <c r="E320" i="19" a="1"/>
  <c r="E320" i="19" s="1"/>
  <c r="D320" i="19" a="1"/>
  <c r="D320" i="19" s="1"/>
  <c r="H319" i="19" a="1"/>
  <c r="H319" i="19" s="1"/>
  <c r="G319" i="19" a="1"/>
  <c r="G319" i="19" s="1"/>
  <c r="F319" i="19" a="1"/>
  <c r="F319" i="19" s="1"/>
  <c r="E319" i="19" a="1"/>
  <c r="E319" i="19" s="1"/>
  <c r="D319" i="19"/>
  <c r="D319" i="19" a="1"/>
  <c r="H318" i="19" a="1"/>
  <c r="H318" i="19" s="1"/>
  <c r="G318" i="19" a="1"/>
  <c r="G318" i="19" s="1"/>
  <c r="F318" i="19" a="1"/>
  <c r="F318" i="19" s="1"/>
  <c r="E318" i="19"/>
  <c r="E318" i="19" a="1"/>
  <c r="D318" i="19" a="1"/>
  <c r="D318" i="19" s="1"/>
  <c r="H317" i="19" a="1"/>
  <c r="H317" i="19" s="1"/>
  <c r="G317" i="19" a="1"/>
  <c r="G317" i="19" s="1"/>
  <c r="F317" i="19" a="1"/>
  <c r="F317" i="19" s="1"/>
  <c r="E317" i="19" a="1"/>
  <c r="E317" i="19" s="1"/>
  <c r="D317" i="19" a="1"/>
  <c r="D317" i="19" s="1"/>
  <c r="H316" i="19" a="1"/>
  <c r="H316" i="19" s="1"/>
  <c r="G316" i="19"/>
  <c r="G316" i="19" a="1"/>
  <c r="F316" i="19" a="1"/>
  <c r="F316" i="19" s="1"/>
  <c r="E316" i="19" a="1"/>
  <c r="E316" i="19" s="1"/>
  <c r="D316" i="19"/>
  <c r="D316" i="19" a="1"/>
  <c r="H315" i="19" a="1"/>
  <c r="H315" i="19" s="1"/>
  <c r="G315" i="19"/>
  <c r="G315" i="19" a="1"/>
  <c r="F315" i="19" a="1"/>
  <c r="F315" i="19" s="1"/>
  <c r="E315" i="19" a="1"/>
  <c r="E315" i="19" s="1"/>
  <c r="D315" i="19" a="1"/>
  <c r="D315" i="19" s="1"/>
  <c r="H314" i="19" a="1"/>
  <c r="H314" i="19" s="1"/>
  <c r="G314" i="19"/>
  <c r="G314" i="19" a="1"/>
  <c r="F314" i="19" a="1"/>
  <c r="F314" i="19" s="1"/>
  <c r="E314" i="19"/>
  <c r="E314" i="19" a="1"/>
  <c r="D314" i="19" a="1"/>
  <c r="D314" i="19" s="1"/>
  <c r="H313" i="19" a="1"/>
  <c r="H313" i="19" s="1"/>
  <c r="G313" i="19" a="1"/>
  <c r="G313" i="19" s="1"/>
  <c r="F313" i="19" a="1"/>
  <c r="F313" i="19" s="1"/>
  <c r="E313" i="19"/>
  <c r="E313" i="19" a="1"/>
  <c r="D313" i="19" a="1"/>
  <c r="D313" i="19" s="1"/>
  <c r="H312" i="19" a="1"/>
  <c r="H312" i="19" s="1"/>
  <c r="G312" i="19" a="1"/>
  <c r="G312" i="19" s="1"/>
  <c r="F312" i="19"/>
  <c r="F312" i="19" a="1"/>
  <c r="E312" i="19"/>
  <c r="E312" i="19" a="1"/>
  <c r="D312" i="19" a="1"/>
  <c r="D312" i="19" s="1"/>
  <c r="H311" i="19" a="1"/>
  <c r="H311" i="19" s="1"/>
  <c r="G311" i="19" a="1"/>
  <c r="G311" i="19" s="1"/>
  <c r="F311" i="19" a="1"/>
  <c r="F311" i="19" s="1"/>
  <c r="E311" i="19" a="1"/>
  <c r="E311" i="19" s="1"/>
  <c r="D311" i="19"/>
  <c r="D311" i="19" a="1"/>
  <c r="H310" i="19" a="1"/>
  <c r="H310" i="19" s="1"/>
  <c r="G310" i="19" a="1"/>
  <c r="G310" i="19" s="1"/>
  <c r="F310" i="19" a="1"/>
  <c r="F310" i="19" s="1"/>
  <c r="E310" i="19" a="1"/>
  <c r="E310" i="19" s="1"/>
  <c r="D310" i="19" a="1"/>
  <c r="D310" i="19" s="1"/>
  <c r="H309" i="19" a="1"/>
  <c r="H309" i="19" s="1"/>
  <c r="G309" i="19" a="1"/>
  <c r="G309" i="19" s="1"/>
  <c r="F309" i="19"/>
  <c r="F309" i="19" a="1"/>
  <c r="E309" i="19" a="1"/>
  <c r="E309" i="19" s="1"/>
  <c r="D309" i="19" a="1"/>
  <c r="D309" i="19" s="1"/>
  <c r="H308" i="19" a="1"/>
  <c r="H308" i="19" s="1"/>
  <c r="G308" i="19" a="1"/>
  <c r="G308" i="19" s="1"/>
  <c r="F308" i="19" a="1"/>
  <c r="F308" i="19" s="1"/>
  <c r="E308" i="19" a="1"/>
  <c r="E308" i="19" s="1"/>
  <c r="D308" i="19" a="1"/>
  <c r="D308" i="19" s="1"/>
  <c r="H307" i="19" a="1"/>
  <c r="H307" i="19" s="1"/>
  <c r="G307" i="19" a="1"/>
  <c r="G307" i="19" s="1"/>
  <c r="F307" i="19"/>
  <c r="F307" i="19" a="1"/>
  <c r="E307" i="19" a="1"/>
  <c r="E307" i="19" s="1"/>
  <c r="D307" i="19" a="1"/>
  <c r="D307" i="19" s="1"/>
  <c r="H306" i="19" a="1"/>
  <c r="H306" i="19" s="1"/>
  <c r="G306" i="19" a="1"/>
  <c r="G306" i="19" s="1"/>
  <c r="F306" i="19" a="1"/>
  <c r="F306" i="19" s="1"/>
  <c r="E306" i="19" a="1"/>
  <c r="E306" i="19" s="1"/>
  <c r="D306" i="19"/>
  <c r="D306" i="19" a="1"/>
  <c r="H305" i="19" a="1"/>
  <c r="H305" i="19" s="1"/>
  <c r="G305" i="19" a="1"/>
  <c r="G305" i="19" s="1"/>
  <c r="F305" i="19" a="1"/>
  <c r="F305" i="19" s="1"/>
  <c r="E305" i="19" a="1"/>
  <c r="E305" i="19" s="1"/>
  <c r="D305" i="19" a="1"/>
  <c r="D305" i="19" s="1"/>
  <c r="H304" i="19" a="1"/>
  <c r="H304" i="19" s="1"/>
  <c r="G304" i="19" a="1"/>
  <c r="G304" i="19" s="1"/>
  <c r="F304" i="19" a="1"/>
  <c r="F304" i="19" s="1"/>
  <c r="E304" i="19" a="1"/>
  <c r="E304" i="19" s="1"/>
  <c r="D304" i="19"/>
  <c r="D304" i="19" a="1"/>
  <c r="H303" i="19" a="1"/>
  <c r="H303" i="19" s="1"/>
  <c r="G303" i="19" a="1"/>
  <c r="G303" i="19" s="1"/>
  <c r="F303" i="19" a="1"/>
  <c r="F303" i="19" s="1"/>
  <c r="E303" i="19" a="1"/>
  <c r="E303" i="19" s="1"/>
  <c r="D303" i="19" a="1"/>
  <c r="D303" i="19" s="1"/>
  <c r="H302" i="19" a="1"/>
  <c r="H302" i="19" s="1"/>
  <c r="G302" i="19"/>
  <c r="G302" i="19" a="1"/>
  <c r="F302" i="19" a="1"/>
  <c r="F302" i="19" s="1"/>
  <c r="E302" i="19"/>
  <c r="E302" i="19" a="1"/>
  <c r="D302" i="19" a="1"/>
  <c r="D302" i="19" s="1"/>
  <c r="H301" i="19" a="1"/>
  <c r="H301" i="19" s="1"/>
  <c r="G301" i="19" a="1"/>
  <c r="G301" i="19" s="1"/>
  <c r="F301" i="19" a="1"/>
  <c r="F301" i="19" s="1"/>
  <c r="E301" i="19" a="1"/>
  <c r="E301" i="19" s="1"/>
  <c r="D301" i="19" a="1"/>
  <c r="D301" i="19" s="1"/>
  <c r="H300" i="19" a="1"/>
  <c r="H300" i="19" s="1"/>
  <c r="G300" i="19" a="1"/>
  <c r="G300" i="19" s="1"/>
  <c r="F300" i="19" a="1"/>
  <c r="F300" i="19" s="1"/>
  <c r="E300" i="19" a="1"/>
  <c r="E300" i="19" s="1"/>
  <c r="D300" i="19" a="1"/>
  <c r="D300" i="19" s="1"/>
  <c r="H299" i="19" a="1"/>
  <c r="H299" i="19" s="1"/>
  <c r="G299" i="19" a="1"/>
  <c r="G299" i="19" s="1"/>
  <c r="F299" i="19" a="1"/>
  <c r="F299" i="19" s="1"/>
  <c r="E299" i="19" a="1"/>
  <c r="E299" i="19" s="1"/>
  <c r="D299" i="19" a="1"/>
  <c r="D299" i="19" s="1"/>
  <c r="H298" i="19" a="1"/>
  <c r="H298" i="19" s="1"/>
  <c r="G298" i="19" a="1"/>
  <c r="G298" i="19" s="1"/>
  <c r="F298" i="19" a="1"/>
  <c r="F298" i="19" s="1"/>
  <c r="E298" i="19" a="1"/>
  <c r="E298" i="19" s="1"/>
  <c r="D298" i="19" a="1"/>
  <c r="D298" i="19" s="1"/>
  <c r="H297" i="19" a="1"/>
  <c r="H297" i="19" s="1"/>
  <c r="G297" i="19" a="1"/>
  <c r="G297" i="19" s="1"/>
  <c r="F297" i="19" a="1"/>
  <c r="F297" i="19" s="1"/>
  <c r="E297" i="19" a="1"/>
  <c r="E297" i="19" s="1"/>
  <c r="D297" i="19" a="1"/>
  <c r="D297" i="19" s="1"/>
  <c r="H296" i="19" a="1"/>
  <c r="H296" i="19" s="1"/>
  <c r="G296" i="19"/>
  <c r="G296" i="19" a="1"/>
  <c r="F296" i="19" a="1"/>
  <c r="F296" i="19" s="1"/>
  <c r="E296" i="19" a="1"/>
  <c r="E296" i="19" s="1"/>
  <c r="D296" i="19" a="1"/>
  <c r="D296" i="19" s="1"/>
  <c r="H295" i="19" a="1"/>
  <c r="H295" i="19" s="1"/>
  <c r="G295" i="19" a="1"/>
  <c r="G295" i="19" s="1"/>
  <c r="F295" i="19" a="1"/>
  <c r="F295" i="19" s="1"/>
  <c r="E295" i="19" a="1"/>
  <c r="E295" i="19" s="1"/>
  <c r="D295" i="19"/>
  <c r="D295" i="19" a="1"/>
  <c r="H294" i="19" a="1"/>
  <c r="H294" i="19" s="1"/>
  <c r="G294" i="19" a="1"/>
  <c r="G294" i="19" s="1"/>
  <c r="F294" i="19" a="1"/>
  <c r="F294" i="19" s="1"/>
  <c r="E294" i="19" a="1"/>
  <c r="E294" i="19" s="1"/>
  <c r="D294" i="19" a="1"/>
  <c r="D294" i="19" s="1"/>
  <c r="H293" i="19" a="1"/>
  <c r="H293" i="19" s="1"/>
  <c r="G293" i="19" a="1"/>
  <c r="G293" i="19" s="1"/>
  <c r="F293" i="19" a="1"/>
  <c r="F293" i="19" s="1"/>
  <c r="E293" i="19" a="1"/>
  <c r="E293" i="19" s="1"/>
  <c r="D293" i="19" a="1"/>
  <c r="D293" i="19" s="1"/>
  <c r="H292" i="19" a="1"/>
  <c r="H292" i="19" s="1"/>
  <c r="G292" i="19"/>
  <c r="G292" i="19" a="1"/>
  <c r="F292" i="19" a="1"/>
  <c r="F292" i="19" s="1"/>
  <c r="E292" i="19" a="1"/>
  <c r="E292" i="19" s="1"/>
  <c r="D292" i="19" a="1"/>
  <c r="D292" i="19" s="1"/>
  <c r="H291" i="19" a="1"/>
  <c r="H291" i="19" s="1"/>
  <c r="G291" i="19" a="1"/>
  <c r="G291" i="19" s="1"/>
  <c r="F291" i="19" a="1"/>
  <c r="F291" i="19" s="1"/>
  <c r="E291" i="19" a="1"/>
  <c r="E291" i="19" s="1"/>
  <c r="D291" i="19" a="1"/>
  <c r="D291" i="19" s="1"/>
  <c r="H290" i="19" a="1"/>
  <c r="H290" i="19" s="1"/>
  <c r="G290" i="19" a="1"/>
  <c r="G290" i="19" s="1"/>
  <c r="F290" i="19" a="1"/>
  <c r="F290" i="19" s="1"/>
  <c r="E290" i="19" a="1"/>
  <c r="E290" i="19" s="1"/>
  <c r="D290" i="19" a="1"/>
  <c r="D290" i="19" s="1"/>
  <c r="H289" i="19" a="1"/>
  <c r="H289" i="19" s="1"/>
  <c r="G289" i="19" a="1"/>
  <c r="G289" i="19" s="1"/>
  <c r="F289" i="19"/>
  <c r="F289" i="19" a="1"/>
  <c r="E289" i="19" a="1"/>
  <c r="E289" i="19" s="1"/>
  <c r="D289" i="19" a="1"/>
  <c r="D289" i="19" s="1"/>
  <c r="H288" i="19" a="1"/>
  <c r="H288" i="19" s="1"/>
  <c r="G288" i="19" a="1"/>
  <c r="G288" i="19" s="1"/>
  <c r="F288" i="19" a="1"/>
  <c r="F288" i="19" s="1"/>
  <c r="E288" i="19" a="1"/>
  <c r="E288" i="19" s="1"/>
  <c r="D288" i="19" a="1"/>
  <c r="D288" i="19" s="1"/>
  <c r="H287" i="19" a="1"/>
  <c r="H287" i="19" s="1"/>
  <c r="G287" i="19" a="1"/>
  <c r="G287" i="19" s="1"/>
  <c r="F287" i="19" a="1"/>
  <c r="F287" i="19" s="1"/>
  <c r="E287" i="19" a="1"/>
  <c r="E287" i="19" s="1"/>
  <c r="D287" i="19" a="1"/>
  <c r="D287" i="19" s="1"/>
  <c r="H286" i="19" a="1"/>
  <c r="H286" i="19" s="1"/>
  <c r="G286" i="19"/>
  <c r="G286" i="19" a="1"/>
  <c r="F286" i="19" a="1"/>
  <c r="F286" i="19" s="1"/>
  <c r="E286" i="19" a="1"/>
  <c r="E286" i="19" s="1"/>
  <c r="D286" i="19" a="1"/>
  <c r="D286" i="19" s="1"/>
  <c r="H285" i="19" a="1"/>
  <c r="H285" i="19" s="1"/>
  <c r="G285" i="19" a="1"/>
  <c r="G285" i="19" s="1"/>
  <c r="F285" i="19"/>
  <c r="F285" i="19" a="1"/>
  <c r="E285" i="19" a="1"/>
  <c r="E285" i="19" s="1"/>
  <c r="D285" i="19" a="1"/>
  <c r="D285" i="19" s="1"/>
  <c r="H284" i="19" a="1"/>
  <c r="H284" i="19" s="1"/>
  <c r="G284" i="19" a="1"/>
  <c r="G284" i="19" s="1"/>
  <c r="F284" i="19" a="1"/>
  <c r="F284" i="19" s="1"/>
  <c r="E284" i="19" a="1"/>
  <c r="E284" i="19" s="1"/>
  <c r="D284" i="19" a="1"/>
  <c r="D284" i="19" s="1"/>
  <c r="H283" i="19" a="1"/>
  <c r="H283" i="19" s="1"/>
  <c r="G283" i="19" a="1"/>
  <c r="G283" i="19" s="1"/>
  <c r="F283" i="19" a="1"/>
  <c r="F283" i="19" s="1"/>
  <c r="E283" i="19" a="1"/>
  <c r="E283" i="19" s="1"/>
  <c r="D283" i="19" a="1"/>
  <c r="D283" i="19" s="1"/>
  <c r="H282" i="19" a="1"/>
  <c r="H282" i="19" s="1"/>
  <c r="G282" i="19" a="1"/>
  <c r="G282" i="19" s="1"/>
  <c r="F282" i="19" a="1"/>
  <c r="F282" i="19" s="1"/>
  <c r="E282" i="19"/>
  <c r="E282" i="19" a="1"/>
  <c r="D282" i="19" a="1"/>
  <c r="D282" i="19" s="1"/>
  <c r="H281" i="19" a="1"/>
  <c r="H281" i="19" s="1"/>
  <c r="G281" i="19" a="1"/>
  <c r="G281" i="19" s="1"/>
  <c r="F281" i="19" a="1"/>
  <c r="F281" i="19" s="1"/>
  <c r="E281" i="19" a="1"/>
  <c r="E281" i="19" s="1"/>
  <c r="D281" i="19" a="1"/>
  <c r="D281" i="19" s="1"/>
  <c r="H280" i="19" a="1"/>
  <c r="H280" i="19" s="1"/>
  <c r="G280" i="19"/>
  <c r="G280" i="19" a="1"/>
  <c r="F280" i="19" a="1"/>
  <c r="F280" i="19" s="1"/>
  <c r="E280" i="19" a="1"/>
  <c r="E280" i="19" s="1"/>
  <c r="D280" i="19" a="1"/>
  <c r="D280" i="19" s="1"/>
  <c r="H279" i="19" a="1"/>
  <c r="H279" i="19" s="1"/>
  <c r="G279" i="19" a="1"/>
  <c r="G279" i="19" s="1"/>
  <c r="F279" i="19"/>
  <c r="F279" i="19" a="1"/>
  <c r="E279" i="19" a="1"/>
  <c r="E279" i="19" s="1"/>
  <c r="D279" i="19" a="1"/>
  <c r="D279" i="19" s="1"/>
  <c r="H278" i="19" a="1"/>
  <c r="H278" i="19" s="1"/>
  <c r="G278" i="19" a="1"/>
  <c r="G278" i="19" s="1"/>
  <c r="F278" i="19" a="1"/>
  <c r="F278" i="19" s="1"/>
  <c r="E278" i="19"/>
  <c r="E278" i="19" a="1"/>
  <c r="D278" i="19" a="1"/>
  <c r="D278" i="19" s="1"/>
  <c r="H277" i="19" a="1"/>
  <c r="H277" i="19" s="1"/>
  <c r="G277" i="19" a="1"/>
  <c r="G277" i="19" s="1"/>
  <c r="F277" i="19" a="1"/>
  <c r="F277" i="19" s="1"/>
  <c r="E277" i="19" a="1"/>
  <c r="E277" i="19" s="1"/>
  <c r="D277" i="19" a="1"/>
  <c r="D277" i="19" s="1"/>
  <c r="H276" i="19" a="1"/>
  <c r="H276" i="19" s="1"/>
  <c r="G276" i="19" a="1"/>
  <c r="G276" i="19" s="1"/>
  <c r="F276" i="19" a="1"/>
  <c r="F276" i="19" s="1"/>
  <c r="E276" i="19" a="1"/>
  <c r="E276" i="19" s="1"/>
  <c r="D276" i="19" a="1"/>
  <c r="D276" i="19" s="1"/>
  <c r="H275" i="19" a="1"/>
  <c r="H275" i="19" s="1"/>
  <c r="G275" i="19" a="1"/>
  <c r="G275" i="19" s="1"/>
  <c r="F275" i="19" a="1"/>
  <c r="F275" i="19" s="1"/>
  <c r="E275" i="19" a="1"/>
  <c r="E275" i="19" s="1"/>
  <c r="D275" i="19"/>
  <c r="D275" i="19" a="1"/>
  <c r="H274" i="19" a="1"/>
  <c r="H274" i="19" s="1"/>
  <c r="G274" i="19" a="1"/>
  <c r="G274" i="19" s="1"/>
  <c r="F274" i="19" a="1"/>
  <c r="F274" i="19" s="1"/>
  <c r="E274" i="19" a="1"/>
  <c r="E274" i="19" s="1"/>
  <c r="D274" i="19" a="1"/>
  <c r="D274" i="19" s="1"/>
  <c r="H273" i="19" a="1"/>
  <c r="H273" i="19" s="1"/>
  <c r="G273" i="19" a="1"/>
  <c r="G273" i="19" s="1"/>
  <c r="F273" i="19"/>
  <c r="F273" i="19" a="1"/>
  <c r="E273" i="19" a="1"/>
  <c r="E273" i="19" s="1"/>
  <c r="D273" i="19" a="1"/>
  <c r="D273" i="19" s="1"/>
  <c r="H272" i="19" a="1"/>
  <c r="H272" i="19" s="1"/>
  <c r="G272" i="19" a="1"/>
  <c r="G272" i="19" s="1"/>
  <c r="F272" i="19" a="1"/>
  <c r="F272" i="19" s="1"/>
  <c r="E272" i="19"/>
  <c r="E272" i="19" a="1"/>
  <c r="D272" i="19" a="1"/>
  <c r="D272" i="19" s="1"/>
  <c r="H271" i="19" a="1"/>
  <c r="H271" i="19" s="1"/>
  <c r="G271" i="19" a="1"/>
  <c r="G271" i="19" s="1"/>
  <c r="F271" i="19" a="1"/>
  <c r="F271" i="19" s="1"/>
  <c r="E271" i="19" a="1"/>
  <c r="E271" i="19" s="1"/>
  <c r="D271" i="19"/>
  <c r="D271" i="19" a="1"/>
  <c r="H270" i="19" a="1"/>
  <c r="H270" i="19" s="1"/>
  <c r="G270" i="19" a="1"/>
  <c r="G270" i="19" s="1"/>
  <c r="F270" i="19" a="1"/>
  <c r="F270" i="19" s="1"/>
  <c r="E270" i="19" a="1"/>
  <c r="E270" i="19" s="1"/>
  <c r="D270" i="19" a="1"/>
  <c r="D270" i="19" s="1"/>
  <c r="H269" i="19" a="1"/>
  <c r="H269" i="19" s="1"/>
  <c r="G269" i="19" a="1"/>
  <c r="G269" i="19" s="1"/>
  <c r="F269" i="19" a="1"/>
  <c r="F269" i="19" s="1"/>
  <c r="E269" i="19" a="1"/>
  <c r="E269" i="19" s="1"/>
  <c r="D269" i="19" a="1"/>
  <c r="D269" i="19" s="1"/>
  <c r="H268" i="19" a="1"/>
  <c r="H268" i="19" s="1"/>
  <c r="G268" i="19" a="1"/>
  <c r="G268" i="19" s="1"/>
  <c r="F268" i="19" a="1"/>
  <c r="F268" i="19" s="1"/>
  <c r="E268" i="19" a="1"/>
  <c r="E268" i="19" s="1"/>
  <c r="D268" i="19" a="1"/>
  <c r="D268" i="19" s="1"/>
  <c r="H267" i="19" a="1"/>
  <c r="H267" i="19" s="1"/>
  <c r="G267" i="19" a="1"/>
  <c r="G267" i="19" s="1"/>
  <c r="F267" i="19" a="1"/>
  <c r="F267" i="19" s="1"/>
  <c r="E267" i="19" a="1"/>
  <c r="E267" i="19" s="1"/>
  <c r="D267" i="19" a="1"/>
  <c r="D267" i="19" s="1"/>
  <c r="H266" i="19" a="1"/>
  <c r="H266" i="19" s="1"/>
  <c r="G266" i="19"/>
  <c r="G266" i="19" a="1"/>
  <c r="F266" i="19" a="1"/>
  <c r="F266" i="19" s="1"/>
  <c r="E266" i="19"/>
  <c r="E266" i="19" a="1"/>
  <c r="D266" i="19" a="1"/>
  <c r="D266" i="19" s="1"/>
  <c r="H265" i="19" a="1"/>
  <c r="H265" i="19" s="1"/>
  <c r="G265" i="19" a="1"/>
  <c r="G265" i="19" s="1"/>
  <c r="F265" i="19" a="1"/>
  <c r="F265" i="19" s="1"/>
  <c r="E265" i="19" a="1"/>
  <c r="E265" i="19" s="1"/>
  <c r="D265" i="19" a="1"/>
  <c r="D265" i="19" s="1"/>
  <c r="H264" i="19" a="1"/>
  <c r="H264" i="19" s="1"/>
  <c r="G264" i="19" a="1"/>
  <c r="G264" i="19" s="1"/>
  <c r="F264" i="19" a="1"/>
  <c r="F264" i="19" s="1"/>
  <c r="E264" i="19" a="1"/>
  <c r="E264" i="19" s="1"/>
  <c r="D264" i="19" a="1"/>
  <c r="D264" i="19" s="1"/>
  <c r="H263" i="19" a="1"/>
  <c r="H263" i="19" s="1"/>
  <c r="G263" i="19" a="1"/>
  <c r="G263" i="19" s="1"/>
  <c r="F263" i="19" a="1"/>
  <c r="F263" i="19" s="1"/>
  <c r="E263" i="19" a="1"/>
  <c r="E263" i="19" s="1"/>
  <c r="D263" i="19" a="1"/>
  <c r="D263" i="19" s="1"/>
  <c r="H262" i="19" a="1"/>
  <c r="H262" i="19" s="1"/>
  <c r="G262" i="19" a="1"/>
  <c r="G262" i="19" s="1"/>
  <c r="F262" i="19" a="1"/>
  <c r="F262" i="19" s="1"/>
  <c r="E262" i="19" a="1"/>
  <c r="E262" i="19" s="1"/>
  <c r="D262" i="19" a="1"/>
  <c r="D262" i="19" s="1"/>
  <c r="H261" i="19" a="1"/>
  <c r="H261" i="19" s="1"/>
  <c r="G261" i="19" a="1"/>
  <c r="G261" i="19" s="1"/>
  <c r="F261" i="19" a="1"/>
  <c r="F261" i="19" s="1"/>
  <c r="E261" i="19" a="1"/>
  <c r="E261" i="19" s="1"/>
  <c r="D261" i="19" a="1"/>
  <c r="D261" i="19" s="1"/>
  <c r="H260" i="19" a="1"/>
  <c r="H260" i="19" s="1"/>
  <c r="G260" i="19"/>
  <c r="G260" i="19" a="1"/>
  <c r="F260" i="19" a="1"/>
  <c r="F260" i="19" s="1"/>
  <c r="E260" i="19" a="1"/>
  <c r="E260" i="19" s="1"/>
  <c r="D260" i="19" a="1"/>
  <c r="D260" i="19" s="1"/>
  <c r="H259" i="19" a="1"/>
  <c r="H259" i="19" s="1"/>
  <c r="G259" i="19" a="1"/>
  <c r="G259" i="19" s="1"/>
  <c r="F259" i="19"/>
  <c r="F259" i="19" a="1"/>
  <c r="E259" i="19" a="1"/>
  <c r="E259" i="19" s="1"/>
  <c r="D259" i="19"/>
  <c r="D259" i="19" a="1"/>
  <c r="H258" i="19" a="1"/>
  <c r="H258" i="19" s="1"/>
  <c r="G258" i="19" a="1"/>
  <c r="G258" i="19" s="1"/>
  <c r="F258" i="19" a="1"/>
  <c r="F258" i="19" s="1"/>
  <c r="E258" i="19" a="1"/>
  <c r="E258" i="19" s="1"/>
  <c r="D258" i="19" a="1"/>
  <c r="D258" i="19" s="1"/>
  <c r="H257" i="19" a="1"/>
  <c r="H257" i="19" s="1"/>
  <c r="G257" i="19" a="1"/>
  <c r="G257" i="19" s="1"/>
  <c r="F257" i="19" a="1"/>
  <c r="F257" i="19" s="1"/>
  <c r="E257" i="19" a="1"/>
  <c r="E257" i="19" s="1"/>
  <c r="D257" i="19" a="1"/>
  <c r="D257" i="19" s="1"/>
  <c r="H256" i="19" a="1"/>
  <c r="H256" i="19" s="1"/>
  <c r="G256" i="19"/>
  <c r="G256" i="19" a="1"/>
  <c r="F256" i="19" a="1"/>
  <c r="F256" i="19" s="1"/>
  <c r="E256" i="19" a="1"/>
  <c r="E256" i="19" s="1"/>
  <c r="D256" i="19" a="1"/>
  <c r="D256" i="19" s="1"/>
  <c r="H255" i="19" a="1"/>
  <c r="H255" i="19" s="1"/>
  <c r="G255" i="19" a="1"/>
  <c r="G255" i="19" s="1"/>
  <c r="F255" i="19" a="1"/>
  <c r="F255" i="19" s="1"/>
  <c r="E255" i="19" a="1"/>
  <c r="E255" i="19" s="1"/>
  <c r="D255" i="19" a="1"/>
  <c r="D255" i="19" s="1"/>
  <c r="H254" i="19" a="1"/>
  <c r="H254" i="19" s="1"/>
  <c r="G254" i="19" a="1"/>
  <c r="G254" i="19" s="1"/>
  <c r="F254" i="19" a="1"/>
  <c r="F254" i="19" s="1"/>
  <c r="E254" i="19" a="1"/>
  <c r="E254" i="19" s="1"/>
  <c r="D254" i="19" a="1"/>
  <c r="D254" i="19" s="1"/>
  <c r="H253" i="19" a="1"/>
  <c r="H253" i="19" s="1"/>
  <c r="G253" i="19" a="1"/>
  <c r="G253" i="19" s="1"/>
  <c r="F253" i="19"/>
  <c r="F253" i="19" a="1"/>
  <c r="E253" i="19" a="1"/>
  <c r="E253" i="19" s="1"/>
  <c r="D253" i="19" a="1"/>
  <c r="D253" i="19" s="1"/>
  <c r="H252" i="19" a="1"/>
  <c r="H252" i="19" s="1"/>
  <c r="G252" i="19" a="1"/>
  <c r="G252" i="19" s="1"/>
  <c r="F252" i="19" a="1"/>
  <c r="F252" i="19" s="1"/>
  <c r="E252" i="19" a="1"/>
  <c r="E252" i="19" s="1"/>
  <c r="D252" i="19" a="1"/>
  <c r="D252" i="19" s="1"/>
  <c r="H251" i="19" a="1"/>
  <c r="H251" i="19" s="1"/>
  <c r="G251" i="19" a="1"/>
  <c r="G251" i="19" s="1"/>
  <c r="F251" i="19" a="1"/>
  <c r="F251" i="19" s="1"/>
  <c r="E251" i="19" a="1"/>
  <c r="E251" i="19" s="1"/>
  <c r="D251" i="19" a="1"/>
  <c r="D251" i="19" s="1"/>
  <c r="H250" i="19" a="1"/>
  <c r="H250" i="19" s="1"/>
  <c r="G250" i="19" a="1"/>
  <c r="G250" i="19" s="1"/>
  <c r="F250" i="19" a="1"/>
  <c r="F250" i="19" s="1"/>
  <c r="E250" i="19" a="1"/>
  <c r="E250" i="19" s="1"/>
  <c r="D250" i="19" a="1"/>
  <c r="D250" i="19" s="1"/>
  <c r="H249" i="19" a="1"/>
  <c r="H249" i="19" s="1"/>
  <c r="G249" i="19" a="1"/>
  <c r="G249" i="19" s="1"/>
  <c r="F249" i="19"/>
  <c r="F249" i="19" a="1"/>
  <c r="E249" i="19" a="1"/>
  <c r="E249" i="19" s="1"/>
  <c r="D249" i="19" a="1"/>
  <c r="D249" i="19" s="1"/>
  <c r="H248" i="19" a="1"/>
  <c r="H248" i="19" s="1"/>
  <c r="G248" i="19" a="1"/>
  <c r="G248" i="19" s="1"/>
  <c r="F248" i="19" a="1"/>
  <c r="F248" i="19" s="1"/>
  <c r="E248" i="19" a="1"/>
  <c r="E248" i="19" s="1"/>
  <c r="D248" i="19" a="1"/>
  <c r="D248" i="19" s="1"/>
  <c r="H247" i="19" a="1"/>
  <c r="H247" i="19" s="1"/>
  <c r="G247" i="19" a="1"/>
  <c r="G247" i="19" s="1"/>
  <c r="F247" i="19" a="1"/>
  <c r="F247" i="19" s="1"/>
  <c r="E247" i="19" a="1"/>
  <c r="E247" i="19" s="1"/>
  <c r="D247" i="19" a="1"/>
  <c r="D247" i="19" s="1"/>
  <c r="H246" i="19" a="1"/>
  <c r="H246" i="19" s="1"/>
  <c r="G246" i="19" a="1"/>
  <c r="G246" i="19" s="1"/>
  <c r="F246" i="19" a="1"/>
  <c r="F246" i="19" s="1"/>
  <c r="E246" i="19"/>
  <c r="E246" i="19" a="1"/>
  <c r="D246" i="19" a="1"/>
  <c r="D246" i="19" s="1"/>
  <c r="H245" i="19" a="1"/>
  <c r="H245" i="19" s="1"/>
  <c r="G245" i="19" a="1"/>
  <c r="G245" i="19" s="1"/>
  <c r="F245" i="19" a="1"/>
  <c r="F245" i="19" s="1"/>
  <c r="E245" i="19" a="1"/>
  <c r="E245" i="19" s="1"/>
  <c r="D245" i="19" a="1"/>
  <c r="D245" i="19" s="1"/>
  <c r="H244" i="19" a="1"/>
  <c r="H244" i="19" s="1"/>
  <c r="G244" i="19"/>
  <c r="G244" i="19" a="1"/>
  <c r="F244" i="19" a="1"/>
  <c r="F244" i="19" s="1"/>
  <c r="E244" i="19" a="1"/>
  <c r="E244" i="19" s="1"/>
  <c r="D244" i="19" a="1"/>
  <c r="D244" i="19" s="1"/>
  <c r="H243" i="19" a="1"/>
  <c r="H243" i="19" s="1"/>
  <c r="G243" i="19" a="1"/>
  <c r="G243" i="19" s="1"/>
  <c r="F243" i="19"/>
  <c r="F243" i="19" a="1"/>
  <c r="E243" i="19" a="1"/>
  <c r="E243" i="19" s="1"/>
  <c r="D243" i="19" a="1"/>
  <c r="D243" i="19" s="1"/>
  <c r="H242" i="19" a="1"/>
  <c r="H242" i="19" s="1"/>
  <c r="G242" i="19" a="1"/>
  <c r="G242" i="19" s="1"/>
  <c r="F242" i="19" a="1"/>
  <c r="F242" i="19" s="1"/>
  <c r="E242" i="19"/>
  <c r="E242" i="19" a="1"/>
  <c r="D242" i="19" a="1"/>
  <c r="D242" i="19" s="1"/>
  <c r="H241" i="19" a="1"/>
  <c r="H241" i="19" s="1"/>
  <c r="G241" i="19" a="1"/>
  <c r="G241" i="19" s="1"/>
  <c r="F241" i="19" a="1"/>
  <c r="F241" i="19" s="1"/>
  <c r="E241" i="19" a="1"/>
  <c r="E241" i="19" s="1"/>
  <c r="D241" i="19" a="1"/>
  <c r="D241" i="19" s="1"/>
  <c r="H240" i="19" a="1"/>
  <c r="H240" i="19" s="1"/>
  <c r="G240" i="19" a="1"/>
  <c r="G240" i="19" s="1"/>
  <c r="F240" i="19" a="1"/>
  <c r="F240" i="19" s="1"/>
  <c r="E240" i="19" a="1"/>
  <c r="E240" i="19" s="1"/>
  <c r="D240" i="19" a="1"/>
  <c r="D240" i="19" s="1"/>
  <c r="H239" i="19" a="1"/>
  <c r="H239" i="19" s="1"/>
  <c r="G239" i="19" a="1"/>
  <c r="G239" i="19" s="1"/>
  <c r="F239" i="19" a="1"/>
  <c r="F239" i="19" s="1"/>
  <c r="E239" i="19" a="1"/>
  <c r="E239" i="19" s="1"/>
  <c r="D239" i="19"/>
  <c r="D239" i="19" a="1"/>
  <c r="H238" i="19" a="1"/>
  <c r="H238" i="19" s="1"/>
  <c r="G238" i="19" a="1"/>
  <c r="G238" i="19" s="1"/>
  <c r="F238" i="19" a="1"/>
  <c r="F238" i="19" s="1"/>
  <c r="E238" i="19" a="1"/>
  <c r="E238" i="19" s="1"/>
  <c r="D238" i="19" a="1"/>
  <c r="D238" i="19" s="1"/>
  <c r="H237" i="19" a="1"/>
  <c r="H237" i="19" s="1"/>
  <c r="G237" i="19" a="1"/>
  <c r="G237" i="19" s="1"/>
  <c r="F237" i="19"/>
  <c r="F237" i="19" a="1"/>
  <c r="E237" i="19" a="1"/>
  <c r="E237" i="19" s="1"/>
  <c r="D237" i="19" a="1"/>
  <c r="D237" i="19" s="1"/>
  <c r="H236" i="19" a="1"/>
  <c r="H236" i="19" s="1"/>
  <c r="G236" i="19" a="1"/>
  <c r="G236" i="19" s="1"/>
  <c r="F236" i="19" a="1"/>
  <c r="F236" i="19" s="1"/>
  <c r="E236" i="19" a="1"/>
  <c r="E236" i="19" s="1"/>
  <c r="D236" i="19" a="1"/>
  <c r="D236" i="19" s="1"/>
  <c r="H235" i="19" a="1"/>
  <c r="H235" i="19" s="1"/>
  <c r="G235" i="19" a="1"/>
  <c r="G235" i="19" s="1"/>
  <c r="F235" i="19" a="1"/>
  <c r="F235" i="19" s="1"/>
  <c r="E235" i="19" a="1"/>
  <c r="E235" i="19" s="1"/>
  <c r="D235" i="19"/>
  <c r="D235" i="19" a="1"/>
  <c r="H234" i="19" a="1"/>
  <c r="H234" i="19" s="1"/>
  <c r="G234" i="19" a="1"/>
  <c r="G234" i="19" s="1"/>
  <c r="F234" i="19" a="1"/>
  <c r="F234" i="19" s="1"/>
  <c r="E234" i="19" a="1"/>
  <c r="E234" i="19" s="1"/>
  <c r="D234" i="19" a="1"/>
  <c r="D234" i="19" s="1"/>
  <c r="H233" i="19" a="1"/>
  <c r="H233" i="19" s="1"/>
  <c r="G233" i="19" a="1"/>
  <c r="G233" i="19" s="1"/>
  <c r="F233" i="19" a="1"/>
  <c r="F233" i="19" s="1"/>
  <c r="E233" i="19" a="1"/>
  <c r="E233" i="19" s="1"/>
  <c r="D233" i="19" a="1"/>
  <c r="D233" i="19" s="1"/>
  <c r="H232" i="19" a="1"/>
  <c r="H232" i="19" s="1"/>
  <c r="G232" i="19" a="1"/>
  <c r="G232" i="19" s="1"/>
  <c r="F232" i="19" a="1"/>
  <c r="F232" i="19" s="1"/>
  <c r="E232" i="19" a="1"/>
  <c r="E232" i="19" s="1"/>
  <c r="D232" i="19" a="1"/>
  <c r="D232" i="19" s="1"/>
  <c r="H231" i="19" a="1"/>
  <c r="H231" i="19" s="1"/>
  <c r="G231" i="19" a="1"/>
  <c r="G231" i="19" s="1"/>
  <c r="F231" i="19" a="1"/>
  <c r="F231" i="19" s="1"/>
  <c r="E231" i="19" a="1"/>
  <c r="E231" i="19" s="1"/>
  <c r="D231" i="19" a="1"/>
  <c r="D231" i="19" s="1"/>
  <c r="H230" i="19" a="1"/>
  <c r="H230" i="19" s="1"/>
  <c r="G230" i="19"/>
  <c r="G230" i="19" a="1"/>
  <c r="F230" i="19" a="1"/>
  <c r="F230" i="19" s="1"/>
  <c r="E230" i="19"/>
  <c r="E230" i="19" a="1"/>
  <c r="D230" i="19" a="1"/>
  <c r="D230" i="19" s="1"/>
  <c r="H229" i="19" a="1"/>
  <c r="H229" i="19" s="1"/>
  <c r="G229" i="19" a="1"/>
  <c r="G229" i="19" s="1"/>
  <c r="F229" i="19" a="1"/>
  <c r="F229" i="19" s="1"/>
  <c r="E229" i="19" a="1"/>
  <c r="E229" i="19" s="1"/>
  <c r="D229" i="19"/>
  <c r="D229" i="19" a="1"/>
  <c r="H228" i="19" a="1"/>
  <c r="H228" i="19" s="1"/>
  <c r="G228" i="19" a="1"/>
  <c r="G228" i="19" s="1"/>
  <c r="F228" i="19" a="1"/>
  <c r="F228" i="19" s="1"/>
  <c r="E228" i="19" a="1"/>
  <c r="E228" i="19" s="1"/>
  <c r="D228" i="19" a="1"/>
  <c r="D228" i="19" s="1"/>
  <c r="H227" i="19" a="1"/>
  <c r="H227" i="19" s="1"/>
  <c r="G227" i="19" a="1"/>
  <c r="G227" i="19" s="1"/>
  <c r="F227" i="19" a="1"/>
  <c r="F227" i="19" s="1"/>
  <c r="E227" i="19" a="1"/>
  <c r="E227" i="19" s="1"/>
  <c r="D227" i="19" a="1"/>
  <c r="D227" i="19" s="1"/>
  <c r="H226" i="19" a="1"/>
  <c r="H226" i="19" s="1"/>
  <c r="G226" i="19" a="1"/>
  <c r="G226" i="19" s="1"/>
  <c r="F226" i="19" a="1"/>
  <c r="F226" i="19" s="1"/>
  <c r="E226" i="19" a="1"/>
  <c r="E226" i="19" s="1"/>
  <c r="D226" i="19" a="1"/>
  <c r="D226" i="19" s="1"/>
  <c r="H225" i="19" a="1"/>
  <c r="H225" i="19" s="1"/>
  <c r="G225" i="19" a="1"/>
  <c r="G225" i="19" s="1"/>
  <c r="F225" i="19" a="1"/>
  <c r="F225" i="19" s="1"/>
  <c r="E225" i="19" a="1"/>
  <c r="E225" i="19" s="1"/>
  <c r="D225" i="19" a="1"/>
  <c r="D225" i="19" s="1"/>
  <c r="H224" i="19" a="1"/>
  <c r="H224" i="19" s="1"/>
  <c r="G224" i="19"/>
  <c r="G224" i="19" a="1"/>
  <c r="F224" i="19" a="1"/>
  <c r="F224" i="19" s="1"/>
  <c r="E224" i="19" a="1"/>
  <c r="E224" i="19" s="1"/>
  <c r="D224" i="19" a="1"/>
  <c r="D224" i="19" s="1"/>
  <c r="H223" i="19" a="1"/>
  <c r="H223" i="19" s="1"/>
  <c r="G223" i="19" a="1"/>
  <c r="G223" i="19" s="1"/>
  <c r="F223" i="19"/>
  <c r="F223" i="19" a="1"/>
  <c r="E223" i="19" a="1"/>
  <c r="E223" i="19" s="1"/>
  <c r="D223" i="19"/>
  <c r="D223" i="19" a="1"/>
  <c r="H222" i="19" a="1"/>
  <c r="H222" i="19" s="1"/>
  <c r="G222" i="19" a="1"/>
  <c r="G222" i="19" s="1"/>
  <c r="F222" i="19" a="1"/>
  <c r="F222" i="19" s="1"/>
  <c r="E222" i="19" a="1"/>
  <c r="E222" i="19" s="1"/>
  <c r="D222" i="19" a="1"/>
  <c r="D222" i="19" s="1"/>
  <c r="H221" i="19" a="1"/>
  <c r="H221" i="19" s="1"/>
  <c r="G221" i="19" a="1"/>
  <c r="G221" i="19" s="1"/>
  <c r="F221" i="19" a="1"/>
  <c r="F221" i="19" s="1"/>
  <c r="E221" i="19" a="1"/>
  <c r="E221" i="19" s="1"/>
  <c r="D221" i="19" a="1"/>
  <c r="D221" i="19" s="1"/>
  <c r="H220" i="19" a="1"/>
  <c r="H220" i="19" s="1"/>
  <c r="G220" i="19"/>
  <c r="G220" i="19" a="1"/>
  <c r="F220" i="19" a="1"/>
  <c r="F220" i="19" s="1"/>
  <c r="E220" i="19" a="1"/>
  <c r="E220" i="19" s="1"/>
  <c r="D220" i="19" a="1"/>
  <c r="D220" i="19" s="1"/>
  <c r="H219" i="19" a="1"/>
  <c r="H219" i="19" s="1"/>
  <c r="G219" i="19" a="1"/>
  <c r="G219" i="19" s="1"/>
  <c r="F219" i="19" a="1"/>
  <c r="F219" i="19" s="1"/>
  <c r="E219" i="19" a="1"/>
  <c r="E219" i="19" s="1"/>
  <c r="D219" i="19" a="1"/>
  <c r="D219" i="19" s="1"/>
  <c r="H218" i="19" a="1"/>
  <c r="H218" i="19" s="1"/>
  <c r="G218" i="19" a="1"/>
  <c r="G218" i="19" s="1"/>
  <c r="F218" i="19" a="1"/>
  <c r="F218" i="19" s="1"/>
  <c r="E218" i="19" a="1"/>
  <c r="E218" i="19" s="1"/>
  <c r="D218" i="19" a="1"/>
  <c r="D218" i="19" s="1"/>
  <c r="H217" i="19" a="1"/>
  <c r="H217" i="19" s="1"/>
  <c r="G217" i="19" a="1"/>
  <c r="G217" i="19" s="1"/>
  <c r="F217" i="19"/>
  <c r="F217" i="19" a="1"/>
  <c r="E217" i="19" a="1"/>
  <c r="E217" i="19" s="1"/>
  <c r="D217" i="19" a="1"/>
  <c r="D217" i="19" s="1"/>
  <c r="H216" i="19" a="1"/>
  <c r="H216" i="19" s="1"/>
  <c r="G216" i="19" a="1"/>
  <c r="G216" i="19" s="1"/>
  <c r="F216" i="19" a="1"/>
  <c r="F216" i="19" s="1"/>
  <c r="E216" i="19"/>
  <c r="E216" i="19" a="1"/>
  <c r="D216" i="19" a="1"/>
  <c r="D216" i="19" s="1"/>
  <c r="H215" i="19" a="1"/>
  <c r="H215" i="19" s="1"/>
  <c r="G215" i="19" a="1"/>
  <c r="G215" i="19" s="1"/>
  <c r="F215" i="19" a="1"/>
  <c r="F215" i="19" s="1"/>
  <c r="E215" i="19" a="1"/>
  <c r="E215" i="19" s="1"/>
  <c r="D215" i="19" a="1"/>
  <c r="D215" i="19" s="1"/>
  <c r="H214" i="19" a="1"/>
  <c r="H214" i="19" s="1"/>
  <c r="G214" i="19" a="1"/>
  <c r="G214" i="19" s="1"/>
  <c r="F214" i="19" a="1"/>
  <c r="F214" i="19" s="1"/>
  <c r="E214" i="19" a="1"/>
  <c r="E214" i="19" s="1"/>
  <c r="D214" i="19" a="1"/>
  <c r="D214" i="19" s="1"/>
  <c r="H213" i="19" a="1"/>
  <c r="H213" i="19" s="1"/>
  <c r="G213" i="19" a="1"/>
  <c r="G213" i="19" s="1"/>
  <c r="F213" i="19"/>
  <c r="F213" i="19" a="1"/>
  <c r="E213" i="19" a="1"/>
  <c r="E213" i="19" s="1"/>
  <c r="D213" i="19" a="1"/>
  <c r="D213" i="19" s="1"/>
  <c r="H212" i="19" a="1"/>
  <c r="H212" i="19" s="1"/>
  <c r="G212" i="19" a="1"/>
  <c r="G212" i="19" s="1"/>
  <c r="F212" i="19" a="1"/>
  <c r="F212" i="19" s="1"/>
  <c r="E212" i="19" a="1"/>
  <c r="E212" i="19" s="1"/>
  <c r="D212" i="19" a="1"/>
  <c r="D212" i="19" s="1"/>
  <c r="H211" i="19" a="1"/>
  <c r="H211" i="19" s="1"/>
  <c r="G211" i="19" a="1"/>
  <c r="G211" i="19" s="1"/>
  <c r="F211" i="19" a="1"/>
  <c r="F211" i="19" s="1"/>
  <c r="E211" i="19" a="1"/>
  <c r="E211" i="19" s="1"/>
  <c r="D211" i="19" a="1"/>
  <c r="D211" i="19" s="1"/>
  <c r="H210" i="19" a="1"/>
  <c r="H210" i="19" s="1"/>
  <c r="G210" i="19" a="1"/>
  <c r="G210" i="19" s="1"/>
  <c r="F210" i="19" a="1"/>
  <c r="F210" i="19" s="1"/>
  <c r="E210" i="19" a="1"/>
  <c r="E210" i="19" s="1"/>
  <c r="D210" i="19" a="1"/>
  <c r="D210" i="19" s="1"/>
  <c r="H209" i="19" a="1"/>
  <c r="H209" i="19" s="1"/>
  <c r="G209" i="19" a="1"/>
  <c r="G209" i="19" s="1"/>
  <c r="F209" i="19" a="1"/>
  <c r="F209" i="19" s="1"/>
  <c r="E209" i="19" a="1"/>
  <c r="E209" i="19" s="1"/>
  <c r="D209" i="19"/>
  <c r="D209" i="19" a="1"/>
  <c r="H208" i="19" a="1"/>
  <c r="H208" i="19" s="1"/>
  <c r="G208" i="19" a="1"/>
  <c r="G208" i="19" s="1"/>
  <c r="F208" i="19" a="1"/>
  <c r="F208" i="19" s="1"/>
  <c r="E208" i="19" a="1"/>
  <c r="E208" i="19" s="1"/>
  <c r="D208" i="19" a="1"/>
  <c r="D208" i="19" s="1"/>
  <c r="H207" i="19" a="1"/>
  <c r="H207" i="19" s="1"/>
  <c r="G207" i="19" a="1"/>
  <c r="G207" i="19" s="1"/>
  <c r="F207" i="19" a="1"/>
  <c r="F207" i="19" s="1"/>
  <c r="E207" i="19" a="1"/>
  <c r="E207" i="19" s="1"/>
  <c r="D207" i="19" a="1"/>
  <c r="D207" i="19" s="1"/>
  <c r="H206" i="19" a="1"/>
  <c r="H206" i="19" s="1"/>
  <c r="G206" i="19" a="1"/>
  <c r="G206" i="19" s="1"/>
  <c r="F206" i="19" a="1"/>
  <c r="F206" i="19" s="1"/>
  <c r="E206" i="19"/>
  <c r="E206" i="19" a="1"/>
  <c r="D206" i="19" a="1"/>
  <c r="D206" i="19" s="1"/>
  <c r="H205" i="19" a="1"/>
  <c r="H205" i="19" s="1"/>
  <c r="G205" i="19"/>
  <c r="G205" i="19" a="1"/>
  <c r="F205" i="19" a="1"/>
  <c r="F205" i="19" s="1"/>
  <c r="E205" i="19" a="1"/>
  <c r="E205" i="19" s="1"/>
  <c r="D205" i="19" a="1"/>
  <c r="D205" i="19" s="1"/>
  <c r="H204" i="19" a="1"/>
  <c r="H204" i="19" s="1"/>
  <c r="G204" i="19" a="1"/>
  <c r="G204" i="19" s="1"/>
  <c r="F204" i="19" a="1"/>
  <c r="F204" i="19" s="1"/>
  <c r="E204" i="19" a="1"/>
  <c r="E204" i="19" s="1"/>
  <c r="D204" i="19" a="1"/>
  <c r="D204" i="19" s="1"/>
  <c r="H203" i="19" a="1"/>
  <c r="H203" i="19" s="1"/>
  <c r="G203" i="19" a="1"/>
  <c r="G203" i="19" s="1"/>
  <c r="F203" i="19" a="1"/>
  <c r="F203" i="19" s="1"/>
  <c r="E203" i="19" a="1"/>
  <c r="E203" i="19" s="1"/>
  <c r="D203" i="19" a="1"/>
  <c r="D203" i="19" s="1"/>
  <c r="H202" i="19" a="1"/>
  <c r="H202" i="19" s="1"/>
  <c r="G202" i="19" a="1"/>
  <c r="G202" i="19" s="1"/>
  <c r="F202" i="19" a="1"/>
  <c r="F202" i="19" s="1"/>
  <c r="E202" i="19" a="1"/>
  <c r="E202" i="19" s="1"/>
  <c r="D202" i="19" a="1"/>
  <c r="D202" i="19" s="1"/>
  <c r="H201" i="19" a="1"/>
  <c r="H201" i="19" s="1"/>
  <c r="G201" i="19" a="1"/>
  <c r="G201" i="19" s="1"/>
  <c r="F201" i="19" a="1"/>
  <c r="F201" i="19" s="1"/>
  <c r="E201" i="19" a="1"/>
  <c r="E201" i="19" s="1"/>
  <c r="D201" i="19" a="1"/>
  <c r="D201" i="19" s="1"/>
  <c r="H200" i="19" a="1"/>
  <c r="H200" i="19" s="1"/>
  <c r="G200" i="19" a="1"/>
  <c r="G200" i="19" s="1"/>
  <c r="F200" i="19" a="1"/>
  <c r="F200" i="19" s="1"/>
  <c r="E200" i="19" a="1"/>
  <c r="E200" i="19" s="1"/>
  <c r="D200" i="19" a="1"/>
  <c r="D200" i="19" s="1"/>
  <c r="H199" i="19" a="1"/>
  <c r="H199" i="19" s="1"/>
  <c r="G199" i="19" a="1"/>
  <c r="G199" i="19" s="1"/>
  <c r="F199" i="19" a="1"/>
  <c r="F199" i="19" s="1"/>
  <c r="E199" i="19" a="1"/>
  <c r="E199" i="19" s="1"/>
  <c r="D199" i="19"/>
  <c r="D199" i="19" a="1"/>
  <c r="H198" i="19" a="1"/>
  <c r="H198" i="19" s="1"/>
  <c r="G198" i="19" a="1"/>
  <c r="G198" i="19" s="1"/>
  <c r="F198" i="19"/>
  <c r="F198" i="19" a="1"/>
  <c r="E198" i="19" a="1"/>
  <c r="E198" i="19" s="1"/>
  <c r="D198" i="19" a="1"/>
  <c r="D198" i="19" s="1"/>
  <c r="H197" i="19" a="1"/>
  <c r="H197" i="19" s="1"/>
  <c r="G197" i="19" a="1"/>
  <c r="G197" i="19" s="1"/>
  <c r="F197" i="19" a="1"/>
  <c r="F197" i="19" s="1"/>
  <c r="E197" i="19" a="1"/>
  <c r="E197" i="19" s="1"/>
  <c r="D197" i="19" a="1"/>
  <c r="D197" i="19" s="1"/>
  <c r="H196" i="19" a="1"/>
  <c r="H196" i="19" s="1"/>
  <c r="G196" i="19" a="1"/>
  <c r="G196" i="19" s="1"/>
  <c r="F196" i="19" a="1"/>
  <c r="F196" i="19" s="1"/>
  <c r="E196" i="19" a="1"/>
  <c r="E196" i="19" s="1"/>
  <c r="D196" i="19" a="1"/>
  <c r="D196" i="19" s="1"/>
  <c r="H195" i="19" a="1"/>
  <c r="H195" i="19" s="1"/>
  <c r="G195" i="19" a="1"/>
  <c r="G195" i="19" s="1"/>
  <c r="F195" i="19" a="1"/>
  <c r="F195" i="19" s="1"/>
  <c r="E195" i="19" a="1"/>
  <c r="E195" i="19" s="1"/>
  <c r="D195" i="19" a="1"/>
  <c r="D195" i="19" s="1"/>
  <c r="H194" i="19" a="1"/>
  <c r="H194" i="19" s="1"/>
  <c r="G194" i="19"/>
  <c r="G194" i="19" a="1"/>
  <c r="F194" i="19" a="1"/>
  <c r="F194" i="19" s="1"/>
  <c r="E194" i="19" a="1"/>
  <c r="E194" i="19" s="1"/>
  <c r="D194" i="19" a="1"/>
  <c r="D194" i="19" s="1"/>
  <c r="H193" i="19" a="1"/>
  <c r="H193" i="19" s="1"/>
  <c r="G193" i="19" a="1"/>
  <c r="G193" i="19" s="1"/>
  <c r="F193" i="19" a="1"/>
  <c r="F193" i="19" s="1"/>
  <c r="E193" i="19" a="1"/>
  <c r="E193" i="19" s="1"/>
  <c r="D193" i="19" a="1"/>
  <c r="D193" i="19" s="1"/>
  <c r="H192" i="19" a="1"/>
  <c r="H192" i="19" s="1"/>
  <c r="G192" i="19" a="1"/>
  <c r="G192" i="19" s="1"/>
  <c r="F192" i="19" a="1"/>
  <c r="F192" i="19" s="1"/>
  <c r="E192" i="19" a="1"/>
  <c r="E192" i="19" s="1"/>
  <c r="D192" i="19" a="1"/>
  <c r="D192" i="19" s="1"/>
  <c r="H191" i="19" a="1"/>
  <c r="H191" i="19" s="1"/>
  <c r="G191" i="19" a="1"/>
  <c r="G191" i="19" s="1"/>
  <c r="F191" i="19" a="1"/>
  <c r="F191" i="19" s="1"/>
  <c r="E191" i="19" a="1"/>
  <c r="E191" i="19" s="1"/>
  <c r="D191" i="19" a="1"/>
  <c r="D191" i="19" s="1"/>
  <c r="H190" i="19" a="1"/>
  <c r="H190" i="19" s="1"/>
  <c r="G190" i="19" a="1"/>
  <c r="G190" i="19" s="1"/>
  <c r="F190" i="19" a="1"/>
  <c r="F190" i="19" s="1"/>
  <c r="E190" i="19" a="1"/>
  <c r="E190" i="19" s="1"/>
  <c r="D190" i="19" a="1"/>
  <c r="D190" i="19" s="1"/>
  <c r="H189" i="19" a="1"/>
  <c r="H189" i="19" s="1"/>
  <c r="G189" i="19" a="1"/>
  <c r="G189" i="19" s="1"/>
  <c r="F189" i="19" a="1"/>
  <c r="F189" i="19" s="1"/>
  <c r="E189" i="19" a="1"/>
  <c r="E189" i="19" s="1"/>
  <c r="D189" i="19" a="1"/>
  <c r="D189" i="19" s="1"/>
  <c r="H188" i="19" a="1"/>
  <c r="H188" i="19" s="1"/>
  <c r="G188" i="19" a="1"/>
  <c r="G188" i="19" s="1"/>
  <c r="F188" i="19" a="1"/>
  <c r="F188" i="19" s="1"/>
  <c r="E188" i="19" a="1"/>
  <c r="E188" i="19" s="1"/>
  <c r="D188" i="19" a="1"/>
  <c r="D188" i="19" s="1"/>
  <c r="H187" i="19" a="1"/>
  <c r="H187" i="19" s="1"/>
  <c r="G187" i="19" a="1"/>
  <c r="G187" i="19" s="1"/>
  <c r="F187" i="19"/>
  <c r="F187" i="19" a="1"/>
  <c r="E187" i="19" a="1"/>
  <c r="E187" i="19" s="1"/>
  <c r="D187" i="19" a="1"/>
  <c r="D187" i="19" s="1"/>
  <c r="H186" i="19" a="1"/>
  <c r="H186" i="19" s="1"/>
  <c r="G186" i="19" a="1"/>
  <c r="G186" i="19" s="1"/>
  <c r="F186" i="19" a="1"/>
  <c r="F186" i="19" s="1"/>
  <c r="E186" i="19" a="1"/>
  <c r="E186" i="19" s="1"/>
  <c r="D186" i="19" a="1"/>
  <c r="D186" i="19" s="1"/>
  <c r="H185" i="19" a="1"/>
  <c r="H185" i="19" s="1"/>
  <c r="G185" i="19" a="1"/>
  <c r="G185" i="19" s="1"/>
  <c r="F185" i="19" a="1"/>
  <c r="F185" i="19" s="1"/>
  <c r="E185" i="19" a="1"/>
  <c r="E185" i="19" s="1"/>
  <c r="D185" i="19" a="1"/>
  <c r="D185" i="19" s="1"/>
  <c r="H184" i="19" a="1"/>
  <c r="H184" i="19" s="1"/>
  <c r="G184" i="19"/>
  <c r="G184" i="19" a="1"/>
  <c r="F184" i="19" a="1"/>
  <c r="F184" i="19" s="1"/>
  <c r="E184" i="19" a="1"/>
  <c r="E184" i="19" s="1"/>
  <c r="D184" i="19"/>
  <c r="D184" i="19" a="1"/>
  <c r="H183" i="19" a="1"/>
  <c r="H183" i="19" s="1"/>
  <c r="G183" i="19" a="1"/>
  <c r="G183" i="19" s="1"/>
  <c r="F183" i="19" a="1"/>
  <c r="F183" i="19" s="1"/>
  <c r="E183" i="19" a="1"/>
  <c r="E183" i="19" s="1"/>
  <c r="D183" i="19" a="1"/>
  <c r="D183" i="19" s="1"/>
  <c r="H182" i="19" a="1"/>
  <c r="H182" i="19" s="1"/>
  <c r="G182" i="19" a="1"/>
  <c r="G182" i="19" s="1"/>
  <c r="F182" i="19" a="1"/>
  <c r="F182" i="19" s="1"/>
  <c r="E182" i="19" a="1"/>
  <c r="E182" i="19" s="1"/>
  <c r="D182" i="19" a="1"/>
  <c r="D182" i="19" s="1"/>
  <c r="H181" i="19" a="1"/>
  <c r="H181" i="19" s="1"/>
  <c r="G181" i="19" a="1"/>
  <c r="G181" i="19" s="1"/>
  <c r="F181" i="19" a="1"/>
  <c r="F181" i="19" s="1"/>
  <c r="E181" i="19" a="1"/>
  <c r="E181" i="19" s="1"/>
  <c r="D181" i="19" a="1"/>
  <c r="D181" i="19" s="1"/>
  <c r="H180" i="19" a="1"/>
  <c r="H180" i="19" s="1"/>
  <c r="G180" i="19" a="1"/>
  <c r="G180" i="19" s="1"/>
  <c r="F180" i="19" a="1"/>
  <c r="F180" i="19" s="1"/>
  <c r="E180" i="19" a="1"/>
  <c r="E180" i="19" s="1"/>
  <c r="D180" i="19" a="1"/>
  <c r="D180" i="19" s="1"/>
  <c r="H179" i="19" a="1"/>
  <c r="H179" i="19" s="1"/>
  <c r="G179" i="19" a="1"/>
  <c r="G179" i="19" s="1"/>
  <c r="F179" i="19" a="1"/>
  <c r="F179" i="19" s="1"/>
  <c r="E179" i="19" a="1"/>
  <c r="E179" i="19" s="1"/>
  <c r="D179" i="19" a="1"/>
  <c r="D179" i="19" s="1"/>
  <c r="H178" i="19" a="1"/>
  <c r="H178" i="19" s="1"/>
  <c r="G178" i="19" a="1"/>
  <c r="G178" i="19" s="1"/>
  <c r="F178" i="19" a="1"/>
  <c r="F178" i="19" s="1"/>
  <c r="E178" i="19" a="1"/>
  <c r="E178" i="19" s="1"/>
  <c r="D178" i="19" a="1"/>
  <c r="D178" i="19" s="1"/>
  <c r="H177" i="19" a="1"/>
  <c r="H177" i="19" s="1"/>
  <c r="G177" i="19" a="1"/>
  <c r="G177" i="19" s="1"/>
  <c r="F177" i="19"/>
  <c r="F177" i="19" a="1"/>
  <c r="E177" i="19" a="1"/>
  <c r="E177" i="19" s="1"/>
  <c r="D177" i="19" a="1"/>
  <c r="D177" i="19" s="1"/>
  <c r="H176" i="19" a="1"/>
  <c r="H176" i="19" s="1"/>
  <c r="G176" i="19" a="1"/>
  <c r="G176" i="19" s="1"/>
  <c r="F176" i="19" a="1"/>
  <c r="F176" i="19" s="1"/>
  <c r="E176" i="19" a="1"/>
  <c r="E176" i="19" s="1"/>
  <c r="D176" i="19" a="1"/>
  <c r="D176" i="19" s="1"/>
  <c r="H175" i="19" a="1"/>
  <c r="H175" i="19" s="1"/>
  <c r="G175" i="19" a="1"/>
  <c r="G175" i="19" s="1"/>
  <c r="F175" i="19" a="1"/>
  <c r="F175" i="19" s="1"/>
  <c r="E175" i="19" a="1"/>
  <c r="E175" i="19" s="1"/>
  <c r="D175" i="19" a="1"/>
  <c r="D175" i="19" s="1"/>
  <c r="H174" i="19" a="1"/>
  <c r="H174" i="19" s="1"/>
  <c r="G174" i="19" a="1"/>
  <c r="G174" i="19" s="1"/>
  <c r="F174" i="19" a="1"/>
  <c r="F174" i="19" s="1"/>
  <c r="E174" i="19" a="1"/>
  <c r="E174" i="19" s="1"/>
  <c r="D174" i="19" a="1"/>
  <c r="D174" i="19" s="1"/>
  <c r="H173" i="19" a="1"/>
  <c r="H173" i="19" s="1"/>
  <c r="G173" i="19" a="1"/>
  <c r="G173" i="19" s="1"/>
  <c r="F173" i="19" a="1"/>
  <c r="F173" i="19" s="1"/>
  <c r="E173" i="19" a="1"/>
  <c r="E173" i="19" s="1"/>
  <c r="D173" i="19"/>
  <c r="D173" i="19" a="1"/>
  <c r="H172" i="19" a="1"/>
  <c r="H172" i="19" s="1"/>
  <c r="G172" i="19" a="1"/>
  <c r="G172" i="19" s="1"/>
  <c r="F172" i="19" a="1"/>
  <c r="F172" i="19" s="1"/>
  <c r="E172" i="19" a="1"/>
  <c r="E172" i="19" s="1"/>
  <c r="D172" i="19" a="1"/>
  <c r="D172" i="19" s="1"/>
  <c r="H171" i="19" a="1"/>
  <c r="H171" i="19" s="1"/>
  <c r="G171" i="19" a="1"/>
  <c r="G171" i="19" s="1"/>
  <c r="F171" i="19" a="1"/>
  <c r="F171" i="19" s="1"/>
  <c r="E171" i="19" a="1"/>
  <c r="E171" i="19" s="1"/>
  <c r="D171" i="19" a="1"/>
  <c r="D171" i="19" s="1"/>
  <c r="H170" i="19" a="1"/>
  <c r="H170" i="19" s="1"/>
  <c r="G170" i="19" a="1"/>
  <c r="G170" i="19" s="1"/>
  <c r="F170" i="19" a="1"/>
  <c r="F170" i="19" s="1"/>
  <c r="E170" i="19"/>
  <c r="E170" i="19" a="1"/>
  <c r="D170" i="19" a="1"/>
  <c r="D170" i="19" s="1"/>
  <c r="H169" i="19" a="1"/>
  <c r="H169" i="19" s="1"/>
  <c r="G169" i="19" a="1"/>
  <c r="G169" i="19" s="1"/>
  <c r="F169" i="19" a="1"/>
  <c r="F169" i="19" s="1"/>
  <c r="E169" i="19" a="1"/>
  <c r="E169" i="19" s="1"/>
  <c r="D169" i="19" a="1"/>
  <c r="D169" i="19" s="1"/>
  <c r="H168" i="19" a="1"/>
  <c r="H168" i="19" s="1"/>
  <c r="G168" i="19" a="1"/>
  <c r="G168" i="19" s="1"/>
  <c r="F168" i="19" a="1"/>
  <c r="F168" i="19" s="1"/>
  <c r="E168" i="19" a="1"/>
  <c r="E168" i="19" s="1"/>
  <c r="D168" i="19" a="1"/>
  <c r="D168" i="19" s="1"/>
  <c r="H167" i="19" a="1"/>
  <c r="H167" i="19" s="1"/>
  <c r="G167" i="19" a="1"/>
  <c r="G167" i="19" s="1"/>
  <c r="F167" i="19" a="1"/>
  <c r="F167" i="19" s="1"/>
  <c r="E167" i="19" a="1"/>
  <c r="E167" i="19" s="1"/>
  <c r="D167" i="19" a="1"/>
  <c r="D167" i="19" s="1"/>
  <c r="H166" i="19" a="1"/>
  <c r="H166" i="19" s="1"/>
  <c r="G166" i="19" a="1"/>
  <c r="G166" i="19" s="1"/>
  <c r="F166" i="19" a="1"/>
  <c r="F166" i="19" s="1"/>
  <c r="E166" i="19" a="1"/>
  <c r="E166" i="19" s="1"/>
  <c r="D166" i="19" a="1"/>
  <c r="D166" i="19" s="1"/>
  <c r="H165" i="19" a="1"/>
  <c r="H165" i="19" s="1"/>
  <c r="G165" i="19" a="1"/>
  <c r="G165" i="19" s="1"/>
  <c r="F165" i="19" a="1"/>
  <c r="F165" i="19" s="1"/>
  <c r="E165" i="19" a="1"/>
  <c r="E165" i="19" s="1"/>
  <c r="D165" i="19" a="1"/>
  <c r="D165" i="19" s="1"/>
  <c r="H164" i="19" a="1"/>
  <c r="H164" i="19" s="1"/>
  <c r="G164" i="19" a="1"/>
  <c r="G164" i="19" s="1"/>
  <c r="F164" i="19" a="1"/>
  <c r="F164" i="19" s="1"/>
  <c r="E164" i="19" a="1"/>
  <c r="E164" i="19" s="1"/>
  <c r="D164" i="19" a="1"/>
  <c r="D164" i="19" s="1"/>
  <c r="H163" i="19" a="1"/>
  <c r="H163" i="19" s="1"/>
  <c r="G163" i="19" a="1"/>
  <c r="G163" i="19" s="1"/>
  <c r="F163" i="19" a="1"/>
  <c r="F163" i="19" s="1"/>
  <c r="E163" i="19" a="1"/>
  <c r="E163" i="19" s="1"/>
  <c r="D163" i="19"/>
  <c r="D163" i="19" a="1"/>
  <c r="H162" i="19" a="1"/>
  <c r="H162" i="19" s="1"/>
  <c r="G162" i="19" a="1"/>
  <c r="G162" i="19" s="1"/>
  <c r="F162" i="19"/>
  <c r="F162" i="19" a="1"/>
  <c r="E162" i="19"/>
  <c r="E162" i="19" a="1"/>
  <c r="D162" i="19"/>
  <c r="D162" i="19" a="1"/>
  <c r="H161" i="19" a="1"/>
  <c r="H161" i="19" s="1"/>
  <c r="G161" i="19" a="1"/>
  <c r="G161" i="19" s="1"/>
  <c r="F161" i="19" a="1"/>
  <c r="F161" i="19" s="1"/>
  <c r="E161" i="19"/>
  <c r="E161" i="19" a="1"/>
  <c r="D161" i="19" a="1"/>
  <c r="D161" i="19" s="1"/>
  <c r="H160" i="19" a="1"/>
  <c r="H160" i="19" s="1"/>
  <c r="G160" i="19" a="1"/>
  <c r="G160" i="19" s="1"/>
  <c r="F160" i="19" a="1"/>
  <c r="F160" i="19" s="1"/>
  <c r="E160" i="19" a="1"/>
  <c r="E160" i="19" s="1"/>
  <c r="D160" i="19"/>
  <c r="D160" i="19" a="1"/>
  <c r="H159" i="19" a="1"/>
  <c r="H159" i="19" s="1"/>
  <c r="G159" i="19"/>
  <c r="G159" i="19" a="1"/>
  <c r="F159" i="19"/>
  <c r="F159" i="19" a="1"/>
  <c r="E159" i="19"/>
  <c r="E159" i="19" a="1"/>
  <c r="D159" i="19" a="1"/>
  <c r="D159" i="19" s="1"/>
  <c r="H158" i="19" a="1"/>
  <c r="H158" i="19" s="1"/>
  <c r="G158" i="19" a="1"/>
  <c r="G158" i="19" s="1"/>
  <c r="F158" i="19" a="1"/>
  <c r="F158" i="19" s="1"/>
  <c r="E158" i="19" a="1"/>
  <c r="E158" i="19" s="1"/>
  <c r="D158" i="19" a="1"/>
  <c r="D158" i="19" s="1"/>
  <c r="H157" i="19" a="1"/>
  <c r="H157" i="19" s="1"/>
  <c r="G157" i="19" a="1"/>
  <c r="G157" i="19" s="1"/>
  <c r="F157" i="19" a="1"/>
  <c r="F157" i="19" s="1"/>
  <c r="E157" i="19"/>
  <c r="E157" i="19" a="1"/>
  <c r="D157" i="19"/>
  <c r="D157" i="19" a="1"/>
  <c r="H156" i="19" a="1"/>
  <c r="H156" i="19" s="1"/>
  <c r="G156" i="19" a="1"/>
  <c r="G156" i="19" s="1"/>
  <c r="F156" i="19"/>
  <c r="F156" i="19" a="1"/>
  <c r="E156" i="19"/>
  <c r="E156" i="19" a="1"/>
  <c r="D156" i="19"/>
  <c r="D156" i="19" a="1"/>
  <c r="H155" i="19" a="1"/>
  <c r="H155" i="19" s="1"/>
  <c r="G155" i="19" a="1"/>
  <c r="G155" i="19" s="1"/>
  <c r="F155" i="19" a="1"/>
  <c r="F155" i="19" s="1"/>
  <c r="E155" i="19" a="1"/>
  <c r="E155" i="19" s="1"/>
  <c r="D155" i="19" a="1"/>
  <c r="D155" i="19" s="1"/>
  <c r="H154" i="19" a="1"/>
  <c r="H154" i="19" s="1"/>
  <c r="G154" i="19"/>
  <c r="G154" i="19" a="1"/>
  <c r="F154" i="19"/>
  <c r="F154" i="19" a="1"/>
  <c r="E154" i="19" a="1"/>
  <c r="E154" i="19" s="1"/>
  <c r="D154" i="19" a="1"/>
  <c r="D154" i="19" s="1"/>
  <c r="H153" i="19" a="1"/>
  <c r="H153" i="19" s="1"/>
  <c r="G153" i="19" a="1"/>
  <c r="G153" i="19" s="1"/>
  <c r="F153" i="19" a="1"/>
  <c r="F153" i="19" s="1"/>
  <c r="E153" i="19" a="1"/>
  <c r="E153" i="19" s="1"/>
  <c r="D153" i="19" a="1"/>
  <c r="D153" i="19" s="1"/>
  <c r="H152" i="19" a="1"/>
  <c r="H152" i="19" s="1"/>
  <c r="G152" i="19" a="1"/>
  <c r="G152" i="19" s="1"/>
  <c r="F152" i="19" a="1"/>
  <c r="F152" i="19" s="1"/>
  <c r="E152" i="19"/>
  <c r="E152" i="19" a="1"/>
  <c r="D152" i="19"/>
  <c r="D152" i="19" a="1"/>
  <c r="H151" i="19" a="1"/>
  <c r="H151" i="19" s="1"/>
  <c r="G151" i="19" a="1"/>
  <c r="G151" i="19" s="1"/>
  <c r="F151" i="19" a="1"/>
  <c r="F151" i="19" s="1"/>
  <c r="E151" i="19"/>
  <c r="E151" i="19" a="1"/>
  <c r="D151" i="19"/>
  <c r="D151" i="19" a="1"/>
  <c r="H150" i="19" a="1"/>
  <c r="H150" i="19" s="1"/>
  <c r="G150" i="19" a="1"/>
  <c r="G150" i="19" s="1"/>
  <c r="F150" i="19"/>
  <c r="F150" i="19" a="1"/>
  <c r="E150" i="19"/>
  <c r="E150" i="19" a="1"/>
  <c r="D150" i="19" a="1"/>
  <c r="D150" i="19" s="1"/>
  <c r="H149" i="19" a="1"/>
  <c r="H149" i="19" s="1"/>
  <c r="G149" i="19" a="1"/>
  <c r="G149" i="19" s="1"/>
  <c r="F149" i="19" a="1"/>
  <c r="F149" i="19" s="1"/>
  <c r="E149" i="19" a="1"/>
  <c r="E149" i="19" s="1"/>
  <c r="D149" i="19" a="1"/>
  <c r="D149" i="19" s="1"/>
  <c r="H148" i="19" a="1"/>
  <c r="H148" i="19" s="1"/>
  <c r="G148" i="19" a="1"/>
  <c r="G148" i="19" s="1"/>
  <c r="F148" i="19" a="1"/>
  <c r="F148" i="19" s="1"/>
  <c r="E148" i="19" a="1"/>
  <c r="E148" i="19" s="1"/>
  <c r="D148" i="19"/>
  <c r="D148" i="19" a="1"/>
  <c r="H147" i="19" a="1"/>
  <c r="H147" i="19" s="1"/>
  <c r="G147" i="19"/>
  <c r="G147" i="19" a="1"/>
  <c r="F147" i="19"/>
  <c r="F147" i="19" a="1"/>
  <c r="E147" i="19"/>
  <c r="E147" i="19" a="1"/>
  <c r="D147" i="19" a="1"/>
  <c r="D147" i="19" s="1"/>
  <c r="H146" i="19" a="1"/>
  <c r="H146" i="19" s="1"/>
  <c r="G146" i="19" a="1"/>
  <c r="G146" i="19" s="1"/>
  <c r="F146" i="19" a="1"/>
  <c r="F146" i="19" s="1"/>
  <c r="E146" i="19" a="1"/>
  <c r="E146" i="19" s="1"/>
  <c r="D146" i="19"/>
  <c r="D146" i="19" a="1"/>
  <c r="H145" i="19" a="1"/>
  <c r="H145" i="19" s="1"/>
  <c r="G145" i="19" a="1"/>
  <c r="G145" i="19" s="1"/>
  <c r="F145" i="19"/>
  <c r="F145" i="19" a="1"/>
  <c r="E145" i="19"/>
  <c r="E145" i="19" a="1"/>
  <c r="D145" i="19"/>
  <c r="D145" i="19" a="1"/>
  <c r="H144" i="19" a="1"/>
  <c r="H144" i="19" s="1"/>
  <c r="G144" i="19" a="1"/>
  <c r="G144" i="19" s="1"/>
  <c r="F144" i="19"/>
  <c r="F144" i="19" a="1"/>
  <c r="E144" i="19"/>
  <c r="E144" i="19" a="1"/>
  <c r="D144" i="19" a="1"/>
  <c r="D144" i="19" s="1"/>
  <c r="H143" i="19" a="1"/>
  <c r="H143" i="19" s="1"/>
  <c r="G143" i="19" a="1"/>
  <c r="G143" i="19" s="1"/>
  <c r="F143" i="19" a="1"/>
  <c r="F143" i="19" s="1"/>
  <c r="E143" i="19"/>
  <c r="E143" i="19" a="1"/>
  <c r="D143" i="19"/>
  <c r="D143" i="19" a="1"/>
  <c r="H142" i="19" a="1"/>
  <c r="H142" i="19" s="1"/>
  <c r="G142" i="19"/>
  <c r="G142" i="19" a="1"/>
  <c r="F142" i="19"/>
  <c r="F142" i="19" a="1"/>
  <c r="E142" i="19" a="1"/>
  <c r="E142" i="19" s="1"/>
  <c r="D142" i="19" a="1"/>
  <c r="D142" i="19" s="1"/>
  <c r="H141" i="19" a="1"/>
  <c r="H141" i="19" s="1"/>
  <c r="G141" i="19" a="1"/>
  <c r="G141" i="19" s="1"/>
  <c r="F141" i="19" a="1"/>
  <c r="F141" i="19" s="1"/>
  <c r="E141" i="19" a="1"/>
  <c r="E141" i="19" s="1"/>
  <c r="D141" i="19" a="1"/>
  <c r="D141" i="19" s="1"/>
  <c r="H140" i="19" a="1"/>
  <c r="H140" i="19" s="1"/>
  <c r="G140" i="19"/>
  <c r="G140" i="19" a="1"/>
  <c r="F140" i="19" a="1"/>
  <c r="F140" i="19" s="1"/>
  <c r="E140" i="19"/>
  <c r="E140" i="19" a="1"/>
  <c r="D140" i="19"/>
  <c r="D140" i="19" a="1"/>
  <c r="H139" i="19" a="1"/>
  <c r="H139" i="19" s="1"/>
  <c r="G139" i="19" a="1"/>
  <c r="G139" i="19" s="1"/>
  <c r="F139" i="19"/>
  <c r="F139" i="19" a="1"/>
  <c r="E139" i="19"/>
  <c r="E139" i="19" a="1"/>
  <c r="D139" i="19" a="1"/>
  <c r="D139" i="19" s="1"/>
  <c r="H138" i="19" a="1"/>
  <c r="H138" i="19" s="1"/>
  <c r="G138" i="19" a="1"/>
  <c r="G138" i="19" s="1"/>
  <c r="F138" i="19"/>
  <c r="F138" i="19" a="1"/>
  <c r="E138" i="19"/>
  <c r="E138" i="19" a="1"/>
  <c r="D138" i="19"/>
  <c r="D138" i="19" a="1"/>
  <c r="H137" i="19" a="1"/>
  <c r="H137" i="19" s="1"/>
  <c r="G137" i="19"/>
  <c r="G137" i="19" a="1"/>
  <c r="F137" i="19" a="1"/>
  <c r="F137" i="19" s="1"/>
  <c r="E137" i="19" a="1"/>
  <c r="E137" i="19" s="1"/>
  <c r="D137" i="19" a="1"/>
  <c r="D137" i="19" s="1"/>
  <c r="H136" i="19" a="1"/>
  <c r="H136" i="19" s="1"/>
  <c r="G136" i="19" a="1"/>
  <c r="G136" i="19" s="1"/>
  <c r="F136" i="19" a="1"/>
  <c r="F136" i="19" s="1"/>
  <c r="E136" i="19" a="1"/>
  <c r="E136" i="19" s="1"/>
  <c r="D136" i="19"/>
  <c r="D136" i="19" a="1"/>
  <c r="H135" i="19" a="1"/>
  <c r="H135" i="19" s="1"/>
  <c r="G135" i="19"/>
  <c r="G135" i="19" a="1"/>
  <c r="F135" i="19"/>
  <c r="F135" i="19" a="1"/>
  <c r="E135" i="19"/>
  <c r="E135" i="19" a="1"/>
  <c r="D135" i="19" a="1"/>
  <c r="D135" i="19" s="1"/>
  <c r="H134" i="19" a="1"/>
  <c r="H134" i="19" s="1"/>
  <c r="G134" i="19" a="1"/>
  <c r="G134" i="19" s="1"/>
  <c r="F134" i="19" a="1"/>
  <c r="F134" i="19" s="1"/>
  <c r="E134" i="19"/>
  <c r="E134" i="19" a="1"/>
  <c r="D134" i="19"/>
  <c r="D134" i="19" a="1"/>
  <c r="H133" i="19" a="1"/>
  <c r="H133" i="19" s="1"/>
  <c r="G133" i="19"/>
  <c r="G133" i="19" a="1"/>
  <c r="F133" i="19"/>
  <c r="F133" i="19" a="1"/>
  <c r="E133" i="19"/>
  <c r="E133" i="19" a="1"/>
  <c r="D133" i="19"/>
  <c r="D133" i="19" a="1"/>
  <c r="H132" i="19" a="1"/>
  <c r="H132" i="19" s="1"/>
  <c r="G132" i="19" a="1"/>
  <c r="G132" i="19" s="1"/>
  <c r="F132" i="19"/>
  <c r="F132" i="19" a="1"/>
  <c r="E132" i="19" a="1"/>
  <c r="E132" i="19" s="1"/>
  <c r="D132" i="19" a="1"/>
  <c r="D132" i="19" s="1"/>
  <c r="H131" i="19" a="1"/>
  <c r="H131" i="19" s="1"/>
  <c r="G131" i="19" a="1"/>
  <c r="G131" i="19" s="1"/>
  <c r="F131" i="19" a="1"/>
  <c r="F131" i="19" s="1"/>
  <c r="E131" i="19"/>
  <c r="E131" i="19" a="1"/>
  <c r="D131" i="19"/>
  <c r="D131" i="19" a="1"/>
  <c r="H130" i="19" a="1"/>
  <c r="H130" i="19" s="1"/>
  <c r="G130" i="19"/>
  <c r="G130" i="19" a="1"/>
  <c r="F130" i="19"/>
  <c r="F130" i="19" a="1"/>
  <c r="E130" i="19" a="1"/>
  <c r="E130" i="19" s="1"/>
  <c r="D130" i="19"/>
  <c r="D130" i="19" a="1"/>
  <c r="H129" i="19" a="1"/>
  <c r="H129" i="19" s="1"/>
  <c r="G129" i="19" a="1"/>
  <c r="G129" i="19" s="1"/>
  <c r="F129" i="19" a="1"/>
  <c r="F129" i="19" s="1"/>
  <c r="E129" i="19" a="1"/>
  <c r="E129" i="19" s="1"/>
  <c r="D129" i="19" a="1"/>
  <c r="D129" i="19" s="1"/>
  <c r="H128" i="19" a="1"/>
  <c r="H128" i="19" s="1"/>
  <c r="G128" i="19" a="1"/>
  <c r="G128" i="19" s="1"/>
  <c r="F128" i="19"/>
  <c r="F128" i="19" a="1"/>
  <c r="E128" i="19"/>
  <c r="E128" i="19" a="1"/>
  <c r="D128" i="19"/>
  <c r="D128" i="19" a="1"/>
  <c r="H127" i="19" a="1"/>
  <c r="H127" i="19" s="1"/>
  <c r="G127" i="19"/>
  <c r="G127" i="19" a="1"/>
  <c r="F127" i="19"/>
  <c r="F127" i="19" a="1"/>
  <c r="E127" i="19"/>
  <c r="E127" i="19" a="1"/>
  <c r="D127" i="19" a="1"/>
  <c r="D127" i="19" s="1"/>
  <c r="H126" i="19" a="1"/>
  <c r="H126" i="19" s="1"/>
  <c r="G126" i="19" a="1"/>
  <c r="G126" i="19" s="1"/>
  <c r="F126" i="19" a="1"/>
  <c r="F126" i="19" s="1"/>
  <c r="E126" i="19" a="1"/>
  <c r="E126" i="19" s="1"/>
  <c r="D126" i="19" a="1"/>
  <c r="D126" i="19" s="1"/>
  <c r="H125" i="19" a="1"/>
  <c r="H125" i="19" s="1"/>
  <c r="G125" i="19"/>
  <c r="G125" i="19" a="1"/>
  <c r="F125" i="19" a="1"/>
  <c r="F125" i="19" s="1"/>
  <c r="E125" i="19" a="1"/>
  <c r="E125" i="19" s="1"/>
  <c r="D125" i="19" a="1"/>
  <c r="D125" i="19" s="1"/>
  <c r="H124" i="19" a="1"/>
  <c r="H124" i="19" s="1"/>
  <c r="G124" i="19" a="1"/>
  <c r="G124" i="19" s="1"/>
  <c r="F124" i="19" a="1"/>
  <c r="F124" i="19" s="1"/>
  <c r="E124" i="19" a="1"/>
  <c r="E124" i="19" s="1"/>
  <c r="D124" i="19"/>
  <c r="D124" i="19" a="1"/>
  <c r="H123" i="19" a="1"/>
  <c r="H123" i="19" s="1"/>
  <c r="G123" i="19" a="1"/>
  <c r="G123" i="19" s="1"/>
  <c r="F123" i="19" a="1"/>
  <c r="F123" i="19" s="1"/>
  <c r="E123" i="19"/>
  <c r="E123" i="19" a="1"/>
  <c r="D123" i="19" a="1"/>
  <c r="D123" i="19" s="1"/>
  <c r="H122" i="19" a="1"/>
  <c r="H122" i="19" s="1"/>
  <c r="G122" i="19" a="1"/>
  <c r="G122" i="19" s="1"/>
  <c r="F122" i="19"/>
  <c r="F122" i="19" a="1"/>
  <c r="E122" i="19"/>
  <c r="E122" i="19" a="1"/>
  <c r="D122" i="19"/>
  <c r="D122" i="19" a="1"/>
  <c r="H121" i="19" a="1"/>
  <c r="H121" i="19" s="1"/>
  <c r="G121" i="19"/>
  <c r="G121" i="19" a="1"/>
  <c r="F121" i="19"/>
  <c r="F121" i="19" a="1"/>
  <c r="E121" i="19"/>
  <c r="E121" i="19" a="1"/>
  <c r="D121" i="19" a="1"/>
  <c r="D121" i="19" s="1"/>
  <c r="H120" i="19" a="1"/>
  <c r="H120" i="19" s="1"/>
  <c r="G120" i="19" a="1"/>
  <c r="G120" i="19" s="1"/>
  <c r="F120" i="19" a="1"/>
  <c r="F120" i="19" s="1"/>
  <c r="E120" i="19" a="1"/>
  <c r="E120" i="19" s="1"/>
  <c r="D120" i="19" a="1"/>
  <c r="D120" i="19" s="1"/>
  <c r="H119" i="19" a="1"/>
  <c r="H119" i="19" s="1"/>
  <c r="G119" i="19" a="1"/>
  <c r="G119" i="19" s="1"/>
  <c r="F119" i="19" a="1"/>
  <c r="F119" i="19" s="1"/>
  <c r="E119" i="19"/>
  <c r="E119" i="19" a="1"/>
  <c r="D119" i="19"/>
  <c r="D119" i="19" a="1"/>
  <c r="H118" i="19" a="1"/>
  <c r="H118" i="19" s="1"/>
  <c r="G118" i="19"/>
  <c r="G118" i="19" a="1"/>
  <c r="F118" i="19"/>
  <c r="F118" i="19" a="1"/>
  <c r="E118" i="19" a="1"/>
  <c r="E118" i="19" s="1"/>
  <c r="D118" i="19" a="1"/>
  <c r="D118" i="19" s="1"/>
  <c r="H117" i="19" a="1"/>
  <c r="H117" i="19" s="1"/>
  <c r="G117" i="19" a="1"/>
  <c r="G117" i="19" s="1"/>
  <c r="F117" i="19" a="1"/>
  <c r="F117" i="19" s="1"/>
  <c r="E117" i="19"/>
  <c r="E117" i="19" a="1"/>
  <c r="D117" i="19" a="1"/>
  <c r="D117" i="19" s="1"/>
  <c r="H116" i="19" a="1"/>
  <c r="H116" i="19" s="1"/>
  <c r="G116" i="19"/>
  <c r="G116" i="19" a="1"/>
  <c r="F116" i="19"/>
  <c r="F116" i="19" a="1"/>
  <c r="E116" i="19"/>
  <c r="E116" i="19" a="1"/>
  <c r="D116" i="19" a="1"/>
  <c r="D116" i="19" s="1"/>
  <c r="H115" i="19" a="1"/>
  <c r="H115" i="19" s="1"/>
  <c r="G115" i="19"/>
  <c r="G115" i="19" a="1"/>
  <c r="F115" i="19" a="1"/>
  <c r="F115" i="19" s="1"/>
  <c r="E115" i="19" a="1"/>
  <c r="E115" i="19" s="1"/>
  <c r="D115" i="19" a="1"/>
  <c r="D115" i="19" s="1"/>
  <c r="H114" i="19" a="1"/>
  <c r="H114" i="19" s="1"/>
  <c r="G114" i="19" a="1"/>
  <c r="G114" i="19" s="1"/>
  <c r="F114" i="19"/>
  <c r="F114" i="19" a="1"/>
  <c r="E114" i="19"/>
  <c r="E114" i="19" a="1"/>
  <c r="D114" i="19"/>
  <c r="D114" i="19" a="1"/>
  <c r="H113" i="19" a="1"/>
  <c r="H113" i="19" s="1"/>
  <c r="G113" i="19"/>
  <c r="G113" i="19" a="1"/>
  <c r="F113" i="19" a="1"/>
  <c r="F113" i="19" s="1"/>
  <c r="E113" i="19" a="1"/>
  <c r="E113" i="19" s="1"/>
  <c r="D113" i="19" a="1"/>
  <c r="D113" i="19" s="1"/>
  <c r="H112" i="19" a="1"/>
  <c r="H112" i="19" s="1"/>
  <c r="G112" i="19" a="1"/>
  <c r="G112" i="19" s="1"/>
  <c r="F112" i="19" a="1"/>
  <c r="F112" i="19" s="1"/>
  <c r="E112" i="19" a="1"/>
  <c r="E112" i="19" s="1"/>
  <c r="D112" i="19"/>
  <c r="D112" i="19" a="1"/>
  <c r="H111" i="19" a="1"/>
  <c r="H111" i="19" s="1"/>
  <c r="G111" i="19"/>
  <c r="G111" i="19" a="1"/>
  <c r="F111" i="19"/>
  <c r="F111" i="19" a="1"/>
  <c r="E111" i="19"/>
  <c r="E111" i="19" a="1"/>
  <c r="D111" i="19" a="1"/>
  <c r="D111" i="19" s="1"/>
  <c r="H110" i="19" a="1"/>
  <c r="H110" i="19" s="1"/>
  <c r="G110" i="19"/>
  <c r="G110" i="19" a="1"/>
  <c r="F110" i="19"/>
  <c r="F110" i="19" a="1"/>
  <c r="E110" i="19"/>
  <c r="E110" i="19" a="1"/>
  <c r="D110" i="19" a="1"/>
  <c r="D110" i="19" s="1"/>
  <c r="H109" i="19" a="1"/>
  <c r="H109" i="19" s="1"/>
  <c r="G109" i="19"/>
  <c r="G109" i="19" a="1"/>
  <c r="F109" i="19"/>
  <c r="F109" i="19" a="1"/>
  <c r="E109" i="19"/>
  <c r="E109" i="19" a="1"/>
  <c r="D109" i="19"/>
  <c r="D109" i="19" a="1"/>
  <c r="H108" i="19" a="1"/>
  <c r="H108" i="19" s="1"/>
  <c r="G108" i="19" a="1"/>
  <c r="G108" i="19" s="1"/>
  <c r="F108" i="19" a="1"/>
  <c r="F108" i="19" s="1"/>
  <c r="E108" i="19" a="1"/>
  <c r="E108" i="19" s="1"/>
  <c r="D108" i="19" a="1"/>
  <c r="D108" i="19" s="1"/>
  <c r="H107" i="19" a="1"/>
  <c r="H107" i="19" s="1"/>
  <c r="G107" i="19" a="1"/>
  <c r="G107" i="19" s="1"/>
  <c r="F107" i="19" a="1"/>
  <c r="F107" i="19" s="1"/>
  <c r="E107" i="19"/>
  <c r="E107" i="19" a="1"/>
  <c r="D107" i="19"/>
  <c r="D107" i="19" a="1"/>
  <c r="H106" i="19" a="1"/>
  <c r="H106" i="19" s="1"/>
  <c r="G106" i="19"/>
  <c r="G106" i="19" a="1"/>
  <c r="F106" i="19"/>
  <c r="F106" i="19" a="1"/>
  <c r="E106" i="19" a="1"/>
  <c r="E106" i="19" s="1"/>
  <c r="D106" i="19" a="1"/>
  <c r="D106" i="19" s="1"/>
  <c r="H105" i="19" a="1"/>
  <c r="H105" i="19" s="1"/>
  <c r="G105" i="19" a="1"/>
  <c r="G105" i="19" s="1"/>
  <c r="F105" i="19"/>
  <c r="F105" i="19" a="1"/>
  <c r="E105" i="19"/>
  <c r="E105" i="19" a="1"/>
  <c r="D105" i="19" a="1"/>
  <c r="D105" i="19" s="1"/>
  <c r="H104" i="19" a="1"/>
  <c r="H104" i="19" s="1"/>
  <c r="G104" i="19"/>
  <c r="G104" i="19" a="1"/>
  <c r="F104" i="19"/>
  <c r="F104" i="19" a="1"/>
  <c r="E104" i="19" a="1"/>
  <c r="E104" i="19" s="1"/>
  <c r="D104" i="19" a="1"/>
  <c r="D104" i="19" s="1"/>
  <c r="H103" i="19" a="1"/>
  <c r="H103" i="19" s="1"/>
  <c r="G103" i="19" a="1"/>
  <c r="G103" i="19" s="1"/>
  <c r="F103" i="19" a="1"/>
  <c r="F103" i="19" s="1"/>
  <c r="E103" i="19" a="1"/>
  <c r="E103" i="19" s="1"/>
  <c r="D103" i="19" a="1"/>
  <c r="D103" i="19" s="1"/>
  <c r="H102" i="19" a="1"/>
  <c r="H102" i="19" s="1"/>
  <c r="G102" i="19" a="1"/>
  <c r="G102" i="19" s="1"/>
  <c r="F102" i="19"/>
  <c r="F102" i="19" a="1"/>
  <c r="E102" i="19"/>
  <c r="E102" i="19" a="1"/>
  <c r="D102" i="19"/>
  <c r="D102" i="19" a="1"/>
  <c r="H101" i="19" a="1"/>
  <c r="H101" i="19" s="1"/>
  <c r="G101" i="19"/>
  <c r="G101" i="19" a="1"/>
  <c r="F101" i="19" a="1"/>
  <c r="F101" i="19" s="1"/>
  <c r="E101" i="19" a="1"/>
  <c r="E101" i="19" s="1"/>
  <c r="D101" i="19" a="1"/>
  <c r="D101" i="19" s="1"/>
  <c r="H100" i="19" a="1"/>
  <c r="H100" i="19" s="1"/>
  <c r="G100" i="19" a="1"/>
  <c r="G100" i="19" s="1"/>
  <c r="F100" i="19" a="1"/>
  <c r="F100" i="19" s="1"/>
  <c r="E100" i="19" a="1"/>
  <c r="E100" i="19" s="1"/>
  <c r="D100" i="19" a="1"/>
  <c r="D100" i="19" s="1"/>
  <c r="H99" i="19" a="1"/>
  <c r="H99" i="19" s="1"/>
  <c r="G99" i="19"/>
  <c r="G99" i="19" a="1"/>
  <c r="F99" i="19"/>
  <c r="F99" i="19" a="1"/>
  <c r="E99" i="19"/>
  <c r="E99" i="19" a="1"/>
  <c r="D99" i="19" a="1"/>
  <c r="D99" i="19" s="1"/>
  <c r="H98" i="19" a="1"/>
  <c r="H98" i="19" s="1"/>
  <c r="G98" i="19"/>
  <c r="G98" i="19" a="1"/>
  <c r="F98" i="19"/>
  <c r="F98" i="19" a="1"/>
  <c r="E98" i="19" a="1"/>
  <c r="E98" i="19" s="1"/>
  <c r="D98" i="19" a="1"/>
  <c r="D98" i="19" s="1"/>
  <c r="H97" i="19" a="1"/>
  <c r="H97" i="19" s="1"/>
  <c r="G97" i="19" a="1"/>
  <c r="G97" i="19" s="1"/>
  <c r="F97" i="19" a="1"/>
  <c r="F97" i="19" s="1"/>
  <c r="E97" i="19" a="1"/>
  <c r="E97" i="19" s="1"/>
  <c r="D97" i="19"/>
  <c r="D97" i="19" a="1"/>
  <c r="H96" i="19" a="1"/>
  <c r="H96" i="19" s="1"/>
  <c r="G96" i="19" a="1"/>
  <c r="G96" i="19" s="1"/>
  <c r="F96" i="19" a="1"/>
  <c r="F96" i="19" s="1"/>
  <c r="E96" i="19" a="1"/>
  <c r="E96" i="19" s="1"/>
  <c r="D96" i="19" a="1"/>
  <c r="D96" i="19" s="1"/>
  <c r="H95" i="19" a="1"/>
  <c r="H95" i="19" s="1"/>
  <c r="G95" i="19" a="1"/>
  <c r="G95" i="19" s="1"/>
  <c r="F95" i="19" a="1"/>
  <c r="F95" i="19" s="1"/>
  <c r="E95" i="19"/>
  <c r="E95" i="19" a="1"/>
  <c r="D95" i="19" a="1"/>
  <c r="D95" i="19" s="1"/>
  <c r="H94" i="19" a="1"/>
  <c r="H94" i="19" s="1"/>
  <c r="G94" i="19"/>
  <c r="G94" i="19" a="1"/>
  <c r="F94" i="19"/>
  <c r="F94" i="19" a="1"/>
  <c r="E94" i="19" a="1"/>
  <c r="E94" i="19" s="1"/>
  <c r="D94" i="19" a="1"/>
  <c r="D94" i="19" s="1"/>
  <c r="H93" i="19" a="1"/>
  <c r="H93" i="19" s="1"/>
  <c r="G93" i="19"/>
  <c r="G93" i="19" a="1"/>
  <c r="F93" i="19"/>
  <c r="F93" i="19" a="1"/>
  <c r="E93" i="19" a="1"/>
  <c r="E93" i="19" s="1"/>
  <c r="D93" i="19" a="1"/>
  <c r="D93" i="19" s="1"/>
  <c r="H92" i="19" a="1"/>
  <c r="H92" i="19" s="1"/>
  <c r="G92" i="19"/>
  <c r="G92" i="19" a="1"/>
  <c r="F92" i="19" a="1"/>
  <c r="F92" i="19" s="1"/>
  <c r="E92" i="19" a="1"/>
  <c r="E92" i="19" s="1"/>
  <c r="D92" i="19" a="1"/>
  <c r="D92" i="19" s="1"/>
  <c r="H91" i="19" a="1"/>
  <c r="H91" i="19" s="1"/>
  <c r="G91" i="19" a="1"/>
  <c r="G91" i="19" s="1"/>
  <c r="F91" i="19" a="1"/>
  <c r="F91" i="19" s="1"/>
  <c r="E91" i="19" a="1"/>
  <c r="E91" i="19" s="1"/>
  <c r="D91" i="19" a="1"/>
  <c r="D91" i="19" s="1"/>
  <c r="H90" i="19" a="1"/>
  <c r="H90" i="19" s="1"/>
  <c r="G90" i="19" a="1"/>
  <c r="G90" i="19" s="1"/>
  <c r="F90" i="19"/>
  <c r="F90" i="19" a="1"/>
  <c r="E90" i="19"/>
  <c r="E90" i="19" a="1"/>
  <c r="D90" i="19"/>
  <c r="D90" i="19" a="1"/>
  <c r="H89" i="19" a="1"/>
  <c r="H89" i="19" s="1"/>
  <c r="G89" i="19"/>
  <c r="G89" i="19" a="1"/>
  <c r="F89" i="19" a="1"/>
  <c r="F89" i="19" s="1"/>
  <c r="E89" i="19" a="1"/>
  <c r="E89" i="19" s="1"/>
  <c r="D89" i="19" a="1"/>
  <c r="D89" i="19" s="1"/>
  <c r="H88" i="19" a="1"/>
  <c r="H88" i="19" s="1"/>
  <c r="G88" i="19" a="1"/>
  <c r="G88" i="19" s="1"/>
  <c r="F88" i="19"/>
  <c r="F88" i="19" a="1"/>
  <c r="E88" i="19" a="1"/>
  <c r="E88" i="19" s="1"/>
  <c r="D88" i="19" a="1"/>
  <c r="D88" i="19" s="1"/>
  <c r="H87" i="19" a="1"/>
  <c r="H87" i="19" s="1"/>
  <c r="G87" i="19"/>
  <c r="G87" i="19" a="1"/>
  <c r="F87" i="19"/>
  <c r="F87" i="19" a="1"/>
  <c r="E87" i="19" a="1"/>
  <c r="E87" i="19" s="1"/>
  <c r="D87" i="19" a="1"/>
  <c r="D87" i="19" s="1"/>
  <c r="H86" i="19" a="1"/>
  <c r="H86" i="19" s="1"/>
  <c r="G86" i="19"/>
  <c r="G86" i="19" a="1"/>
  <c r="F86" i="19" a="1"/>
  <c r="F86" i="19" s="1"/>
  <c r="E86" i="19" a="1"/>
  <c r="E86" i="19" s="1"/>
  <c r="D86" i="19" a="1"/>
  <c r="D86" i="19" s="1"/>
  <c r="H85" i="19" a="1"/>
  <c r="H85" i="19" s="1"/>
  <c r="G85" i="19" a="1"/>
  <c r="G85" i="19" s="1"/>
  <c r="F85" i="19"/>
  <c r="F85" i="19" a="1"/>
  <c r="E85" i="19"/>
  <c r="E85" i="19" a="1"/>
  <c r="D85" i="19"/>
  <c r="D85" i="19" a="1"/>
  <c r="H84" i="19" a="1"/>
  <c r="H84" i="19" s="1"/>
  <c r="G84" i="19" a="1"/>
  <c r="G84" i="19" s="1"/>
  <c r="F84" i="19" a="1"/>
  <c r="F84" i="19" s="1"/>
  <c r="E84" i="19" a="1"/>
  <c r="E84" i="19" s="1"/>
  <c r="D84" i="19" a="1"/>
  <c r="D84" i="19" s="1"/>
  <c r="H83" i="19" a="1"/>
  <c r="H83" i="19" s="1"/>
  <c r="G83" i="19" a="1"/>
  <c r="G83" i="19" s="1"/>
  <c r="F83" i="19" a="1"/>
  <c r="F83" i="19" s="1"/>
  <c r="E83" i="19"/>
  <c r="E83" i="19" a="1"/>
  <c r="D83" i="19"/>
  <c r="D83" i="19" a="1"/>
  <c r="H82" i="19" a="1"/>
  <c r="H82" i="19" s="1"/>
  <c r="G82" i="19"/>
  <c r="G82" i="19" a="1"/>
  <c r="F82" i="19"/>
  <c r="F82" i="19" a="1"/>
  <c r="E82" i="19" a="1"/>
  <c r="E82" i="19" s="1"/>
  <c r="D82" i="19" a="1"/>
  <c r="D82" i="19" s="1"/>
  <c r="H81" i="19" a="1"/>
  <c r="H81" i="19" s="1"/>
  <c r="G81" i="19"/>
  <c r="G81" i="19" a="1"/>
  <c r="F81" i="19"/>
  <c r="F81" i="19" a="1"/>
  <c r="E81" i="19" a="1"/>
  <c r="E81" i="19" s="1"/>
  <c r="D81" i="19" a="1"/>
  <c r="D81" i="19" s="1"/>
  <c r="H80" i="19" a="1"/>
  <c r="H80" i="19" s="1"/>
  <c r="G80" i="19"/>
  <c r="G80" i="19" a="1"/>
  <c r="F80" i="19"/>
  <c r="F80" i="19" a="1"/>
  <c r="E80" i="19"/>
  <c r="E80" i="19" a="1"/>
  <c r="D80" i="19"/>
  <c r="D80" i="19" a="1"/>
  <c r="H79" i="19" a="1"/>
  <c r="H79" i="19" s="1"/>
  <c r="G79" i="19" a="1"/>
  <c r="G79" i="19" s="1"/>
  <c r="F79" i="19" a="1"/>
  <c r="F79" i="19" s="1"/>
  <c r="E79" i="19" a="1"/>
  <c r="E79" i="19" s="1"/>
  <c r="D79" i="19" a="1"/>
  <c r="D79" i="19" s="1"/>
  <c r="H78" i="19" a="1"/>
  <c r="H78" i="19" s="1"/>
  <c r="G78" i="19" a="1"/>
  <c r="G78" i="19" s="1"/>
  <c r="F78" i="19"/>
  <c r="F78" i="19" a="1"/>
  <c r="E78" i="19"/>
  <c r="E78" i="19" a="1"/>
  <c r="D78" i="19"/>
  <c r="D78" i="19" a="1"/>
  <c r="H77" i="19" a="1"/>
  <c r="H77" i="19" s="1"/>
  <c r="G77" i="19"/>
  <c r="G77" i="19" a="1"/>
  <c r="F77" i="19" a="1"/>
  <c r="F77" i="19" s="1"/>
  <c r="E77" i="19" a="1"/>
  <c r="E77" i="19" s="1"/>
  <c r="D77" i="19" a="1"/>
  <c r="D77" i="19" s="1"/>
  <c r="H76" i="19" a="1"/>
  <c r="H76" i="19" s="1"/>
  <c r="G76" i="19"/>
  <c r="G76" i="19" a="1"/>
  <c r="F76" i="19"/>
  <c r="F76" i="19" a="1"/>
  <c r="E76" i="19" a="1"/>
  <c r="E76" i="19" s="1"/>
  <c r="D76" i="19"/>
  <c r="D76" i="19" a="1"/>
  <c r="H75" i="19" a="1"/>
  <c r="H75" i="19" s="1"/>
  <c r="G75" i="19"/>
  <c r="G75" i="19" a="1"/>
  <c r="F75" i="19"/>
  <c r="F75" i="19" a="1"/>
  <c r="E75" i="19" a="1"/>
  <c r="E75" i="19" s="1"/>
  <c r="D75" i="19" a="1"/>
  <c r="D75" i="19" s="1"/>
  <c r="H74" i="19" a="1"/>
  <c r="H74" i="19" s="1"/>
  <c r="G74" i="19" a="1"/>
  <c r="G74" i="19" s="1"/>
  <c r="F74" i="19" a="1"/>
  <c r="F74" i="19" s="1"/>
  <c r="E74" i="19" a="1"/>
  <c r="E74" i="19" s="1"/>
  <c r="D74" i="19" a="1"/>
  <c r="D74" i="19" s="1"/>
  <c r="H73" i="19" a="1"/>
  <c r="H73" i="19" s="1"/>
  <c r="G73" i="19"/>
  <c r="G73" i="19" a="1"/>
  <c r="F73" i="19"/>
  <c r="F73" i="19" a="1"/>
  <c r="E73" i="19"/>
  <c r="E73" i="19" a="1"/>
  <c r="D73" i="19"/>
  <c r="D73" i="19" a="1"/>
  <c r="H72" i="19" a="1"/>
  <c r="H72" i="19" s="1"/>
  <c r="G72" i="19" a="1"/>
  <c r="G72" i="19" s="1"/>
  <c r="F72" i="19" a="1"/>
  <c r="F72" i="19" s="1"/>
  <c r="E72" i="19" a="1"/>
  <c r="E72" i="19" s="1"/>
  <c r="D72" i="19" a="1"/>
  <c r="D72" i="19" s="1"/>
  <c r="H71" i="19" a="1"/>
  <c r="H71" i="19" s="1"/>
  <c r="G71" i="19" a="1"/>
  <c r="G71" i="19" s="1"/>
  <c r="F71" i="19" a="1"/>
  <c r="F71" i="19" s="1"/>
  <c r="E71" i="19" a="1"/>
  <c r="E71" i="19" s="1"/>
  <c r="D71" i="19" a="1"/>
  <c r="D71" i="19" s="1"/>
  <c r="H70" i="19" a="1"/>
  <c r="H70" i="19" s="1"/>
  <c r="G70" i="19"/>
  <c r="G70" i="19" a="1"/>
  <c r="F70" i="19"/>
  <c r="F70" i="19" a="1"/>
  <c r="E70" i="19" a="1"/>
  <c r="E70" i="19" s="1"/>
  <c r="D70" i="19"/>
  <c r="D70" i="19" a="1"/>
  <c r="H69" i="19" a="1"/>
  <c r="H69" i="19" s="1"/>
  <c r="G69" i="19"/>
  <c r="G69" i="19" a="1"/>
  <c r="F69" i="19" a="1"/>
  <c r="F69" i="19" s="1"/>
  <c r="E69" i="19" a="1"/>
  <c r="E69" i="19" s="1"/>
  <c r="D69" i="19" a="1"/>
  <c r="D69" i="19" s="1"/>
  <c r="H68" i="19" a="1"/>
  <c r="H68" i="19" s="1"/>
  <c r="G68" i="19" a="1"/>
  <c r="G68" i="19" s="1"/>
  <c r="F68" i="19" a="1"/>
  <c r="F68" i="19" s="1"/>
  <c r="E68" i="19"/>
  <c r="E68" i="19" a="1"/>
  <c r="D68" i="19"/>
  <c r="D68" i="19" a="1"/>
  <c r="H67" i="19" a="1"/>
  <c r="H67" i="19" s="1"/>
  <c r="G67" i="19" a="1"/>
  <c r="G67" i="19" s="1"/>
  <c r="F67" i="19" a="1"/>
  <c r="F67" i="19" s="1"/>
  <c r="E67" i="19" a="1"/>
  <c r="E67" i="19" s="1"/>
  <c r="D67" i="19" a="1"/>
  <c r="D67" i="19" s="1"/>
  <c r="H66" i="19" a="1"/>
  <c r="H66" i="19" s="1"/>
  <c r="G66" i="19" a="1"/>
  <c r="G66" i="19" s="1"/>
  <c r="F66" i="19"/>
  <c r="F66" i="19" a="1"/>
  <c r="E66" i="19" a="1"/>
  <c r="E66" i="19" s="1"/>
  <c r="D66" i="19" a="1"/>
  <c r="D66" i="19" s="1"/>
  <c r="H65" i="19" a="1"/>
  <c r="H65" i="19" s="1"/>
  <c r="G65" i="19"/>
  <c r="G65" i="19" a="1"/>
  <c r="F65" i="19" a="1"/>
  <c r="F65" i="19" s="1"/>
  <c r="E65" i="19" a="1"/>
  <c r="E65" i="19" s="1"/>
  <c r="D65" i="19" a="1"/>
  <c r="D65" i="19" s="1"/>
  <c r="H64" i="19" a="1"/>
  <c r="H64" i="19" s="1"/>
  <c r="G64" i="19"/>
  <c r="G64" i="19" a="1"/>
  <c r="F64" i="19"/>
  <c r="F64" i="19" a="1"/>
  <c r="E64" i="19" a="1"/>
  <c r="E64" i="19" s="1"/>
  <c r="D64" i="19"/>
  <c r="D64" i="19" a="1"/>
  <c r="H63" i="19" a="1"/>
  <c r="H63" i="19" s="1"/>
  <c r="G63" i="19" a="1"/>
  <c r="G63" i="19" s="1"/>
  <c r="F63" i="19" a="1"/>
  <c r="F63" i="19" s="1"/>
  <c r="E63" i="19" a="1"/>
  <c r="E63" i="19" s="1"/>
  <c r="D63" i="19" a="1"/>
  <c r="D63" i="19" s="1"/>
  <c r="H62" i="19" a="1"/>
  <c r="H62" i="19" s="1"/>
  <c r="G62" i="19" a="1"/>
  <c r="G62" i="19" s="1"/>
  <c r="F62" i="19" a="1"/>
  <c r="F62" i="19" s="1"/>
  <c r="E62" i="19"/>
  <c r="E62" i="19" a="1"/>
  <c r="D62" i="19"/>
  <c r="D62" i="19" a="1"/>
  <c r="H61" i="19" a="1"/>
  <c r="H61" i="19" s="1"/>
  <c r="G61" i="19"/>
  <c r="G61" i="19" a="1"/>
  <c r="F61" i="19" a="1"/>
  <c r="F61" i="19" s="1"/>
  <c r="E61" i="19" a="1"/>
  <c r="E61" i="19" s="1"/>
  <c r="D61" i="19" a="1"/>
  <c r="D61" i="19" s="1"/>
  <c r="H60" i="19" a="1"/>
  <c r="H60" i="19" s="1"/>
  <c r="G60" i="19" a="1"/>
  <c r="G60" i="19" s="1"/>
  <c r="F60" i="19"/>
  <c r="F60" i="19" a="1"/>
  <c r="E60" i="19"/>
  <c r="E60" i="19" a="1"/>
  <c r="D60" i="19"/>
  <c r="D60" i="19" a="1"/>
  <c r="H59" i="19" a="1"/>
  <c r="H59" i="19" s="1"/>
  <c r="G59" i="19" a="1"/>
  <c r="G59" i="19" s="1"/>
  <c r="F59" i="19" a="1"/>
  <c r="F59" i="19" s="1"/>
  <c r="E59" i="19" a="1"/>
  <c r="E59" i="19" s="1"/>
  <c r="D59" i="19" a="1"/>
  <c r="D59" i="19" s="1"/>
  <c r="H58" i="19" a="1"/>
  <c r="H58" i="19" s="1"/>
  <c r="G58" i="19" a="1"/>
  <c r="G58" i="19" s="1"/>
  <c r="F58" i="19" a="1"/>
  <c r="F58" i="19" s="1"/>
  <c r="E58" i="19" a="1"/>
  <c r="E58" i="19" s="1"/>
  <c r="D58" i="19"/>
  <c r="D58" i="19" a="1"/>
  <c r="H57" i="19" a="1"/>
  <c r="H57" i="19" s="1"/>
  <c r="G57" i="19"/>
  <c r="G57" i="19" a="1"/>
  <c r="F57" i="19"/>
  <c r="F57" i="19" a="1"/>
  <c r="E57" i="19"/>
  <c r="E57" i="19" a="1"/>
  <c r="D57" i="19" a="1"/>
  <c r="D57" i="19" s="1"/>
  <c r="H56" i="19" a="1"/>
  <c r="H56" i="19" s="1"/>
  <c r="G56" i="19" a="1"/>
  <c r="G56" i="19" s="1"/>
  <c r="F56" i="19" a="1"/>
  <c r="F56" i="19" s="1"/>
  <c r="E56" i="19" a="1"/>
  <c r="E56" i="19" s="1"/>
  <c r="D56" i="19" a="1"/>
  <c r="D56" i="19" s="1"/>
  <c r="H55" i="19" a="1"/>
  <c r="H55" i="19" s="1"/>
  <c r="G55" i="19"/>
  <c r="G55" i="19" a="1"/>
  <c r="F55" i="19"/>
  <c r="F55" i="19" a="1"/>
  <c r="E55" i="19"/>
  <c r="E55" i="19" a="1"/>
  <c r="D55" i="19"/>
  <c r="D55" i="19" a="1"/>
  <c r="H54" i="19" a="1"/>
  <c r="H54" i="19" s="1"/>
  <c r="G54" i="19" a="1"/>
  <c r="G54" i="19" s="1"/>
  <c r="F54" i="19" a="1"/>
  <c r="F54" i="19" s="1"/>
  <c r="E54" i="19"/>
  <c r="E54" i="19" a="1"/>
  <c r="D54" i="19" a="1"/>
  <c r="D54" i="19" s="1"/>
  <c r="H53" i="19" a="1"/>
  <c r="H53" i="19" s="1"/>
  <c r="G53" i="19" a="1"/>
  <c r="G53" i="19" s="1"/>
  <c r="F53" i="19" a="1"/>
  <c r="F53" i="19" s="1"/>
  <c r="E53" i="19"/>
  <c r="E53" i="19" a="1"/>
  <c r="D53" i="19"/>
  <c r="D53" i="19" a="1"/>
  <c r="H52" i="19" a="1"/>
  <c r="H52" i="19" s="1"/>
  <c r="G52" i="19"/>
  <c r="G52" i="19" a="1"/>
  <c r="F52" i="19"/>
  <c r="F52" i="19" a="1"/>
  <c r="E52" i="19" a="1"/>
  <c r="E52" i="19" s="1"/>
  <c r="D52" i="19" a="1"/>
  <c r="D52" i="19" s="1"/>
  <c r="H51" i="19" a="1"/>
  <c r="H51" i="19" s="1"/>
  <c r="G51" i="19"/>
  <c r="G51" i="19" a="1"/>
  <c r="F51" i="19" a="1"/>
  <c r="F51" i="19" s="1"/>
  <c r="E51" i="19" a="1"/>
  <c r="E51" i="19" s="1"/>
  <c r="D51" i="19" a="1"/>
  <c r="D51" i="19" s="1"/>
  <c r="H50" i="19" a="1"/>
  <c r="H50" i="19" s="1"/>
  <c r="G50" i="19"/>
  <c r="G50" i="19" a="1"/>
  <c r="F50" i="19" a="1"/>
  <c r="F50" i="19" s="1"/>
  <c r="E50" i="19"/>
  <c r="E50" i="19" a="1"/>
  <c r="D50" i="19"/>
  <c r="D50" i="19" a="1"/>
  <c r="H49" i="19" a="1"/>
  <c r="H49" i="19" s="1"/>
  <c r="G49" i="19" a="1"/>
  <c r="G49" i="19" s="1"/>
  <c r="F49" i="19" a="1"/>
  <c r="F49" i="19" s="1"/>
  <c r="E49" i="19" a="1"/>
  <c r="E49" i="19" s="1"/>
  <c r="D49" i="19"/>
  <c r="D49" i="19" a="1"/>
  <c r="H48" i="19" a="1"/>
  <c r="H48" i="19" s="1"/>
  <c r="G48" i="19" a="1"/>
  <c r="G48" i="19" s="1"/>
  <c r="F48" i="19"/>
  <c r="F48" i="19" a="1"/>
  <c r="E48" i="19"/>
  <c r="E48" i="19" a="1"/>
  <c r="D48" i="19"/>
  <c r="D48" i="19" a="1"/>
  <c r="H47" i="19" a="1"/>
  <c r="H47" i="19" s="1"/>
  <c r="G47" i="19"/>
  <c r="G47" i="19" a="1"/>
  <c r="F47" i="19" a="1"/>
  <c r="F47" i="19" s="1"/>
  <c r="E47" i="19" a="1"/>
  <c r="E47" i="19" s="1"/>
  <c r="D47" i="19" a="1"/>
  <c r="D47" i="19" s="1"/>
  <c r="H46" i="19" a="1"/>
  <c r="H46" i="19" s="1"/>
  <c r="G46" i="19" a="1"/>
  <c r="G46" i="19" s="1"/>
  <c r="F46" i="19" a="1"/>
  <c r="F46" i="19" s="1"/>
  <c r="E46" i="19" a="1"/>
  <c r="E46" i="19" s="1"/>
  <c r="D46" i="19"/>
  <c r="D46" i="19" a="1"/>
  <c r="H45" i="19" a="1"/>
  <c r="H45" i="19" s="1"/>
  <c r="G45" i="19"/>
  <c r="G45" i="19" a="1"/>
  <c r="F45" i="19"/>
  <c r="F45" i="19" a="1"/>
  <c r="E45" i="19"/>
  <c r="E45" i="19" a="1"/>
  <c r="D45" i="19" a="1"/>
  <c r="D45" i="19" s="1"/>
  <c r="H44" i="19" a="1"/>
  <c r="H44" i="19" s="1"/>
  <c r="G44" i="19" a="1"/>
  <c r="G44" i="19" s="1"/>
  <c r="F44" i="19" a="1"/>
  <c r="F44" i="19" s="1"/>
  <c r="E44" i="19" a="1"/>
  <c r="E44" i="19" s="1"/>
  <c r="D44" i="19" a="1"/>
  <c r="D44" i="19" s="1"/>
  <c r="H43" i="19" a="1"/>
  <c r="H43" i="19" s="1"/>
  <c r="G43" i="19"/>
  <c r="G43" i="19" a="1"/>
  <c r="F43" i="19"/>
  <c r="F43" i="19" a="1"/>
  <c r="E43" i="19"/>
  <c r="E43" i="19" a="1"/>
  <c r="D43" i="19"/>
  <c r="D43" i="19" a="1"/>
  <c r="H42" i="19" a="1"/>
  <c r="H42" i="19" s="1"/>
  <c r="G42" i="19" a="1"/>
  <c r="G42" i="19" s="1"/>
  <c r="F42" i="19" a="1"/>
  <c r="F42" i="19" s="1"/>
  <c r="E42" i="19" a="1"/>
  <c r="E42" i="19" s="1"/>
  <c r="D42" i="19" a="1"/>
  <c r="D42" i="19" s="1"/>
  <c r="H41" i="19" a="1"/>
  <c r="H41" i="19" s="1"/>
  <c r="G41" i="19" a="1"/>
  <c r="G41" i="19" s="1"/>
  <c r="F41" i="19" a="1"/>
  <c r="F41" i="19" s="1"/>
  <c r="E41" i="19" a="1"/>
  <c r="E41" i="19" s="1"/>
  <c r="D41" i="19"/>
  <c r="D41" i="19" a="1"/>
  <c r="H40" i="19" a="1"/>
  <c r="H40" i="19" s="1"/>
  <c r="G40" i="19"/>
  <c r="G40" i="19" a="1"/>
  <c r="F40" i="19"/>
  <c r="F40" i="19" a="1"/>
  <c r="E40" i="19" a="1"/>
  <c r="E40" i="19" s="1"/>
  <c r="D40" i="19" a="1"/>
  <c r="D40" i="19" s="1"/>
  <c r="H39" i="19" a="1"/>
  <c r="H39" i="19" s="1"/>
  <c r="G39" i="19" a="1"/>
  <c r="G39" i="19" s="1"/>
  <c r="F39" i="19" a="1"/>
  <c r="F39" i="19" s="1"/>
  <c r="E39" i="19" a="1"/>
  <c r="E39" i="19" s="1"/>
  <c r="D39" i="19" a="1"/>
  <c r="D39" i="19" s="1"/>
  <c r="H38" i="19" a="1"/>
  <c r="H38" i="19" s="1"/>
  <c r="G38" i="19"/>
  <c r="G38" i="19" a="1"/>
  <c r="F38" i="19"/>
  <c r="F38" i="19" a="1"/>
  <c r="E38" i="19"/>
  <c r="E38" i="19" a="1"/>
  <c r="D38" i="19"/>
  <c r="D38" i="19" a="1"/>
  <c r="H37" i="19" a="1"/>
  <c r="H37" i="19" s="1"/>
  <c r="G37" i="19" a="1"/>
  <c r="G37" i="19" s="1"/>
  <c r="F37" i="19" a="1"/>
  <c r="F37" i="19" s="1"/>
  <c r="E37" i="19"/>
  <c r="E37" i="19" a="1"/>
  <c r="D37" i="19" a="1"/>
  <c r="D37" i="19" s="1"/>
  <c r="H36" i="19" a="1"/>
  <c r="H36" i="19" s="1"/>
  <c r="G36" i="19" a="1"/>
  <c r="G36" i="19" s="1"/>
  <c r="F36" i="19"/>
  <c r="F36" i="19" a="1"/>
  <c r="E36" i="19"/>
  <c r="E36" i="19" a="1"/>
  <c r="D36" i="19" a="1"/>
  <c r="D36" i="19" s="1"/>
  <c r="H35" i="19" a="1"/>
  <c r="H35" i="19" s="1"/>
  <c r="G35" i="19"/>
  <c r="G35" i="19" a="1"/>
  <c r="F35" i="19" a="1"/>
  <c r="F35" i="19" s="1"/>
  <c r="E35" i="19" a="1"/>
  <c r="E35" i="19" s="1"/>
  <c r="D35" i="19" a="1"/>
  <c r="D35" i="19" s="1"/>
  <c r="H34" i="19" a="1"/>
  <c r="H34" i="19" s="1"/>
  <c r="G34" i="19" a="1"/>
  <c r="G34" i="19" s="1"/>
  <c r="F34" i="19" a="1"/>
  <c r="F34" i="19" s="1"/>
  <c r="E34" i="19" a="1"/>
  <c r="E34" i="19" s="1"/>
  <c r="D34" i="19"/>
  <c r="D34" i="19" a="1"/>
  <c r="H33" i="19" a="1"/>
  <c r="H33" i="19" s="1"/>
  <c r="G33" i="19"/>
  <c r="G33" i="19" a="1"/>
  <c r="F33" i="19" a="1"/>
  <c r="F33" i="19" s="1"/>
  <c r="E33" i="19"/>
  <c r="E33" i="19" a="1"/>
  <c r="D33" i="19" a="1"/>
  <c r="D33" i="19" s="1"/>
  <c r="H32" i="19" a="1"/>
  <c r="H32" i="19" s="1"/>
  <c r="G32" i="19" a="1"/>
  <c r="G32" i="19" s="1"/>
  <c r="F32" i="19" a="1"/>
  <c r="F32" i="19" s="1"/>
  <c r="E32" i="19" a="1"/>
  <c r="E32" i="19" s="1"/>
  <c r="D32" i="19"/>
  <c r="D32" i="19" a="1"/>
  <c r="H31" i="19" a="1"/>
  <c r="H31" i="19" s="1"/>
  <c r="G31" i="19"/>
  <c r="G31" i="19" a="1"/>
  <c r="F31" i="19"/>
  <c r="F31" i="19" a="1"/>
  <c r="E31" i="19"/>
  <c r="E31" i="19" a="1"/>
  <c r="D31" i="19"/>
  <c r="D31" i="19" a="1"/>
  <c r="H30" i="19" a="1"/>
  <c r="H30" i="19" s="1"/>
  <c r="G30" i="19" a="1"/>
  <c r="G30" i="19" s="1"/>
  <c r="F30" i="19" a="1"/>
  <c r="F30" i="19" s="1"/>
  <c r="E30" i="19" a="1"/>
  <c r="E30" i="19" s="1"/>
  <c r="D30" i="19" a="1"/>
  <c r="D30" i="19" s="1"/>
  <c r="H29" i="19" a="1"/>
  <c r="H29" i="19" s="1"/>
  <c r="G29" i="19" a="1"/>
  <c r="G29" i="19" s="1"/>
  <c r="F29" i="19" a="1"/>
  <c r="F29" i="19" s="1"/>
  <c r="E29" i="19"/>
  <c r="E29" i="19" a="1"/>
  <c r="D29" i="19"/>
  <c r="D29" i="19" a="1"/>
  <c r="H28" i="19" a="1"/>
  <c r="H28" i="19" s="1"/>
  <c r="G28" i="19"/>
  <c r="G28" i="19" a="1"/>
  <c r="F28" i="19"/>
  <c r="F28" i="19" a="1"/>
  <c r="E28" i="19" a="1"/>
  <c r="E28" i="19" s="1"/>
  <c r="D28" i="19" a="1"/>
  <c r="D28" i="19" s="1"/>
  <c r="H27" i="19" a="1"/>
  <c r="H27" i="19" s="1"/>
  <c r="G27" i="19" a="1"/>
  <c r="G27" i="19" s="1"/>
  <c r="F27" i="19" a="1"/>
  <c r="F27" i="19" s="1"/>
  <c r="E27" i="19" a="1"/>
  <c r="E27" i="19" s="1"/>
  <c r="D27" i="19" a="1"/>
  <c r="D27" i="19" s="1"/>
  <c r="H26" i="19" a="1"/>
  <c r="H26" i="19" s="1"/>
  <c r="G26" i="19"/>
  <c r="G26" i="19" a="1"/>
  <c r="F26" i="19"/>
  <c r="F26" i="19" a="1"/>
  <c r="E26" i="19"/>
  <c r="E26" i="19" a="1"/>
  <c r="D26" i="19"/>
  <c r="D26" i="19" a="1"/>
  <c r="H25" i="19" a="1"/>
  <c r="H25" i="19" s="1"/>
  <c r="G25" i="19" a="1"/>
  <c r="G25" i="19" s="1"/>
  <c r="F25" i="19" a="1"/>
  <c r="F25" i="19" s="1"/>
  <c r="E25" i="19" a="1"/>
  <c r="E25" i="19" s="1"/>
  <c r="D25" i="19" a="1"/>
  <c r="D25" i="19" s="1"/>
  <c r="H24" i="19" a="1"/>
  <c r="H24" i="19" s="1"/>
  <c r="G24" i="19" a="1"/>
  <c r="G24" i="19" s="1"/>
  <c r="F24" i="19"/>
  <c r="F24" i="19" a="1"/>
  <c r="E24" i="19"/>
  <c r="E24" i="19" a="1"/>
  <c r="D24" i="19"/>
  <c r="D24" i="19" a="1"/>
  <c r="H23" i="19" a="1"/>
  <c r="H23" i="19" s="1"/>
  <c r="G23" i="19"/>
  <c r="G23" i="19" a="1"/>
  <c r="F23" i="19"/>
  <c r="F23" i="19" a="1"/>
  <c r="E23" i="19"/>
  <c r="E23" i="19" a="1"/>
  <c r="D23" i="19"/>
  <c r="D23" i="19" a="1"/>
  <c r="H22" i="19" a="1"/>
  <c r="H22" i="19" s="1"/>
  <c r="G22" i="19"/>
  <c r="G22" i="19" a="1"/>
  <c r="F22" i="19"/>
  <c r="F22" i="19" a="1"/>
  <c r="E22" i="19"/>
  <c r="E22" i="19" a="1"/>
  <c r="D22" i="19"/>
  <c r="D22" i="19" a="1"/>
  <c r="H21" i="19" a="1"/>
  <c r="H21" i="19" s="1"/>
  <c r="G21" i="19"/>
  <c r="G21" i="19" a="1"/>
  <c r="F21" i="19"/>
  <c r="F21" i="19" a="1"/>
  <c r="E21" i="19"/>
  <c r="E21" i="19" a="1"/>
  <c r="D21" i="19"/>
  <c r="D21" i="19" a="1"/>
  <c r="H20" i="19" a="1"/>
  <c r="H20" i="19" s="1"/>
  <c r="G20" i="19"/>
  <c r="G20" i="19" a="1"/>
  <c r="F20" i="19"/>
  <c r="F20" i="19" a="1"/>
  <c r="E20" i="19"/>
  <c r="E20" i="19" a="1"/>
  <c r="D20" i="19"/>
  <c r="D20" i="19" a="1"/>
  <c r="H19" i="19" a="1"/>
  <c r="H19" i="19" s="1"/>
  <c r="G19" i="19"/>
  <c r="G19" i="19" a="1"/>
  <c r="F19" i="19"/>
  <c r="F19" i="19" a="1"/>
  <c r="E19" i="19"/>
  <c r="E19" i="19" a="1"/>
  <c r="D19" i="19"/>
  <c r="D19" i="19" a="1"/>
  <c r="H18" i="19" a="1"/>
  <c r="H18" i="19" s="1"/>
  <c r="G18" i="19"/>
  <c r="G18" i="19" a="1"/>
  <c r="F18" i="19"/>
  <c r="F18" i="19" a="1"/>
  <c r="E18" i="19"/>
  <c r="E18" i="19" a="1"/>
  <c r="D18" i="19"/>
  <c r="D18" i="19" a="1"/>
  <c r="H17" i="19" a="1"/>
  <c r="H17" i="19" s="1"/>
  <c r="G17" i="19"/>
  <c r="G17" i="19" a="1"/>
  <c r="F17" i="19"/>
  <c r="F17" i="19" a="1"/>
  <c r="E17" i="19"/>
  <c r="E17" i="19" a="1"/>
  <c r="D17" i="19"/>
  <c r="D17" i="19" a="1"/>
  <c r="H16" i="19" a="1"/>
  <c r="H16" i="19" s="1"/>
  <c r="G16" i="19"/>
  <c r="G16" i="19" a="1"/>
  <c r="F16" i="19"/>
  <c r="F16" i="19" a="1"/>
  <c r="E16" i="19"/>
  <c r="E16" i="19" a="1"/>
  <c r="D16" i="19"/>
  <c r="D16" i="19" a="1"/>
  <c r="H15" i="19" a="1"/>
  <c r="H15" i="19" s="1"/>
  <c r="G15" i="19"/>
  <c r="G15" i="19" a="1"/>
  <c r="F15" i="19"/>
  <c r="F15" i="19" a="1"/>
  <c r="E15" i="19"/>
  <c r="E15" i="19" a="1"/>
  <c r="D15" i="19"/>
  <c r="D15" i="19" a="1"/>
  <c r="H14" i="19" a="1"/>
  <c r="H14" i="19" s="1"/>
  <c r="G14" i="19"/>
  <c r="G14" i="19" a="1"/>
  <c r="F14" i="19"/>
  <c r="F14" i="19" a="1"/>
  <c r="E14" i="19"/>
  <c r="E14" i="19" a="1"/>
  <c r="D14" i="19"/>
  <c r="D14" i="19" a="1"/>
  <c r="H13" i="19" a="1"/>
  <c r="H13" i="19" s="1"/>
  <c r="G13" i="19"/>
  <c r="G13" i="19" a="1"/>
  <c r="F13" i="19"/>
  <c r="F13" i="19" a="1"/>
  <c r="E13" i="19"/>
  <c r="E13" i="19" a="1"/>
  <c r="D13" i="19"/>
  <c r="D13" i="19" a="1"/>
  <c r="H12" i="19" a="1"/>
  <c r="H12" i="19" s="1"/>
  <c r="G12" i="19"/>
  <c r="G12" i="19" a="1"/>
  <c r="F12" i="19"/>
  <c r="F12" i="19" a="1"/>
  <c r="E12" i="19"/>
  <c r="E12" i="19" a="1"/>
  <c r="D12" i="19"/>
  <c r="D12" i="19" a="1"/>
  <c r="H11" i="19" a="1"/>
  <c r="H11" i="19" s="1"/>
  <c r="G11" i="19"/>
  <c r="G11" i="19" a="1"/>
  <c r="F11" i="19"/>
  <c r="F11" i="19" a="1"/>
  <c r="E11" i="19"/>
  <c r="E11" i="19" a="1"/>
  <c r="D11" i="19"/>
  <c r="D11" i="19" a="1"/>
  <c r="H10" i="19" a="1"/>
  <c r="H10" i="19" s="1"/>
  <c r="G10" i="19"/>
  <c r="G10" i="19" a="1"/>
  <c r="F10" i="19"/>
  <c r="F10" i="19" a="1"/>
  <c r="E10" i="19"/>
  <c r="E10" i="19" a="1"/>
  <c r="D10" i="19"/>
  <c r="D10" i="19" a="1"/>
  <c r="H9" i="19" a="1"/>
  <c r="H9" i="19" s="1"/>
  <c r="G9" i="19"/>
  <c r="G9" i="19" a="1"/>
  <c r="F9" i="19"/>
  <c r="F9" i="19" a="1"/>
  <c r="E9" i="19"/>
  <c r="E9" i="19" a="1"/>
  <c r="D9" i="19"/>
  <c r="D9" i="19" a="1"/>
  <c r="H8" i="19" a="1"/>
  <c r="H8" i="19" s="1"/>
  <c r="G8" i="19"/>
  <c r="G8" i="19" a="1"/>
  <c r="F8" i="19"/>
  <c r="F8" i="19" a="1"/>
  <c r="E8" i="19"/>
  <c r="E8" i="19" a="1"/>
  <c r="D8" i="19"/>
  <c r="D8" i="19" a="1"/>
  <c r="H7" i="19" a="1"/>
  <c r="H7" i="19" s="1"/>
  <c r="G7" i="19"/>
  <c r="G7" i="19" a="1"/>
  <c r="F7" i="19"/>
  <c r="F7" i="19" a="1"/>
  <c r="E7" i="19"/>
  <c r="E7" i="19" a="1"/>
  <c r="D7" i="19"/>
  <c r="D7" i="19" a="1"/>
  <c r="H6" i="19" a="1"/>
  <c r="H6" i="19" s="1"/>
  <c r="G6" i="19"/>
  <c r="G6" i="19" a="1"/>
  <c r="F6" i="19"/>
  <c r="F6" i="19" a="1"/>
  <c r="E6" i="19"/>
  <c r="E6" i="19" a="1"/>
  <c r="D6" i="19"/>
  <c r="D6" i="19" a="1"/>
  <c r="H5" i="19" a="1"/>
  <c r="H5" i="19" s="1"/>
  <c r="G5" i="19"/>
  <c r="G5" i="19" a="1"/>
  <c r="F5" i="19"/>
  <c r="F5" i="19" a="1"/>
  <c r="E5" i="19"/>
  <c r="E5" i="19" a="1"/>
  <c r="D5" i="19"/>
  <c r="D5" i="19" a="1"/>
  <c r="H4" i="19" a="1"/>
  <c r="H4" i="19" s="1"/>
  <c r="G4" i="19"/>
  <c r="G4" i="19" a="1"/>
  <c r="F4" i="19"/>
  <c r="F4" i="19" a="1"/>
  <c r="E4" i="19"/>
  <c r="E4" i="19" a="1"/>
  <c r="D4" i="19"/>
  <c r="D4" i="19" a="1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1103" i="19"/>
  <c r="C1104" i="19"/>
  <c r="C1105" i="19"/>
  <c r="C1106" i="19"/>
  <c r="C1107" i="19"/>
  <c r="C1108" i="19"/>
  <c r="C1109" i="19"/>
  <c r="C1110" i="19"/>
  <c r="C1111" i="19"/>
  <c r="C1112" i="19"/>
  <c r="C1113" i="19"/>
  <c r="C1114" i="19"/>
  <c r="C1115" i="19"/>
  <c r="C1116" i="19"/>
  <c r="C1117" i="19"/>
  <c r="C1118" i="19"/>
  <c r="C1119" i="19"/>
  <c r="C1120" i="19"/>
  <c r="C1121" i="19"/>
  <c r="C1122" i="19"/>
  <c r="C1123" i="19"/>
  <c r="C1124" i="19"/>
  <c r="C1125" i="19"/>
  <c r="C1126" i="19"/>
  <c r="C1127" i="19"/>
  <c r="C1128" i="19"/>
  <c r="C1129" i="19"/>
  <c r="C1130" i="19"/>
  <c r="C1131" i="19"/>
  <c r="C1132" i="19"/>
  <c r="C1133" i="19"/>
  <c r="C1134" i="19"/>
  <c r="C1135" i="19"/>
  <c r="C1136" i="19"/>
  <c r="C1137" i="19"/>
  <c r="C1138" i="19"/>
  <c r="C1139" i="19"/>
  <c r="C1140" i="19"/>
  <c r="C1141" i="19"/>
  <c r="C1142" i="19"/>
  <c r="C1143" i="19"/>
  <c r="C1144" i="19"/>
  <c r="C1145" i="19"/>
  <c r="C1146" i="19"/>
  <c r="C1147" i="19"/>
  <c r="C1148" i="19"/>
  <c r="C1149" i="19"/>
  <c r="C1150" i="19"/>
  <c r="C1151" i="19"/>
  <c r="C1152" i="19"/>
  <c r="C1153" i="19"/>
  <c r="C1154" i="19"/>
  <c r="C1155" i="19"/>
  <c r="C1156" i="19"/>
  <c r="C1157" i="19"/>
  <c r="C1158" i="19"/>
  <c r="C1159" i="19"/>
  <c r="C1160" i="19"/>
  <c r="C1161" i="19"/>
  <c r="C1162" i="19"/>
  <c r="C1163" i="19"/>
  <c r="C1164" i="19"/>
  <c r="C1165" i="19"/>
  <c r="C1166" i="19"/>
  <c r="C1167" i="19"/>
  <c r="C1168" i="19"/>
  <c r="C1169" i="19"/>
  <c r="C1170" i="19"/>
  <c r="C1171" i="19"/>
  <c r="C1172" i="19"/>
  <c r="C1173" i="19"/>
  <c r="C1174" i="19"/>
  <c r="C1175" i="19"/>
  <c r="C1176" i="19"/>
  <c r="C1177" i="19"/>
  <c r="C1178" i="19"/>
  <c r="C1179" i="19"/>
  <c r="C1180" i="19"/>
  <c r="C1181" i="19"/>
  <c r="C1182" i="19"/>
  <c r="C1183" i="19"/>
  <c r="C1184" i="19"/>
  <c r="C1185" i="19"/>
  <c r="C1186" i="19"/>
  <c r="C1187" i="19"/>
  <c r="C1188" i="19"/>
  <c r="C1189" i="19"/>
  <c r="C1190" i="19"/>
  <c r="C1191" i="19"/>
  <c r="C1192" i="19"/>
  <c r="C1193" i="19"/>
  <c r="C1194" i="19"/>
  <c r="C1195" i="19"/>
  <c r="C1196" i="19"/>
  <c r="C1197" i="19"/>
  <c r="C1198" i="19"/>
  <c r="C1199" i="19"/>
  <c r="C1200" i="19"/>
  <c r="C1201" i="19"/>
  <c r="C1202" i="19"/>
  <c r="C1203" i="19"/>
  <c r="C1204" i="19"/>
  <c r="C1205" i="19"/>
  <c r="C1206" i="19"/>
  <c r="C1207" i="19"/>
  <c r="C1208" i="19"/>
  <c r="C1209" i="19"/>
  <c r="C1210" i="19"/>
  <c r="C1211" i="19"/>
  <c r="C1212" i="19"/>
  <c r="C1213" i="19"/>
  <c r="C1214" i="19"/>
  <c r="C1215" i="19"/>
  <c r="C1216" i="19"/>
  <c r="C1217" i="19"/>
  <c r="C1218" i="19"/>
  <c r="C1219" i="19"/>
  <c r="C1220" i="19"/>
  <c r="C1221" i="19"/>
  <c r="C1222" i="19"/>
  <c r="C1223" i="19"/>
  <c r="C1224" i="19"/>
  <c r="C1225" i="19"/>
  <c r="C1226" i="19"/>
  <c r="C1227" i="19"/>
  <c r="C1228" i="19"/>
  <c r="C1229" i="19"/>
  <c r="C1230" i="19"/>
  <c r="C1231" i="19"/>
  <c r="C1232" i="19"/>
  <c r="C1233" i="19"/>
  <c r="C1234" i="19"/>
  <c r="C1235" i="19"/>
  <c r="C1236" i="19"/>
  <c r="C1237" i="19"/>
  <c r="C1238" i="19"/>
  <c r="C1239" i="19"/>
  <c r="C1240" i="19"/>
  <c r="C1241" i="19"/>
  <c r="C1242" i="19"/>
  <c r="C1243" i="19"/>
  <c r="C1244" i="19"/>
  <c r="C1245" i="19"/>
  <c r="C1246" i="19"/>
  <c r="C1247" i="19"/>
  <c r="C1248" i="19"/>
  <c r="C1249" i="19"/>
  <c r="C1250" i="19"/>
  <c r="C1251" i="19"/>
  <c r="C1252" i="19"/>
  <c r="C1253" i="19"/>
  <c r="C1254" i="19"/>
  <c r="C1255" i="19"/>
  <c r="C1256" i="19"/>
  <c r="C1257" i="19"/>
  <c r="C1258" i="19"/>
  <c r="C1259" i="19"/>
  <c r="C1260" i="19"/>
  <c r="C1261" i="19"/>
  <c r="C1262" i="19"/>
  <c r="C1263" i="19"/>
  <c r="C1264" i="19"/>
  <c r="C1265" i="19"/>
  <c r="C1266" i="19"/>
  <c r="C1267" i="19"/>
  <c r="C1268" i="19"/>
  <c r="C1269" i="19"/>
  <c r="C1270" i="19"/>
  <c r="C1271" i="19"/>
  <c r="C1272" i="19"/>
  <c r="C1273" i="19"/>
  <c r="C1274" i="19"/>
  <c r="C1275" i="19"/>
  <c r="C1276" i="19"/>
  <c r="C1277" i="19"/>
  <c r="C1278" i="19"/>
  <c r="C1279" i="19"/>
  <c r="C1280" i="19"/>
  <c r="C1281" i="19"/>
  <c r="C1282" i="19"/>
  <c r="C1283" i="19"/>
  <c r="C1284" i="19"/>
  <c r="C1285" i="19"/>
  <c r="C1286" i="19"/>
  <c r="C1287" i="19"/>
  <c r="C1288" i="19"/>
  <c r="C1289" i="19"/>
  <c r="C1290" i="19"/>
  <c r="C1291" i="19"/>
  <c r="C1292" i="19"/>
  <c r="C1293" i="19"/>
  <c r="C1294" i="19"/>
  <c r="C1295" i="19"/>
  <c r="C1296" i="19"/>
  <c r="C1297" i="19"/>
  <c r="C1298" i="19"/>
  <c r="C1299" i="19"/>
  <c r="C1300" i="19"/>
  <c r="C1301" i="19"/>
  <c r="C1302" i="19"/>
  <c r="C1303" i="19"/>
  <c r="C1304" i="19"/>
  <c r="C1305" i="19"/>
  <c r="C1306" i="19"/>
  <c r="C1307" i="19"/>
  <c r="C1308" i="19"/>
  <c r="C1309" i="19"/>
  <c r="C1310" i="19"/>
  <c r="C1311" i="19"/>
  <c r="C1312" i="19"/>
  <c r="C1313" i="19"/>
  <c r="C1314" i="19"/>
  <c r="C1315" i="19"/>
  <c r="C1316" i="19"/>
  <c r="C1317" i="19"/>
  <c r="C1318" i="19"/>
  <c r="C1319" i="19"/>
  <c r="C1320" i="19"/>
  <c r="C1321" i="19"/>
  <c r="C1322" i="19"/>
  <c r="C1323" i="19"/>
  <c r="C1324" i="19"/>
  <c r="C1325" i="19"/>
  <c r="C1326" i="19"/>
  <c r="C1327" i="19"/>
  <c r="C1328" i="19"/>
  <c r="C1329" i="19"/>
  <c r="C1330" i="19"/>
  <c r="C1331" i="19"/>
  <c r="C1332" i="19"/>
  <c r="C1333" i="19"/>
  <c r="C1334" i="19"/>
  <c r="C1335" i="19"/>
  <c r="C1336" i="19"/>
  <c r="C1337" i="19"/>
  <c r="C1338" i="19"/>
  <c r="C1339" i="19"/>
  <c r="C1340" i="19"/>
  <c r="C1341" i="19"/>
  <c r="C1342" i="19"/>
  <c r="C1343" i="19"/>
  <c r="C1344" i="19"/>
  <c r="C1345" i="19"/>
  <c r="C1346" i="19"/>
  <c r="C1347" i="19"/>
  <c r="C1348" i="19"/>
  <c r="C1349" i="19"/>
  <c r="C1350" i="19"/>
  <c r="C1351" i="19"/>
  <c r="C1352" i="19"/>
  <c r="C1353" i="19"/>
  <c r="C1354" i="19"/>
  <c r="C1355" i="19"/>
  <c r="C1356" i="19"/>
  <c r="C1357" i="19"/>
  <c r="C1358" i="19"/>
  <c r="C1359" i="19"/>
  <c r="C1360" i="19"/>
  <c r="C1361" i="19"/>
  <c r="C1362" i="19"/>
  <c r="C1363" i="19"/>
  <c r="C1364" i="19"/>
  <c r="C1365" i="19"/>
  <c r="C1366" i="19"/>
  <c r="C1367" i="19"/>
  <c r="C1368" i="19"/>
  <c r="C1369" i="19"/>
  <c r="C1370" i="19"/>
  <c r="C1371" i="19"/>
  <c r="C1372" i="19"/>
  <c r="C1373" i="19"/>
  <c r="C1374" i="19"/>
  <c r="C1375" i="19"/>
  <c r="C1376" i="19"/>
  <c r="C1377" i="19"/>
  <c r="C1378" i="19"/>
  <c r="C1379" i="19"/>
  <c r="C1380" i="19"/>
  <c r="C1381" i="19"/>
  <c r="C1382" i="19"/>
  <c r="C1383" i="19"/>
  <c r="C1384" i="19"/>
  <c r="C1385" i="19"/>
  <c r="C1386" i="19"/>
  <c r="C1387" i="19"/>
  <c r="C1388" i="19"/>
  <c r="C1389" i="19"/>
  <c r="C1390" i="19"/>
  <c r="C1391" i="19"/>
  <c r="C1392" i="19"/>
  <c r="C1393" i="19"/>
  <c r="C1394" i="19"/>
  <c r="C1395" i="19"/>
  <c r="C1396" i="19"/>
  <c r="C1397" i="19"/>
  <c r="C1398" i="19"/>
  <c r="C1399" i="19"/>
  <c r="C1400" i="19"/>
  <c r="C1401" i="19"/>
  <c r="C1402" i="19"/>
  <c r="C1403" i="19"/>
  <c r="C1404" i="19"/>
  <c r="C1405" i="19"/>
  <c r="C1406" i="19"/>
  <c r="C1407" i="19"/>
  <c r="C1408" i="19"/>
  <c r="C1409" i="19"/>
  <c r="C1410" i="19"/>
  <c r="C1411" i="19"/>
  <c r="C1412" i="19"/>
  <c r="C1413" i="19"/>
  <c r="C1414" i="19"/>
  <c r="C1415" i="19"/>
  <c r="C1416" i="19"/>
  <c r="C1417" i="19"/>
  <c r="C1418" i="19"/>
  <c r="C1419" i="19"/>
  <c r="C1420" i="19"/>
  <c r="C1421" i="19"/>
  <c r="C1422" i="19"/>
  <c r="C1423" i="19"/>
  <c r="C1424" i="19"/>
  <c r="C1425" i="19"/>
  <c r="C1426" i="19"/>
  <c r="C1427" i="19"/>
  <c r="C1428" i="19"/>
  <c r="C1429" i="19"/>
  <c r="C1430" i="19"/>
  <c r="C1431" i="19"/>
  <c r="C1432" i="19"/>
  <c r="C1433" i="19"/>
  <c r="C1434" i="19"/>
  <c r="C1435" i="19"/>
  <c r="C1436" i="19"/>
  <c r="C1437" i="19"/>
  <c r="C1438" i="19"/>
  <c r="C1439" i="19"/>
  <c r="C1440" i="19"/>
  <c r="C1441" i="19"/>
  <c r="C1442" i="19"/>
  <c r="C1443" i="19"/>
  <c r="C1444" i="19"/>
  <c r="C1445" i="19"/>
  <c r="C1446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2" i="19"/>
  <c r="B683" i="19"/>
  <c r="B684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4" i="19"/>
  <c r="B725" i="19"/>
  <c r="B726" i="19"/>
  <c r="B727" i="19"/>
  <c r="B728" i="19"/>
  <c r="B729" i="19"/>
  <c r="B730" i="19"/>
  <c r="B731" i="19"/>
  <c r="B732" i="19"/>
  <c r="B733" i="19"/>
  <c r="B734" i="19"/>
  <c r="B735" i="19"/>
  <c r="B736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4" i="19"/>
  <c r="B775" i="19"/>
  <c r="B776" i="19"/>
  <c r="B777" i="19"/>
  <c r="B778" i="19"/>
  <c r="B779" i="19"/>
  <c r="B780" i="19"/>
  <c r="B781" i="19"/>
  <c r="B782" i="19"/>
  <c r="B783" i="19"/>
  <c r="B784" i="19"/>
  <c r="B785" i="19"/>
  <c r="B786" i="19"/>
  <c r="B787" i="19"/>
  <c r="B788" i="19"/>
  <c r="B789" i="19"/>
  <c r="B790" i="19"/>
  <c r="B791" i="19"/>
  <c r="B792" i="19"/>
  <c r="B793" i="19"/>
  <c r="B794" i="19"/>
  <c r="B795" i="19"/>
  <c r="B796" i="19"/>
  <c r="B797" i="19"/>
  <c r="B798" i="19"/>
  <c r="B799" i="19"/>
  <c r="B800" i="19"/>
  <c r="B801" i="19"/>
  <c r="B802" i="19"/>
  <c r="B803" i="19"/>
  <c r="B804" i="19"/>
  <c r="B805" i="19"/>
  <c r="B806" i="19"/>
  <c r="B807" i="19"/>
  <c r="B808" i="19"/>
  <c r="B809" i="19"/>
  <c r="B810" i="19"/>
  <c r="B811" i="19"/>
  <c r="B812" i="19"/>
  <c r="B813" i="19"/>
  <c r="B814" i="19"/>
  <c r="B815" i="19"/>
  <c r="B816" i="19"/>
  <c r="B817" i="19"/>
  <c r="B818" i="19"/>
  <c r="B819" i="19"/>
  <c r="B820" i="19"/>
  <c r="B821" i="19"/>
  <c r="B822" i="19"/>
  <c r="B823" i="19"/>
  <c r="B824" i="19"/>
  <c r="B825" i="19"/>
  <c r="B826" i="19"/>
  <c r="B827" i="19"/>
  <c r="B828" i="19"/>
  <c r="B829" i="19"/>
  <c r="B830" i="19"/>
  <c r="B831" i="19"/>
  <c r="B832" i="19"/>
  <c r="B833" i="19"/>
  <c r="B834" i="19"/>
  <c r="B835" i="19"/>
  <c r="B836" i="19"/>
  <c r="B837" i="19"/>
  <c r="B838" i="19"/>
  <c r="B839" i="19"/>
  <c r="B840" i="19"/>
  <c r="B841" i="19"/>
  <c r="B842" i="19"/>
  <c r="B843" i="19"/>
  <c r="B844" i="19"/>
  <c r="B845" i="19"/>
  <c r="B846" i="19"/>
  <c r="B847" i="19"/>
  <c r="B848" i="19"/>
  <c r="B849" i="19"/>
  <c r="B850" i="19"/>
  <c r="B851" i="19"/>
  <c r="B852" i="19"/>
  <c r="B853" i="19"/>
  <c r="B854" i="19"/>
  <c r="B855" i="19"/>
  <c r="B856" i="19"/>
  <c r="B857" i="19"/>
  <c r="B858" i="19"/>
  <c r="B859" i="19"/>
  <c r="B860" i="19"/>
  <c r="B861" i="19"/>
  <c r="B862" i="19"/>
  <c r="B863" i="19"/>
  <c r="B864" i="19"/>
  <c r="B865" i="19"/>
  <c r="B866" i="19"/>
  <c r="B867" i="19"/>
  <c r="B868" i="19"/>
  <c r="B869" i="19"/>
  <c r="B870" i="19"/>
  <c r="B871" i="19"/>
  <c r="B872" i="19"/>
  <c r="B873" i="19"/>
  <c r="B874" i="19"/>
  <c r="B875" i="19"/>
  <c r="B876" i="19"/>
  <c r="B877" i="19"/>
  <c r="B878" i="19"/>
  <c r="B879" i="19"/>
  <c r="B880" i="19"/>
  <c r="B881" i="19"/>
  <c r="B882" i="19"/>
  <c r="B883" i="19"/>
  <c r="B884" i="19"/>
  <c r="B885" i="19"/>
  <c r="B886" i="19"/>
  <c r="B887" i="19"/>
  <c r="B888" i="19"/>
  <c r="B889" i="19"/>
  <c r="B890" i="19"/>
  <c r="B891" i="19"/>
  <c r="B892" i="19"/>
  <c r="B893" i="19"/>
  <c r="B894" i="19"/>
  <c r="B895" i="19"/>
  <c r="B896" i="19"/>
  <c r="B897" i="19"/>
  <c r="B898" i="19"/>
  <c r="B899" i="19"/>
  <c r="B900" i="19"/>
  <c r="B901" i="19"/>
  <c r="B902" i="19"/>
  <c r="B903" i="19"/>
  <c r="B904" i="19"/>
  <c r="B905" i="19"/>
  <c r="B906" i="19"/>
  <c r="B907" i="19"/>
  <c r="B908" i="19"/>
  <c r="B909" i="19"/>
  <c r="B910" i="19"/>
  <c r="B911" i="19"/>
  <c r="B912" i="19"/>
  <c r="B913" i="19"/>
  <c r="B914" i="19"/>
  <c r="B915" i="19"/>
  <c r="B916" i="19"/>
  <c r="B917" i="19"/>
  <c r="B918" i="19"/>
  <c r="B919" i="19"/>
  <c r="B920" i="19"/>
  <c r="B921" i="19"/>
  <c r="B922" i="19"/>
  <c r="B923" i="19"/>
  <c r="B924" i="19"/>
  <c r="B925" i="19"/>
  <c r="B926" i="19"/>
  <c r="B927" i="19"/>
  <c r="B928" i="19"/>
  <c r="B929" i="19"/>
  <c r="B930" i="19"/>
  <c r="B931" i="19"/>
  <c r="B932" i="19"/>
  <c r="B933" i="19"/>
  <c r="B934" i="19"/>
  <c r="B935" i="19"/>
  <c r="B936" i="19"/>
  <c r="B937" i="19"/>
  <c r="B938" i="19"/>
  <c r="B939" i="19"/>
  <c r="B940" i="19"/>
  <c r="B941" i="19"/>
  <c r="B942" i="19"/>
  <c r="B943" i="19"/>
  <c r="B944" i="19"/>
  <c r="B945" i="19"/>
  <c r="B946" i="19"/>
  <c r="B947" i="19"/>
  <c r="B948" i="19"/>
  <c r="B949" i="19"/>
  <c r="B950" i="19"/>
  <c r="B951" i="19"/>
  <c r="B952" i="19"/>
  <c r="B953" i="19"/>
  <c r="B954" i="19"/>
  <c r="B955" i="19"/>
  <c r="B956" i="19"/>
  <c r="B957" i="19"/>
  <c r="B958" i="19"/>
  <c r="B959" i="19"/>
  <c r="B960" i="19"/>
  <c r="B961" i="19"/>
  <c r="B962" i="19"/>
  <c r="B963" i="19"/>
  <c r="B964" i="19"/>
  <c r="B965" i="19"/>
  <c r="B966" i="19"/>
  <c r="B967" i="19"/>
  <c r="B968" i="19"/>
  <c r="B969" i="19"/>
  <c r="B970" i="19"/>
  <c r="B971" i="19"/>
  <c r="B972" i="19"/>
  <c r="B973" i="19"/>
  <c r="B974" i="19"/>
  <c r="B975" i="19"/>
  <c r="B976" i="19"/>
  <c r="B977" i="19"/>
  <c r="B978" i="19"/>
  <c r="B979" i="19"/>
  <c r="B980" i="19"/>
  <c r="B981" i="19"/>
  <c r="B982" i="19"/>
  <c r="B983" i="19"/>
  <c r="B984" i="19"/>
  <c r="B985" i="19"/>
  <c r="B986" i="19"/>
  <c r="B987" i="19"/>
  <c r="B988" i="19"/>
  <c r="B989" i="19"/>
  <c r="B990" i="19"/>
  <c r="B991" i="19"/>
  <c r="B992" i="19"/>
  <c r="B993" i="19"/>
  <c r="B994" i="19"/>
  <c r="B995" i="19"/>
  <c r="B996" i="19"/>
  <c r="B997" i="19"/>
  <c r="B998" i="19"/>
  <c r="B999" i="19"/>
  <c r="B1000" i="19"/>
  <c r="B1001" i="19"/>
  <c r="B1002" i="19"/>
  <c r="B1003" i="19"/>
  <c r="B1004" i="19"/>
  <c r="B1005" i="19"/>
  <c r="B1006" i="19"/>
  <c r="B1007" i="19"/>
  <c r="B1008" i="19"/>
  <c r="B1009" i="19"/>
  <c r="B1010" i="19"/>
  <c r="B1011" i="19"/>
  <c r="B1012" i="19"/>
  <c r="B1013" i="19"/>
  <c r="B1014" i="19"/>
  <c r="B1015" i="19"/>
  <c r="B1016" i="19"/>
  <c r="B1017" i="19"/>
  <c r="B1018" i="19"/>
  <c r="B1019" i="19"/>
  <c r="B1020" i="19"/>
  <c r="B1021" i="19"/>
  <c r="B1022" i="19"/>
  <c r="B1023" i="19"/>
  <c r="B1024" i="19"/>
  <c r="B1025" i="19"/>
  <c r="B1026" i="19"/>
  <c r="B1027" i="19"/>
  <c r="B1028" i="19"/>
  <c r="B1029" i="19"/>
  <c r="B1030" i="19"/>
  <c r="B1031" i="19"/>
  <c r="B1032" i="19"/>
  <c r="B1033" i="19"/>
  <c r="B1034" i="19"/>
  <c r="B1035" i="19"/>
  <c r="B1036" i="19"/>
  <c r="B1037" i="19"/>
  <c r="B1038" i="19"/>
  <c r="B1039" i="19"/>
  <c r="B1040" i="19"/>
  <c r="B1041" i="19"/>
  <c r="B1042" i="19"/>
  <c r="B1043" i="19"/>
  <c r="B1044" i="19"/>
  <c r="B1045" i="19"/>
  <c r="B1046" i="19"/>
  <c r="B1047" i="19"/>
  <c r="B1048" i="19"/>
  <c r="B1049" i="19"/>
  <c r="B1050" i="19"/>
  <c r="B1051" i="19"/>
  <c r="B1052" i="19"/>
  <c r="B1053" i="19"/>
  <c r="B1054" i="19"/>
  <c r="B1055" i="19"/>
  <c r="B1056" i="19"/>
  <c r="B1057" i="19"/>
  <c r="B1058" i="19"/>
  <c r="B1059" i="19"/>
  <c r="B1060" i="19"/>
  <c r="B1061" i="19"/>
  <c r="B1062" i="19"/>
  <c r="B1063" i="19"/>
  <c r="B1064" i="19"/>
  <c r="B1065" i="19"/>
  <c r="B1066" i="19"/>
  <c r="B1067" i="19"/>
  <c r="B1068" i="19"/>
  <c r="B1069" i="19"/>
  <c r="B1070" i="19"/>
  <c r="B1071" i="19"/>
  <c r="B1072" i="19"/>
  <c r="B1073" i="19"/>
  <c r="B1074" i="19"/>
  <c r="B1075" i="19"/>
  <c r="B1076" i="19"/>
  <c r="B1077" i="19"/>
  <c r="B1078" i="19"/>
  <c r="B1079" i="19"/>
  <c r="B1080" i="19"/>
  <c r="B1081" i="19"/>
  <c r="B1082" i="19"/>
  <c r="B1083" i="19"/>
  <c r="B1084" i="19"/>
  <c r="B1085" i="19"/>
  <c r="B1086" i="19"/>
  <c r="B1087" i="19"/>
  <c r="B1088" i="19"/>
  <c r="B1089" i="19"/>
  <c r="B1090" i="19"/>
  <c r="B1091" i="19"/>
  <c r="B1092" i="19"/>
  <c r="B1093" i="19"/>
  <c r="B1094" i="19"/>
  <c r="B1095" i="19"/>
  <c r="B1096" i="19"/>
  <c r="B1097" i="19"/>
  <c r="B1098" i="19"/>
  <c r="B1099" i="19"/>
  <c r="B1100" i="19"/>
  <c r="B1101" i="19"/>
  <c r="B1102" i="19"/>
  <c r="B1103" i="19"/>
  <c r="B1104" i="19"/>
  <c r="B1105" i="19"/>
  <c r="B1106" i="19"/>
  <c r="B1107" i="19"/>
  <c r="B1108" i="19"/>
  <c r="B1109" i="19"/>
  <c r="B1110" i="19"/>
  <c r="B1111" i="19"/>
  <c r="B1112" i="19"/>
  <c r="B1113" i="19"/>
  <c r="B1114" i="19"/>
  <c r="B1115" i="19"/>
  <c r="B1116" i="19"/>
  <c r="B1117" i="19"/>
  <c r="B1118" i="19"/>
  <c r="B1119" i="19"/>
  <c r="B1120" i="19"/>
  <c r="B1121" i="19"/>
  <c r="B1122" i="19"/>
  <c r="B1123" i="19"/>
  <c r="B1124" i="19"/>
  <c r="B1125" i="19"/>
  <c r="B1126" i="19"/>
  <c r="B1127" i="19"/>
  <c r="B1128" i="19"/>
  <c r="B1129" i="19"/>
  <c r="B1130" i="19"/>
  <c r="B1131" i="19"/>
  <c r="B1132" i="19"/>
  <c r="B1133" i="19"/>
  <c r="B1134" i="19"/>
  <c r="B1135" i="19"/>
  <c r="B1136" i="19"/>
  <c r="B1137" i="19"/>
  <c r="B1138" i="19"/>
  <c r="B1139" i="19"/>
  <c r="B1140" i="19"/>
  <c r="B1141" i="19"/>
  <c r="B1142" i="19"/>
  <c r="B1143" i="19"/>
  <c r="B1144" i="19"/>
  <c r="B1145" i="19"/>
  <c r="B1146" i="19"/>
  <c r="B1147" i="19"/>
  <c r="B1148" i="19"/>
  <c r="B1149" i="19"/>
  <c r="B1150" i="19"/>
  <c r="B1151" i="19"/>
  <c r="B1152" i="19"/>
  <c r="B1153" i="19"/>
  <c r="B1154" i="19"/>
  <c r="B1155" i="19"/>
  <c r="B1156" i="19"/>
  <c r="B1157" i="19"/>
  <c r="B1158" i="19"/>
  <c r="B1159" i="19"/>
  <c r="B1160" i="19"/>
  <c r="B1161" i="19"/>
  <c r="B1162" i="19"/>
  <c r="B1163" i="19"/>
  <c r="B1164" i="19"/>
  <c r="B1165" i="19"/>
  <c r="B1166" i="19"/>
  <c r="B1167" i="19"/>
  <c r="B1168" i="19"/>
  <c r="B1169" i="19"/>
  <c r="B1170" i="19"/>
  <c r="B1171" i="19"/>
  <c r="B1172" i="19"/>
  <c r="B1173" i="19"/>
  <c r="B1174" i="19"/>
  <c r="B1175" i="19"/>
  <c r="B1176" i="19"/>
  <c r="B1177" i="19"/>
  <c r="B1178" i="19"/>
  <c r="B1179" i="19"/>
  <c r="B1180" i="19"/>
  <c r="B1181" i="19"/>
  <c r="B1182" i="19"/>
  <c r="B1183" i="19"/>
  <c r="B1184" i="19"/>
  <c r="B1185" i="19"/>
  <c r="B1186" i="19"/>
  <c r="B1187" i="19"/>
  <c r="B1188" i="19"/>
  <c r="B1189" i="19"/>
  <c r="B1190" i="19"/>
  <c r="B1191" i="19"/>
  <c r="B1192" i="19"/>
  <c r="B1193" i="19"/>
  <c r="B1194" i="19"/>
  <c r="B1195" i="19"/>
  <c r="B1196" i="19"/>
  <c r="B1197" i="19"/>
  <c r="B1198" i="19"/>
  <c r="B1199" i="19"/>
  <c r="B1200" i="19"/>
  <c r="B1201" i="19"/>
  <c r="B1202" i="19"/>
  <c r="B1203" i="19"/>
  <c r="B1204" i="19"/>
  <c r="B1205" i="19"/>
  <c r="B1206" i="19"/>
  <c r="B1207" i="19"/>
  <c r="B1208" i="19"/>
  <c r="B1209" i="19"/>
  <c r="B1210" i="19"/>
  <c r="B1211" i="19"/>
  <c r="B1212" i="19"/>
  <c r="B1213" i="19"/>
  <c r="B1214" i="19"/>
  <c r="B1215" i="19"/>
  <c r="B1216" i="19"/>
  <c r="B1217" i="19"/>
  <c r="B1218" i="19"/>
  <c r="B1219" i="19"/>
  <c r="B1220" i="19"/>
  <c r="B1221" i="19"/>
  <c r="B1222" i="19"/>
  <c r="B1223" i="19"/>
  <c r="B1224" i="19"/>
  <c r="B1225" i="19"/>
  <c r="B1226" i="19"/>
  <c r="B1227" i="19"/>
  <c r="B1228" i="19"/>
  <c r="B1229" i="19"/>
  <c r="B1230" i="19"/>
  <c r="B1231" i="19"/>
  <c r="B1232" i="19"/>
  <c r="B1233" i="19"/>
  <c r="B1234" i="19"/>
  <c r="B1235" i="19"/>
  <c r="B1236" i="19"/>
  <c r="B1237" i="19"/>
  <c r="B1238" i="19"/>
  <c r="B1239" i="19"/>
  <c r="B1240" i="19"/>
  <c r="B1241" i="19"/>
  <c r="B1242" i="19"/>
  <c r="B1243" i="19"/>
  <c r="B1244" i="19"/>
  <c r="B1245" i="19"/>
  <c r="B1246" i="19"/>
  <c r="B1247" i="19"/>
  <c r="B1248" i="19"/>
  <c r="B1249" i="19"/>
  <c r="B1250" i="19"/>
  <c r="B1251" i="19"/>
  <c r="B1252" i="19"/>
  <c r="B1253" i="19"/>
  <c r="B1254" i="19"/>
  <c r="B1255" i="19"/>
  <c r="B1256" i="19"/>
  <c r="B1257" i="19"/>
  <c r="B1258" i="19"/>
  <c r="B1259" i="19"/>
  <c r="B1260" i="19"/>
  <c r="B1261" i="19"/>
  <c r="B1262" i="19"/>
  <c r="B1263" i="19"/>
  <c r="B1264" i="19"/>
  <c r="B1265" i="19"/>
  <c r="B1266" i="19"/>
  <c r="B1267" i="19"/>
  <c r="B1268" i="19"/>
  <c r="B1269" i="19"/>
  <c r="B1270" i="19"/>
  <c r="B1271" i="19"/>
  <c r="B1272" i="19"/>
  <c r="B1273" i="19"/>
  <c r="B1274" i="19"/>
  <c r="B1275" i="19"/>
  <c r="B1276" i="19"/>
  <c r="B1277" i="19"/>
  <c r="B1278" i="19"/>
  <c r="B1279" i="19"/>
  <c r="B1280" i="19"/>
  <c r="B1281" i="19"/>
  <c r="B1282" i="19"/>
  <c r="B1283" i="19"/>
  <c r="B1284" i="19"/>
  <c r="B1285" i="19"/>
  <c r="B1286" i="19"/>
  <c r="B1287" i="19"/>
  <c r="B1288" i="19"/>
  <c r="B1289" i="19"/>
  <c r="B1290" i="19"/>
  <c r="B1291" i="19"/>
  <c r="B1292" i="19"/>
  <c r="B1293" i="19"/>
  <c r="B1294" i="19"/>
  <c r="B1295" i="19"/>
  <c r="B1296" i="19"/>
  <c r="B1297" i="19"/>
  <c r="B1298" i="19"/>
  <c r="B1299" i="19"/>
  <c r="B1300" i="19"/>
  <c r="B1301" i="19"/>
  <c r="B1302" i="19"/>
  <c r="B1303" i="19"/>
  <c r="B1304" i="19"/>
  <c r="B1305" i="19"/>
  <c r="B1306" i="19"/>
  <c r="B1307" i="19"/>
  <c r="B1308" i="19"/>
  <c r="B1309" i="19"/>
  <c r="B1310" i="19"/>
  <c r="B1311" i="19"/>
  <c r="B1312" i="19"/>
  <c r="B1313" i="19"/>
  <c r="B1314" i="19"/>
  <c r="B1315" i="19"/>
  <c r="B1316" i="19"/>
  <c r="B1317" i="19"/>
  <c r="B1318" i="19"/>
  <c r="B1319" i="19"/>
  <c r="B1320" i="19"/>
  <c r="B1321" i="19"/>
  <c r="B1322" i="19"/>
  <c r="B1323" i="19"/>
  <c r="B1324" i="19"/>
  <c r="B1325" i="19"/>
  <c r="B1326" i="19"/>
  <c r="B1327" i="19"/>
  <c r="B1328" i="19"/>
  <c r="B1329" i="19"/>
  <c r="B1330" i="19"/>
  <c r="B1331" i="19"/>
  <c r="B1332" i="19"/>
  <c r="B1333" i="19"/>
  <c r="B1334" i="19"/>
  <c r="B1335" i="19"/>
  <c r="B1336" i="19"/>
  <c r="B1337" i="19"/>
  <c r="B1338" i="19"/>
  <c r="B1339" i="19"/>
  <c r="B1340" i="19"/>
  <c r="B1341" i="19"/>
  <c r="B1342" i="19"/>
  <c r="B1343" i="19"/>
  <c r="B1344" i="19"/>
  <c r="B1345" i="19"/>
  <c r="B1346" i="19"/>
  <c r="B1347" i="19"/>
  <c r="B1348" i="19"/>
  <c r="B1349" i="19"/>
  <c r="B1350" i="19"/>
  <c r="B1351" i="19"/>
  <c r="B1352" i="19"/>
  <c r="B1353" i="19"/>
  <c r="B1354" i="19"/>
  <c r="B1355" i="19"/>
  <c r="B1356" i="19"/>
  <c r="B1357" i="19"/>
  <c r="B1358" i="19"/>
  <c r="B1359" i="19"/>
  <c r="B1360" i="19"/>
  <c r="B1361" i="19"/>
  <c r="B1362" i="19"/>
  <c r="B1363" i="19"/>
  <c r="B1364" i="19"/>
  <c r="B1365" i="19"/>
  <c r="B1366" i="19"/>
  <c r="B1367" i="19"/>
  <c r="B1368" i="19"/>
  <c r="B1369" i="19"/>
  <c r="B1370" i="19"/>
  <c r="B1371" i="19"/>
  <c r="B1372" i="19"/>
  <c r="B1373" i="19"/>
  <c r="B1374" i="19"/>
  <c r="B1375" i="19"/>
  <c r="B1376" i="19"/>
  <c r="B1377" i="19"/>
  <c r="B1378" i="19"/>
  <c r="B1379" i="19"/>
  <c r="B1380" i="19"/>
  <c r="B1381" i="19"/>
  <c r="B1382" i="19"/>
  <c r="B1383" i="19"/>
  <c r="B1384" i="19"/>
  <c r="B1385" i="19"/>
  <c r="B1386" i="19"/>
  <c r="B1387" i="19"/>
  <c r="B1388" i="19"/>
  <c r="B1389" i="19"/>
  <c r="B1390" i="19"/>
  <c r="B1391" i="19"/>
  <c r="B1392" i="19"/>
  <c r="B1393" i="19"/>
  <c r="B1394" i="19"/>
  <c r="B1395" i="19"/>
  <c r="B1396" i="19"/>
  <c r="B1397" i="19"/>
  <c r="B1398" i="19"/>
  <c r="B1399" i="19"/>
  <c r="B1400" i="19"/>
  <c r="B1401" i="19"/>
  <c r="B1402" i="19"/>
  <c r="B1403" i="19"/>
  <c r="B1404" i="19"/>
  <c r="B1405" i="19"/>
  <c r="B1406" i="19"/>
  <c r="B1407" i="19"/>
  <c r="B1408" i="19"/>
  <c r="B1409" i="19"/>
  <c r="B1410" i="19"/>
  <c r="B1411" i="19"/>
  <c r="B1412" i="19"/>
  <c r="B1413" i="19"/>
  <c r="B1414" i="19"/>
  <c r="B1415" i="19"/>
  <c r="B1416" i="19"/>
  <c r="B1417" i="19"/>
  <c r="B1418" i="19"/>
  <c r="B1419" i="19"/>
  <c r="B1420" i="19"/>
  <c r="B1421" i="19"/>
  <c r="B1422" i="19"/>
  <c r="B1423" i="19"/>
  <c r="B1424" i="19"/>
  <c r="B1425" i="19"/>
  <c r="B1426" i="19"/>
  <c r="B1427" i="19"/>
  <c r="B1428" i="19"/>
  <c r="B1429" i="19"/>
  <c r="B1430" i="19"/>
  <c r="B1431" i="19"/>
  <c r="B1432" i="19"/>
  <c r="B1433" i="19"/>
  <c r="B1434" i="19"/>
  <c r="B1435" i="19"/>
  <c r="B1436" i="19"/>
  <c r="B1437" i="19"/>
  <c r="B1438" i="19"/>
  <c r="B1439" i="19"/>
  <c r="B1440" i="19"/>
  <c r="B1441" i="19"/>
  <c r="B1442" i="19"/>
  <c r="B1443" i="19"/>
  <c r="B1444" i="19"/>
  <c r="B1445" i="19"/>
  <c r="B1446" i="19"/>
  <c r="H3" i="19" a="1"/>
  <c r="H3" i="19" s="1"/>
  <c r="G3" i="19" a="1"/>
  <c r="G3" i="19" s="1"/>
  <c r="F3" i="19"/>
  <c r="F3" i="19" a="1"/>
  <c r="E3" i="19" a="1"/>
  <c r="E3" i="19" s="1"/>
  <c r="D3" i="19" a="1"/>
  <c r="D3" i="19" s="1"/>
  <c r="B1" i="19"/>
  <c r="A1" i="19"/>
  <c r="C1" i="19"/>
  <c r="A3" i="19" s="1" a="1"/>
  <c r="B1" i="18"/>
  <c r="C1" i="18" s="1"/>
  <c r="A3" i="18" s="1" a="1"/>
  <c r="A1" i="18"/>
  <c r="H1683" i="11" a="1"/>
  <c r="H1683" i="11" s="1"/>
  <c r="G1683" i="11"/>
  <c r="G1683" i="11" a="1"/>
  <c r="F1683" i="11"/>
  <c r="F1683" i="11" a="1"/>
  <c r="E1683" i="11" a="1"/>
  <c r="E1683" i="11" s="1"/>
  <c r="D1683" i="11" a="1"/>
  <c r="D1683" i="11" s="1"/>
  <c r="H1682" i="11" a="1"/>
  <c r="H1682" i="11" s="1"/>
  <c r="G1682" i="11" a="1"/>
  <c r="G1682" i="11" s="1"/>
  <c r="F1682" i="11"/>
  <c r="F1682" i="11" a="1"/>
  <c r="E1682" i="11" a="1"/>
  <c r="E1682" i="11" s="1"/>
  <c r="D1682" i="11"/>
  <c r="D1682" i="11" a="1"/>
  <c r="H1681" i="11" a="1"/>
  <c r="H1681" i="11" s="1"/>
  <c r="G1681" i="11" a="1"/>
  <c r="G1681" i="11" s="1"/>
  <c r="F1681" i="11" a="1"/>
  <c r="F1681" i="11" s="1"/>
  <c r="E1681" i="11"/>
  <c r="E1681" i="11" a="1"/>
  <c r="D1681" i="11"/>
  <c r="D1681" i="11" a="1"/>
  <c r="H1680" i="11" a="1"/>
  <c r="H1680" i="11" s="1"/>
  <c r="G1680" i="11" a="1"/>
  <c r="G1680" i="11" s="1"/>
  <c r="F1680" i="11" a="1"/>
  <c r="F1680" i="11" s="1"/>
  <c r="E1680" i="11" a="1"/>
  <c r="E1680" i="11" s="1"/>
  <c r="D1680" i="11"/>
  <c r="D1680" i="11" a="1"/>
  <c r="H1679" i="11" a="1"/>
  <c r="H1679" i="11" s="1"/>
  <c r="G1679" i="11" a="1"/>
  <c r="G1679" i="11" s="1"/>
  <c r="F1679" i="11"/>
  <c r="F1679" i="11" a="1"/>
  <c r="E1679" i="11" a="1"/>
  <c r="E1679" i="11" s="1"/>
  <c r="D1679" i="11" a="1"/>
  <c r="D1679" i="11" s="1"/>
  <c r="H1678" i="11" a="1"/>
  <c r="H1678" i="11" s="1"/>
  <c r="G1678" i="11"/>
  <c r="G1678" i="11" a="1"/>
  <c r="F1678" i="11"/>
  <c r="F1678" i="11" a="1"/>
  <c r="E1678" i="11"/>
  <c r="E1678" i="11" a="1"/>
  <c r="D1678" i="11" a="1"/>
  <c r="D1678" i="11" s="1"/>
  <c r="H1677" i="11" a="1"/>
  <c r="H1677" i="11" s="1"/>
  <c r="G1677" i="11" a="1"/>
  <c r="G1677" i="11" s="1"/>
  <c r="F1677" i="11" a="1"/>
  <c r="F1677" i="11" s="1"/>
  <c r="E1677" i="11" a="1"/>
  <c r="E1677" i="11" s="1"/>
  <c r="D1677" i="11" a="1"/>
  <c r="D1677" i="11" s="1"/>
  <c r="H1676" i="11" a="1"/>
  <c r="H1676" i="11" s="1"/>
  <c r="G1676" i="11" a="1"/>
  <c r="G1676" i="11" s="1"/>
  <c r="F1676" i="11"/>
  <c r="F1676" i="11" a="1"/>
  <c r="E1676" i="11"/>
  <c r="E1676" i="11" a="1"/>
  <c r="D1676" i="11"/>
  <c r="D1676" i="11" a="1"/>
  <c r="H1675" i="11" a="1"/>
  <c r="H1675" i="11" s="1"/>
  <c r="G1675" i="11" a="1"/>
  <c r="G1675" i="11" s="1"/>
  <c r="F1675" i="11" a="1"/>
  <c r="F1675" i="11" s="1"/>
  <c r="E1675" i="11" a="1"/>
  <c r="E1675" i="11" s="1"/>
  <c r="D1675" i="11" a="1"/>
  <c r="D1675" i="11" s="1"/>
  <c r="H1674" i="11" a="1"/>
  <c r="H1674" i="11" s="1"/>
  <c r="G1674" i="11" a="1"/>
  <c r="G1674" i="11" s="1"/>
  <c r="F1674" i="11" a="1"/>
  <c r="F1674" i="11" s="1"/>
  <c r="E1674" i="11" a="1"/>
  <c r="E1674" i="11" s="1"/>
  <c r="D1674" i="11" a="1"/>
  <c r="D1674" i="11" s="1"/>
  <c r="H1673" i="11" a="1"/>
  <c r="H1673" i="11" s="1"/>
  <c r="G1673" i="11"/>
  <c r="G1673" i="11" a="1"/>
  <c r="F1673" i="11"/>
  <c r="F1673" i="11" a="1"/>
  <c r="E1673" i="11"/>
  <c r="E1673" i="11" a="1"/>
  <c r="D1673" i="11" a="1"/>
  <c r="D1673" i="11" s="1"/>
  <c r="H1672" i="11" a="1"/>
  <c r="H1672" i="11" s="1"/>
  <c r="G1672" i="11" a="1"/>
  <c r="G1672" i="11" s="1"/>
  <c r="F1672" i="11" a="1"/>
  <c r="F1672" i="11" s="1"/>
  <c r="E1672" i="11"/>
  <c r="E1672" i="11" a="1"/>
  <c r="D1672" i="11" a="1"/>
  <c r="D1672" i="11" s="1"/>
  <c r="H1671" i="11" a="1"/>
  <c r="H1671" i="11" s="1"/>
  <c r="G1671" i="11"/>
  <c r="G1671" i="11" a="1"/>
  <c r="F1671" i="11" a="1"/>
  <c r="F1671" i="11" s="1"/>
  <c r="E1671" i="11" a="1"/>
  <c r="E1671" i="11" s="1"/>
  <c r="D1671" i="11"/>
  <c r="D1671" i="11" a="1"/>
  <c r="H1670" i="11" a="1"/>
  <c r="H1670" i="11" s="1"/>
  <c r="G1670" i="11" a="1"/>
  <c r="G1670" i="11" s="1"/>
  <c r="F1670" i="11" a="1"/>
  <c r="F1670" i="11" s="1"/>
  <c r="E1670" i="11"/>
  <c r="E1670" i="11" a="1"/>
  <c r="D1670" i="11" a="1"/>
  <c r="D1670" i="11" s="1"/>
  <c r="H1669" i="11" a="1"/>
  <c r="H1669" i="11" s="1"/>
  <c r="G1669" i="11"/>
  <c r="G1669" i="11" a="1"/>
  <c r="F1669" i="11" a="1"/>
  <c r="F1669" i="11" s="1"/>
  <c r="E1669" i="11"/>
  <c r="E1669" i="11" a="1"/>
  <c r="D1669" i="11" a="1"/>
  <c r="D1669" i="11" s="1"/>
  <c r="H1668" i="11" a="1"/>
  <c r="H1668" i="11" s="1"/>
  <c r="G1668" i="11"/>
  <c r="G1668" i="11" a="1"/>
  <c r="F1668" i="11" a="1"/>
  <c r="F1668" i="11" s="1"/>
  <c r="E1668" i="11" a="1"/>
  <c r="E1668" i="11" s="1"/>
  <c r="D1668" i="11" a="1"/>
  <c r="D1668" i="11" s="1"/>
  <c r="H1667" i="11" a="1"/>
  <c r="H1667" i="11" s="1"/>
  <c r="G1667" i="11"/>
  <c r="G1667" i="11" a="1"/>
  <c r="F1667" i="11" a="1"/>
  <c r="F1667" i="11" s="1"/>
  <c r="E1667" i="11" a="1"/>
  <c r="E1667" i="11" s="1"/>
  <c r="D1667" i="11" a="1"/>
  <c r="D1667" i="11" s="1"/>
  <c r="H1666" i="11" a="1"/>
  <c r="H1666" i="11" s="1"/>
  <c r="G1666" i="11"/>
  <c r="G1666" i="11" a="1"/>
  <c r="F1666" i="11"/>
  <c r="F1666" i="11" a="1"/>
  <c r="E1666" i="11" a="1"/>
  <c r="E1666" i="11" s="1"/>
  <c r="D1666" i="11" a="1"/>
  <c r="D1666" i="11" s="1"/>
  <c r="H1665" i="11" a="1"/>
  <c r="H1665" i="11" s="1"/>
  <c r="G1665" i="11"/>
  <c r="G1665" i="11" a="1"/>
  <c r="F1665" i="11" a="1"/>
  <c r="F1665" i="11" s="1"/>
  <c r="E1665" i="11" a="1"/>
  <c r="E1665" i="11" s="1"/>
  <c r="D1665" i="11"/>
  <c r="D1665" i="11" a="1"/>
  <c r="H1664" i="11" a="1"/>
  <c r="H1664" i="11" s="1"/>
  <c r="G1664" i="11" a="1"/>
  <c r="G1664" i="11" s="1"/>
  <c r="F1664" i="11" a="1"/>
  <c r="F1664" i="11" s="1"/>
  <c r="E1664" i="11"/>
  <c r="E1664" i="11" a="1"/>
  <c r="D1664" i="11"/>
  <c r="D1664" i="11" a="1"/>
  <c r="H1663" i="11" a="1"/>
  <c r="H1663" i="11" s="1"/>
  <c r="G1663" i="11" a="1"/>
  <c r="G1663" i="11" s="1"/>
  <c r="F1663" i="11" a="1"/>
  <c r="F1663" i="11" s="1"/>
  <c r="E1663" i="11"/>
  <c r="E1663" i="11" a="1"/>
  <c r="D1663" i="11" a="1"/>
  <c r="D1663" i="11" s="1"/>
  <c r="H1662" i="11" a="1"/>
  <c r="H1662" i="11" s="1"/>
  <c r="G1662" i="11" a="1"/>
  <c r="G1662" i="11" s="1"/>
  <c r="F1662" i="11"/>
  <c r="F1662" i="11" a="1"/>
  <c r="E1662" i="11" a="1"/>
  <c r="E1662" i="11" s="1"/>
  <c r="D1662" i="11"/>
  <c r="D1662" i="11" a="1"/>
  <c r="H1661" i="11" a="1"/>
  <c r="H1661" i="11" s="1"/>
  <c r="G1661" i="11"/>
  <c r="G1661" i="11" a="1"/>
  <c r="F1661" i="11"/>
  <c r="F1661" i="11" a="1"/>
  <c r="E1661" i="11" a="1"/>
  <c r="E1661" i="11" s="1"/>
  <c r="D1661" i="11" a="1"/>
  <c r="D1661" i="11" s="1"/>
  <c r="H1660" i="11" a="1"/>
  <c r="H1660" i="11" s="1"/>
  <c r="G1660" i="11" a="1"/>
  <c r="G1660" i="11" s="1"/>
  <c r="F1660" i="11"/>
  <c r="F1660" i="11" a="1"/>
  <c r="E1660" i="11" a="1"/>
  <c r="E1660" i="11" s="1"/>
  <c r="D1660" i="11" a="1"/>
  <c r="D1660" i="11" s="1"/>
  <c r="H1659" i="11" a="1"/>
  <c r="H1659" i="11" s="1"/>
  <c r="G1659" i="11" a="1"/>
  <c r="G1659" i="11" s="1"/>
  <c r="F1659" i="11" a="1"/>
  <c r="F1659" i="11" s="1"/>
  <c r="E1659" i="11"/>
  <c r="E1659" i="11" a="1"/>
  <c r="D1659" i="11"/>
  <c r="D1659" i="11" a="1"/>
  <c r="H1658" i="11" a="1"/>
  <c r="H1658" i="11" s="1"/>
  <c r="G1658" i="11" a="1"/>
  <c r="G1658" i="11" s="1"/>
  <c r="F1658" i="11"/>
  <c r="F1658" i="11" a="1"/>
  <c r="E1658" i="11" a="1"/>
  <c r="E1658" i="11" s="1"/>
  <c r="D1658" i="11" a="1"/>
  <c r="D1658" i="11" s="1"/>
  <c r="H1657" i="11" a="1"/>
  <c r="H1657" i="11" s="1"/>
  <c r="G1657" i="11" a="1"/>
  <c r="G1657" i="11" s="1"/>
  <c r="F1657" i="11" a="1"/>
  <c r="F1657" i="11" s="1"/>
  <c r="E1657" i="11"/>
  <c r="E1657" i="11" a="1"/>
  <c r="D1657" i="11" a="1"/>
  <c r="D1657" i="11" s="1"/>
  <c r="H1656" i="11" a="1"/>
  <c r="H1656" i="11" s="1"/>
  <c r="G1656" i="11"/>
  <c r="G1656" i="11" a="1"/>
  <c r="F1656" i="11"/>
  <c r="F1656" i="11" a="1"/>
  <c r="E1656" i="11" a="1"/>
  <c r="E1656" i="11" s="1"/>
  <c r="D1656" i="11" a="1"/>
  <c r="D1656" i="11" s="1"/>
  <c r="H1655" i="11" a="1"/>
  <c r="H1655" i="11" s="1"/>
  <c r="G1655" i="11" a="1"/>
  <c r="G1655" i="11" s="1"/>
  <c r="F1655" i="11"/>
  <c r="F1655" i="11" a="1"/>
  <c r="E1655" i="11" a="1"/>
  <c r="E1655" i="11" s="1"/>
  <c r="D1655" i="11" a="1"/>
  <c r="D1655" i="11" s="1"/>
  <c r="H1654" i="11" a="1"/>
  <c r="H1654" i="11" s="1"/>
  <c r="G1654" i="11" a="1"/>
  <c r="G1654" i="11" s="1"/>
  <c r="F1654" i="11" a="1"/>
  <c r="F1654" i="11" s="1"/>
  <c r="E1654" i="11"/>
  <c r="E1654" i="11" a="1"/>
  <c r="D1654" i="11"/>
  <c r="D1654" i="11" a="1"/>
  <c r="H1653" i="11" a="1"/>
  <c r="H1653" i="11" s="1"/>
  <c r="G1653" i="11" a="1"/>
  <c r="G1653" i="11" s="1"/>
  <c r="F1653" i="11" a="1"/>
  <c r="F1653" i="11" s="1"/>
  <c r="E1653" i="11"/>
  <c r="E1653" i="11" a="1"/>
  <c r="D1653" i="11" a="1"/>
  <c r="D1653" i="11" s="1"/>
  <c r="H1652" i="11" a="1"/>
  <c r="H1652" i="11" s="1"/>
  <c r="G1652" i="11" a="1"/>
  <c r="G1652" i="11" s="1"/>
  <c r="F1652" i="11"/>
  <c r="F1652" i="11" a="1"/>
  <c r="E1652" i="11"/>
  <c r="E1652" i="11" a="1"/>
  <c r="D1652" i="11" a="1"/>
  <c r="D1652" i="11" s="1"/>
  <c r="H1651" i="11" a="1"/>
  <c r="H1651" i="11" s="1"/>
  <c r="G1651" i="11"/>
  <c r="G1651" i="11" a="1"/>
  <c r="F1651" i="11" a="1"/>
  <c r="F1651" i="11" s="1"/>
  <c r="E1651" i="11" a="1"/>
  <c r="E1651" i="11" s="1"/>
  <c r="D1651" i="11" a="1"/>
  <c r="D1651" i="11" s="1"/>
  <c r="H1650" i="11" a="1"/>
  <c r="H1650" i="11" s="1"/>
  <c r="G1650" i="11"/>
  <c r="G1650" i="11" a="1"/>
  <c r="F1650" i="11" a="1"/>
  <c r="F1650" i="11" s="1"/>
  <c r="E1650" i="11" a="1"/>
  <c r="E1650" i="11" s="1"/>
  <c r="D1650" i="11" a="1"/>
  <c r="D1650" i="11" s="1"/>
  <c r="H1649" i="11" a="1"/>
  <c r="H1649" i="11" s="1"/>
  <c r="G1649" i="11"/>
  <c r="G1649" i="11" a="1"/>
  <c r="F1649" i="11"/>
  <c r="F1649" i="11" a="1"/>
  <c r="E1649" i="11" a="1"/>
  <c r="E1649" i="11" s="1"/>
  <c r="D1649" i="11" a="1"/>
  <c r="D1649" i="11" s="1"/>
  <c r="H1648" i="11" a="1"/>
  <c r="H1648" i="11" s="1"/>
  <c r="G1648" i="11" a="1"/>
  <c r="G1648" i="11" s="1"/>
  <c r="F1648" i="11" a="1"/>
  <c r="F1648" i="11" s="1"/>
  <c r="E1648" i="11" a="1"/>
  <c r="E1648" i="11" s="1"/>
  <c r="D1648" i="11"/>
  <c r="D1648" i="11" a="1"/>
  <c r="H1647" i="11" a="1"/>
  <c r="H1647" i="11" s="1"/>
  <c r="G1647" i="11" a="1"/>
  <c r="G1647" i="11" s="1"/>
  <c r="F1647" i="11"/>
  <c r="F1647" i="11" a="1"/>
  <c r="E1647" i="11"/>
  <c r="E1647" i="11" a="1"/>
  <c r="D1647" i="11"/>
  <c r="D1647" i="11" a="1"/>
  <c r="H1646" i="11" a="1"/>
  <c r="H1646" i="11" s="1"/>
  <c r="G1646" i="11" a="1"/>
  <c r="G1646" i="11" s="1"/>
  <c r="F1646" i="11" a="1"/>
  <c r="F1646" i="11" s="1"/>
  <c r="E1646" i="11" a="1"/>
  <c r="E1646" i="11" s="1"/>
  <c r="D1646" i="11" a="1"/>
  <c r="D1646" i="11" s="1"/>
  <c r="H1645" i="11" a="1"/>
  <c r="H1645" i="11" s="1"/>
  <c r="G1645" i="11" a="1"/>
  <c r="G1645" i="11" s="1"/>
  <c r="F1645" i="11" a="1"/>
  <c r="F1645" i="11" s="1"/>
  <c r="E1645" i="11" a="1"/>
  <c r="E1645" i="11" s="1"/>
  <c r="D1645" i="11" a="1"/>
  <c r="D1645" i="11" s="1"/>
  <c r="H1644" i="11" a="1"/>
  <c r="H1644" i="11" s="1"/>
  <c r="G1644" i="11"/>
  <c r="G1644" i="11" a="1"/>
  <c r="F1644" i="11"/>
  <c r="F1644" i="11" a="1"/>
  <c r="E1644" i="11" a="1"/>
  <c r="E1644" i="11" s="1"/>
  <c r="D1644" i="11"/>
  <c r="D1644" i="11" a="1"/>
  <c r="H1643" i="11" a="1"/>
  <c r="H1643" i="11" s="1"/>
  <c r="G1643" i="11" a="1"/>
  <c r="G1643" i="11" s="1"/>
  <c r="F1643" i="11"/>
  <c r="F1643" i="11" a="1"/>
  <c r="E1643" i="11" a="1"/>
  <c r="E1643" i="11" s="1"/>
  <c r="D1643" i="11" a="1"/>
  <c r="D1643" i="11" s="1"/>
  <c r="H1642" i="11" a="1"/>
  <c r="H1642" i="11" s="1"/>
  <c r="G1642" i="11" a="1"/>
  <c r="G1642" i="11" s="1"/>
  <c r="F1642" i="11"/>
  <c r="F1642" i="11" a="1"/>
  <c r="E1642" i="11" a="1"/>
  <c r="E1642" i="11" s="1"/>
  <c r="D1642" i="11"/>
  <c r="D1642" i="11" a="1"/>
  <c r="H1641" i="11" a="1"/>
  <c r="H1641" i="11" s="1"/>
  <c r="G1641" i="11" a="1"/>
  <c r="G1641" i="11" s="1"/>
  <c r="F1641" i="11"/>
  <c r="F1641" i="11" a="1"/>
  <c r="E1641" i="11" a="1"/>
  <c r="E1641" i="11" s="1"/>
  <c r="D1641" i="11"/>
  <c r="D1641" i="11" a="1"/>
  <c r="H1640" i="11" a="1"/>
  <c r="H1640" i="11" s="1"/>
  <c r="G1640" i="11" a="1"/>
  <c r="G1640" i="11" s="1"/>
  <c r="F1640" i="11"/>
  <c r="F1640" i="11" a="1"/>
  <c r="E1640" i="11"/>
  <c r="E1640" i="11" a="1"/>
  <c r="D1640" i="11" a="1"/>
  <c r="D1640" i="11" s="1"/>
  <c r="H1639" i="11" a="1"/>
  <c r="H1639" i="11" s="1"/>
  <c r="G1639" i="11" a="1"/>
  <c r="G1639" i="11" s="1"/>
  <c r="F1639" i="11" a="1"/>
  <c r="F1639" i="11" s="1"/>
  <c r="E1639" i="11" a="1"/>
  <c r="E1639" i="11" s="1"/>
  <c r="D1639" i="11" a="1"/>
  <c r="D1639" i="11" s="1"/>
  <c r="H1638" i="11" a="1"/>
  <c r="H1638" i="11" s="1"/>
  <c r="G1638" i="11" a="1"/>
  <c r="G1638" i="11" s="1"/>
  <c r="F1638" i="11"/>
  <c r="F1638" i="11" a="1"/>
  <c r="E1638" i="11" a="1"/>
  <c r="E1638" i="11" s="1"/>
  <c r="D1638" i="11"/>
  <c r="D1638" i="11" a="1"/>
  <c r="H1637" i="11" a="1"/>
  <c r="H1637" i="11" s="1"/>
  <c r="G1637" i="11" a="1"/>
  <c r="G1637" i="11" s="1"/>
  <c r="F1637" i="11" a="1"/>
  <c r="F1637" i="11" s="1"/>
  <c r="E1637" i="11"/>
  <c r="E1637" i="11" a="1"/>
  <c r="D1637" i="11" a="1"/>
  <c r="D1637" i="11" s="1"/>
  <c r="H1636" i="11" a="1"/>
  <c r="H1636" i="11" s="1"/>
  <c r="G1636" i="11" a="1"/>
  <c r="G1636" i="11" s="1"/>
  <c r="F1636" i="11" a="1"/>
  <c r="F1636" i="11" s="1"/>
  <c r="E1636" i="11"/>
  <c r="E1636" i="11" a="1"/>
  <c r="D1636" i="11" a="1"/>
  <c r="D1636" i="11" s="1"/>
  <c r="H1635" i="11" a="1"/>
  <c r="H1635" i="11" s="1"/>
  <c r="G1635" i="11" a="1"/>
  <c r="G1635" i="11" s="1"/>
  <c r="F1635" i="11"/>
  <c r="F1635" i="11" a="1"/>
  <c r="E1635" i="11"/>
  <c r="E1635" i="11" a="1"/>
  <c r="D1635" i="11"/>
  <c r="D1635" i="11" a="1"/>
  <c r="H1634" i="11" a="1"/>
  <c r="H1634" i="11" s="1"/>
  <c r="G1634" i="11" a="1"/>
  <c r="G1634" i="11" s="1"/>
  <c r="F1634" i="11" a="1"/>
  <c r="F1634" i="11" s="1"/>
  <c r="E1634" i="11" a="1"/>
  <c r="E1634" i="11" s="1"/>
  <c r="D1634" i="11" a="1"/>
  <c r="D1634" i="11" s="1"/>
  <c r="H1633" i="11" a="1"/>
  <c r="H1633" i="11" s="1"/>
  <c r="G1633" i="11"/>
  <c r="G1633" i="11" a="1"/>
  <c r="F1633" i="11" a="1"/>
  <c r="F1633" i="11" s="1"/>
  <c r="E1633" i="11"/>
  <c r="E1633" i="11" a="1"/>
  <c r="D1633" i="11"/>
  <c r="D1633" i="11" a="1"/>
  <c r="H1632" i="11" a="1"/>
  <c r="H1632" i="11" s="1"/>
  <c r="G1632" i="11"/>
  <c r="G1632" i="11" a="1"/>
  <c r="F1632" i="11"/>
  <c r="F1632" i="11" a="1"/>
  <c r="E1632" i="11" a="1"/>
  <c r="E1632" i="11" s="1"/>
  <c r="D1632" i="11" a="1"/>
  <c r="D1632" i="11" s="1"/>
  <c r="H1631" i="11" a="1"/>
  <c r="H1631" i="11" s="1"/>
  <c r="G1631" i="11"/>
  <c r="G1631" i="11" a="1"/>
  <c r="F1631" i="11" a="1"/>
  <c r="F1631" i="11" s="1"/>
  <c r="E1631" i="11" a="1"/>
  <c r="E1631" i="11" s="1"/>
  <c r="D1631" i="11" a="1"/>
  <c r="D1631" i="11" s="1"/>
  <c r="H1630" i="11" a="1"/>
  <c r="H1630" i="11" s="1"/>
  <c r="G1630" i="11"/>
  <c r="G1630" i="11" a="1"/>
  <c r="F1630" i="11" a="1"/>
  <c r="F1630" i="11" s="1"/>
  <c r="E1630" i="11"/>
  <c r="E1630" i="11" a="1"/>
  <c r="D1630" i="11"/>
  <c r="D1630" i="11" a="1"/>
  <c r="H1629" i="11" a="1"/>
  <c r="H1629" i="11" s="1"/>
  <c r="G1629" i="11"/>
  <c r="G1629" i="11" a="1"/>
  <c r="F1629" i="11" a="1"/>
  <c r="F1629" i="11" s="1"/>
  <c r="E1629" i="11" a="1"/>
  <c r="E1629" i="11" s="1"/>
  <c r="D1629" i="11" a="1"/>
  <c r="D1629" i="11" s="1"/>
  <c r="H1628" i="11" a="1"/>
  <c r="H1628" i="11" s="1"/>
  <c r="G1628" i="11" a="1"/>
  <c r="G1628" i="11" s="1"/>
  <c r="F1628" i="11"/>
  <c r="F1628" i="11" a="1"/>
  <c r="E1628" i="11" a="1"/>
  <c r="E1628" i="11" s="1"/>
  <c r="D1628" i="11" a="1"/>
  <c r="D1628" i="11" s="1"/>
  <c r="H1627" i="11" a="1"/>
  <c r="H1627" i="11" s="1"/>
  <c r="G1627" i="11"/>
  <c r="G1627" i="11" a="1"/>
  <c r="F1627" i="11" a="1"/>
  <c r="F1627" i="11" s="1"/>
  <c r="E1627" i="11" a="1"/>
  <c r="E1627" i="11" s="1"/>
  <c r="D1627" i="11"/>
  <c r="D1627" i="11" a="1"/>
  <c r="H1626" i="11" a="1"/>
  <c r="H1626" i="11" s="1"/>
  <c r="G1626" i="11"/>
  <c r="G1626" i="11" a="1"/>
  <c r="F1626" i="11" a="1"/>
  <c r="F1626" i="11" s="1"/>
  <c r="E1626" i="11" a="1"/>
  <c r="E1626" i="11" s="1"/>
  <c r="D1626" i="11"/>
  <c r="D1626" i="11" a="1"/>
  <c r="H1625" i="11" a="1"/>
  <c r="H1625" i="11" s="1"/>
  <c r="G1625" i="11" a="1"/>
  <c r="G1625" i="11" s="1"/>
  <c r="F1625" i="11"/>
  <c r="F1625" i="11" a="1"/>
  <c r="E1625" i="11" a="1"/>
  <c r="E1625" i="11" s="1"/>
  <c r="D1625" i="11" a="1"/>
  <c r="D1625" i="11" s="1"/>
  <c r="H1624" i="11" a="1"/>
  <c r="H1624" i="11" s="1"/>
  <c r="G1624" i="11" a="1"/>
  <c r="G1624" i="11" s="1"/>
  <c r="F1624" i="11"/>
  <c r="F1624" i="11" a="1"/>
  <c r="E1624" i="11" a="1"/>
  <c r="E1624" i="11" s="1"/>
  <c r="D1624" i="11" a="1"/>
  <c r="D1624" i="11" s="1"/>
  <c r="H1623" i="11" a="1"/>
  <c r="H1623" i="11" s="1"/>
  <c r="G1623" i="11"/>
  <c r="G1623" i="11" a="1"/>
  <c r="F1623" i="11"/>
  <c r="F1623" i="11" a="1"/>
  <c r="E1623" i="11"/>
  <c r="E1623" i="11" a="1"/>
  <c r="D1623" i="11" a="1"/>
  <c r="D1623" i="11" s="1"/>
  <c r="H1622" i="11" a="1"/>
  <c r="H1622" i="11" s="1"/>
  <c r="G1622" i="11" a="1"/>
  <c r="G1622" i="11" s="1"/>
  <c r="F1622" i="11"/>
  <c r="F1622" i="11" a="1"/>
  <c r="E1622" i="11" a="1"/>
  <c r="E1622" i="11" s="1"/>
  <c r="D1622" i="11" a="1"/>
  <c r="D1622" i="11" s="1"/>
  <c r="H1621" i="11" a="1"/>
  <c r="H1621" i="11" s="1"/>
  <c r="G1621" i="11" a="1"/>
  <c r="G1621" i="11" s="1"/>
  <c r="F1621" i="11" a="1"/>
  <c r="F1621" i="11" s="1"/>
  <c r="E1621" i="11" a="1"/>
  <c r="E1621" i="11" s="1"/>
  <c r="D1621" i="11"/>
  <c r="D1621" i="11" a="1"/>
  <c r="H1620" i="11" a="1"/>
  <c r="H1620" i="11" s="1"/>
  <c r="G1620" i="11" a="1"/>
  <c r="G1620" i="11" s="1"/>
  <c r="F1620" i="11" a="1"/>
  <c r="F1620" i="11" s="1"/>
  <c r="E1620" i="11" a="1"/>
  <c r="E1620" i="11" s="1"/>
  <c r="D1620" i="11"/>
  <c r="D1620" i="11" a="1"/>
  <c r="H1619" i="11" a="1"/>
  <c r="H1619" i="11" s="1"/>
  <c r="G1619" i="11" a="1"/>
  <c r="G1619" i="11" s="1"/>
  <c r="F1619" i="11" a="1"/>
  <c r="F1619" i="11" s="1"/>
  <c r="E1619" i="11"/>
  <c r="E1619" i="11" a="1"/>
  <c r="D1619" i="11" a="1"/>
  <c r="D1619" i="11" s="1"/>
  <c r="H1618" i="11" a="1"/>
  <c r="H1618" i="11" s="1"/>
  <c r="G1618" i="11"/>
  <c r="G1618" i="11" a="1"/>
  <c r="F1618" i="11"/>
  <c r="F1618" i="11" a="1"/>
  <c r="E1618" i="11"/>
  <c r="E1618" i="11" a="1"/>
  <c r="D1618" i="11" a="1"/>
  <c r="D1618" i="11" s="1"/>
  <c r="H1617" i="11" a="1"/>
  <c r="H1617" i="11" s="1"/>
  <c r="G1617" i="11" a="1"/>
  <c r="G1617" i="11" s="1"/>
  <c r="F1617" i="11" a="1"/>
  <c r="F1617" i="11" s="1"/>
  <c r="E1617" i="11" a="1"/>
  <c r="E1617" i="11" s="1"/>
  <c r="D1617" i="11" a="1"/>
  <c r="D1617" i="11" s="1"/>
  <c r="H1616" i="11" a="1"/>
  <c r="H1616" i="11" s="1"/>
  <c r="G1616" i="11" a="1"/>
  <c r="G1616" i="11" s="1"/>
  <c r="F1616" i="11" a="1"/>
  <c r="F1616" i="11" s="1"/>
  <c r="E1616" i="11" a="1"/>
  <c r="E1616" i="11" s="1"/>
  <c r="D1616" i="11"/>
  <c r="D1616" i="11" a="1"/>
  <c r="H1615" i="11" a="1"/>
  <c r="H1615" i="11" s="1"/>
  <c r="G1615" i="11"/>
  <c r="G1615" i="11" a="1"/>
  <c r="F1615" i="11" a="1"/>
  <c r="F1615" i="11" s="1"/>
  <c r="E1615" i="11"/>
  <c r="E1615" i="11" a="1"/>
  <c r="D1615" i="11" a="1"/>
  <c r="D1615" i="11" s="1"/>
  <c r="H1614" i="11" a="1"/>
  <c r="H1614" i="11" s="1"/>
  <c r="G1614" i="11"/>
  <c r="G1614" i="11" a="1"/>
  <c r="F1614" i="11" a="1"/>
  <c r="F1614" i="11" s="1"/>
  <c r="E1614" i="11" a="1"/>
  <c r="E1614" i="11" s="1"/>
  <c r="D1614" i="11" a="1"/>
  <c r="D1614" i="11" s="1"/>
  <c r="H1613" i="11" a="1"/>
  <c r="H1613" i="11" s="1"/>
  <c r="G1613" i="11" a="1"/>
  <c r="G1613" i="11" s="1"/>
  <c r="F1613" i="11" a="1"/>
  <c r="F1613" i="11" s="1"/>
  <c r="E1613" i="11"/>
  <c r="E1613" i="11" a="1"/>
  <c r="D1613" i="11" a="1"/>
  <c r="D1613" i="11" s="1"/>
  <c r="H1612" i="11" a="1"/>
  <c r="H1612" i="11" s="1"/>
  <c r="G1612" i="11"/>
  <c r="G1612" i="11" a="1"/>
  <c r="F1612" i="11" a="1"/>
  <c r="F1612" i="11" s="1"/>
  <c r="E1612" i="11"/>
  <c r="E1612" i="11" a="1"/>
  <c r="D1612" i="11" a="1"/>
  <c r="D1612" i="11" s="1"/>
  <c r="H1611" i="11" a="1"/>
  <c r="H1611" i="11" s="1"/>
  <c r="G1611" i="11"/>
  <c r="G1611" i="11" a="1"/>
  <c r="F1611" i="11" a="1"/>
  <c r="F1611" i="11" s="1"/>
  <c r="E1611" i="11" a="1"/>
  <c r="E1611" i="11" s="1"/>
  <c r="D1611" i="11" a="1"/>
  <c r="D1611" i="11" s="1"/>
  <c r="H1610" i="11" a="1"/>
  <c r="H1610" i="11" s="1"/>
  <c r="G1610" i="11" a="1"/>
  <c r="G1610" i="11" s="1"/>
  <c r="F1610" i="11" a="1"/>
  <c r="F1610" i="11" s="1"/>
  <c r="E1610" i="11" a="1"/>
  <c r="E1610" i="11" s="1"/>
  <c r="D1610" i="11"/>
  <c r="D1610" i="11" a="1"/>
  <c r="H1609" i="11" a="1"/>
  <c r="H1609" i="11" s="1"/>
  <c r="G1609" i="11" a="1"/>
  <c r="G1609" i="11" s="1"/>
  <c r="F1609" i="11" a="1"/>
  <c r="F1609" i="11" s="1"/>
  <c r="E1609" i="11"/>
  <c r="E1609" i="11" a="1"/>
  <c r="D1609" i="11"/>
  <c r="D1609" i="11" a="1"/>
  <c r="H1608" i="11" a="1"/>
  <c r="H1608" i="11" s="1"/>
  <c r="G1608" i="11" a="1"/>
  <c r="G1608" i="11" s="1"/>
  <c r="F1608" i="11"/>
  <c r="F1608" i="11" a="1"/>
  <c r="E1608" i="11" a="1"/>
  <c r="E1608" i="11" s="1"/>
  <c r="D1608" i="11" a="1"/>
  <c r="D1608" i="11" s="1"/>
  <c r="H1607" i="11" a="1"/>
  <c r="H1607" i="11" s="1"/>
  <c r="G1607" i="11" a="1"/>
  <c r="G1607" i="11" s="1"/>
  <c r="F1607" i="11"/>
  <c r="F1607" i="11" a="1"/>
  <c r="E1607" i="11" a="1"/>
  <c r="E1607" i="11" s="1"/>
  <c r="D1607" i="11" a="1"/>
  <c r="D1607" i="11" s="1"/>
  <c r="H1606" i="11" a="1"/>
  <c r="H1606" i="11" s="1"/>
  <c r="G1606" i="11"/>
  <c r="G1606" i="11" a="1"/>
  <c r="F1606" i="11"/>
  <c r="F1606" i="11" a="1"/>
  <c r="E1606" i="11"/>
  <c r="E1606" i="11" a="1"/>
  <c r="D1606" i="11" a="1"/>
  <c r="D1606" i="11" s="1"/>
  <c r="H1605" i="11" a="1"/>
  <c r="H1605" i="11" s="1"/>
  <c r="G1605" i="11"/>
  <c r="G1605" i="11" a="1"/>
  <c r="F1605" i="11" a="1"/>
  <c r="F1605" i="11" s="1"/>
  <c r="E1605" i="11" a="1"/>
  <c r="E1605" i="11" s="1"/>
  <c r="D1605" i="11" a="1"/>
  <c r="D1605" i="11" s="1"/>
  <c r="H1604" i="11" a="1"/>
  <c r="H1604" i="11" s="1"/>
  <c r="G1604" i="11" a="1"/>
  <c r="G1604" i="11" s="1"/>
  <c r="F1604" i="11"/>
  <c r="F1604" i="11" a="1"/>
  <c r="E1604" i="11" a="1"/>
  <c r="E1604" i="11" s="1"/>
  <c r="D1604" i="11"/>
  <c r="D1604" i="11" a="1"/>
  <c r="H1603" i="11" a="1"/>
  <c r="H1603" i="11" s="1"/>
  <c r="G1603" i="11"/>
  <c r="G1603" i="11" a="1"/>
  <c r="F1603" i="11" a="1"/>
  <c r="F1603" i="11" s="1"/>
  <c r="E1603" i="11" a="1"/>
  <c r="E1603" i="11" s="1"/>
  <c r="D1603" i="11"/>
  <c r="D1603" i="11" a="1"/>
  <c r="H1602" i="11" a="1"/>
  <c r="H1602" i="11" s="1"/>
  <c r="G1602" i="11" a="1"/>
  <c r="G1602" i="11" s="1"/>
  <c r="F1602" i="11" a="1"/>
  <c r="F1602" i="11" s="1"/>
  <c r="E1602" i="11" a="1"/>
  <c r="E1602" i="11" s="1"/>
  <c r="D1602" i="11" a="1"/>
  <c r="D1602" i="11" s="1"/>
  <c r="H1601" i="11" a="1"/>
  <c r="H1601" i="11" s="1"/>
  <c r="G1601" i="11" a="1"/>
  <c r="G1601" i="11" s="1"/>
  <c r="F1601" i="11"/>
  <c r="F1601" i="11" a="1"/>
  <c r="E1601" i="11"/>
  <c r="E1601" i="11" a="1"/>
  <c r="D1601" i="11" a="1"/>
  <c r="D1601" i="11" s="1"/>
  <c r="H1600" i="11" a="1"/>
  <c r="H1600" i="11" s="1"/>
  <c r="G1600" i="11" a="1"/>
  <c r="G1600" i="11" s="1"/>
  <c r="F1600" i="11" a="1"/>
  <c r="F1600" i="11" s="1"/>
  <c r="E1600" i="11" a="1"/>
  <c r="E1600" i="11" s="1"/>
  <c r="D1600" i="11" a="1"/>
  <c r="D1600" i="11" s="1"/>
  <c r="H1599" i="11" a="1"/>
  <c r="H1599" i="11" s="1"/>
  <c r="G1599" i="11" a="1"/>
  <c r="G1599" i="11" s="1"/>
  <c r="F1599" i="11" a="1"/>
  <c r="F1599" i="11" s="1"/>
  <c r="E1599" i="11"/>
  <c r="E1599" i="11" a="1"/>
  <c r="D1599" i="11" a="1"/>
  <c r="D1599" i="11" s="1"/>
  <c r="H1598" i="11" a="1"/>
  <c r="H1598" i="11" s="1"/>
  <c r="G1598" i="11" a="1"/>
  <c r="G1598" i="11" s="1"/>
  <c r="F1598" i="11" a="1"/>
  <c r="F1598" i="11" s="1"/>
  <c r="E1598" i="11"/>
  <c r="E1598" i="11" a="1"/>
  <c r="D1598" i="11" a="1"/>
  <c r="D1598" i="11" s="1"/>
  <c r="H1597" i="11" a="1"/>
  <c r="H1597" i="11" s="1"/>
  <c r="G1597" i="11"/>
  <c r="G1597" i="11" a="1"/>
  <c r="F1597" i="11" a="1"/>
  <c r="F1597" i="11" s="1"/>
  <c r="E1597" i="11"/>
  <c r="E1597" i="11" a="1"/>
  <c r="D1597" i="11"/>
  <c r="D1597" i="11" a="1"/>
  <c r="H1596" i="11" a="1"/>
  <c r="H1596" i="11" s="1"/>
  <c r="G1596" i="11"/>
  <c r="G1596" i="11" a="1"/>
  <c r="F1596" i="11"/>
  <c r="F1596" i="11" a="1"/>
  <c r="E1596" i="11" a="1"/>
  <c r="E1596" i="11" s="1"/>
  <c r="D1596" i="11" a="1"/>
  <c r="D1596" i="11" s="1"/>
  <c r="H1595" i="11" a="1"/>
  <c r="H1595" i="11" s="1"/>
  <c r="G1595" i="11"/>
  <c r="G1595" i="11" a="1"/>
  <c r="F1595" i="11" a="1"/>
  <c r="F1595" i="11" s="1"/>
  <c r="E1595" i="11"/>
  <c r="E1595" i="11" a="1"/>
  <c r="D1595" i="11" a="1"/>
  <c r="D1595" i="11" s="1"/>
  <c r="H1594" i="11" a="1"/>
  <c r="H1594" i="11" s="1"/>
  <c r="G1594" i="11"/>
  <c r="G1594" i="11" a="1"/>
  <c r="F1594" i="11" a="1"/>
  <c r="F1594" i="11" s="1"/>
  <c r="E1594" i="11" a="1"/>
  <c r="E1594" i="11" s="1"/>
  <c r="D1594" i="11" a="1"/>
  <c r="D1594" i="11" s="1"/>
  <c r="H1593" i="11" a="1"/>
  <c r="H1593" i="11" s="1"/>
  <c r="G1593" i="11" a="1"/>
  <c r="G1593" i="11" s="1"/>
  <c r="F1593" i="11" a="1"/>
  <c r="F1593" i="11" s="1"/>
  <c r="E1593" i="11" a="1"/>
  <c r="E1593" i="11" s="1"/>
  <c r="D1593" i="11"/>
  <c r="D1593" i="11" a="1"/>
  <c r="H1592" i="11" a="1"/>
  <c r="H1592" i="11" s="1"/>
  <c r="G1592" i="11" a="1"/>
  <c r="G1592" i="11" s="1"/>
  <c r="F1592" i="11" a="1"/>
  <c r="F1592" i="11" s="1"/>
  <c r="E1592" i="11"/>
  <c r="E1592" i="11" a="1"/>
  <c r="D1592" i="11"/>
  <c r="D1592" i="11" a="1"/>
  <c r="H1591" i="11" a="1"/>
  <c r="H1591" i="11" s="1"/>
  <c r="G1591" i="11" a="1"/>
  <c r="G1591" i="11" s="1"/>
  <c r="F1591" i="11" a="1"/>
  <c r="F1591" i="11" s="1"/>
  <c r="E1591" i="11" a="1"/>
  <c r="E1591" i="11" s="1"/>
  <c r="D1591" i="11" a="1"/>
  <c r="D1591" i="11" s="1"/>
  <c r="H1590" i="11" a="1"/>
  <c r="H1590" i="11" s="1"/>
  <c r="G1590" i="11" a="1"/>
  <c r="G1590" i="11" s="1"/>
  <c r="F1590" i="11"/>
  <c r="F1590" i="11" a="1"/>
  <c r="E1590" i="11" a="1"/>
  <c r="E1590" i="11" s="1"/>
  <c r="D1590" i="11" a="1"/>
  <c r="D1590" i="11" s="1"/>
  <c r="H1589" i="11" a="1"/>
  <c r="H1589" i="11" s="1"/>
  <c r="G1589" i="11"/>
  <c r="G1589" i="11" a="1"/>
  <c r="F1589" i="11"/>
  <c r="F1589" i="11" a="1"/>
  <c r="E1589" i="11"/>
  <c r="E1589" i="11" a="1"/>
  <c r="D1589" i="11" a="1"/>
  <c r="D1589" i="11" s="1"/>
  <c r="H1588" i="11" a="1"/>
  <c r="H1588" i="11" s="1"/>
  <c r="G1588" i="11" a="1"/>
  <c r="G1588" i="11" s="1"/>
  <c r="F1588" i="11"/>
  <c r="F1588" i="11" a="1"/>
  <c r="E1588" i="11" a="1"/>
  <c r="E1588" i="11" s="1"/>
  <c r="D1588" i="11" a="1"/>
  <c r="D1588" i="11" s="1"/>
  <c r="H1587" i="11" a="1"/>
  <c r="H1587" i="11" s="1"/>
  <c r="G1587" i="11" a="1"/>
  <c r="G1587" i="11" s="1"/>
  <c r="F1587" i="11"/>
  <c r="F1587" i="11" a="1"/>
  <c r="E1587" i="11" a="1"/>
  <c r="E1587" i="11" s="1"/>
  <c r="D1587" i="11"/>
  <c r="D1587" i="11" a="1"/>
  <c r="H1586" i="11" a="1"/>
  <c r="H1586" i="11" s="1"/>
  <c r="G1586" i="11" a="1"/>
  <c r="G1586" i="11" s="1"/>
  <c r="F1586" i="11"/>
  <c r="F1586" i="11" a="1"/>
  <c r="E1586" i="11" a="1"/>
  <c r="E1586" i="11" s="1"/>
  <c r="D1586" i="11"/>
  <c r="D1586" i="11" a="1"/>
  <c r="H1585" i="11" a="1"/>
  <c r="H1585" i="11" s="1"/>
  <c r="G1585" i="11" a="1"/>
  <c r="G1585" i="11" s="1"/>
  <c r="F1585" i="11" a="1"/>
  <c r="F1585" i="11" s="1"/>
  <c r="E1585" i="11"/>
  <c r="E1585" i="11" a="1"/>
  <c r="D1585" i="11" a="1"/>
  <c r="D1585" i="11" s="1"/>
  <c r="H1584" i="11" a="1"/>
  <c r="H1584" i="11" s="1"/>
  <c r="G1584" i="11"/>
  <c r="G1584" i="11" a="1"/>
  <c r="F1584" i="11"/>
  <c r="F1584" i="11" a="1"/>
  <c r="E1584" i="11" a="1"/>
  <c r="E1584" i="11" s="1"/>
  <c r="D1584" i="11" a="1"/>
  <c r="D1584" i="11" s="1"/>
  <c r="H1583" i="11" a="1"/>
  <c r="H1583" i="11" s="1"/>
  <c r="G1583" i="11" a="1"/>
  <c r="G1583" i="11" s="1"/>
  <c r="F1583" i="11"/>
  <c r="F1583" i="11" a="1"/>
  <c r="E1583" i="11" a="1"/>
  <c r="E1583" i="11" s="1"/>
  <c r="D1583" i="11" a="1"/>
  <c r="D1583" i="11" s="1"/>
  <c r="H1582" i="11" a="1"/>
  <c r="H1582" i="11" s="1"/>
  <c r="G1582" i="11" a="1"/>
  <c r="G1582" i="11" s="1"/>
  <c r="F1582" i="11" a="1"/>
  <c r="F1582" i="11" s="1"/>
  <c r="E1582" i="11"/>
  <c r="E1582" i="11" a="1"/>
  <c r="D1582" i="11"/>
  <c r="D1582" i="11" a="1"/>
  <c r="H1581" i="11" a="1"/>
  <c r="H1581" i="11" s="1"/>
  <c r="G1581" i="11"/>
  <c r="G1581" i="11" a="1"/>
  <c r="F1581" i="11" a="1"/>
  <c r="F1581" i="11" s="1"/>
  <c r="E1581" i="11" a="1"/>
  <c r="E1581" i="11" s="1"/>
  <c r="D1581" i="11" a="1"/>
  <c r="D1581" i="11" s="1"/>
  <c r="H1580" i="11" a="1"/>
  <c r="H1580" i="11" s="1"/>
  <c r="G1580" i="11"/>
  <c r="G1580" i="11" a="1"/>
  <c r="F1580" i="11"/>
  <c r="F1580" i="11" a="1"/>
  <c r="E1580" i="11" a="1"/>
  <c r="E1580" i="11" s="1"/>
  <c r="D1580" i="11" a="1"/>
  <c r="D1580" i="11" s="1"/>
  <c r="H1579" i="11" a="1"/>
  <c r="H1579" i="11" s="1"/>
  <c r="G1579" i="11"/>
  <c r="G1579" i="11" a="1"/>
  <c r="F1579" i="11"/>
  <c r="F1579" i="11" a="1"/>
  <c r="E1579" i="11"/>
  <c r="E1579" i="11" a="1"/>
  <c r="D1579" i="11"/>
  <c r="D1579" i="11" a="1"/>
  <c r="H1578" i="11" a="1"/>
  <c r="H1578" i="11" s="1"/>
  <c r="G1578" i="11"/>
  <c r="G1578" i="11" a="1"/>
  <c r="F1578" i="11" a="1"/>
  <c r="F1578" i="11" s="1"/>
  <c r="E1578" i="11"/>
  <c r="E1578" i="11" a="1"/>
  <c r="D1578" i="11"/>
  <c r="D1578" i="11" a="1"/>
  <c r="H1577" i="11" a="1"/>
  <c r="H1577" i="11" s="1"/>
  <c r="G1577" i="11" a="1"/>
  <c r="G1577" i="11" s="1"/>
  <c r="F1577" i="11"/>
  <c r="F1577" i="11" a="1"/>
  <c r="E1577" i="11" a="1"/>
  <c r="E1577" i="11" s="1"/>
  <c r="D1577" i="11"/>
  <c r="D1577" i="11" a="1"/>
  <c r="H1576" i="11" a="1"/>
  <c r="H1576" i="11" s="1"/>
  <c r="G1576" i="11"/>
  <c r="G1576" i="11" a="1"/>
  <c r="F1576" i="11" a="1"/>
  <c r="F1576" i="11" s="1"/>
  <c r="E1576" i="11" a="1"/>
  <c r="E1576" i="11" s="1"/>
  <c r="D1576" i="11"/>
  <c r="D1576" i="11" a="1"/>
  <c r="H1575" i="11" a="1"/>
  <c r="H1575" i="11" s="1"/>
  <c r="G1575" i="11"/>
  <c r="G1575" i="11" a="1"/>
  <c r="F1575" i="11" a="1"/>
  <c r="F1575" i="11" s="1"/>
  <c r="E1575" i="11" a="1"/>
  <c r="E1575" i="11" s="1"/>
  <c r="D1575" i="11" a="1"/>
  <c r="D1575" i="11" s="1"/>
  <c r="H1574" i="11" a="1"/>
  <c r="H1574" i="11" s="1"/>
  <c r="G1574" i="11"/>
  <c r="G1574" i="11" a="1"/>
  <c r="F1574" i="11"/>
  <c r="F1574" i="11" a="1"/>
  <c r="E1574" i="11"/>
  <c r="E1574" i="11" a="1"/>
  <c r="D1574" i="11" a="1"/>
  <c r="D1574" i="11" s="1"/>
  <c r="H1573" i="11" a="1"/>
  <c r="H1573" i="11" s="1"/>
  <c r="G1573" i="11" a="1"/>
  <c r="G1573" i="11" s="1"/>
  <c r="F1573" i="11"/>
  <c r="F1573" i="11" a="1"/>
  <c r="E1573" i="11"/>
  <c r="E1573" i="11" a="1"/>
  <c r="D1573" i="11" a="1"/>
  <c r="D1573" i="11" s="1"/>
  <c r="H1572" i="11" a="1"/>
  <c r="H1572" i="11" s="1"/>
  <c r="G1572" i="11" a="1"/>
  <c r="G1572" i="11" s="1"/>
  <c r="F1572" i="11" a="1"/>
  <c r="F1572" i="11" s="1"/>
  <c r="E1572" i="11"/>
  <c r="E1572" i="11" a="1"/>
  <c r="D1572" i="11"/>
  <c r="D1572" i="11" a="1"/>
  <c r="H1571" i="11" a="1"/>
  <c r="H1571" i="11" s="1"/>
  <c r="G1571" i="11" a="1"/>
  <c r="G1571" i="11" s="1"/>
  <c r="F1571" i="11" a="1"/>
  <c r="F1571" i="11" s="1"/>
  <c r="E1571" i="11"/>
  <c r="E1571" i="11" a="1"/>
  <c r="D1571" i="11"/>
  <c r="D1571" i="11" a="1"/>
  <c r="H1570" i="11" a="1"/>
  <c r="H1570" i="11" s="1"/>
  <c r="G1570" i="11"/>
  <c r="G1570" i="11" a="1"/>
  <c r="F1570" i="11" a="1"/>
  <c r="F1570" i="11" s="1"/>
  <c r="E1570" i="11"/>
  <c r="E1570" i="11" a="1"/>
  <c r="D1570" i="11"/>
  <c r="D1570" i="11" a="1"/>
  <c r="H1569" i="11" a="1"/>
  <c r="H1569" i="11" s="1"/>
  <c r="G1569" i="11"/>
  <c r="G1569" i="11" a="1"/>
  <c r="F1569" i="11"/>
  <c r="F1569" i="11" a="1"/>
  <c r="E1569" i="11" a="1"/>
  <c r="E1569" i="11" s="1"/>
  <c r="D1569" i="11" a="1"/>
  <c r="D1569" i="11" s="1"/>
  <c r="H1568" i="11" a="1"/>
  <c r="H1568" i="11" s="1"/>
  <c r="G1568" i="11"/>
  <c r="G1568" i="11" a="1"/>
  <c r="F1568" i="11"/>
  <c r="F1568" i="11" a="1"/>
  <c r="E1568" i="11" a="1"/>
  <c r="E1568" i="11" s="1"/>
  <c r="D1568" i="11" a="1"/>
  <c r="D1568" i="11" s="1"/>
  <c r="H1567" i="11" a="1"/>
  <c r="H1567" i="11" s="1"/>
  <c r="G1567" i="11"/>
  <c r="G1567" i="11" a="1"/>
  <c r="F1567" i="11"/>
  <c r="F1567" i="11" a="1"/>
  <c r="E1567" i="11"/>
  <c r="E1567" i="11" a="1"/>
  <c r="D1567" i="11" a="1"/>
  <c r="D1567" i="11" s="1"/>
  <c r="H1566" i="11" a="1"/>
  <c r="H1566" i="11" s="1"/>
  <c r="G1566" i="11" a="1"/>
  <c r="G1566" i="11" s="1"/>
  <c r="F1566" i="11" a="1"/>
  <c r="F1566" i="11" s="1"/>
  <c r="E1566" i="11"/>
  <c r="E1566" i="11" a="1"/>
  <c r="D1566" i="11"/>
  <c r="D1566" i="11" a="1"/>
  <c r="H1565" i="11" a="1"/>
  <c r="H1565" i="11" s="1"/>
  <c r="G1565" i="11" a="1"/>
  <c r="G1565" i="11" s="1"/>
  <c r="F1565" i="11" a="1"/>
  <c r="F1565" i="11" s="1"/>
  <c r="E1565" i="11"/>
  <c r="E1565" i="11" a="1"/>
  <c r="D1565" i="11"/>
  <c r="D1565" i="11" a="1"/>
  <c r="H1564" i="11" a="1"/>
  <c r="H1564" i="11" s="1"/>
  <c r="G1564" i="11" a="1"/>
  <c r="G1564" i="11" s="1"/>
  <c r="F1564" i="11" a="1"/>
  <c r="F1564" i="11" s="1"/>
  <c r="E1564" i="11"/>
  <c r="E1564" i="11" a="1"/>
  <c r="D1564" i="11" a="1"/>
  <c r="D1564" i="11" s="1"/>
  <c r="H1563" i="11" a="1"/>
  <c r="H1563" i="11" s="1"/>
  <c r="G1563" i="11"/>
  <c r="G1563" i="11" a="1"/>
  <c r="F1563" i="11"/>
  <c r="F1563" i="11" a="1"/>
  <c r="E1563" i="11" a="1"/>
  <c r="E1563" i="11" s="1"/>
  <c r="D1563" i="11"/>
  <c r="D1563" i="11" a="1"/>
  <c r="H1562" i="11" a="1"/>
  <c r="H1562" i="11" s="1"/>
  <c r="G1562" i="11"/>
  <c r="G1562" i="11" a="1"/>
  <c r="F1562" i="11"/>
  <c r="F1562" i="11" a="1"/>
  <c r="E1562" i="11"/>
  <c r="E1562" i="11" a="1"/>
  <c r="D1562" i="11" a="1"/>
  <c r="D1562" i="11" s="1"/>
  <c r="H1561" i="11" a="1"/>
  <c r="H1561" i="11" s="1"/>
  <c r="G1561" i="11" a="1"/>
  <c r="G1561" i="11" s="1"/>
  <c r="F1561" i="11"/>
  <c r="F1561" i="11" a="1"/>
  <c r="E1561" i="11"/>
  <c r="E1561" i="11" a="1"/>
  <c r="D1561" i="11" a="1"/>
  <c r="D1561" i="11" s="1"/>
  <c r="H1560" i="11" a="1"/>
  <c r="H1560" i="11" s="1"/>
  <c r="G1560" i="11" a="1"/>
  <c r="G1560" i="11" s="1"/>
  <c r="F1560" i="11" a="1"/>
  <c r="F1560" i="11" s="1"/>
  <c r="E1560" i="11"/>
  <c r="E1560" i="11" a="1"/>
  <c r="D1560" i="11"/>
  <c r="D1560" i="11" a="1"/>
  <c r="H1559" i="11" a="1"/>
  <c r="H1559" i="11" s="1"/>
  <c r="G1559" i="11" a="1"/>
  <c r="G1559" i="11" s="1"/>
  <c r="F1559" i="11"/>
  <c r="F1559" i="11" a="1"/>
  <c r="E1559" i="11" a="1"/>
  <c r="E1559" i="11" s="1"/>
  <c r="D1559" i="11"/>
  <c r="D1559" i="11" a="1"/>
  <c r="H1558" i="11" a="1"/>
  <c r="H1558" i="11" s="1"/>
  <c r="G1558" i="11" a="1"/>
  <c r="G1558" i="11" s="1"/>
  <c r="F1558" i="11" a="1"/>
  <c r="F1558" i="11" s="1"/>
  <c r="E1558" i="11" a="1"/>
  <c r="E1558" i="11" s="1"/>
  <c r="D1558" i="11" a="1"/>
  <c r="D1558" i="11" s="1"/>
  <c r="H1557" i="11" a="1"/>
  <c r="H1557" i="11" s="1"/>
  <c r="G1557" i="11"/>
  <c r="G1557" i="11" a="1"/>
  <c r="F1557" i="11"/>
  <c r="F1557" i="11" a="1"/>
  <c r="E1557" i="11" a="1"/>
  <c r="E1557" i="11" s="1"/>
  <c r="D1557" i="11" a="1"/>
  <c r="D1557" i="11" s="1"/>
  <c r="H1556" i="11" a="1"/>
  <c r="H1556" i="11" s="1"/>
  <c r="G1556" i="11"/>
  <c r="G1556" i="11" a="1"/>
  <c r="F1556" i="11"/>
  <c r="F1556" i="11" a="1"/>
  <c r="E1556" i="11"/>
  <c r="E1556" i="11" a="1"/>
  <c r="D1556" i="11" a="1"/>
  <c r="D1556" i="11" s="1"/>
  <c r="H1555" i="11" a="1"/>
  <c r="H1555" i="11" s="1"/>
  <c r="G1555" i="11"/>
  <c r="G1555" i="11" a="1"/>
  <c r="F1555" i="11"/>
  <c r="F1555" i="11" a="1"/>
  <c r="E1555" i="11"/>
  <c r="E1555" i="11" a="1"/>
  <c r="D1555" i="11"/>
  <c r="D1555" i="11" a="1"/>
  <c r="H1554" i="11" a="1"/>
  <c r="H1554" i="11" s="1"/>
  <c r="G1554" i="11" a="1"/>
  <c r="G1554" i="11" s="1"/>
  <c r="F1554" i="11" a="1"/>
  <c r="F1554" i="11" s="1"/>
  <c r="E1554" i="11"/>
  <c r="E1554" i="11" a="1"/>
  <c r="D1554" i="11"/>
  <c r="D1554" i="11" a="1"/>
  <c r="H1553" i="11" a="1"/>
  <c r="H1553" i="11" s="1"/>
  <c r="G1553" i="11" a="1"/>
  <c r="G1553" i="11" s="1"/>
  <c r="F1553" i="11"/>
  <c r="F1553" i="11" a="1"/>
  <c r="E1553" i="11"/>
  <c r="E1553" i="11" a="1"/>
  <c r="D1553" i="11"/>
  <c r="D1553" i="11" a="1"/>
  <c r="H1552" i="11" a="1"/>
  <c r="H1552" i="11" s="1"/>
  <c r="G1552" i="11" a="1"/>
  <c r="G1552" i="11" s="1"/>
  <c r="F1552" i="11" a="1"/>
  <c r="F1552" i="11" s="1"/>
  <c r="E1552" i="11" a="1"/>
  <c r="E1552" i="11" s="1"/>
  <c r="D1552" i="11" a="1"/>
  <c r="D1552" i="11" s="1"/>
  <c r="H1551" i="11" a="1"/>
  <c r="H1551" i="11" s="1"/>
  <c r="G1551" i="11"/>
  <c r="G1551" i="11" a="1"/>
  <c r="F1551" i="11" a="1"/>
  <c r="F1551" i="11" s="1"/>
  <c r="E1551" i="11" a="1"/>
  <c r="E1551" i="11" s="1"/>
  <c r="D1551" i="11" a="1"/>
  <c r="D1551" i="11" s="1"/>
  <c r="H1550" i="11" a="1"/>
  <c r="H1550" i="11" s="1"/>
  <c r="G1550" i="11"/>
  <c r="G1550" i="11" a="1"/>
  <c r="F1550" i="11"/>
  <c r="F1550" i="11" a="1"/>
  <c r="E1550" i="11" a="1"/>
  <c r="E1550" i="11" s="1"/>
  <c r="D1550" i="11" a="1"/>
  <c r="D1550" i="11" s="1"/>
  <c r="H1549" i="11" a="1"/>
  <c r="H1549" i="11" s="1"/>
  <c r="G1549" i="11" a="1"/>
  <c r="G1549" i="11" s="1"/>
  <c r="F1549" i="11"/>
  <c r="F1549" i="11" a="1"/>
  <c r="E1549" i="11"/>
  <c r="E1549" i="11" a="1"/>
  <c r="D1549" i="11"/>
  <c r="D1549" i="11" a="1"/>
  <c r="H1548" i="11" a="1"/>
  <c r="H1548" i="11" s="1"/>
  <c r="G1548" i="11" a="1"/>
  <c r="G1548" i="11" s="1"/>
  <c r="F1548" i="11" a="1"/>
  <c r="F1548" i="11" s="1"/>
  <c r="E1548" i="11"/>
  <c r="E1548" i="11" a="1"/>
  <c r="D1548" i="11"/>
  <c r="D1548" i="11" a="1"/>
  <c r="H1547" i="11" a="1"/>
  <c r="H1547" i="11" s="1"/>
  <c r="G1547" i="11" a="1"/>
  <c r="G1547" i="11" s="1"/>
  <c r="F1547" i="11" a="1"/>
  <c r="F1547" i="11" s="1"/>
  <c r="E1547" i="11" a="1"/>
  <c r="E1547" i="11" s="1"/>
  <c r="D1547" i="11"/>
  <c r="D1547" i="11" a="1"/>
  <c r="H1546" i="11" a="1"/>
  <c r="H1546" i="11" s="1"/>
  <c r="G1546" i="11" a="1"/>
  <c r="G1546" i="11" s="1"/>
  <c r="F1546" i="11" a="1"/>
  <c r="F1546" i="11" s="1"/>
  <c r="E1546" i="11" a="1"/>
  <c r="E1546" i="11" s="1"/>
  <c r="D1546" i="11" a="1"/>
  <c r="D1546" i="11" s="1"/>
  <c r="H1545" i="11" a="1"/>
  <c r="H1545" i="11" s="1"/>
  <c r="G1545" i="11"/>
  <c r="G1545" i="11" a="1"/>
  <c r="F1545" i="11"/>
  <c r="F1545" i="11" a="1"/>
  <c r="E1545" i="11" a="1"/>
  <c r="E1545" i="11" s="1"/>
  <c r="D1545" i="11"/>
  <c r="D1545" i="11" a="1"/>
  <c r="H1544" i="11" a="1"/>
  <c r="H1544" i="11" s="1"/>
  <c r="G1544" i="11"/>
  <c r="G1544" i="11" a="1"/>
  <c r="F1544" i="11"/>
  <c r="F1544" i="11" a="1"/>
  <c r="E1544" i="11" a="1"/>
  <c r="E1544" i="11" s="1"/>
  <c r="D1544" i="11" a="1"/>
  <c r="D1544" i="11" s="1"/>
  <c r="H1543" i="11" a="1"/>
  <c r="H1543" i="11" s="1"/>
  <c r="G1543" i="11" a="1"/>
  <c r="G1543" i="11" s="1"/>
  <c r="F1543" i="11"/>
  <c r="F1543" i="11" a="1"/>
  <c r="E1543" i="11"/>
  <c r="E1543" i="11" a="1"/>
  <c r="D1543" i="11"/>
  <c r="D1543" i="11" a="1"/>
  <c r="H1542" i="11" a="1"/>
  <c r="H1542" i="11" s="1"/>
  <c r="G1542" i="11" a="1"/>
  <c r="G1542" i="11" s="1"/>
  <c r="F1542" i="11"/>
  <c r="F1542" i="11" a="1"/>
  <c r="E1542" i="11"/>
  <c r="E1542" i="11" a="1"/>
  <c r="D1542" i="11"/>
  <c r="D1542" i="11" a="1"/>
  <c r="H1541" i="11" a="1"/>
  <c r="H1541" i="11" s="1"/>
  <c r="G1541" i="11" a="1"/>
  <c r="G1541" i="11" s="1"/>
  <c r="F1541" i="11"/>
  <c r="F1541" i="11" a="1"/>
  <c r="E1541" i="11"/>
  <c r="E1541" i="11" a="1"/>
  <c r="D1541" i="11"/>
  <c r="D1541" i="11" a="1"/>
  <c r="H1540" i="11" a="1"/>
  <c r="H1540" i="11" s="1"/>
  <c r="G1540" i="11"/>
  <c r="G1540" i="11" a="1"/>
  <c r="F1540" i="11" a="1"/>
  <c r="F1540" i="11" s="1"/>
  <c r="E1540" i="11" a="1"/>
  <c r="E1540" i="11" s="1"/>
  <c r="D1540" i="11" a="1"/>
  <c r="D1540" i="11" s="1"/>
  <c r="H1539" i="11" a="1"/>
  <c r="H1539" i="11" s="1"/>
  <c r="G1539" i="11"/>
  <c r="G1539" i="11" a="1"/>
  <c r="F1539" i="11" a="1"/>
  <c r="F1539" i="11" s="1"/>
  <c r="E1539" i="11" a="1"/>
  <c r="E1539" i="11" s="1"/>
  <c r="D1539" i="11"/>
  <c r="D1539" i="11" a="1"/>
  <c r="H1538" i="11" a="1"/>
  <c r="H1538" i="11" s="1"/>
  <c r="G1538" i="11"/>
  <c r="G1538" i="11" a="1"/>
  <c r="F1538" i="11"/>
  <c r="F1538" i="11" a="1"/>
  <c r="E1538" i="11" a="1"/>
  <c r="E1538" i="11" s="1"/>
  <c r="D1538" i="11" a="1"/>
  <c r="D1538" i="11" s="1"/>
  <c r="H1537" i="11" a="1"/>
  <c r="H1537" i="11" s="1"/>
  <c r="G1537" i="11" a="1"/>
  <c r="G1537" i="11" s="1"/>
  <c r="F1537" i="11"/>
  <c r="F1537" i="11" a="1"/>
  <c r="E1537" i="11"/>
  <c r="E1537" i="11" a="1"/>
  <c r="D1537" i="11" a="1"/>
  <c r="D1537" i="11" s="1"/>
  <c r="H1536" i="11" a="1"/>
  <c r="H1536" i="11" s="1"/>
  <c r="G1536" i="11" a="1"/>
  <c r="G1536" i="11" s="1"/>
  <c r="F1536" i="11"/>
  <c r="F1536" i="11" a="1"/>
  <c r="E1536" i="11"/>
  <c r="E1536" i="11" a="1"/>
  <c r="D1536" i="11"/>
  <c r="D1536" i="11" a="1"/>
  <c r="H1535" i="11" a="1"/>
  <c r="H1535" i="11" s="1"/>
  <c r="G1535" i="11" a="1"/>
  <c r="G1535" i="11" s="1"/>
  <c r="F1535" i="11"/>
  <c r="F1535" i="11" a="1"/>
  <c r="E1535" i="11" a="1"/>
  <c r="E1535" i="11" s="1"/>
  <c r="D1535" i="11"/>
  <c r="D1535" i="11" a="1"/>
  <c r="H1534" i="11" a="1"/>
  <c r="H1534" i="11" s="1"/>
  <c r="G1534" i="11"/>
  <c r="G1534" i="11" a="1"/>
  <c r="F1534" i="11" a="1"/>
  <c r="F1534" i="11" s="1"/>
  <c r="E1534" i="11" a="1"/>
  <c r="E1534" i="11" s="1"/>
  <c r="D1534" i="11"/>
  <c r="D1534" i="11" a="1"/>
  <c r="H1533" i="11" a="1"/>
  <c r="H1533" i="11" s="1"/>
  <c r="G1533" i="11"/>
  <c r="G1533" i="11" a="1"/>
  <c r="F1533" i="11"/>
  <c r="F1533" i="11" a="1"/>
  <c r="E1533" i="11" a="1"/>
  <c r="E1533" i="11" s="1"/>
  <c r="D1533" i="11" a="1"/>
  <c r="D1533" i="11" s="1"/>
  <c r="H1532" i="11" a="1"/>
  <c r="H1532" i="11" s="1"/>
  <c r="G1532" i="11"/>
  <c r="G1532" i="11" a="1"/>
  <c r="F1532" i="11"/>
  <c r="F1532" i="11" a="1"/>
  <c r="E1532" i="11" a="1"/>
  <c r="E1532" i="11" s="1"/>
  <c r="D1532" i="11" a="1"/>
  <c r="D1532" i="11" s="1"/>
  <c r="H1531" i="11" a="1"/>
  <c r="H1531" i="11" s="1"/>
  <c r="G1531" i="11" a="1"/>
  <c r="G1531" i="11" s="1"/>
  <c r="F1531" i="11"/>
  <c r="F1531" i="11" a="1"/>
  <c r="E1531" i="11"/>
  <c r="E1531" i="11" a="1"/>
  <c r="D1531" i="11"/>
  <c r="D1531" i="11" a="1"/>
  <c r="H1530" i="11" a="1"/>
  <c r="H1530" i="11" s="1"/>
  <c r="G1530" i="11"/>
  <c r="G1530" i="11" a="1"/>
  <c r="F1530" i="11" a="1"/>
  <c r="F1530" i="11" s="1"/>
  <c r="E1530" i="11"/>
  <c r="E1530" i="11" a="1"/>
  <c r="D1530" i="11"/>
  <c r="D1530" i="11" a="1"/>
  <c r="H1529" i="11" a="1"/>
  <c r="H1529" i="11" s="1"/>
  <c r="G1529" i="11" a="1"/>
  <c r="G1529" i="11" s="1"/>
  <c r="F1529" i="11" a="1"/>
  <c r="F1529" i="11" s="1"/>
  <c r="E1529" i="11" a="1"/>
  <c r="E1529" i="11" s="1"/>
  <c r="D1529" i="11"/>
  <c r="D1529" i="11" a="1"/>
  <c r="H1528" i="11" a="1"/>
  <c r="H1528" i="11" s="1"/>
  <c r="G1528" i="11"/>
  <c r="G1528" i="11" a="1"/>
  <c r="F1528" i="11" a="1"/>
  <c r="F1528" i="11" s="1"/>
  <c r="E1528" i="11" a="1"/>
  <c r="E1528" i="11" s="1"/>
  <c r="D1528" i="11"/>
  <c r="D1528" i="11" a="1"/>
  <c r="H1527" i="11" a="1"/>
  <c r="H1527" i="11" s="1"/>
  <c r="G1527" i="11"/>
  <c r="G1527" i="11" a="1"/>
  <c r="F1527" i="11"/>
  <c r="F1527" i="11" a="1"/>
  <c r="E1527" i="11" a="1"/>
  <c r="E1527" i="11" s="1"/>
  <c r="D1527" i="11"/>
  <c r="D1527" i="11" a="1"/>
  <c r="H1526" i="11" a="1"/>
  <c r="H1526" i="11" s="1"/>
  <c r="G1526" i="11"/>
  <c r="G1526" i="11" a="1"/>
  <c r="F1526" i="11"/>
  <c r="F1526" i="11" a="1"/>
  <c r="E1526" i="11"/>
  <c r="E1526" i="11" a="1"/>
  <c r="D1526" i="11" a="1"/>
  <c r="D1526" i="11" s="1"/>
  <c r="H1525" i="11" a="1"/>
  <c r="H1525" i="11" s="1"/>
  <c r="G1525" i="11" a="1"/>
  <c r="G1525" i="11" s="1"/>
  <c r="F1525" i="11"/>
  <c r="F1525" i="11" a="1"/>
  <c r="E1525" i="11"/>
  <c r="E1525" i="11" a="1"/>
  <c r="D1525" i="11" a="1"/>
  <c r="D1525" i="11" s="1"/>
  <c r="H1524" i="11" a="1"/>
  <c r="H1524" i="11" s="1"/>
  <c r="G1524" i="11"/>
  <c r="G1524" i="11" a="1"/>
  <c r="F1524" i="11"/>
  <c r="F1524" i="11" a="1"/>
  <c r="E1524" i="11"/>
  <c r="E1524" i="11" a="1"/>
  <c r="D1524" i="11"/>
  <c r="D1524" i="11" a="1"/>
  <c r="H1523" i="11" a="1"/>
  <c r="H1523" i="11" s="1"/>
  <c r="G1523" i="11" a="1"/>
  <c r="G1523" i="11" s="1"/>
  <c r="F1523" i="11"/>
  <c r="F1523" i="11" a="1"/>
  <c r="E1523" i="11" a="1"/>
  <c r="E1523" i="11" s="1"/>
  <c r="D1523" i="11"/>
  <c r="D1523" i="11" a="1"/>
  <c r="H1522" i="11" a="1"/>
  <c r="H1522" i="11" s="1"/>
  <c r="G1522" i="11" a="1"/>
  <c r="G1522" i="11" s="1"/>
  <c r="F1522" i="11" a="1"/>
  <c r="F1522" i="11" s="1"/>
  <c r="E1522" i="11" a="1"/>
  <c r="E1522" i="11" s="1"/>
  <c r="D1522" i="11" a="1"/>
  <c r="D1522" i="11" s="1"/>
  <c r="H1521" i="11" a="1"/>
  <c r="H1521" i="11" s="1"/>
  <c r="G1521" i="11"/>
  <c r="G1521" i="11" a="1"/>
  <c r="F1521" i="11" a="1"/>
  <c r="F1521" i="11" s="1"/>
  <c r="E1521" i="11" a="1"/>
  <c r="E1521" i="11" s="1"/>
  <c r="D1521" i="11" a="1"/>
  <c r="D1521" i="11" s="1"/>
  <c r="H1520" i="11" a="1"/>
  <c r="H1520" i="11" s="1"/>
  <c r="G1520" i="11"/>
  <c r="G1520" i="11" a="1"/>
  <c r="F1520" i="11"/>
  <c r="F1520" i="11" a="1"/>
  <c r="E1520" i="11" a="1"/>
  <c r="E1520" i="11" s="1"/>
  <c r="D1520" i="11" a="1"/>
  <c r="D1520" i="11" s="1"/>
  <c r="H1519" i="11" a="1"/>
  <c r="H1519" i="11" s="1"/>
  <c r="G1519" i="11" a="1"/>
  <c r="G1519" i="11" s="1"/>
  <c r="F1519" i="11"/>
  <c r="F1519" i="11" a="1"/>
  <c r="E1519" i="11"/>
  <c r="E1519" i="11" a="1"/>
  <c r="D1519" i="11" a="1"/>
  <c r="D1519" i="11" s="1"/>
  <c r="H1518" i="11" a="1"/>
  <c r="H1518" i="11" s="1"/>
  <c r="G1518" i="11" a="1"/>
  <c r="G1518" i="11" s="1"/>
  <c r="F1518" i="11" a="1"/>
  <c r="F1518" i="11" s="1"/>
  <c r="E1518" i="11"/>
  <c r="E1518" i="11" a="1"/>
  <c r="D1518" i="11"/>
  <c r="D1518" i="11" a="1"/>
  <c r="H1517" i="11" a="1"/>
  <c r="H1517" i="11" s="1"/>
  <c r="G1517" i="11"/>
  <c r="G1517" i="11" a="1"/>
  <c r="F1517" i="11"/>
  <c r="F1517" i="11" a="1"/>
  <c r="E1517" i="11" a="1"/>
  <c r="E1517" i="11" s="1"/>
  <c r="D1517" i="11"/>
  <c r="D1517" i="11" a="1"/>
  <c r="H1516" i="11" a="1"/>
  <c r="H1516" i="11" s="1"/>
  <c r="G1516" i="11" a="1"/>
  <c r="G1516" i="11" s="1"/>
  <c r="F1516" i="11" a="1"/>
  <c r="F1516" i="11" s="1"/>
  <c r="E1516" i="11"/>
  <c r="E1516" i="11" a="1"/>
  <c r="D1516" i="11" a="1"/>
  <c r="D1516" i="11" s="1"/>
  <c r="H1515" i="11" a="1"/>
  <c r="H1515" i="11" s="1"/>
  <c r="G1515" i="11"/>
  <c r="G1515" i="11" a="1"/>
  <c r="F1515" i="11" a="1"/>
  <c r="F1515" i="11" s="1"/>
  <c r="E1515" i="11" a="1"/>
  <c r="E1515" i="11" s="1"/>
  <c r="D1515" i="11"/>
  <c r="D1515" i="11" a="1"/>
  <c r="H1514" i="11" a="1"/>
  <c r="H1514" i="11" s="1"/>
  <c r="G1514" i="11"/>
  <c r="G1514" i="11" a="1"/>
  <c r="F1514" i="11"/>
  <c r="F1514" i="11" a="1"/>
  <c r="E1514" i="11" a="1"/>
  <c r="E1514" i="11" s="1"/>
  <c r="D1514" i="11" a="1"/>
  <c r="D1514" i="11" s="1"/>
  <c r="H1513" i="11" a="1"/>
  <c r="H1513" i="11" s="1"/>
  <c r="G1513" i="11" a="1"/>
  <c r="G1513" i="11" s="1"/>
  <c r="F1513" i="11"/>
  <c r="F1513" i="11" a="1"/>
  <c r="E1513" i="11"/>
  <c r="E1513" i="11" a="1"/>
  <c r="D1513" i="11" a="1"/>
  <c r="D1513" i="11" s="1"/>
  <c r="H1512" i="11" a="1"/>
  <c r="H1512" i="11" s="1"/>
  <c r="G1512" i="11" a="1"/>
  <c r="G1512" i="11" s="1"/>
  <c r="F1512" i="11" a="1"/>
  <c r="F1512" i="11" s="1"/>
  <c r="E1512" i="11"/>
  <c r="E1512" i="11" a="1"/>
  <c r="D1512" i="11"/>
  <c r="D1512" i="11" a="1"/>
  <c r="H1511" i="11" a="1"/>
  <c r="H1511" i="11" s="1"/>
  <c r="G1511" i="11"/>
  <c r="G1511" i="11" a="1"/>
  <c r="F1511" i="11" a="1"/>
  <c r="F1511" i="11" s="1"/>
  <c r="E1511" i="11" a="1"/>
  <c r="E1511" i="11" s="1"/>
  <c r="D1511" i="11"/>
  <c r="D1511" i="11" a="1"/>
  <c r="H1510" i="11" a="1"/>
  <c r="H1510" i="11" s="1"/>
  <c r="G1510" i="11" a="1"/>
  <c r="G1510" i="11" s="1"/>
  <c r="F1510" i="11"/>
  <c r="F1510" i="11" a="1"/>
  <c r="E1510" i="11"/>
  <c r="E1510" i="11" a="1"/>
  <c r="D1510" i="11" a="1"/>
  <c r="D1510" i="11" s="1"/>
  <c r="H1509" i="11" a="1"/>
  <c r="H1509" i="11" s="1"/>
  <c r="G1509" i="11"/>
  <c r="G1509" i="11" a="1"/>
  <c r="F1509" i="11" a="1"/>
  <c r="F1509" i="11" s="1"/>
  <c r="E1509" i="11" a="1"/>
  <c r="E1509" i="11" s="1"/>
  <c r="D1509" i="11"/>
  <c r="D1509" i="11" a="1"/>
  <c r="H1508" i="11" a="1"/>
  <c r="H1508" i="11" s="1"/>
  <c r="G1508" i="11"/>
  <c r="G1508" i="11" a="1"/>
  <c r="F1508" i="11"/>
  <c r="F1508" i="11" a="1"/>
  <c r="E1508" i="11" a="1"/>
  <c r="E1508" i="11" s="1"/>
  <c r="D1508" i="11" a="1"/>
  <c r="D1508" i="11" s="1"/>
  <c r="H1507" i="11" a="1"/>
  <c r="H1507" i="11" s="1"/>
  <c r="G1507" i="11" a="1"/>
  <c r="G1507" i="11" s="1"/>
  <c r="F1507" i="11"/>
  <c r="F1507" i="11" a="1"/>
  <c r="E1507" i="11"/>
  <c r="E1507" i="11" a="1"/>
  <c r="D1507" i="11" a="1"/>
  <c r="D1507" i="11" s="1"/>
  <c r="H1506" i="11" a="1"/>
  <c r="H1506" i="11" s="1"/>
  <c r="G1506" i="11" a="1"/>
  <c r="G1506" i="11" s="1"/>
  <c r="F1506" i="11" a="1"/>
  <c r="F1506" i="11" s="1"/>
  <c r="E1506" i="11"/>
  <c r="E1506" i="11" a="1"/>
  <c r="D1506" i="11"/>
  <c r="D1506" i="11" a="1"/>
  <c r="H1505" i="11" a="1"/>
  <c r="H1505" i="11" s="1"/>
  <c r="G1505" i="11" a="1"/>
  <c r="G1505" i="11" s="1"/>
  <c r="F1505" i="11" a="1"/>
  <c r="F1505" i="11" s="1"/>
  <c r="E1505" i="11" a="1"/>
  <c r="E1505" i="11" s="1"/>
  <c r="D1505" i="11"/>
  <c r="D1505" i="11" a="1"/>
  <c r="H1504" i="11" a="1"/>
  <c r="H1504" i="11" s="1"/>
  <c r="G1504" i="11" a="1"/>
  <c r="G1504" i="11" s="1"/>
  <c r="F1504" i="11"/>
  <c r="F1504" i="11" a="1"/>
  <c r="E1504" i="11" a="1"/>
  <c r="E1504" i="11" s="1"/>
  <c r="D1504" i="11" a="1"/>
  <c r="D1504" i="11" s="1"/>
  <c r="H1503" i="11" a="1"/>
  <c r="H1503" i="11" s="1"/>
  <c r="G1503" i="11"/>
  <c r="G1503" i="11" a="1"/>
  <c r="F1503" i="11" a="1"/>
  <c r="F1503" i="11" s="1"/>
  <c r="E1503" i="11" a="1"/>
  <c r="E1503" i="11" s="1"/>
  <c r="D1503" i="11"/>
  <c r="D1503" i="11" a="1"/>
  <c r="H1502" i="11" a="1"/>
  <c r="H1502" i="11" s="1"/>
  <c r="G1502" i="11"/>
  <c r="G1502" i="11" a="1"/>
  <c r="F1502" i="11"/>
  <c r="F1502" i="11" a="1"/>
  <c r="E1502" i="11" a="1"/>
  <c r="E1502" i="11" s="1"/>
  <c r="D1502" i="11" a="1"/>
  <c r="D1502" i="11" s="1"/>
  <c r="H1501" i="11" a="1"/>
  <c r="H1501" i="11" s="1"/>
  <c r="G1501" i="11" a="1"/>
  <c r="G1501" i="11" s="1"/>
  <c r="F1501" i="11"/>
  <c r="F1501" i="11" a="1"/>
  <c r="E1501" i="11"/>
  <c r="E1501" i="11" a="1"/>
  <c r="D1501" i="11" a="1"/>
  <c r="D1501" i="11" s="1"/>
  <c r="H1500" i="11" a="1"/>
  <c r="H1500" i="11" s="1"/>
  <c r="G1500" i="11" a="1"/>
  <c r="G1500" i="11" s="1"/>
  <c r="F1500" i="11" a="1"/>
  <c r="F1500" i="11" s="1"/>
  <c r="E1500" i="11"/>
  <c r="E1500" i="11" a="1"/>
  <c r="D1500" i="11" a="1"/>
  <c r="D1500" i="11" s="1"/>
  <c r="H1499" i="11" a="1"/>
  <c r="H1499" i="11" s="1"/>
  <c r="G1499" i="11" a="1"/>
  <c r="G1499" i="11" s="1"/>
  <c r="F1499" i="11" a="1"/>
  <c r="F1499" i="11" s="1"/>
  <c r="E1499" i="11" a="1"/>
  <c r="E1499" i="11" s="1"/>
  <c r="D1499" i="11"/>
  <c r="D1499" i="11" a="1"/>
  <c r="H1498" i="11" a="1"/>
  <c r="H1498" i="11" s="1"/>
  <c r="G1498" i="11" a="1"/>
  <c r="G1498" i="11" s="1"/>
  <c r="F1498" i="11" a="1"/>
  <c r="F1498" i="11" s="1"/>
  <c r="E1498" i="11" a="1"/>
  <c r="E1498" i="11" s="1"/>
  <c r="D1498" i="11" a="1"/>
  <c r="D1498" i="11" s="1"/>
  <c r="H1497" i="11" a="1"/>
  <c r="H1497" i="11" s="1"/>
  <c r="G1497" i="11" a="1"/>
  <c r="G1497" i="11" s="1"/>
  <c r="F1497" i="11" a="1"/>
  <c r="F1497" i="11" s="1"/>
  <c r="E1497" i="11"/>
  <c r="E1497" i="11" a="1"/>
  <c r="D1497" i="11" a="1"/>
  <c r="D1497" i="11" s="1"/>
  <c r="H1496" i="11" a="1"/>
  <c r="H1496" i="11" s="1"/>
  <c r="G1496" i="11"/>
  <c r="G1496" i="11" a="1"/>
  <c r="F1496" i="11" a="1"/>
  <c r="F1496" i="11" s="1"/>
  <c r="E1496" i="11" a="1"/>
  <c r="E1496" i="11" s="1"/>
  <c r="D1496" i="11" a="1"/>
  <c r="D1496" i="11" s="1"/>
  <c r="H1495" i="11" a="1"/>
  <c r="H1495" i="11" s="1"/>
  <c r="G1495" i="11" a="1"/>
  <c r="G1495" i="11" s="1"/>
  <c r="F1495" i="11"/>
  <c r="F1495" i="11" a="1"/>
  <c r="E1495" i="11"/>
  <c r="E1495" i="11" a="1"/>
  <c r="D1495" i="11" a="1"/>
  <c r="D1495" i="11" s="1"/>
  <c r="H1494" i="11" a="1"/>
  <c r="H1494" i="11" s="1"/>
  <c r="G1494" i="11" a="1"/>
  <c r="G1494" i="11" s="1"/>
  <c r="F1494" i="11" a="1"/>
  <c r="F1494" i="11" s="1"/>
  <c r="E1494" i="11" a="1"/>
  <c r="E1494" i="11" s="1"/>
  <c r="D1494" i="11" a="1"/>
  <c r="D1494" i="11" s="1"/>
  <c r="H1493" i="11" a="1"/>
  <c r="H1493" i="11" s="1"/>
  <c r="G1493" i="11"/>
  <c r="G1493" i="11" a="1"/>
  <c r="F1493" i="11" a="1"/>
  <c r="F1493" i="11" s="1"/>
  <c r="E1493" i="11" a="1"/>
  <c r="E1493" i="11" s="1"/>
  <c r="D1493" i="11" a="1"/>
  <c r="D1493" i="11" s="1"/>
  <c r="H1492" i="11" a="1"/>
  <c r="H1492" i="11" s="1"/>
  <c r="G1492" i="11" a="1"/>
  <c r="G1492" i="11" s="1"/>
  <c r="F1492" i="11" a="1"/>
  <c r="F1492" i="11" s="1"/>
  <c r="E1492" i="11" a="1"/>
  <c r="E1492" i="11" s="1"/>
  <c r="D1492" i="11" a="1"/>
  <c r="D1492" i="11" s="1"/>
  <c r="H1491" i="11" a="1"/>
  <c r="H1491" i="11" s="1"/>
  <c r="G1491" i="11"/>
  <c r="G1491" i="11" a="1"/>
  <c r="F1491" i="11" a="1"/>
  <c r="F1491" i="11" s="1"/>
  <c r="E1491" i="11"/>
  <c r="E1491" i="11" a="1"/>
  <c r="D1491" i="11" a="1"/>
  <c r="D1491" i="11" s="1"/>
  <c r="H1490" i="11" a="1"/>
  <c r="H1490" i="11" s="1"/>
  <c r="G1490" i="11" a="1"/>
  <c r="G1490" i="11" s="1"/>
  <c r="F1490" i="11"/>
  <c r="F1490" i="11" a="1"/>
  <c r="E1490" i="11" a="1"/>
  <c r="E1490" i="11" s="1"/>
  <c r="D1490" i="11" a="1"/>
  <c r="D1490" i="11" s="1"/>
  <c r="H1489" i="11" a="1"/>
  <c r="H1489" i="11" s="1"/>
  <c r="G1489" i="11" a="1"/>
  <c r="G1489" i="11" s="1"/>
  <c r="F1489" i="11" a="1"/>
  <c r="F1489" i="11" s="1"/>
  <c r="E1489" i="11" a="1"/>
  <c r="E1489" i="11" s="1"/>
  <c r="D1489" i="11" a="1"/>
  <c r="D1489" i="11" s="1"/>
  <c r="H1488" i="11" a="1"/>
  <c r="H1488" i="11" s="1"/>
  <c r="G1488" i="11" a="1"/>
  <c r="G1488" i="11" s="1"/>
  <c r="F1488" i="11" a="1"/>
  <c r="F1488" i="11" s="1"/>
  <c r="E1488" i="11" a="1"/>
  <c r="E1488" i="11" s="1"/>
  <c r="D1488" i="11"/>
  <c r="D1488" i="11" a="1"/>
  <c r="H1487" i="11" a="1"/>
  <c r="H1487" i="11" s="1"/>
  <c r="G1487" i="11" a="1"/>
  <c r="G1487" i="11" s="1"/>
  <c r="F1487" i="11" a="1"/>
  <c r="F1487" i="11" s="1"/>
  <c r="E1487" i="11" a="1"/>
  <c r="E1487" i="11" s="1"/>
  <c r="D1487" i="11" a="1"/>
  <c r="D1487" i="11" s="1"/>
  <c r="H1486" i="11" a="1"/>
  <c r="H1486" i="11" s="1"/>
  <c r="G1486" i="11" a="1"/>
  <c r="G1486" i="11" s="1"/>
  <c r="F1486" i="11"/>
  <c r="F1486" i="11" a="1"/>
  <c r="E1486" i="11" a="1"/>
  <c r="E1486" i="11" s="1"/>
  <c r="D1486" i="11" a="1"/>
  <c r="D1486" i="11" s="1"/>
  <c r="H1485" i="11" a="1"/>
  <c r="H1485" i="11" s="1"/>
  <c r="G1485" i="11"/>
  <c r="G1485" i="11" a="1"/>
  <c r="F1485" i="11" a="1"/>
  <c r="F1485" i="11" s="1"/>
  <c r="E1485" i="11" a="1"/>
  <c r="E1485" i="11" s="1"/>
  <c r="D1485" i="11"/>
  <c r="D1485" i="11" a="1"/>
  <c r="H1484" i="11" a="1"/>
  <c r="H1484" i="11" s="1"/>
  <c r="G1484" i="11" a="1"/>
  <c r="G1484" i="11" s="1"/>
  <c r="F1484" i="11" a="1"/>
  <c r="F1484" i="11" s="1"/>
  <c r="E1484" i="11" a="1"/>
  <c r="E1484" i="11" s="1"/>
  <c r="D1484" i="11"/>
  <c r="D1484" i="11" a="1"/>
  <c r="H1483" i="11" a="1"/>
  <c r="H1483" i="11" s="1"/>
  <c r="G1483" i="11" a="1"/>
  <c r="G1483" i="11" s="1"/>
  <c r="F1483" i="11" a="1"/>
  <c r="F1483" i="11" s="1"/>
  <c r="E1483" i="11"/>
  <c r="E1483" i="11" a="1"/>
  <c r="D1483" i="11" a="1"/>
  <c r="D1483" i="11" s="1"/>
  <c r="H1482" i="11" a="1"/>
  <c r="H1482" i="11" s="1"/>
  <c r="G1482" i="11" a="1"/>
  <c r="G1482" i="11" s="1"/>
  <c r="F1482" i="11" a="1"/>
  <c r="F1482" i="11" s="1"/>
  <c r="E1482" i="11" a="1"/>
  <c r="E1482" i="11" s="1"/>
  <c r="D1482" i="11" a="1"/>
  <c r="D1482" i="11" s="1"/>
  <c r="H1481" i="11" a="1"/>
  <c r="H1481" i="11" s="1"/>
  <c r="G1481" i="11"/>
  <c r="G1481" i="11" a="1"/>
  <c r="F1481" i="11" a="1"/>
  <c r="F1481" i="11" s="1"/>
  <c r="E1481" i="11" a="1"/>
  <c r="E1481" i="11" s="1"/>
  <c r="D1481" i="11" a="1"/>
  <c r="D1481" i="11" s="1"/>
  <c r="H1480" i="11" a="1"/>
  <c r="H1480" i="11" s="1"/>
  <c r="G1480" i="11" a="1"/>
  <c r="G1480" i="11" s="1"/>
  <c r="F1480" i="11"/>
  <c r="F1480" i="11" a="1"/>
  <c r="E1480" i="11"/>
  <c r="E1480" i="11" a="1"/>
  <c r="D1480" i="11" a="1"/>
  <c r="D1480" i="11" s="1"/>
  <c r="H1479" i="11" a="1"/>
  <c r="H1479" i="11" s="1"/>
  <c r="G1479" i="11" a="1"/>
  <c r="G1479" i="11" s="1"/>
  <c r="F1479" i="11" a="1"/>
  <c r="F1479" i="11" s="1"/>
  <c r="E1479" i="11"/>
  <c r="E1479" i="11" a="1"/>
  <c r="D1479" i="11" a="1"/>
  <c r="D1479" i="11" s="1"/>
  <c r="H1478" i="11" a="1"/>
  <c r="H1478" i="11" s="1"/>
  <c r="G1478" i="11" a="1"/>
  <c r="G1478" i="11" s="1"/>
  <c r="F1478" i="11"/>
  <c r="F1478" i="11" a="1"/>
  <c r="E1478" i="11" a="1"/>
  <c r="E1478" i="11" s="1"/>
  <c r="D1478" i="11" a="1"/>
  <c r="D1478" i="11" s="1"/>
  <c r="H1477" i="11" a="1"/>
  <c r="H1477" i="11" s="1"/>
  <c r="G1477" i="11" a="1"/>
  <c r="G1477" i="11" s="1"/>
  <c r="F1477" i="11" a="1"/>
  <c r="F1477" i="11" s="1"/>
  <c r="E1477" i="11"/>
  <c r="E1477" i="11" a="1"/>
  <c r="D1477" i="11" a="1"/>
  <c r="D1477" i="11" s="1"/>
  <c r="H1476" i="11" a="1"/>
  <c r="H1476" i="11" s="1"/>
  <c r="G1476" i="11" a="1"/>
  <c r="G1476" i="11" s="1"/>
  <c r="F1476" i="11" a="1"/>
  <c r="F1476" i="11" s="1"/>
  <c r="E1476" i="11" a="1"/>
  <c r="E1476" i="11" s="1"/>
  <c r="D1476" i="11"/>
  <c r="D1476" i="11" a="1"/>
  <c r="H1475" i="11" a="1"/>
  <c r="H1475" i="11" s="1"/>
  <c r="G1475" i="11"/>
  <c r="G1475" i="11" a="1"/>
  <c r="F1475" i="11" a="1"/>
  <c r="F1475" i="11" s="1"/>
  <c r="E1475" i="11" a="1"/>
  <c r="E1475" i="11" s="1"/>
  <c r="D1475" i="11" a="1"/>
  <c r="D1475" i="11" s="1"/>
  <c r="H1474" i="11" a="1"/>
  <c r="H1474" i="11" s="1"/>
  <c r="G1474" i="11" a="1"/>
  <c r="G1474" i="11" s="1"/>
  <c r="F1474" i="11"/>
  <c r="F1474" i="11" a="1"/>
  <c r="E1474" i="11" a="1"/>
  <c r="E1474" i="11" s="1"/>
  <c r="D1474" i="11" a="1"/>
  <c r="D1474" i="11" s="1"/>
  <c r="H1473" i="11" a="1"/>
  <c r="H1473" i="11" s="1"/>
  <c r="G1473" i="11"/>
  <c r="G1473" i="11" a="1"/>
  <c r="F1473" i="11" a="1"/>
  <c r="F1473" i="11" s="1"/>
  <c r="E1473" i="11" a="1"/>
  <c r="E1473" i="11" s="1"/>
  <c r="D1473" i="11" a="1"/>
  <c r="D1473" i="11" s="1"/>
  <c r="H1472" i="11" a="1"/>
  <c r="H1472" i="11" s="1"/>
  <c r="G1472" i="11" a="1"/>
  <c r="G1472" i="11" s="1"/>
  <c r="F1472" i="11" a="1"/>
  <c r="F1472" i="11" s="1"/>
  <c r="E1472" i="11" a="1"/>
  <c r="E1472" i="11" s="1"/>
  <c r="D1472" i="11"/>
  <c r="D1472" i="11" a="1"/>
  <c r="H1471" i="11" a="1"/>
  <c r="H1471" i="11" s="1"/>
  <c r="G1471" i="11" a="1"/>
  <c r="G1471" i="11" s="1"/>
  <c r="F1471" i="11" a="1"/>
  <c r="F1471" i="11" s="1"/>
  <c r="E1471" i="11"/>
  <c r="E1471" i="11" a="1"/>
  <c r="D1471" i="11" a="1"/>
  <c r="D1471" i="11" s="1"/>
  <c r="H1470" i="11" a="1"/>
  <c r="H1470" i="11" s="1"/>
  <c r="G1470" i="11" a="1"/>
  <c r="G1470" i="11" s="1"/>
  <c r="F1470" i="11" a="1"/>
  <c r="F1470" i="11" s="1"/>
  <c r="E1470" i="11" a="1"/>
  <c r="E1470" i="11" s="1"/>
  <c r="D1470" i="11" a="1"/>
  <c r="D1470" i="11" s="1"/>
  <c r="H1469" i="11" a="1"/>
  <c r="H1469" i="11" s="1"/>
  <c r="G1469" i="11"/>
  <c r="G1469" i="11" a="1"/>
  <c r="F1469" i="11" a="1"/>
  <c r="F1469" i="11" s="1"/>
  <c r="E1469" i="11" a="1"/>
  <c r="E1469" i="11" s="1"/>
  <c r="D1469" i="11" a="1"/>
  <c r="D1469" i="11" s="1"/>
  <c r="H1468" i="11" a="1"/>
  <c r="H1468" i="11" s="1"/>
  <c r="G1468" i="11" a="1"/>
  <c r="G1468" i="11" s="1"/>
  <c r="F1468" i="11" a="1"/>
  <c r="F1468" i="11" s="1"/>
  <c r="E1468" i="11" a="1"/>
  <c r="E1468" i="11" s="1"/>
  <c r="D1468" i="11" a="1"/>
  <c r="D1468" i="11" s="1"/>
  <c r="H1467" i="11" a="1"/>
  <c r="H1467" i="11" s="1"/>
  <c r="G1467" i="11"/>
  <c r="G1467" i="11" a="1"/>
  <c r="F1467" i="11" a="1"/>
  <c r="F1467" i="11" s="1"/>
  <c r="E1467" i="11" a="1"/>
  <c r="E1467" i="11" s="1"/>
  <c r="D1467" i="11" a="1"/>
  <c r="D1467" i="11" s="1"/>
  <c r="H1466" i="11" a="1"/>
  <c r="H1466" i="11" s="1"/>
  <c r="G1466" i="11" a="1"/>
  <c r="G1466" i="11" s="1"/>
  <c r="F1466" i="11"/>
  <c r="F1466" i="11" a="1"/>
  <c r="E1466" i="11" a="1"/>
  <c r="E1466" i="11" s="1"/>
  <c r="D1466" i="11" a="1"/>
  <c r="D1466" i="11" s="1"/>
  <c r="H1465" i="11" a="1"/>
  <c r="H1465" i="11" s="1"/>
  <c r="G1465" i="11" a="1"/>
  <c r="G1465" i="11" s="1"/>
  <c r="F1465" i="11" a="1"/>
  <c r="F1465" i="11" s="1"/>
  <c r="E1465" i="11" a="1"/>
  <c r="E1465" i="11" s="1"/>
  <c r="D1465" i="11" a="1"/>
  <c r="D1465" i="11" s="1"/>
  <c r="H1464" i="11" a="1"/>
  <c r="H1464" i="11" s="1"/>
  <c r="G1464" i="11"/>
  <c r="G1464" i="11" a="1"/>
  <c r="F1464" i="11" a="1"/>
  <c r="F1464" i="11" s="1"/>
  <c r="E1464" i="11" a="1"/>
  <c r="E1464" i="11" s="1"/>
  <c r="D1464" i="11"/>
  <c r="D1464" i="11" a="1"/>
  <c r="H1463" i="11" a="1"/>
  <c r="H1463" i="11" s="1"/>
  <c r="G1463" i="11"/>
  <c r="G1463" i="11" a="1"/>
  <c r="F1463" i="11" a="1"/>
  <c r="F1463" i="11" s="1"/>
  <c r="E1463" i="11" a="1"/>
  <c r="E1463" i="11" s="1"/>
  <c r="D1463" i="11" a="1"/>
  <c r="D1463" i="11" s="1"/>
  <c r="H1462" i="11" a="1"/>
  <c r="H1462" i="11" s="1"/>
  <c r="G1462" i="11"/>
  <c r="G1462" i="11" a="1"/>
  <c r="F1462" i="11" a="1"/>
  <c r="F1462" i="11" s="1"/>
  <c r="E1462" i="11" a="1"/>
  <c r="E1462" i="11" s="1"/>
  <c r="D1462" i="11" a="1"/>
  <c r="D1462" i="11" s="1"/>
  <c r="H1461" i="11" a="1"/>
  <c r="H1461" i="11" s="1"/>
  <c r="G1461" i="11" a="1"/>
  <c r="G1461" i="11" s="1"/>
  <c r="F1461" i="11" a="1"/>
  <c r="F1461" i="11" s="1"/>
  <c r="E1461" i="11"/>
  <c r="E1461" i="11" a="1"/>
  <c r="D1461" i="11" a="1"/>
  <c r="D1461" i="11" s="1"/>
  <c r="H1460" i="11" a="1"/>
  <c r="H1460" i="11" s="1"/>
  <c r="G1460" i="11" a="1"/>
  <c r="G1460" i="11" s="1"/>
  <c r="F1460" i="11" a="1"/>
  <c r="F1460" i="11" s="1"/>
  <c r="E1460" i="11"/>
  <c r="E1460" i="11" a="1"/>
  <c r="D1460" i="11" a="1"/>
  <c r="D1460" i="11" s="1"/>
  <c r="H1459" i="11" a="1"/>
  <c r="H1459" i="11" s="1"/>
  <c r="G1459" i="11" a="1"/>
  <c r="G1459" i="11" s="1"/>
  <c r="F1459" i="11" a="1"/>
  <c r="F1459" i="11" s="1"/>
  <c r="E1459" i="11"/>
  <c r="E1459" i="11" a="1"/>
  <c r="D1459" i="11" a="1"/>
  <c r="D1459" i="11" s="1"/>
  <c r="H1458" i="11" a="1"/>
  <c r="H1458" i="11" s="1"/>
  <c r="G1458" i="11" a="1"/>
  <c r="G1458" i="11" s="1"/>
  <c r="F1458" i="11" a="1"/>
  <c r="F1458" i="11" s="1"/>
  <c r="E1458" i="11" a="1"/>
  <c r="E1458" i="11" s="1"/>
  <c r="D1458" i="11" a="1"/>
  <c r="D1458" i="11" s="1"/>
  <c r="H1457" i="11" a="1"/>
  <c r="H1457" i="11" s="1"/>
  <c r="G1457" i="11" a="1"/>
  <c r="G1457" i="11" s="1"/>
  <c r="F1457" i="11"/>
  <c r="F1457" i="11" a="1"/>
  <c r="E1457" i="11" a="1"/>
  <c r="E1457" i="11" s="1"/>
  <c r="D1457" i="11" a="1"/>
  <c r="D1457" i="11" s="1"/>
  <c r="H1456" i="11" a="1"/>
  <c r="H1456" i="11" s="1"/>
  <c r="G1456" i="11" a="1"/>
  <c r="G1456" i="11" s="1"/>
  <c r="F1456" i="11" a="1"/>
  <c r="F1456" i="11" s="1"/>
  <c r="E1456" i="11" a="1"/>
  <c r="E1456" i="11" s="1"/>
  <c r="D1456" i="11" a="1"/>
  <c r="D1456" i="11" s="1"/>
  <c r="H1455" i="11" a="1"/>
  <c r="H1455" i="11" s="1"/>
  <c r="G1455" i="11"/>
  <c r="G1455" i="11" a="1"/>
  <c r="F1455" i="11"/>
  <c r="F1455" i="11" a="1"/>
  <c r="E1455" i="11" a="1"/>
  <c r="E1455" i="11" s="1"/>
  <c r="D1455" i="11" a="1"/>
  <c r="D1455" i="11" s="1"/>
  <c r="H1454" i="11" a="1"/>
  <c r="H1454" i="11" s="1"/>
  <c r="G1454" i="11" a="1"/>
  <c r="G1454" i="11" s="1"/>
  <c r="F1454" i="11"/>
  <c r="F1454" i="11" a="1"/>
  <c r="E1454" i="11" a="1"/>
  <c r="E1454" i="11" s="1"/>
  <c r="D1454" i="11"/>
  <c r="D1454" i="11" a="1"/>
  <c r="H1453" i="11" a="1"/>
  <c r="H1453" i="11" s="1"/>
  <c r="G1453" i="11" a="1"/>
  <c r="G1453" i="11" s="1"/>
  <c r="F1453" i="11" a="1"/>
  <c r="F1453" i="11" s="1"/>
  <c r="E1453" i="11" a="1"/>
  <c r="E1453" i="11" s="1"/>
  <c r="D1453" i="11" a="1"/>
  <c r="D1453" i="11" s="1"/>
  <c r="H1452" i="11" a="1"/>
  <c r="H1452" i="11" s="1"/>
  <c r="G1452" i="11"/>
  <c r="G1452" i="11" a="1"/>
  <c r="F1452" i="11" a="1"/>
  <c r="F1452" i="11" s="1"/>
  <c r="E1452" i="11" a="1"/>
  <c r="E1452" i="11" s="1"/>
  <c r="D1452" i="11"/>
  <c r="D1452" i="11" a="1"/>
  <c r="H1451" i="11" a="1"/>
  <c r="H1451" i="11" s="1"/>
  <c r="G1451" i="11" a="1"/>
  <c r="G1451" i="11" s="1"/>
  <c r="F1451" i="11"/>
  <c r="F1451" i="11" a="1"/>
  <c r="E1451" i="11" a="1"/>
  <c r="E1451" i="11" s="1"/>
  <c r="D1451" i="11" a="1"/>
  <c r="D1451" i="11" s="1"/>
  <c r="H1450" i="11" a="1"/>
  <c r="H1450" i="11" s="1"/>
  <c r="G1450" i="11" a="1"/>
  <c r="G1450" i="11" s="1"/>
  <c r="F1450" i="11" a="1"/>
  <c r="F1450" i="11" s="1"/>
  <c r="E1450" i="11" a="1"/>
  <c r="E1450" i="11" s="1"/>
  <c r="D1450" i="11" a="1"/>
  <c r="D1450" i="11" s="1"/>
  <c r="H1449" i="11" a="1"/>
  <c r="H1449" i="11" s="1"/>
  <c r="G1449" i="11"/>
  <c r="G1449" i="11" a="1"/>
  <c r="F1449" i="11" a="1"/>
  <c r="F1449" i="11" s="1"/>
  <c r="E1449" i="11"/>
  <c r="E1449" i="11" a="1"/>
  <c r="D1449" i="11" a="1"/>
  <c r="D1449" i="11" s="1"/>
  <c r="H1448" i="11" a="1"/>
  <c r="H1448" i="11" s="1"/>
  <c r="G1448" i="11" a="1"/>
  <c r="G1448" i="11" s="1"/>
  <c r="F1448" i="11" a="1"/>
  <c r="F1448" i="11" s="1"/>
  <c r="E1448" i="11"/>
  <c r="E1448" i="11" a="1"/>
  <c r="D1448" i="11" a="1"/>
  <c r="D1448" i="11" s="1"/>
  <c r="H1447" i="11" a="1"/>
  <c r="H1447" i="11" s="1"/>
  <c r="G1447" i="11" a="1"/>
  <c r="G1447" i="11" s="1"/>
  <c r="F1447" i="11" a="1"/>
  <c r="F1447" i="11" s="1"/>
  <c r="E1447" i="11"/>
  <c r="E1447" i="11" a="1"/>
  <c r="D1447" i="11"/>
  <c r="D1447" i="11" a="1"/>
  <c r="H1446" i="11" a="1"/>
  <c r="H1446" i="11" s="1"/>
  <c r="G1446" i="11" a="1"/>
  <c r="G1446" i="11" s="1"/>
  <c r="F1446" i="11" a="1"/>
  <c r="F1446" i="11" s="1"/>
  <c r="E1446" i="11" a="1"/>
  <c r="E1446" i="11" s="1"/>
  <c r="D1446" i="11" a="1"/>
  <c r="D1446" i="11" s="1"/>
  <c r="H1445" i="11" a="1"/>
  <c r="H1445" i="11" s="1"/>
  <c r="G1445" i="11"/>
  <c r="G1445" i="11" a="1"/>
  <c r="F1445" i="11"/>
  <c r="F1445" i="11" a="1"/>
  <c r="E1445" i="11" a="1"/>
  <c r="E1445" i="11" s="1"/>
  <c r="D1445" i="11" a="1"/>
  <c r="D1445" i="11" s="1"/>
  <c r="H1444" i="11" a="1"/>
  <c r="H1444" i="11" s="1"/>
  <c r="G1444" i="11" a="1"/>
  <c r="G1444" i="11" s="1"/>
  <c r="F1444" i="11" a="1"/>
  <c r="F1444" i="11" s="1"/>
  <c r="E1444" i="11" a="1"/>
  <c r="E1444" i="11" s="1"/>
  <c r="D1444" i="11" a="1"/>
  <c r="D1444" i="11" s="1"/>
  <c r="H1443" i="11" a="1"/>
  <c r="H1443" i="11" s="1"/>
  <c r="G1443" i="11" a="1"/>
  <c r="G1443" i="11" s="1"/>
  <c r="F1443" i="11" a="1"/>
  <c r="F1443" i="11" s="1"/>
  <c r="E1443" i="11" a="1"/>
  <c r="E1443" i="11" s="1"/>
  <c r="D1443" i="11"/>
  <c r="D1443" i="11" a="1"/>
  <c r="H1442" i="11" a="1"/>
  <c r="H1442" i="11" s="1"/>
  <c r="G1442" i="11" a="1"/>
  <c r="G1442" i="11" s="1"/>
  <c r="F1442" i="11"/>
  <c r="F1442" i="11" a="1"/>
  <c r="E1442" i="11" a="1"/>
  <c r="E1442" i="11" s="1"/>
  <c r="D1442" i="11"/>
  <c r="D1442" i="11" a="1"/>
  <c r="H1441" i="11" a="1"/>
  <c r="H1441" i="11" s="1"/>
  <c r="G1441" i="11" a="1"/>
  <c r="G1441" i="11" s="1"/>
  <c r="F1441" i="11" a="1"/>
  <c r="F1441" i="11" s="1"/>
  <c r="E1441" i="11"/>
  <c r="E1441" i="11" a="1"/>
  <c r="D1441" i="11"/>
  <c r="D1441" i="11" a="1"/>
  <c r="H1440" i="11" a="1"/>
  <c r="H1440" i="11" s="1"/>
  <c r="G1440" i="11" a="1"/>
  <c r="G1440" i="11" s="1"/>
  <c r="F1440" i="11" a="1"/>
  <c r="F1440" i="11" s="1"/>
  <c r="E1440" i="11" a="1"/>
  <c r="E1440" i="11" s="1"/>
  <c r="D1440" i="11" a="1"/>
  <c r="D1440" i="11" s="1"/>
  <c r="H1439" i="11" a="1"/>
  <c r="H1439" i="11" s="1"/>
  <c r="G1439" i="11"/>
  <c r="G1439" i="11" a="1"/>
  <c r="F1439" i="11" a="1"/>
  <c r="F1439" i="11" s="1"/>
  <c r="E1439" i="11" a="1"/>
  <c r="E1439" i="11" s="1"/>
  <c r="D1439" i="11" a="1"/>
  <c r="D1439" i="11" s="1"/>
  <c r="H1438" i="11" a="1"/>
  <c r="H1438" i="11" s="1"/>
  <c r="G1438" i="11"/>
  <c r="G1438" i="11" a="1"/>
  <c r="F1438" i="11" a="1"/>
  <c r="F1438" i="11" s="1"/>
  <c r="E1438" i="11"/>
  <c r="E1438" i="11" a="1"/>
  <c r="D1438" i="11" a="1"/>
  <c r="D1438" i="11" s="1"/>
  <c r="H1437" i="11" a="1"/>
  <c r="H1437" i="11" s="1"/>
  <c r="G1437" i="11"/>
  <c r="G1437" i="11" a="1"/>
  <c r="F1437" i="11" a="1"/>
  <c r="F1437" i="11" s="1"/>
  <c r="E1437" i="11" a="1"/>
  <c r="E1437" i="11" s="1"/>
  <c r="D1437" i="11" a="1"/>
  <c r="D1437" i="11" s="1"/>
  <c r="H1436" i="11" a="1"/>
  <c r="H1436" i="11" s="1"/>
  <c r="G1436" i="11" a="1"/>
  <c r="G1436" i="11" s="1"/>
  <c r="F1436" i="11" a="1"/>
  <c r="F1436" i="11" s="1"/>
  <c r="E1436" i="11" a="1"/>
  <c r="E1436" i="11" s="1"/>
  <c r="D1436" i="11" a="1"/>
  <c r="D1436" i="11" s="1"/>
  <c r="H1435" i="11" a="1"/>
  <c r="H1435" i="11" s="1"/>
  <c r="G1435" i="11" a="1"/>
  <c r="G1435" i="11" s="1"/>
  <c r="F1435" i="11" a="1"/>
  <c r="F1435" i="11" s="1"/>
  <c r="E1435" i="11"/>
  <c r="E1435" i="11" a="1"/>
  <c r="D1435" i="11" a="1"/>
  <c r="D1435" i="11" s="1"/>
  <c r="H1434" i="11" a="1"/>
  <c r="H1434" i="11" s="1"/>
  <c r="G1434" i="11" a="1"/>
  <c r="G1434" i="11" s="1"/>
  <c r="F1434" i="11" a="1"/>
  <c r="F1434" i="11" s="1"/>
  <c r="E1434" i="11" a="1"/>
  <c r="E1434" i="11" s="1"/>
  <c r="D1434" i="11" a="1"/>
  <c r="D1434" i="11" s="1"/>
  <c r="H1433" i="11" a="1"/>
  <c r="H1433" i="11" s="1"/>
  <c r="G1433" i="11" a="1"/>
  <c r="G1433" i="11" s="1"/>
  <c r="F1433" i="11" a="1"/>
  <c r="F1433" i="11" s="1"/>
  <c r="E1433" i="11" a="1"/>
  <c r="E1433" i="11" s="1"/>
  <c r="D1433" i="11" a="1"/>
  <c r="D1433" i="11" s="1"/>
  <c r="H1432" i="11" a="1"/>
  <c r="H1432" i="11" s="1"/>
  <c r="G1432" i="11" a="1"/>
  <c r="G1432" i="11" s="1"/>
  <c r="F1432" i="11"/>
  <c r="F1432" i="11" a="1"/>
  <c r="E1432" i="11" a="1"/>
  <c r="E1432" i="11" s="1"/>
  <c r="D1432" i="11" a="1"/>
  <c r="D1432" i="11" s="1"/>
  <c r="H1431" i="11" a="1"/>
  <c r="H1431" i="11" s="1"/>
  <c r="G1431" i="11" a="1"/>
  <c r="G1431" i="11" s="1"/>
  <c r="F1431" i="11" a="1"/>
  <c r="F1431" i="11" s="1"/>
  <c r="E1431" i="11" a="1"/>
  <c r="E1431" i="11" s="1"/>
  <c r="D1431" i="11"/>
  <c r="D1431" i="11" a="1"/>
  <c r="H1430" i="11" a="1"/>
  <c r="H1430" i="11" s="1"/>
  <c r="G1430" i="11" a="1"/>
  <c r="G1430" i="11" s="1"/>
  <c r="F1430" i="11"/>
  <c r="F1430" i="11" a="1"/>
  <c r="E1430" i="11" a="1"/>
  <c r="E1430" i="11" s="1"/>
  <c r="D1430" i="11" a="1"/>
  <c r="D1430" i="11" s="1"/>
  <c r="H1429" i="11" a="1"/>
  <c r="H1429" i="11" s="1"/>
  <c r="G1429" i="11" a="1"/>
  <c r="G1429" i="11" s="1"/>
  <c r="F1429" i="11" a="1"/>
  <c r="F1429" i="11" s="1"/>
  <c r="E1429" i="11" a="1"/>
  <c r="E1429" i="11" s="1"/>
  <c r="D1429" i="11" a="1"/>
  <c r="D1429" i="11" s="1"/>
  <c r="H1428" i="11" a="1"/>
  <c r="H1428" i="11" s="1"/>
  <c r="G1428" i="11" a="1"/>
  <c r="G1428" i="11" s="1"/>
  <c r="F1428" i="11" a="1"/>
  <c r="F1428" i="11" s="1"/>
  <c r="E1428" i="11" a="1"/>
  <c r="E1428" i="11" s="1"/>
  <c r="D1428" i="11"/>
  <c r="D1428" i="11" a="1"/>
  <c r="H1427" i="11" a="1"/>
  <c r="H1427" i="11" s="1"/>
  <c r="G1427" i="11" a="1"/>
  <c r="G1427" i="11" s="1"/>
  <c r="F1427" i="11" a="1"/>
  <c r="F1427" i="11" s="1"/>
  <c r="E1427" i="11" a="1"/>
  <c r="E1427" i="11" s="1"/>
  <c r="D1427" i="11" a="1"/>
  <c r="D1427" i="11" s="1"/>
  <c r="H1426" i="11" a="1"/>
  <c r="H1426" i="11" s="1"/>
  <c r="G1426" i="11"/>
  <c r="G1426" i="11" a="1"/>
  <c r="F1426" i="11" a="1"/>
  <c r="F1426" i="11" s="1"/>
  <c r="E1426" i="11" a="1"/>
  <c r="E1426" i="11" s="1"/>
  <c r="D1426" i="11" a="1"/>
  <c r="D1426" i="11" s="1"/>
  <c r="H1425" i="11" a="1"/>
  <c r="H1425" i="11" s="1"/>
  <c r="G1425" i="11" a="1"/>
  <c r="G1425" i="11" s="1"/>
  <c r="F1425" i="11"/>
  <c r="F1425" i="11" a="1"/>
  <c r="E1425" i="11"/>
  <c r="E1425" i="11" a="1"/>
  <c r="D1425" i="11" a="1"/>
  <c r="D1425" i="11" s="1"/>
  <c r="H1424" i="11" a="1"/>
  <c r="H1424" i="11" s="1"/>
  <c r="G1424" i="11" a="1"/>
  <c r="G1424" i="11" s="1"/>
  <c r="F1424" i="11" a="1"/>
  <c r="F1424" i="11" s="1"/>
  <c r="E1424" i="11" a="1"/>
  <c r="E1424" i="11" s="1"/>
  <c r="D1424" i="11" a="1"/>
  <c r="D1424" i="11" s="1"/>
  <c r="H1423" i="11" a="1"/>
  <c r="H1423" i="11" s="1"/>
  <c r="G1423" i="11" a="1"/>
  <c r="G1423" i="11" s="1"/>
  <c r="F1423" i="11" a="1"/>
  <c r="F1423" i="11" s="1"/>
  <c r="E1423" i="11" a="1"/>
  <c r="E1423" i="11" s="1"/>
  <c r="D1423" i="11" a="1"/>
  <c r="D1423" i="11" s="1"/>
  <c r="H1422" i="11" a="1"/>
  <c r="H1422" i="11" s="1"/>
  <c r="G1422" i="11" a="1"/>
  <c r="G1422" i="11" s="1"/>
  <c r="F1422" i="11" a="1"/>
  <c r="F1422" i="11" s="1"/>
  <c r="E1422" i="11" a="1"/>
  <c r="E1422" i="11" s="1"/>
  <c r="D1422" i="11" a="1"/>
  <c r="D1422" i="11" s="1"/>
  <c r="H1421" i="11" a="1"/>
  <c r="H1421" i="11" s="1"/>
  <c r="G1421" i="11" a="1"/>
  <c r="G1421" i="11" s="1"/>
  <c r="F1421" i="11"/>
  <c r="F1421" i="11" a="1"/>
  <c r="E1421" i="11" a="1"/>
  <c r="E1421" i="11" s="1"/>
  <c r="D1421" i="11" a="1"/>
  <c r="D1421" i="11" s="1"/>
  <c r="H1420" i="11" a="1"/>
  <c r="H1420" i="11" s="1"/>
  <c r="G1420" i="11" a="1"/>
  <c r="G1420" i="11" s="1"/>
  <c r="F1420" i="11"/>
  <c r="F1420" i="11" a="1"/>
  <c r="E1420" i="11" a="1"/>
  <c r="E1420" i="11" s="1"/>
  <c r="D1420" i="11" a="1"/>
  <c r="D1420" i="11" s="1"/>
  <c r="H1419" i="11" a="1"/>
  <c r="H1419" i="11" s="1"/>
  <c r="G1419" i="11" a="1"/>
  <c r="G1419" i="11" s="1"/>
  <c r="F1419" i="11" a="1"/>
  <c r="F1419" i="11" s="1"/>
  <c r="E1419" i="11"/>
  <c r="E1419" i="11" a="1"/>
  <c r="D1419" i="11"/>
  <c r="D1419" i="11" a="1"/>
  <c r="H1418" i="11" a="1"/>
  <c r="H1418" i="11" s="1"/>
  <c r="G1418" i="11" a="1"/>
  <c r="G1418" i="11" s="1"/>
  <c r="F1418" i="11" a="1"/>
  <c r="F1418" i="11" s="1"/>
  <c r="E1418" i="11"/>
  <c r="E1418" i="11" a="1"/>
  <c r="D1418" i="11" a="1"/>
  <c r="D1418" i="11" s="1"/>
  <c r="H1417" i="11" a="1"/>
  <c r="H1417" i="11" s="1"/>
  <c r="G1417" i="11" a="1"/>
  <c r="G1417" i="11" s="1"/>
  <c r="F1417" i="11"/>
  <c r="F1417" i="11" a="1"/>
  <c r="E1417" i="11" a="1"/>
  <c r="E1417" i="11" s="1"/>
  <c r="D1417" i="11"/>
  <c r="D1417" i="11" a="1"/>
  <c r="H1416" i="11" a="1"/>
  <c r="H1416" i="11" s="1"/>
  <c r="G1416" i="11" a="1"/>
  <c r="G1416" i="11" s="1"/>
  <c r="F1416" i="11" a="1"/>
  <c r="F1416" i="11" s="1"/>
  <c r="E1416" i="11" a="1"/>
  <c r="E1416" i="11" s="1"/>
  <c r="D1416" i="11"/>
  <c r="D1416" i="11" a="1"/>
  <c r="H1415" i="11" a="1"/>
  <c r="H1415" i="11" s="1"/>
  <c r="G1415" i="11"/>
  <c r="G1415" i="11" a="1"/>
  <c r="F1415" i="11" a="1"/>
  <c r="F1415" i="11" s="1"/>
  <c r="E1415" i="11" a="1"/>
  <c r="E1415" i="11" s="1"/>
  <c r="D1415" i="11"/>
  <c r="D1415" i="11" a="1"/>
  <c r="H1414" i="11" a="1"/>
  <c r="H1414" i="11" s="1"/>
  <c r="G1414" i="11" a="1"/>
  <c r="G1414" i="11" s="1"/>
  <c r="F1414" i="11" a="1"/>
  <c r="F1414" i="11" s="1"/>
  <c r="E1414" i="11" a="1"/>
  <c r="E1414" i="11" s="1"/>
  <c r="D1414" i="11" a="1"/>
  <c r="D1414" i="11" s="1"/>
  <c r="H1413" i="11" a="1"/>
  <c r="H1413" i="11" s="1"/>
  <c r="G1413" i="11" a="1"/>
  <c r="G1413" i="11" s="1"/>
  <c r="F1413" i="11" a="1"/>
  <c r="F1413" i="11" s="1"/>
  <c r="E1413" i="11" a="1"/>
  <c r="E1413" i="11" s="1"/>
  <c r="D1413" i="11"/>
  <c r="D1413" i="11" a="1"/>
  <c r="H1412" i="11" a="1"/>
  <c r="H1412" i="11" s="1"/>
  <c r="G1412" i="11" a="1"/>
  <c r="G1412" i="11" s="1"/>
  <c r="F1412" i="11"/>
  <c r="F1412" i="11" a="1"/>
  <c r="E1412" i="11" a="1"/>
  <c r="E1412" i="11" s="1"/>
  <c r="D1412" i="11"/>
  <c r="D1412" i="11" a="1"/>
  <c r="H1411" i="11" a="1"/>
  <c r="H1411" i="11" s="1"/>
  <c r="G1411" i="11" a="1"/>
  <c r="G1411" i="11" s="1"/>
  <c r="F1411" i="11" a="1"/>
  <c r="F1411" i="11" s="1"/>
  <c r="E1411" i="11" a="1"/>
  <c r="E1411" i="11" s="1"/>
  <c r="D1411" i="11" a="1"/>
  <c r="D1411" i="11" s="1"/>
  <c r="H1410" i="11" a="1"/>
  <c r="H1410" i="11" s="1"/>
  <c r="G1410" i="11" a="1"/>
  <c r="G1410" i="11" s="1"/>
  <c r="F1410" i="11" a="1"/>
  <c r="F1410" i="11" s="1"/>
  <c r="E1410" i="11" a="1"/>
  <c r="E1410" i="11" s="1"/>
  <c r="D1410" i="11"/>
  <c r="D1410" i="11" a="1"/>
  <c r="H1409" i="11" a="1"/>
  <c r="H1409" i="11" s="1"/>
  <c r="G1409" i="11" a="1"/>
  <c r="G1409" i="11" s="1"/>
  <c r="F1409" i="11" a="1"/>
  <c r="F1409" i="11" s="1"/>
  <c r="E1409" i="11" a="1"/>
  <c r="E1409" i="11" s="1"/>
  <c r="D1409" i="11"/>
  <c r="D1409" i="11" a="1"/>
  <c r="H1408" i="11" a="1"/>
  <c r="H1408" i="11" s="1"/>
  <c r="G1408" i="11"/>
  <c r="G1408" i="11" a="1"/>
  <c r="F1408" i="11" a="1"/>
  <c r="F1408" i="11" s="1"/>
  <c r="E1408" i="11" a="1"/>
  <c r="E1408" i="11" s="1"/>
  <c r="D1408" i="11" a="1"/>
  <c r="D1408" i="11" s="1"/>
  <c r="H1407" i="11" a="1"/>
  <c r="H1407" i="11" s="1"/>
  <c r="G1407" i="11" a="1"/>
  <c r="G1407" i="11" s="1"/>
  <c r="F1407" i="11"/>
  <c r="F1407" i="11" a="1"/>
  <c r="E1407" i="11"/>
  <c r="E1407" i="11" a="1"/>
  <c r="D1407" i="11" a="1"/>
  <c r="D1407" i="11" s="1"/>
  <c r="H1406" i="11" a="1"/>
  <c r="H1406" i="11" s="1"/>
  <c r="G1406" i="11" a="1"/>
  <c r="G1406" i="11" s="1"/>
  <c r="F1406" i="11"/>
  <c r="F1406" i="11" a="1"/>
  <c r="E1406" i="11" a="1"/>
  <c r="E1406" i="11" s="1"/>
  <c r="D1406" i="11"/>
  <c r="D1406" i="11" a="1"/>
  <c r="H1405" i="11" a="1"/>
  <c r="H1405" i="11" s="1"/>
  <c r="G1405" i="11" a="1"/>
  <c r="G1405" i="11" s="1"/>
  <c r="F1405" i="11" a="1"/>
  <c r="F1405" i="11" s="1"/>
  <c r="E1405" i="11"/>
  <c r="E1405" i="11" a="1"/>
  <c r="D1405" i="11" a="1"/>
  <c r="D1405" i="11" s="1"/>
  <c r="H1404" i="11" a="1"/>
  <c r="H1404" i="11" s="1"/>
  <c r="G1404" i="11"/>
  <c r="G1404" i="11" a="1"/>
  <c r="F1404" i="11" a="1"/>
  <c r="F1404" i="11" s="1"/>
  <c r="E1404" i="11"/>
  <c r="E1404" i="11" a="1"/>
  <c r="D1404" i="11" a="1"/>
  <c r="D1404" i="11" s="1"/>
  <c r="H1403" i="11" a="1"/>
  <c r="H1403" i="11" s="1"/>
  <c r="G1403" i="11" a="1"/>
  <c r="G1403" i="11" s="1"/>
  <c r="F1403" i="11" a="1"/>
  <c r="F1403" i="11" s="1"/>
  <c r="E1403" i="11" a="1"/>
  <c r="E1403" i="11" s="1"/>
  <c r="D1403" i="11" a="1"/>
  <c r="D1403" i="11" s="1"/>
  <c r="H1402" i="11" a="1"/>
  <c r="H1402" i="11" s="1"/>
  <c r="G1402" i="11" a="1"/>
  <c r="G1402" i="11" s="1"/>
  <c r="F1402" i="11" a="1"/>
  <c r="F1402" i="11" s="1"/>
  <c r="E1402" i="11" a="1"/>
  <c r="E1402" i="11" s="1"/>
  <c r="D1402" i="11" a="1"/>
  <c r="D1402" i="11" s="1"/>
  <c r="H1401" i="11" a="1"/>
  <c r="H1401" i="11" s="1"/>
  <c r="G1401" i="11"/>
  <c r="G1401" i="11" a="1"/>
  <c r="F1401" i="11" a="1"/>
  <c r="F1401" i="11" s="1"/>
  <c r="E1401" i="11"/>
  <c r="E1401" i="11" a="1"/>
  <c r="D1401" i="11" a="1"/>
  <c r="D1401" i="11" s="1"/>
  <c r="H1400" i="11" a="1"/>
  <c r="H1400" i="11" s="1"/>
  <c r="G1400" i="11"/>
  <c r="G1400" i="11" a="1"/>
  <c r="F1400" i="11" a="1"/>
  <c r="F1400" i="11" s="1"/>
  <c r="E1400" i="11"/>
  <c r="E1400" i="11" a="1"/>
  <c r="D1400" i="11" a="1"/>
  <c r="D1400" i="11" s="1"/>
  <c r="H1399" i="11" a="1"/>
  <c r="H1399" i="11" s="1"/>
  <c r="G1399" i="11" a="1"/>
  <c r="G1399" i="11" s="1"/>
  <c r="F1399" i="11" a="1"/>
  <c r="F1399" i="11" s="1"/>
  <c r="E1399" i="11" a="1"/>
  <c r="E1399" i="11" s="1"/>
  <c r="D1399" i="11"/>
  <c r="D1399" i="11" a="1"/>
  <c r="H1398" i="11" a="1"/>
  <c r="H1398" i="11" s="1"/>
  <c r="G1398" i="11"/>
  <c r="G1398" i="11" a="1"/>
  <c r="F1398" i="11" a="1"/>
  <c r="F1398" i="11" s="1"/>
  <c r="E1398" i="11"/>
  <c r="E1398" i="11" a="1"/>
  <c r="D1398" i="11"/>
  <c r="D1398" i="11" a="1"/>
  <c r="H1397" i="11" a="1"/>
  <c r="H1397" i="11" s="1"/>
  <c r="G1397" i="11" a="1"/>
  <c r="G1397" i="11" s="1"/>
  <c r="F1397" i="11" a="1"/>
  <c r="F1397" i="11" s="1"/>
  <c r="E1397" i="11" a="1"/>
  <c r="E1397" i="11" s="1"/>
  <c r="D1397" i="11" a="1"/>
  <c r="D1397" i="11" s="1"/>
  <c r="H1396" i="11" a="1"/>
  <c r="H1396" i="11" s="1"/>
  <c r="G1396" i="11" a="1"/>
  <c r="G1396" i="11" s="1"/>
  <c r="F1396" i="11"/>
  <c r="F1396" i="11" a="1"/>
  <c r="E1396" i="11"/>
  <c r="E1396" i="11" a="1"/>
  <c r="D1396" i="11"/>
  <c r="D1396" i="11" a="1"/>
  <c r="H1395" i="11" a="1"/>
  <c r="H1395" i="11" s="1"/>
  <c r="G1395" i="11" a="1"/>
  <c r="G1395" i="11" s="1"/>
  <c r="F1395" i="11" a="1"/>
  <c r="F1395" i="11" s="1"/>
  <c r="E1395" i="11" a="1"/>
  <c r="E1395" i="11" s="1"/>
  <c r="D1395" i="11" a="1"/>
  <c r="D1395" i="11" s="1"/>
  <c r="H1394" i="11" a="1"/>
  <c r="H1394" i="11" s="1"/>
  <c r="G1394" i="11" a="1"/>
  <c r="G1394" i="11" s="1"/>
  <c r="F1394" i="11"/>
  <c r="F1394" i="11" a="1"/>
  <c r="E1394" i="11" a="1"/>
  <c r="E1394" i="11" s="1"/>
  <c r="D1394" i="11" a="1"/>
  <c r="D1394" i="11" s="1"/>
  <c r="H1393" i="11" a="1"/>
  <c r="H1393" i="11" s="1"/>
  <c r="G1393" i="11"/>
  <c r="G1393" i="11" a="1"/>
  <c r="F1393" i="11" a="1"/>
  <c r="F1393" i="11" s="1"/>
  <c r="E1393" i="11" a="1"/>
  <c r="E1393" i="11" s="1"/>
  <c r="D1393" i="11" a="1"/>
  <c r="D1393" i="11" s="1"/>
  <c r="H1392" i="11" a="1"/>
  <c r="H1392" i="11" s="1"/>
  <c r="G1392" i="11" a="1"/>
  <c r="G1392" i="11" s="1"/>
  <c r="F1392" i="11"/>
  <c r="F1392" i="11" a="1"/>
  <c r="E1392" i="11" a="1"/>
  <c r="E1392" i="11" s="1"/>
  <c r="D1392" i="11" a="1"/>
  <c r="D1392" i="11" s="1"/>
  <c r="H1391" i="11" a="1"/>
  <c r="H1391" i="11" s="1"/>
  <c r="G1391" i="11" a="1"/>
  <c r="G1391" i="11" s="1"/>
  <c r="F1391" i="11"/>
  <c r="F1391" i="11" a="1"/>
  <c r="E1391" i="11"/>
  <c r="E1391" i="11" a="1"/>
  <c r="D1391" i="11" a="1"/>
  <c r="D1391" i="11" s="1"/>
  <c r="H1390" i="11" a="1"/>
  <c r="H1390" i="11" s="1"/>
  <c r="G1390" i="11" a="1"/>
  <c r="G1390" i="11" s="1"/>
  <c r="F1390" i="11"/>
  <c r="F1390" i="11" a="1"/>
  <c r="E1390" i="11"/>
  <c r="E1390" i="11" a="1"/>
  <c r="D1390" i="11"/>
  <c r="D1390" i="11" a="1"/>
  <c r="H1389" i="11" a="1"/>
  <c r="H1389" i="11" s="1"/>
  <c r="G1389" i="11"/>
  <c r="G1389" i="11" a="1"/>
  <c r="F1389" i="11" a="1"/>
  <c r="F1389" i="11" s="1"/>
  <c r="E1389" i="11"/>
  <c r="E1389" i="11" a="1"/>
  <c r="D1389" i="11"/>
  <c r="D1389" i="11" a="1"/>
  <c r="H1388" i="11" a="1"/>
  <c r="H1388" i="11" s="1"/>
  <c r="G1388" i="11" a="1"/>
  <c r="G1388" i="11" s="1"/>
  <c r="F1388" i="11"/>
  <c r="F1388" i="11" a="1"/>
  <c r="E1388" i="11" a="1"/>
  <c r="E1388" i="11" s="1"/>
  <c r="D1388" i="11" a="1"/>
  <c r="D1388" i="11" s="1"/>
  <c r="H1387" i="11" a="1"/>
  <c r="H1387" i="11" s="1"/>
  <c r="G1387" i="11"/>
  <c r="G1387" i="11" a="1"/>
  <c r="F1387" i="11" a="1"/>
  <c r="F1387" i="11" s="1"/>
  <c r="E1387" i="11"/>
  <c r="E1387" i="11" a="1"/>
  <c r="D1387" i="11" a="1"/>
  <c r="D1387" i="11" s="1"/>
  <c r="H1386" i="11" a="1"/>
  <c r="H1386" i="11" s="1"/>
  <c r="G1386" i="11" a="1"/>
  <c r="G1386" i="11" s="1"/>
  <c r="F1386" i="11"/>
  <c r="F1386" i="11" a="1"/>
  <c r="E1386" i="11" a="1"/>
  <c r="E1386" i="11" s="1"/>
  <c r="D1386" i="11" a="1"/>
  <c r="D1386" i="11" s="1"/>
  <c r="H1385" i="11" a="1"/>
  <c r="H1385" i="11" s="1"/>
  <c r="G1385" i="11"/>
  <c r="G1385" i="11" a="1"/>
  <c r="F1385" i="11"/>
  <c r="F1385" i="11" a="1"/>
  <c r="E1385" i="11"/>
  <c r="E1385" i="11" a="1"/>
  <c r="D1385" i="11" a="1"/>
  <c r="D1385" i="11" s="1"/>
  <c r="H1384" i="11" a="1"/>
  <c r="H1384" i="11" s="1"/>
  <c r="G1384" i="11"/>
  <c r="G1384" i="11" a="1"/>
  <c r="F1384" i="11" a="1"/>
  <c r="F1384" i="11" s="1"/>
  <c r="E1384" i="11" a="1"/>
  <c r="E1384" i="11" s="1"/>
  <c r="D1384" i="11"/>
  <c r="D1384" i="11" a="1"/>
  <c r="H1383" i="11" a="1"/>
  <c r="H1383" i="11" s="1"/>
  <c r="G1383" i="11" a="1"/>
  <c r="G1383" i="11" s="1"/>
  <c r="F1383" i="11" a="1"/>
  <c r="F1383" i="11" s="1"/>
  <c r="E1383" i="11"/>
  <c r="E1383" i="11" a="1"/>
  <c r="D1383" i="11" a="1"/>
  <c r="D1383" i="11" s="1"/>
  <c r="H1382" i="11" a="1"/>
  <c r="H1382" i="11" s="1"/>
  <c r="G1382" i="11" a="1"/>
  <c r="G1382" i="11" s="1"/>
  <c r="F1382" i="11"/>
  <c r="F1382" i="11" a="1"/>
  <c r="E1382" i="11"/>
  <c r="E1382" i="11" a="1"/>
  <c r="D1382" i="11"/>
  <c r="D1382" i="11" a="1"/>
  <c r="H1381" i="11" a="1"/>
  <c r="H1381" i="11" s="1"/>
  <c r="G1381" i="11"/>
  <c r="G1381" i="11" a="1"/>
  <c r="F1381" i="11" a="1"/>
  <c r="F1381" i="11" s="1"/>
  <c r="E1381" i="11" a="1"/>
  <c r="E1381" i="11" s="1"/>
  <c r="D1381" i="11"/>
  <c r="D1381" i="11" a="1"/>
  <c r="H1380" i="11" a="1"/>
  <c r="H1380" i="11" s="1"/>
  <c r="G1380" i="11" a="1"/>
  <c r="G1380" i="11" s="1"/>
  <c r="F1380" i="11"/>
  <c r="F1380" i="11" a="1"/>
  <c r="E1380" i="11" a="1"/>
  <c r="E1380" i="11" s="1"/>
  <c r="D1380" i="11" a="1"/>
  <c r="D1380" i="11" s="1"/>
  <c r="H1379" i="11" a="1"/>
  <c r="H1379" i="11" s="1"/>
  <c r="G1379" i="11"/>
  <c r="G1379" i="11" a="1"/>
  <c r="F1379" i="11" a="1"/>
  <c r="F1379" i="11" s="1"/>
  <c r="E1379" i="11"/>
  <c r="E1379" i="11" a="1"/>
  <c r="D1379" i="11" a="1"/>
  <c r="D1379" i="11" s="1"/>
  <c r="H1378" i="11" a="1"/>
  <c r="H1378" i="11" s="1"/>
  <c r="G1378" i="11" a="1"/>
  <c r="G1378" i="11" s="1"/>
  <c r="F1378" i="11" a="1"/>
  <c r="F1378" i="11" s="1"/>
  <c r="E1378" i="11" a="1"/>
  <c r="E1378" i="11" s="1"/>
  <c r="D1378" i="11"/>
  <c r="D1378" i="11" a="1"/>
  <c r="H1377" i="11" a="1"/>
  <c r="H1377" i="11" s="1"/>
  <c r="G1377" i="11" a="1"/>
  <c r="G1377" i="11" s="1"/>
  <c r="F1377" i="11" a="1"/>
  <c r="F1377" i="11" s="1"/>
  <c r="E1377" i="11" a="1"/>
  <c r="E1377" i="11" s="1"/>
  <c r="D1377" i="11"/>
  <c r="D1377" i="11" a="1"/>
  <c r="H1376" i="11" a="1"/>
  <c r="H1376" i="11" s="1"/>
  <c r="G1376" i="11" a="1"/>
  <c r="G1376" i="11" s="1"/>
  <c r="F1376" i="11" a="1"/>
  <c r="F1376" i="11" s="1"/>
  <c r="E1376" i="11"/>
  <c r="E1376" i="11" a="1"/>
  <c r="D1376" i="11" a="1"/>
  <c r="D1376" i="11" s="1"/>
  <c r="H1375" i="11" a="1"/>
  <c r="H1375" i="11" s="1"/>
  <c r="G1375" i="11"/>
  <c r="G1375" i="11" a="1"/>
  <c r="F1375" i="11" a="1"/>
  <c r="F1375" i="11" s="1"/>
  <c r="E1375" i="11"/>
  <c r="E1375" i="11" a="1"/>
  <c r="D1375" i="11" a="1"/>
  <c r="D1375" i="11" s="1"/>
  <c r="H1374" i="11" a="1"/>
  <c r="H1374" i="11" s="1"/>
  <c r="G1374" i="11"/>
  <c r="G1374" i="11" a="1"/>
  <c r="F1374" i="11"/>
  <c r="F1374" i="11" a="1"/>
  <c r="E1374" i="11" a="1"/>
  <c r="E1374" i="11" s="1"/>
  <c r="D1374" i="11" a="1"/>
  <c r="D1374" i="11" s="1"/>
  <c r="H1373" i="11" a="1"/>
  <c r="H1373" i="11" s="1"/>
  <c r="G1373" i="11"/>
  <c r="G1373" i="11" a="1"/>
  <c r="F1373" i="11" a="1"/>
  <c r="F1373" i="11" s="1"/>
  <c r="E1373" i="11"/>
  <c r="E1373" i="11" a="1"/>
  <c r="D1373" i="11" a="1"/>
  <c r="D1373" i="11" s="1"/>
  <c r="H1372" i="11" a="1"/>
  <c r="H1372" i="11" s="1"/>
  <c r="G1372" i="11" a="1"/>
  <c r="G1372" i="11" s="1"/>
  <c r="F1372" i="11"/>
  <c r="F1372" i="11" a="1"/>
  <c r="E1372" i="11" a="1"/>
  <c r="E1372" i="11" s="1"/>
  <c r="D1372" i="11"/>
  <c r="D1372" i="11" a="1"/>
  <c r="H1371" i="11" a="1"/>
  <c r="H1371" i="11" s="1"/>
  <c r="G1371" i="11"/>
  <c r="G1371" i="11" a="1"/>
  <c r="F1371" i="11" a="1"/>
  <c r="F1371" i="11" s="1"/>
  <c r="E1371" i="11" a="1"/>
  <c r="E1371" i="11" s="1"/>
  <c r="D1371" i="11"/>
  <c r="D1371" i="11" a="1"/>
  <c r="H1370" i="11" a="1"/>
  <c r="H1370" i="11" s="1"/>
  <c r="G1370" i="11" a="1"/>
  <c r="G1370" i="11" s="1"/>
  <c r="F1370" i="11"/>
  <c r="F1370" i="11" a="1"/>
  <c r="E1370" i="11" a="1"/>
  <c r="E1370" i="11" s="1"/>
  <c r="D1370" i="11" a="1"/>
  <c r="D1370" i="11" s="1"/>
  <c r="H1369" i="11" a="1"/>
  <c r="H1369" i="11" s="1"/>
  <c r="G1369" i="11"/>
  <c r="G1369" i="11" a="1"/>
  <c r="F1369" i="11" a="1"/>
  <c r="F1369" i="11" s="1"/>
  <c r="E1369" i="11" a="1"/>
  <c r="E1369" i="11" s="1"/>
  <c r="D1369" i="11"/>
  <c r="D1369" i="11" a="1"/>
  <c r="H1368" i="11" a="1"/>
  <c r="H1368" i="11" s="1"/>
  <c r="G1368" i="11" a="1"/>
  <c r="G1368" i="11" s="1"/>
  <c r="F1368" i="11"/>
  <c r="F1368" i="11" a="1"/>
  <c r="E1368" i="11" a="1"/>
  <c r="E1368" i="11" s="1"/>
  <c r="D1368" i="11" a="1"/>
  <c r="D1368" i="11" s="1"/>
  <c r="H1367" i="11" a="1"/>
  <c r="H1367" i="11" s="1"/>
  <c r="G1367" i="11" a="1"/>
  <c r="G1367" i="11" s="1"/>
  <c r="F1367" i="11" a="1"/>
  <c r="F1367" i="11" s="1"/>
  <c r="E1367" i="11"/>
  <c r="E1367" i="11" a="1"/>
  <c r="D1367" i="11" a="1"/>
  <c r="D1367" i="11" s="1"/>
  <c r="H1366" i="11" a="1"/>
  <c r="H1366" i="11" s="1"/>
  <c r="G1366" i="11" a="1"/>
  <c r="G1366" i="11" s="1"/>
  <c r="F1366" i="11"/>
  <c r="F1366" i="11" a="1"/>
  <c r="E1366" i="11" a="1"/>
  <c r="E1366" i="11" s="1"/>
  <c r="D1366" i="11"/>
  <c r="D1366" i="11" a="1"/>
  <c r="H1365" i="11" a="1"/>
  <c r="H1365" i="11" s="1"/>
  <c r="G1365" i="11" a="1"/>
  <c r="G1365" i="11" s="1"/>
  <c r="F1365" i="11"/>
  <c r="F1365" i="11" a="1"/>
  <c r="E1365" i="11" a="1"/>
  <c r="E1365" i="11" s="1"/>
  <c r="D1365" i="11"/>
  <c r="D1365" i="11" a="1"/>
  <c r="H1364" i="11" a="1"/>
  <c r="H1364" i="11" s="1"/>
  <c r="G1364" i="11" a="1"/>
  <c r="G1364" i="11" s="1"/>
  <c r="F1364" i="11"/>
  <c r="F1364" i="11" a="1"/>
  <c r="E1364" i="11" a="1"/>
  <c r="E1364" i="11" s="1"/>
  <c r="D1364" i="11"/>
  <c r="D1364" i="11" a="1"/>
  <c r="H1363" i="11" a="1"/>
  <c r="H1363" i="11" s="1"/>
  <c r="G1363" i="11"/>
  <c r="G1363" i="11" a="1"/>
  <c r="F1363" i="11" a="1"/>
  <c r="F1363" i="11" s="1"/>
  <c r="E1363" i="11" a="1"/>
  <c r="E1363" i="11" s="1"/>
  <c r="D1363" i="11" a="1"/>
  <c r="D1363" i="11" s="1"/>
  <c r="H1362" i="11" a="1"/>
  <c r="H1362" i="11" s="1"/>
  <c r="G1362" i="11" a="1"/>
  <c r="G1362" i="11" s="1"/>
  <c r="F1362" i="11" a="1"/>
  <c r="F1362" i="11" s="1"/>
  <c r="E1362" i="11"/>
  <c r="E1362" i="11" a="1"/>
  <c r="D1362" i="11" a="1"/>
  <c r="D1362" i="11" s="1"/>
  <c r="H1361" i="11" a="1"/>
  <c r="H1361" i="11" s="1"/>
  <c r="G1361" i="11" a="1"/>
  <c r="G1361" i="11" s="1"/>
  <c r="F1361" i="11"/>
  <c r="F1361" i="11" a="1"/>
  <c r="E1361" i="11" a="1"/>
  <c r="E1361" i="11" s="1"/>
  <c r="D1361" i="11" a="1"/>
  <c r="D1361" i="11" s="1"/>
  <c r="H1360" i="11" a="1"/>
  <c r="H1360" i="11" s="1"/>
  <c r="G1360" i="11" a="1"/>
  <c r="G1360" i="11" s="1"/>
  <c r="F1360" i="11" a="1"/>
  <c r="F1360" i="11" s="1"/>
  <c r="E1360" i="11"/>
  <c r="E1360" i="11" a="1"/>
  <c r="D1360" i="11" a="1"/>
  <c r="D1360" i="11" s="1"/>
  <c r="H1359" i="11" a="1"/>
  <c r="H1359" i="11" s="1"/>
  <c r="G1359" i="11"/>
  <c r="G1359" i="11" a="1"/>
  <c r="F1359" i="11" a="1"/>
  <c r="F1359" i="11" s="1"/>
  <c r="E1359" i="11" a="1"/>
  <c r="E1359" i="11" s="1"/>
  <c r="D1359" i="11" a="1"/>
  <c r="D1359" i="11" s="1"/>
  <c r="H1358" i="11" a="1"/>
  <c r="H1358" i="11" s="1"/>
  <c r="G1358" i="11" a="1"/>
  <c r="G1358" i="11" s="1"/>
  <c r="F1358" i="11" a="1"/>
  <c r="F1358" i="11" s="1"/>
  <c r="E1358" i="11" a="1"/>
  <c r="E1358" i="11" s="1"/>
  <c r="D1358" i="11" a="1"/>
  <c r="D1358" i="11" s="1"/>
  <c r="H1357" i="11" a="1"/>
  <c r="H1357" i="11" s="1"/>
  <c r="G1357" i="11"/>
  <c r="G1357" i="11" a="1"/>
  <c r="F1357" i="11" a="1"/>
  <c r="F1357" i="11" s="1"/>
  <c r="E1357" i="11" a="1"/>
  <c r="E1357" i="11" s="1"/>
  <c r="D1357" i="11" a="1"/>
  <c r="D1357" i="11" s="1"/>
  <c r="H1356" i="11" a="1"/>
  <c r="H1356" i="11" s="1"/>
  <c r="G1356" i="11" a="1"/>
  <c r="G1356" i="11" s="1"/>
  <c r="F1356" i="11" a="1"/>
  <c r="F1356" i="11" s="1"/>
  <c r="E1356" i="11"/>
  <c r="E1356" i="11" a="1"/>
  <c r="D1356" i="11" a="1"/>
  <c r="D1356" i="11" s="1"/>
  <c r="H1355" i="11" a="1"/>
  <c r="H1355" i="11" s="1"/>
  <c r="G1355" i="11"/>
  <c r="G1355" i="11" a="1"/>
  <c r="F1355" i="11" a="1"/>
  <c r="F1355" i="11" s="1"/>
  <c r="E1355" i="11" a="1"/>
  <c r="E1355" i="11" s="1"/>
  <c r="D1355" i="11"/>
  <c r="D1355" i="11" a="1"/>
  <c r="H1354" i="11" a="1"/>
  <c r="H1354" i="11" s="1"/>
  <c r="G1354" i="11" a="1"/>
  <c r="G1354" i="11" s="1"/>
  <c r="F1354" i="11" a="1"/>
  <c r="F1354" i="11" s="1"/>
  <c r="E1354" i="11"/>
  <c r="E1354" i="11" a="1"/>
  <c r="D1354" i="11" a="1"/>
  <c r="D1354" i="11" s="1"/>
  <c r="H1353" i="11" a="1"/>
  <c r="H1353" i="11" s="1"/>
  <c r="G1353" i="11"/>
  <c r="G1353" i="11" a="1"/>
  <c r="F1353" i="11" a="1"/>
  <c r="F1353" i="11" s="1"/>
  <c r="E1353" i="11" a="1"/>
  <c r="E1353" i="11" s="1"/>
  <c r="D1353" i="11"/>
  <c r="D1353" i="11" a="1"/>
  <c r="H1352" i="11" a="1"/>
  <c r="H1352" i="11" s="1"/>
  <c r="G1352" i="11" a="1"/>
  <c r="G1352" i="11" s="1"/>
  <c r="F1352" i="11"/>
  <c r="F1352" i="11" a="1"/>
  <c r="E1352" i="11" a="1"/>
  <c r="E1352" i="11" s="1"/>
  <c r="D1352" i="11" a="1"/>
  <c r="D1352" i="11" s="1"/>
  <c r="H1351" i="11" a="1"/>
  <c r="H1351" i="11" s="1"/>
  <c r="G1351" i="11"/>
  <c r="G1351" i="11" a="1"/>
  <c r="F1351" i="11" a="1"/>
  <c r="F1351" i="11" s="1"/>
  <c r="E1351" i="11"/>
  <c r="E1351" i="11" a="1"/>
  <c r="D1351" i="11" a="1"/>
  <c r="D1351" i="11" s="1"/>
  <c r="H1350" i="11" a="1"/>
  <c r="H1350" i="11" s="1"/>
  <c r="G1350" i="11" a="1"/>
  <c r="G1350" i="11" s="1"/>
  <c r="F1350" i="11"/>
  <c r="F1350" i="11" a="1"/>
  <c r="E1350" i="11" a="1"/>
  <c r="E1350" i="11" s="1"/>
  <c r="D1350" i="11" a="1"/>
  <c r="D1350" i="11" s="1"/>
  <c r="H1349" i="11" a="1"/>
  <c r="H1349" i="11" s="1"/>
  <c r="G1349" i="11"/>
  <c r="G1349" i="11" a="1"/>
  <c r="F1349" i="11" a="1"/>
  <c r="F1349" i="11" s="1"/>
  <c r="E1349" i="11" a="1"/>
  <c r="E1349" i="11" s="1"/>
  <c r="D1349" i="11"/>
  <c r="D1349" i="11" a="1"/>
  <c r="H1348" i="11" a="1"/>
  <c r="H1348" i="11" s="1"/>
  <c r="G1348" i="11" a="1"/>
  <c r="G1348" i="11" s="1"/>
  <c r="F1348" i="11"/>
  <c r="F1348" i="11" a="1"/>
  <c r="E1348" i="11" a="1"/>
  <c r="E1348" i="11" s="1"/>
  <c r="D1348" i="11" a="1"/>
  <c r="D1348" i="11" s="1"/>
  <c r="H1347" i="11" a="1"/>
  <c r="H1347" i="11" s="1"/>
  <c r="G1347" i="11" a="1"/>
  <c r="G1347" i="11" s="1"/>
  <c r="F1347" i="11" a="1"/>
  <c r="F1347" i="11" s="1"/>
  <c r="E1347" i="11"/>
  <c r="E1347" i="11" a="1"/>
  <c r="D1347" i="11"/>
  <c r="D1347" i="11" a="1"/>
  <c r="H1346" i="11" a="1"/>
  <c r="H1346" i="11" s="1"/>
  <c r="G1346" i="11" a="1"/>
  <c r="G1346" i="11" s="1"/>
  <c r="F1346" i="11"/>
  <c r="F1346" i="11" a="1"/>
  <c r="E1346" i="11" a="1"/>
  <c r="E1346" i="11" s="1"/>
  <c r="D1346" i="11"/>
  <c r="D1346" i="11" a="1"/>
  <c r="H1345" i="11" a="1"/>
  <c r="H1345" i="11" s="1"/>
  <c r="G1345" i="11" a="1"/>
  <c r="G1345" i="11" s="1"/>
  <c r="F1345" i="11" a="1"/>
  <c r="F1345" i="11" s="1"/>
  <c r="E1345" i="11"/>
  <c r="E1345" i="11" a="1"/>
  <c r="D1345" i="11" a="1"/>
  <c r="D1345" i="11" s="1"/>
  <c r="H1344" i="11" a="1"/>
  <c r="H1344" i="11" s="1"/>
  <c r="G1344" i="11"/>
  <c r="G1344" i="11" a="1"/>
  <c r="F1344" i="11"/>
  <c r="F1344" i="11" a="1"/>
  <c r="E1344" i="11" a="1"/>
  <c r="E1344" i="11" s="1"/>
  <c r="D1344" i="11" a="1"/>
  <c r="D1344" i="11" s="1"/>
  <c r="H1343" i="11" a="1"/>
  <c r="H1343" i="11" s="1"/>
  <c r="G1343" i="11" a="1"/>
  <c r="G1343" i="11" s="1"/>
  <c r="F1343" i="11" a="1"/>
  <c r="F1343" i="11" s="1"/>
  <c r="E1343" i="11"/>
  <c r="E1343" i="11" a="1"/>
  <c r="D1343" i="11" a="1"/>
  <c r="D1343" i="11" s="1"/>
  <c r="H1342" i="11" a="1"/>
  <c r="H1342" i="11" s="1"/>
  <c r="G1342" i="11" a="1"/>
  <c r="G1342" i="11" s="1"/>
  <c r="F1342" i="11"/>
  <c r="F1342" i="11" a="1"/>
  <c r="E1342" i="11" a="1"/>
  <c r="E1342" i="11" s="1"/>
  <c r="D1342" i="11" a="1"/>
  <c r="D1342" i="11" s="1"/>
  <c r="H1341" i="11" a="1"/>
  <c r="H1341" i="11" s="1"/>
  <c r="G1341" i="11" a="1"/>
  <c r="G1341" i="11" s="1"/>
  <c r="F1341" i="11" a="1"/>
  <c r="F1341" i="11" s="1"/>
  <c r="E1341" i="11"/>
  <c r="E1341" i="11" a="1"/>
  <c r="D1341" i="11" a="1"/>
  <c r="D1341" i="11" s="1"/>
  <c r="H1340" i="11" a="1"/>
  <c r="H1340" i="11" s="1"/>
  <c r="G1340" i="11"/>
  <c r="G1340" i="11" a="1"/>
  <c r="F1340" i="11" a="1"/>
  <c r="F1340" i="11" s="1"/>
  <c r="E1340" i="11" a="1"/>
  <c r="E1340" i="11" s="1"/>
  <c r="D1340" i="11" a="1"/>
  <c r="D1340" i="11" s="1"/>
  <c r="H1339" i="11" a="1"/>
  <c r="H1339" i="11" s="1"/>
  <c r="G1339" i="11" a="1"/>
  <c r="G1339" i="11" s="1"/>
  <c r="F1339" i="11"/>
  <c r="F1339" i="11" a="1"/>
  <c r="E1339" i="11"/>
  <c r="E1339" i="11" a="1"/>
  <c r="D1339" i="11" a="1"/>
  <c r="D1339" i="11" s="1"/>
  <c r="H1338" i="11" a="1"/>
  <c r="H1338" i="11" s="1"/>
  <c r="G1338" i="11"/>
  <c r="G1338" i="11" a="1"/>
  <c r="F1338" i="11" a="1"/>
  <c r="F1338" i="11" s="1"/>
  <c r="E1338" i="11" a="1"/>
  <c r="E1338" i="11" s="1"/>
  <c r="D1338" i="11"/>
  <c r="D1338" i="11" a="1"/>
  <c r="H1337" i="11" a="1"/>
  <c r="H1337" i="11" s="1"/>
  <c r="G1337" i="11" a="1"/>
  <c r="G1337" i="11" s="1"/>
  <c r="F1337" i="11" a="1"/>
  <c r="F1337" i="11" s="1"/>
  <c r="E1337" i="11"/>
  <c r="E1337" i="11" a="1"/>
  <c r="D1337" i="11" a="1"/>
  <c r="D1337" i="11" s="1"/>
  <c r="H1336" i="11" a="1"/>
  <c r="H1336" i="11" s="1"/>
  <c r="G1336" i="11" a="1"/>
  <c r="G1336" i="11" s="1"/>
  <c r="F1336" i="11" a="1"/>
  <c r="F1336" i="11" s="1"/>
  <c r="E1336" i="11" a="1"/>
  <c r="E1336" i="11" s="1"/>
  <c r="D1336" i="11"/>
  <c r="D1336" i="11" a="1"/>
  <c r="H1335" i="11" a="1"/>
  <c r="H1335" i="11" s="1"/>
  <c r="G1335" i="11" a="1"/>
  <c r="G1335" i="11" s="1"/>
  <c r="F1335" i="11" a="1"/>
  <c r="F1335" i="11" s="1"/>
  <c r="E1335" i="11"/>
  <c r="E1335" i="11" a="1"/>
  <c r="D1335" i="11" a="1"/>
  <c r="D1335" i="11" s="1"/>
  <c r="H1334" i="11" a="1"/>
  <c r="H1334" i="11" s="1"/>
  <c r="G1334" i="11"/>
  <c r="G1334" i="11" a="1"/>
  <c r="F1334" i="11" a="1"/>
  <c r="F1334" i="11" s="1"/>
  <c r="E1334" i="11" a="1"/>
  <c r="E1334" i="11" s="1"/>
  <c r="D1334" i="11"/>
  <c r="D1334" i="11" a="1"/>
  <c r="H1333" i="11" a="1"/>
  <c r="H1333" i="11" s="1"/>
  <c r="G1333" i="11" a="1"/>
  <c r="G1333" i="11" s="1"/>
  <c r="F1333" i="11"/>
  <c r="F1333" i="11" a="1"/>
  <c r="E1333" i="11" a="1"/>
  <c r="E1333" i="11" s="1"/>
  <c r="D1333" i="11" a="1"/>
  <c r="D1333" i="11" s="1"/>
  <c r="H1332" i="11" a="1"/>
  <c r="H1332" i="11" s="1"/>
  <c r="G1332" i="11"/>
  <c r="G1332" i="11" a="1"/>
  <c r="F1332" i="11" a="1"/>
  <c r="F1332" i="11" s="1"/>
  <c r="E1332" i="11" a="1"/>
  <c r="E1332" i="11" s="1"/>
  <c r="D1332" i="11"/>
  <c r="D1332" i="11" a="1"/>
  <c r="H1331" i="11" a="1"/>
  <c r="H1331" i="11" s="1"/>
  <c r="G1331" i="11" a="1"/>
  <c r="G1331" i="11" s="1"/>
  <c r="F1331" i="11"/>
  <c r="F1331" i="11" a="1"/>
  <c r="E1331" i="11" a="1"/>
  <c r="E1331" i="11" s="1"/>
  <c r="D1331" i="11" a="1"/>
  <c r="D1331" i="11" s="1"/>
  <c r="H1330" i="11" a="1"/>
  <c r="H1330" i="11" s="1"/>
  <c r="G1330" i="11" a="1"/>
  <c r="G1330" i="11" s="1"/>
  <c r="F1330" i="11" a="1"/>
  <c r="F1330" i="11" s="1"/>
  <c r="E1330" i="11"/>
  <c r="E1330" i="11" a="1"/>
  <c r="D1330" i="11"/>
  <c r="D1330" i="11" a="1"/>
  <c r="H1329" i="11" a="1"/>
  <c r="H1329" i="11" s="1"/>
  <c r="G1329" i="11" a="1"/>
  <c r="G1329" i="11" s="1"/>
  <c r="F1329" i="11" a="1"/>
  <c r="F1329" i="11" s="1"/>
  <c r="E1329" i="11" a="1"/>
  <c r="E1329" i="11" s="1"/>
  <c r="D1329" i="11" a="1"/>
  <c r="D1329" i="11" s="1"/>
  <c r="H1328" i="11" a="1"/>
  <c r="H1328" i="11" s="1"/>
  <c r="G1328" i="11" a="1"/>
  <c r="G1328" i="11" s="1"/>
  <c r="F1328" i="11" a="1"/>
  <c r="F1328" i="11" s="1"/>
  <c r="E1328" i="11" a="1"/>
  <c r="E1328" i="11" s="1"/>
  <c r="D1328" i="11"/>
  <c r="D1328" i="11" a="1"/>
  <c r="H1327" i="11" a="1"/>
  <c r="H1327" i="11" s="1"/>
  <c r="G1327" i="11" a="1"/>
  <c r="G1327" i="11" s="1"/>
  <c r="F1327" i="11"/>
  <c r="F1327" i="11" a="1"/>
  <c r="E1327" i="11" a="1"/>
  <c r="E1327" i="11" s="1"/>
  <c r="D1327" i="11" a="1"/>
  <c r="D1327" i="11" s="1"/>
  <c r="H1326" i="11" a="1"/>
  <c r="H1326" i="11" s="1"/>
  <c r="G1326" i="11" a="1"/>
  <c r="G1326" i="11" s="1"/>
  <c r="F1326" i="11" a="1"/>
  <c r="F1326" i="11" s="1"/>
  <c r="E1326" i="11"/>
  <c r="E1326" i="11" a="1"/>
  <c r="D1326" i="11" a="1"/>
  <c r="D1326" i="11" s="1"/>
  <c r="H1325" i="11" a="1"/>
  <c r="H1325" i="11" s="1"/>
  <c r="G1325" i="11" a="1"/>
  <c r="G1325" i="11" s="1"/>
  <c r="F1325" i="11"/>
  <c r="F1325" i="11" a="1"/>
  <c r="E1325" i="11" a="1"/>
  <c r="E1325" i="11" s="1"/>
  <c r="D1325" i="11" a="1"/>
  <c r="D1325" i="11" s="1"/>
  <c r="H1324" i="11" a="1"/>
  <c r="H1324" i="11" s="1"/>
  <c r="G1324" i="11" a="1"/>
  <c r="G1324" i="11" s="1"/>
  <c r="F1324" i="11" a="1"/>
  <c r="F1324" i="11" s="1"/>
  <c r="E1324" i="11"/>
  <c r="E1324" i="11" a="1"/>
  <c r="D1324" i="11" a="1"/>
  <c r="D1324" i="11" s="1"/>
  <c r="H1323" i="11" a="1"/>
  <c r="H1323" i="11" s="1"/>
  <c r="G1323" i="11"/>
  <c r="G1323" i="11" a="1"/>
  <c r="F1323" i="11" a="1"/>
  <c r="F1323" i="11" s="1"/>
  <c r="E1323" i="11" a="1"/>
  <c r="E1323" i="11" s="1"/>
  <c r="D1323" i="11" a="1"/>
  <c r="D1323" i="11" s="1"/>
  <c r="H1322" i="11" a="1"/>
  <c r="H1322" i="11" s="1"/>
  <c r="G1322" i="11" a="1"/>
  <c r="G1322" i="11" s="1"/>
  <c r="F1322" i="11" a="1"/>
  <c r="F1322" i="11" s="1"/>
  <c r="E1322" i="11" a="1"/>
  <c r="E1322" i="11" s="1"/>
  <c r="D1322" i="11" a="1"/>
  <c r="D1322" i="11" s="1"/>
  <c r="H1321" i="11" a="1"/>
  <c r="H1321" i="11" s="1"/>
  <c r="G1321" i="11"/>
  <c r="G1321" i="11" a="1"/>
  <c r="F1321" i="11" a="1"/>
  <c r="F1321" i="11" s="1"/>
  <c r="E1321" i="11"/>
  <c r="E1321" i="11" a="1"/>
  <c r="D1321" i="11" a="1"/>
  <c r="D1321" i="11" s="1"/>
  <c r="H1320" i="11" a="1"/>
  <c r="H1320" i="11" s="1"/>
  <c r="G1320" i="11" a="1"/>
  <c r="G1320" i="11" s="1"/>
  <c r="F1320" i="11" a="1"/>
  <c r="F1320" i="11" s="1"/>
  <c r="E1320" i="11"/>
  <c r="E1320" i="11" a="1"/>
  <c r="D1320" i="11" a="1"/>
  <c r="D1320" i="11" s="1"/>
  <c r="H1319" i="11" a="1"/>
  <c r="H1319" i="11" s="1"/>
  <c r="G1319" i="11"/>
  <c r="G1319" i="11" a="1"/>
  <c r="F1319" i="11" a="1"/>
  <c r="F1319" i="11" s="1"/>
  <c r="E1319" i="11" a="1"/>
  <c r="E1319" i="11" s="1"/>
  <c r="D1319" i="11"/>
  <c r="D1319" i="11" a="1"/>
  <c r="H1318" i="11" a="1"/>
  <c r="H1318" i="11" s="1"/>
  <c r="G1318" i="11" a="1"/>
  <c r="G1318" i="11" s="1"/>
  <c r="F1318" i="11" a="1"/>
  <c r="F1318" i="11" s="1"/>
  <c r="E1318" i="11"/>
  <c r="E1318" i="11" a="1"/>
  <c r="D1318" i="11" a="1"/>
  <c r="D1318" i="11" s="1"/>
  <c r="H1317" i="11" a="1"/>
  <c r="H1317" i="11" s="1"/>
  <c r="G1317" i="11" a="1"/>
  <c r="G1317" i="11" s="1"/>
  <c r="F1317" i="11" a="1"/>
  <c r="F1317" i="11" s="1"/>
  <c r="E1317" i="11"/>
  <c r="E1317" i="11" a="1"/>
  <c r="D1317" i="11"/>
  <c r="D1317" i="11" a="1"/>
  <c r="H1316" i="11" a="1"/>
  <c r="H1316" i="11" s="1"/>
  <c r="G1316" i="11" a="1"/>
  <c r="G1316" i="11" s="1"/>
  <c r="F1316" i="11"/>
  <c r="F1316" i="11" a="1"/>
  <c r="E1316" i="11" a="1"/>
  <c r="E1316" i="11" s="1"/>
  <c r="D1316" i="11" a="1"/>
  <c r="D1316" i="11" s="1"/>
  <c r="H1315" i="11" a="1"/>
  <c r="H1315" i="11" s="1"/>
  <c r="G1315" i="11"/>
  <c r="G1315" i="11" a="1"/>
  <c r="F1315" i="11" a="1"/>
  <c r="F1315" i="11" s="1"/>
  <c r="E1315" i="11" a="1"/>
  <c r="E1315" i="11" s="1"/>
  <c r="D1315" i="11" a="1"/>
  <c r="D1315" i="11" s="1"/>
  <c r="H1314" i="11" a="1"/>
  <c r="H1314" i="11" s="1"/>
  <c r="G1314" i="11" a="1"/>
  <c r="G1314" i="11" s="1"/>
  <c r="F1314" i="11"/>
  <c r="F1314" i="11" a="1"/>
  <c r="E1314" i="11" a="1"/>
  <c r="E1314" i="11" s="1"/>
  <c r="D1314" i="11" a="1"/>
  <c r="D1314" i="11" s="1"/>
  <c r="H1313" i="11" a="1"/>
  <c r="H1313" i="11" s="1"/>
  <c r="G1313" i="11" a="1"/>
  <c r="G1313" i="11" s="1"/>
  <c r="F1313" i="11" a="1"/>
  <c r="F1313" i="11" s="1"/>
  <c r="E1313" i="11"/>
  <c r="E1313" i="11" a="1"/>
  <c r="D1313" i="11"/>
  <c r="D1313" i="11" a="1"/>
  <c r="H1312" i="11" a="1"/>
  <c r="H1312" i="11" s="1"/>
  <c r="G1312" i="11" a="1"/>
  <c r="G1312" i="11" s="1"/>
  <c r="F1312" i="11"/>
  <c r="F1312" i="11" a="1"/>
  <c r="E1312" i="11" a="1"/>
  <c r="E1312" i="11" s="1"/>
  <c r="D1312" i="11"/>
  <c r="D1312" i="11" a="1"/>
  <c r="H1311" i="11" a="1"/>
  <c r="H1311" i="11" s="1"/>
  <c r="G1311" i="11" a="1"/>
  <c r="G1311" i="11" s="1"/>
  <c r="F1311" i="11" a="1"/>
  <c r="F1311" i="11" s="1"/>
  <c r="E1311" i="11" a="1"/>
  <c r="E1311" i="11" s="1"/>
  <c r="D1311" i="11" a="1"/>
  <c r="D1311" i="11" s="1"/>
  <c r="H1310" i="11" a="1"/>
  <c r="H1310" i="11" s="1"/>
  <c r="G1310" i="11"/>
  <c r="G1310" i="11" a="1"/>
  <c r="F1310" i="11"/>
  <c r="F1310" i="11" a="1"/>
  <c r="E1310" i="11" a="1"/>
  <c r="E1310" i="11" s="1"/>
  <c r="D1310" i="11" a="1"/>
  <c r="D1310" i="11" s="1"/>
  <c r="H1309" i="11" a="1"/>
  <c r="H1309" i="11" s="1"/>
  <c r="G1309" i="11" a="1"/>
  <c r="G1309" i="11" s="1"/>
  <c r="F1309" i="11" a="1"/>
  <c r="F1309" i="11" s="1"/>
  <c r="E1309" i="11"/>
  <c r="E1309" i="11" a="1"/>
  <c r="D1309" i="11" a="1"/>
  <c r="D1309" i="11" s="1"/>
  <c r="H1308" i="11" a="1"/>
  <c r="H1308" i="11" s="1"/>
  <c r="G1308" i="11" a="1"/>
  <c r="G1308" i="11" s="1"/>
  <c r="F1308" i="11" a="1"/>
  <c r="F1308" i="11" s="1"/>
  <c r="E1308" i="11" a="1"/>
  <c r="E1308" i="11" s="1"/>
  <c r="D1308" i="11"/>
  <c r="D1308" i="11" a="1"/>
  <c r="H1307" i="11" a="1"/>
  <c r="H1307" i="11" s="1"/>
  <c r="G1307" i="11" a="1"/>
  <c r="G1307" i="11" s="1"/>
  <c r="F1307" i="11" a="1"/>
  <c r="F1307" i="11" s="1"/>
  <c r="E1307" i="11"/>
  <c r="E1307" i="11" a="1"/>
  <c r="D1307" i="11" a="1"/>
  <c r="D1307" i="11" s="1"/>
  <c r="H1306" i="11" a="1"/>
  <c r="H1306" i="11" s="1"/>
  <c r="G1306" i="11" a="1"/>
  <c r="G1306" i="11" s="1"/>
  <c r="F1306" i="11"/>
  <c r="F1306" i="11" a="1"/>
  <c r="E1306" i="11" a="1"/>
  <c r="E1306" i="11" s="1"/>
  <c r="D1306" i="11" a="1"/>
  <c r="D1306" i="11" s="1"/>
  <c r="H1305" i="11" a="1"/>
  <c r="H1305" i="11" s="1"/>
  <c r="G1305" i="11" a="1"/>
  <c r="G1305" i="11" s="1"/>
  <c r="F1305" i="11" a="1"/>
  <c r="F1305" i="11" s="1"/>
  <c r="E1305" i="11"/>
  <c r="E1305" i="11" a="1"/>
  <c r="D1305" i="11" a="1"/>
  <c r="D1305" i="11" s="1"/>
  <c r="H1304" i="11" a="1"/>
  <c r="H1304" i="11" s="1"/>
  <c r="G1304" i="11"/>
  <c r="G1304" i="11" a="1"/>
  <c r="F1304" i="11" a="1"/>
  <c r="F1304" i="11" s="1"/>
  <c r="E1304" i="11" a="1"/>
  <c r="E1304" i="11" s="1"/>
  <c r="D1304" i="11"/>
  <c r="D1304" i="11" a="1"/>
  <c r="H1303" i="11" a="1"/>
  <c r="H1303" i="11" s="1"/>
  <c r="G1303" i="11" a="1"/>
  <c r="G1303" i="11" s="1"/>
  <c r="F1303" i="11" a="1"/>
  <c r="F1303" i="11" s="1"/>
  <c r="E1303" i="11" a="1"/>
  <c r="E1303" i="11" s="1"/>
  <c r="D1303" i="11" a="1"/>
  <c r="D1303" i="11" s="1"/>
  <c r="H1302" i="11" a="1"/>
  <c r="H1302" i="11" s="1"/>
  <c r="G1302" i="11"/>
  <c r="G1302" i="11" a="1"/>
  <c r="F1302" i="11" a="1"/>
  <c r="F1302" i="11" s="1"/>
  <c r="E1302" i="11" a="1"/>
  <c r="E1302" i="11" s="1"/>
  <c r="D1302" i="11"/>
  <c r="D1302" i="11" a="1"/>
  <c r="H1301" i="11" a="1"/>
  <c r="H1301" i="11" s="1"/>
  <c r="G1301" i="11" a="1"/>
  <c r="G1301" i="11" s="1"/>
  <c r="F1301" i="11"/>
  <c r="F1301" i="11" a="1"/>
  <c r="E1301" i="11"/>
  <c r="E1301" i="11" a="1"/>
  <c r="D1301" i="11" a="1"/>
  <c r="D1301" i="11" s="1"/>
  <c r="H1300" i="11" a="1"/>
  <c r="H1300" i="11" s="1"/>
  <c r="G1300" i="11" a="1"/>
  <c r="G1300" i="11" s="1"/>
  <c r="F1300" i="11" a="1"/>
  <c r="F1300" i="11" s="1"/>
  <c r="E1300" i="11" a="1"/>
  <c r="E1300" i="11" s="1"/>
  <c r="D1300" i="11"/>
  <c r="D1300" i="11" a="1"/>
  <c r="H1299" i="11" a="1"/>
  <c r="H1299" i="11" s="1"/>
  <c r="G1299" i="11" a="1"/>
  <c r="G1299" i="11" s="1"/>
  <c r="F1299" i="11" a="1"/>
  <c r="F1299" i="11" s="1"/>
  <c r="E1299" i="11" a="1"/>
  <c r="E1299" i="11" s="1"/>
  <c r="D1299" i="11" a="1"/>
  <c r="D1299" i="11" s="1"/>
  <c r="H1298" i="11" a="1"/>
  <c r="H1298" i="11" s="1"/>
  <c r="G1298" i="11"/>
  <c r="G1298" i="11" a="1"/>
  <c r="F1298" i="11" a="1"/>
  <c r="F1298" i="11" s="1"/>
  <c r="E1298" i="11" a="1"/>
  <c r="E1298" i="11" s="1"/>
  <c r="D1298" i="11"/>
  <c r="D1298" i="11" a="1"/>
  <c r="H1297" i="11" a="1"/>
  <c r="H1297" i="11" s="1"/>
  <c r="G1297" i="11" a="1"/>
  <c r="G1297" i="11" s="1"/>
  <c r="F1297" i="11"/>
  <c r="F1297" i="11" a="1"/>
  <c r="E1297" i="11" a="1"/>
  <c r="E1297" i="11" s="1"/>
  <c r="D1297" i="11" a="1"/>
  <c r="D1297" i="11" s="1"/>
  <c r="H1296" i="11" a="1"/>
  <c r="H1296" i="11" s="1"/>
  <c r="G1296" i="11" a="1"/>
  <c r="G1296" i="11" s="1"/>
  <c r="F1296" i="11" a="1"/>
  <c r="F1296" i="11" s="1"/>
  <c r="E1296" i="11" a="1"/>
  <c r="E1296" i="11" s="1"/>
  <c r="D1296" i="11"/>
  <c r="D1296" i="11" a="1"/>
  <c r="H1295" i="11" a="1"/>
  <c r="H1295" i="11" s="1"/>
  <c r="G1295" i="11" a="1"/>
  <c r="G1295" i="11" s="1"/>
  <c r="F1295" i="11"/>
  <c r="F1295" i="11" a="1"/>
  <c r="E1295" i="11" a="1"/>
  <c r="E1295" i="11" s="1"/>
  <c r="D1295" i="11" a="1"/>
  <c r="D1295" i="11" s="1"/>
  <c r="H1294" i="11" a="1"/>
  <c r="H1294" i="11" s="1"/>
  <c r="G1294" i="11" a="1"/>
  <c r="G1294" i="11" s="1"/>
  <c r="F1294" i="11" a="1"/>
  <c r="F1294" i="11" s="1"/>
  <c r="E1294" i="11" a="1"/>
  <c r="E1294" i="11" s="1"/>
  <c r="D1294" i="11" a="1"/>
  <c r="D1294" i="11" s="1"/>
  <c r="H1293" i="11" a="1"/>
  <c r="H1293" i="11" s="1"/>
  <c r="G1293" i="11" a="1"/>
  <c r="G1293" i="11" s="1"/>
  <c r="F1293" i="11" a="1"/>
  <c r="F1293" i="11" s="1"/>
  <c r="E1293" i="11" a="1"/>
  <c r="E1293" i="11" s="1"/>
  <c r="D1293" i="11" a="1"/>
  <c r="D1293" i="11" s="1"/>
  <c r="H1292" i="11" a="1"/>
  <c r="H1292" i="11" s="1"/>
  <c r="G1292" i="11" a="1"/>
  <c r="G1292" i="11" s="1"/>
  <c r="F1292" i="11"/>
  <c r="F1292" i="11" a="1"/>
  <c r="E1292" i="11" a="1"/>
  <c r="E1292" i="11" s="1"/>
  <c r="D1292" i="11"/>
  <c r="D1292" i="11" a="1"/>
  <c r="H1291" i="11" a="1"/>
  <c r="H1291" i="11" s="1"/>
  <c r="G1291" i="11" a="1"/>
  <c r="G1291" i="11" s="1"/>
  <c r="F1291" i="11" a="1"/>
  <c r="F1291" i="11" s="1"/>
  <c r="E1291" i="11" a="1"/>
  <c r="E1291" i="11" s="1"/>
  <c r="D1291" i="11" a="1"/>
  <c r="D1291" i="11" s="1"/>
  <c r="H1290" i="11" a="1"/>
  <c r="H1290" i="11" s="1"/>
  <c r="G1290" i="11" a="1"/>
  <c r="G1290" i="11" s="1"/>
  <c r="F1290" i="11" a="1"/>
  <c r="F1290" i="11" s="1"/>
  <c r="E1290" i="11"/>
  <c r="E1290" i="11" a="1"/>
  <c r="D1290" i="11" a="1"/>
  <c r="D1290" i="11" s="1"/>
  <c r="H1289" i="11" a="1"/>
  <c r="H1289" i="11" s="1"/>
  <c r="G1289" i="11" a="1"/>
  <c r="G1289" i="11" s="1"/>
  <c r="F1289" i="11"/>
  <c r="F1289" i="11" a="1"/>
  <c r="E1289" i="11" a="1"/>
  <c r="E1289" i="11" s="1"/>
  <c r="D1289" i="11" a="1"/>
  <c r="D1289" i="11" s="1"/>
  <c r="H1288" i="11" a="1"/>
  <c r="H1288" i="11" s="1"/>
  <c r="G1288" i="11" a="1"/>
  <c r="G1288" i="11" s="1"/>
  <c r="F1288" i="11"/>
  <c r="F1288" i="11" a="1"/>
  <c r="E1288" i="11"/>
  <c r="E1288" i="11" a="1"/>
  <c r="D1288" i="11" a="1"/>
  <c r="D1288" i="11" s="1"/>
  <c r="H1287" i="11" a="1"/>
  <c r="H1287" i="11" s="1"/>
  <c r="G1287" i="11"/>
  <c r="G1287" i="11" a="1"/>
  <c r="F1287" i="11" a="1"/>
  <c r="F1287" i="11" s="1"/>
  <c r="E1287" i="11" a="1"/>
  <c r="E1287" i="11" s="1"/>
  <c r="D1287" i="11" a="1"/>
  <c r="D1287" i="11" s="1"/>
  <c r="H1286" i="11" a="1"/>
  <c r="H1286" i="11" s="1"/>
  <c r="G1286" i="11" a="1"/>
  <c r="G1286" i="11" s="1"/>
  <c r="F1286" i="11" a="1"/>
  <c r="F1286" i="11" s="1"/>
  <c r="E1286" i="11" a="1"/>
  <c r="E1286" i="11" s="1"/>
  <c r="D1286" i="11" a="1"/>
  <c r="D1286" i="11" s="1"/>
  <c r="H1285" i="11" a="1"/>
  <c r="H1285" i="11" s="1"/>
  <c r="G1285" i="11"/>
  <c r="G1285" i="11" a="1"/>
  <c r="F1285" i="11" a="1"/>
  <c r="F1285" i="11" s="1"/>
  <c r="E1285" i="11" a="1"/>
  <c r="E1285" i="11" s="1"/>
  <c r="D1285" i="11" a="1"/>
  <c r="D1285" i="11" s="1"/>
  <c r="H1284" i="11" a="1"/>
  <c r="H1284" i="11" s="1"/>
  <c r="G1284" i="11" a="1"/>
  <c r="G1284" i="11" s="1"/>
  <c r="F1284" i="11" a="1"/>
  <c r="F1284" i="11" s="1"/>
  <c r="E1284" i="11"/>
  <c r="E1284" i="11" a="1"/>
  <c r="D1284" i="11" a="1"/>
  <c r="D1284" i="11" s="1"/>
  <c r="H1283" i="11" a="1"/>
  <c r="H1283" i="11" s="1"/>
  <c r="G1283" i="11"/>
  <c r="G1283" i="11" a="1"/>
  <c r="F1283" i="11" a="1"/>
  <c r="F1283" i="11" s="1"/>
  <c r="E1283" i="11" a="1"/>
  <c r="E1283" i="11" s="1"/>
  <c r="D1283" i="11"/>
  <c r="D1283" i="11" a="1"/>
  <c r="H1282" i="11" a="1"/>
  <c r="H1282" i="11" s="1"/>
  <c r="G1282" i="11" a="1"/>
  <c r="G1282" i="11" s="1"/>
  <c r="F1282" i="11" a="1"/>
  <c r="F1282" i="11" s="1"/>
  <c r="E1282" i="11" a="1"/>
  <c r="E1282" i="11" s="1"/>
  <c r="D1282" i="11" a="1"/>
  <c r="D1282" i="11" s="1"/>
  <c r="H1281" i="11" a="1"/>
  <c r="H1281" i="11" s="1"/>
  <c r="G1281" i="11"/>
  <c r="G1281" i="11" a="1"/>
  <c r="F1281" i="11" a="1"/>
  <c r="F1281" i="11" s="1"/>
  <c r="E1281" i="11" a="1"/>
  <c r="E1281" i="11" s="1"/>
  <c r="D1281" i="11"/>
  <c r="D1281" i="11" a="1"/>
  <c r="H1280" i="11" a="1"/>
  <c r="H1280" i="11" s="1"/>
  <c r="G1280" i="11" a="1"/>
  <c r="G1280" i="11" s="1"/>
  <c r="F1280" i="11"/>
  <c r="F1280" i="11" a="1"/>
  <c r="E1280" i="11" a="1"/>
  <c r="E1280" i="11" s="1"/>
  <c r="D1280" i="11" a="1"/>
  <c r="D1280" i="11" s="1"/>
  <c r="H1279" i="11" a="1"/>
  <c r="H1279" i="11" s="1"/>
  <c r="G1279" i="11" a="1"/>
  <c r="G1279" i="11" s="1"/>
  <c r="F1279" i="11" a="1"/>
  <c r="F1279" i="11" s="1"/>
  <c r="E1279" i="11" a="1"/>
  <c r="E1279" i="11" s="1"/>
  <c r="D1279" i="11" a="1"/>
  <c r="D1279" i="11" s="1"/>
  <c r="H1278" i="11" a="1"/>
  <c r="H1278" i="11" s="1"/>
  <c r="G1278" i="11" a="1"/>
  <c r="G1278" i="11" s="1"/>
  <c r="F1278" i="11"/>
  <c r="F1278" i="11" a="1"/>
  <c r="E1278" i="11" a="1"/>
  <c r="E1278" i="11" s="1"/>
  <c r="D1278" i="11" a="1"/>
  <c r="D1278" i="11" s="1"/>
  <c r="H1277" i="11" a="1"/>
  <c r="H1277" i="11" s="1"/>
  <c r="G1277" i="11"/>
  <c r="G1277" i="11" a="1"/>
  <c r="F1277" i="11" a="1"/>
  <c r="F1277" i="11" s="1"/>
  <c r="E1277" i="11" a="1"/>
  <c r="E1277" i="11" s="1"/>
  <c r="D1277" i="11" a="1"/>
  <c r="D1277" i="11" s="1"/>
  <c r="H1276" i="11" a="1"/>
  <c r="H1276" i="11" s="1"/>
  <c r="G1276" i="11" a="1"/>
  <c r="G1276" i="11" s="1"/>
  <c r="F1276" i="11"/>
  <c r="F1276" i="11" a="1"/>
  <c r="E1276" i="11" a="1"/>
  <c r="E1276" i="11" s="1"/>
  <c r="D1276" i="11" a="1"/>
  <c r="D1276" i="11" s="1"/>
  <c r="H1275" i="11" a="1"/>
  <c r="H1275" i="11" s="1"/>
  <c r="G1275" i="11" a="1"/>
  <c r="G1275" i="11" s="1"/>
  <c r="F1275" i="11" a="1"/>
  <c r="F1275" i="11" s="1"/>
  <c r="E1275" i="11" a="1"/>
  <c r="E1275" i="11" s="1"/>
  <c r="D1275" i="11"/>
  <c r="D1275" i="11" a="1"/>
  <c r="H1274" i="11" a="1"/>
  <c r="H1274" i="11" s="1"/>
  <c r="G1274" i="11" a="1"/>
  <c r="G1274" i="11" s="1"/>
  <c r="F1274" i="11" a="1"/>
  <c r="F1274" i="11" s="1"/>
  <c r="E1274" i="11" a="1"/>
  <c r="E1274" i="11" s="1"/>
  <c r="D1274" i="11" a="1"/>
  <c r="D1274" i="11" s="1"/>
  <c r="H1273" i="11" a="1"/>
  <c r="H1273" i="11" s="1"/>
  <c r="G1273" i="11" a="1"/>
  <c r="G1273" i="11" s="1"/>
  <c r="F1273" i="11" a="1"/>
  <c r="F1273" i="11" s="1"/>
  <c r="E1273" i="11"/>
  <c r="E1273" i="11" a="1"/>
  <c r="D1273" i="11" a="1"/>
  <c r="D1273" i="11" s="1"/>
  <c r="H1272" i="11" a="1"/>
  <c r="H1272" i="11" s="1"/>
  <c r="G1272" i="11" a="1"/>
  <c r="G1272" i="11" s="1"/>
  <c r="F1272" i="11"/>
  <c r="F1272" i="11" a="1"/>
  <c r="E1272" i="11" a="1"/>
  <c r="E1272" i="11" s="1"/>
  <c r="D1272" i="11" a="1"/>
  <c r="D1272" i="11" s="1"/>
  <c r="H1271" i="11" a="1"/>
  <c r="H1271" i="11" s="1"/>
  <c r="G1271" i="11" a="1"/>
  <c r="G1271" i="11" s="1"/>
  <c r="F1271" i="11"/>
  <c r="F1271" i="11" a="1"/>
  <c r="E1271" i="11"/>
  <c r="E1271" i="11" a="1"/>
  <c r="D1271" i="11" a="1"/>
  <c r="D1271" i="11" s="1"/>
  <c r="H1270" i="11" a="1"/>
  <c r="H1270" i="11" s="1"/>
  <c r="G1270" i="11" a="1"/>
  <c r="G1270" i="11" s="1"/>
  <c r="F1270" i="11"/>
  <c r="F1270" i="11" a="1"/>
  <c r="E1270" i="11" a="1"/>
  <c r="E1270" i="11" s="1"/>
  <c r="D1270" i="11"/>
  <c r="D1270" i="11" a="1"/>
  <c r="H1269" i="11" a="1"/>
  <c r="H1269" i="11" s="1"/>
  <c r="G1269" i="11" a="1"/>
  <c r="G1269" i="11" s="1"/>
  <c r="F1269" i="11" a="1"/>
  <c r="F1269" i="11" s="1"/>
  <c r="E1269" i="11"/>
  <c r="E1269" i="11" a="1"/>
  <c r="D1269" i="11" a="1"/>
  <c r="D1269" i="11" s="1"/>
  <c r="H1268" i="11" a="1"/>
  <c r="H1268" i="11" s="1"/>
  <c r="G1268" i="11"/>
  <c r="G1268" i="11" a="1"/>
  <c r="F1268" i="11" a="1"/>
  <c r="F1268" i="11" s="1"/>
  <c r="E1268" i="11" a="1"/>
  <c r="E1268" i="11" s="1"/>
  <c r="D1268" i="11" a="1"/>
  <c r="D1268" i="11" s="1"/>
  <c r="H1267" i="11" a="1"/>
  <c r="H1267" i="11" s="1"/>
  <c r="G1267" i="11" a="1"/>
  <c r="G1267" i="11" s="1"/>
  <c r="F1267" i="11" a="1"/>
  <c r="F1267" i="11" s="1"/>
  <c r="E1267" i="11"/>
  <c r="E1267" i="11" a="1"/>
  <c r="D1267" i="11" a="1"/>
  <c r="D1267" i="11" s="1"/>
  <c r="H1266" i="11" a="1"/>
  <c r="H1266" i="11" s="1"/>
  <c r="G1266" i="11"/>
  <c r="G1266" i="11" a="1"/>
  <c r="F1266" i="11" a="1"/>
  <c r="F1266" i="11" s="1"/>
  <c r="E1266" i="11" a="1"/>
  <c r="E1266" i="11" s="1"/>
  <c r="D1266" i="11"/>
  <c r="D1266" i="11" a="1"/>
  <c r="H1265" i="11" a="1"/>
  <c r="H1265" i="11" s="1"/>
  <c r="G1265" i="11" a="1"/>
  <c r="G1265" i="11" s="1"/>
  <c r="F1265" i="11" a="1"/>
  <c r="F1265" i="11" s="1"/>
  <c r="E1265" i="11"/>
  <c r="E1265" i="11" a="1"/>
  <c r="D1265" i="11" a="1"/>
  <c r="D1265" i="11" s="1"/>
  <c r="H1264" i="11" a="1"/>
  <c r="H1264" i="11" s="1"/>
  <c r="G1264" i="11" a="1"/>
  <c r="G1264" i="11" s="1"/>
  <c r="F1264" i="11" a="1"/>
  <c r="F1264" i="11" s="1"/>
  <c r="E1264" i="11" a="1"/>
  <c r="E1264" i="11" s="1"/>
  <c r="D1264" i="11"/>
  <c r="D1264" i="11" a="1"/>
  <c r="H1263" i="11" a="1"/>
  <c r="H1263" i="11" s="1"/>
  <c r="G1263" i="11" a="1"/>
  <c r="G1263" i="11" s="1"/>
  <c r="F1263" i="11" a="1"/>
  <c r="F1263" i="11" s="1"/>
  <c r="E1263" i="11"/>
  <c r="E1263" i="11" a="1"/>
  <c r="D1263" i="11" a="1"/>
  <c r="D1263" i="11" s="1"/>
  <c r="H1262" i="11" a="1"/>
  <c r="H1262" i="11" s="1"/>
  <c r="G1262" i="11" a="1"/>
  <c r="G1262" i="11" s="1"/>
  <c r="F1262" i="11" a="1"/>
  <c r="F1262" i="11" s="1"/>
  <c r="E1262" i="11" a="1"/>
  <c r="E1262" i="11" s="1"/>
  <c r="D1262" i="11"/>
  <c r="D1262" i="11" a="1"/>
  <c r="H1261" i="11" a="1"/>
  <c r="H1261" i="11" s="1"/>
  <c r="G1261" i="11" a="1"/>
  <c r="G1261" i="11" s="1"/>
  <c r="F1261" i="11"/>
  <c r="F1261" i="11" a="1"/>
  <c r="E1261" i="11" a="1"/>
  <c r="E1261" i="11" s="1"/>
  <c r="D1261" i="11" a="1"/>
  <c r="D1261" i="11" s="1"/>
  <c r="H1260" i="11" a="1"/>
  <c r="H1260" i="11" s="1"/>
  <c r="G1260" i="11"/>
  <c r="G1260" i="11" a="1"/>
  <c r="F1260" i="11" a="1"/>
  <c r="F1260" i="11" s="1"/>
  <c r="E1260" i="11" a="1"/>
  <c r="E1260" i="11" s="1"/>
  <c r="D1260" i="11" a="1"/>
  <c r="D1260" i="11" s="1"/>
  <c r="H1259" i="11" a="1"/>
  <c r="H1259" i="11" s="1"/>
  <c r="G1259" i="11" a="1"/>
  <c r="G1259" i="11" s="1"/>
  <c r="F1259" i="11"/>
  <c r="F1259" i="11" a="1"/>
  <c r="E1259" i="11" a="1"/>
  <c r="E1259" i="11" s="1"/>
  <c r="D1259" i="11" a="1"/>
  <c r="D1259" i="11" s="1"/>
  <c r="H1258" i="11" a="1"/>
  <c r="H1258" i="11" s="1"/>
  <c r="G1258" i="11" a="1"/>
  <c r="G1258" i="11" s="1"/>
  <c r="F1258" i="11" a="1"/>
  <c r="F1258" i="11" s="1"/>
  <c r="E1258" i="11" a="1"/>
  <c r="E1258" i="11" s="1"/>
  <c r="D1258" i="11"/>
  <c r="D1258" i="11" a="1"/>
  <c r="H1257" i="11" a="1"/>
  <c r="H1257" i="11" s="1"/>
  <c r="G1257" i="11" a="1"/>
  <c r="G1257" i="11" s="1"/>
  <c r="F1257" i="11" a="1"/>
  <c r="F1257" i="11" s="1"/>
  <c r="E1257" i="11" a="1"/>
  <c r="E1257" i="11" s="1"/>
  <c r="D1257" i="11" a="1"/>
  <c r="D1257" i="11" s="1"/>
  <c r="H1256" i="11" a="1"/>
  <c r="H1256" i="11" s="1"/>
  <c r="G1256" i="11" a="1"/>
  <c r="G1256" i="11" s="1"/>
  <c r="F1256" i="11" a="1"/>
  <c r="F1256" i="11" s="1"/>
  <c r="E1256" i="11" a="1"/>
  <c r="E1256" i="11" s="1"/>
  <c r="D1256" i="11" a="1"/>
  <c r="D1256" i="11" s="1"/>
  <c r="H1255" i="11" a="1"/>
  <c r="H1255" i="11" s="1"/>
  <c r="G1255" i="11" a="1"/>
  <c r="G1255" i="11" s="1"/>
  <c r="F1255" i="11"/>
  <c r="F1255" i="11" a="1"/>
  <c r="E1255" i="11" a="1"/>
  <c r="E1255" i="11" s="1"/>
  <c r="D1255" i="11" a="1"/>
  <c r="D1255" i="11" s="1"/>
  <c r="H1254" i="11" a="1"/>
  <c r="H1254" i="11" s="1"/>
  <c r="G1254" i="11" a="1"/>
  <c r="G1254" i="11" s="1"/>
  <c r="F1254" i="11"/>
  <c r="F1254" i="11" a="1"/>
  <c r="E1254" i="11"/>
  <c r="E1254" i="11" a="1"/>
  <c r="D1254" i="11" a="1"/>
  <c r="D1254" i="11" s="1"/>
  <c r="H1253" i="11" a="1"/>
  <c r="H1253" i="11" s="1"/>
  <c r="G1253" i="11" a="1"/>
  <c r="G1253" i="11" s="1"/>
  <c r="F1253" i="11" a="1"/>
  <c r="F1253" i="11" s="1"/>
  <c r="E1253" i="11" a="1"/>
  <c r="E1253" i="11" s="1"/>
  <c r="D1253" i="11" a="1"/>
  <c r="D1253" i="11" s="1"/>
  <c r="H1252" i="11" a="1"/>
  <c r="H1252" i="11" s="1"/>
  <c r="G1252" i="11" a="1"/>
  <c r="G1252" i="11" s="1"/>
  <c r="F1252" i="11" a="1"/>
  <c r="F1252" i="11" s="1"/>
  <c r="E1252" i="11"/>
  <c r="E1252" i="11" a="1"/>
  <c r="D1252" i="11" a="1"/>
  <c r="D1252" i="11" s="1"/>
  <c r="H1251" i="11" a="1"/>
  <c r="H1251" i="11" s="1"/>
  <c r="G1251" i="11"/>
  <c r="G1251" i="11" a="1"/>
  <c r="F1251" i="11" a="1"/>
  <c r="F1251" i="11" s="1"/>
  <c r="E1251" i="11" a="1"/>
  <c r="E1251" i="11" s="1"/>
  <c r="D1251" i="11" a="1"/>
  <c r="D1251" i="11" s="1"/>
  <c r="H1250" i="11" a="1"/>
  <c r="H1250" i="11" s="1"/>
  <c r="G1250" i="11"/>
  <c r="G1250" i="11" a="1"/>
  <c r="F1250" i="11"/>
  <c r="F1250" i="11" a="1"/>
  <c r="E1250" i="11" a="1"/>
  <c r="E1250" i="11" s="1"/>
  <c r="D1250" i="11" a="1"/>
  <c r="D1250" i="11" s="1"/>
  <c r="H1249" i="11" a="1"/>
  <c r="H1249" i="11" s="1"/>
  <c r="G1249" i="11"/>
  <c r="G1249" i="11" a="1"/>
  <c r="F1249" i="11" a="1"/>
  <c r="F1249" i="11" s="1"/>
  <c r="E1249" i="11" a="1"/>
  <c r="E1249" i="11" s="1"/>
  <c r="D1249" i="11" a="1"/>
  <c r="D1249" i="11" s="1"/>
  <c r="H1248" i="11" a="1"/>
  <c r="H1248" i="11" s="1"/>
  <c r="G1248" i="11" a="1"/>
  <c r="G1248" i="11" s="1"/>
  <c r="F1248" i="11" a="1"/>
  <c r="F1248" i="11" s="1"/>
  <c r="E1248" i="11" a="1"/>
  <c r="E1248" i="11" s="1"/>
  <c r="D1248" i="11"/>
  <c r="D1248" i="11" a="1"/>
  <c r="H1247" i="11" a="1"/>
  <c r="H1247" i="11" s="1"/>
  <c r="G1247" i="11"/>
  <c r="G1247" i="11" a="1"/>
  <c r="F1247" i="11" a="1"/>
  <c r="F1247" i="11" s="1"/>
  <c r="E1247" i="11" a="1"/>
  <c r="E1247" i="11" s="1"/>
  <c r="D1247" i="11"/>
  <c r="D1247" i="11" a="1"/>
  <c r="H1246" i="11" a="1"/>
  <c r="H1246" i="11" s="1"/>
  <c r="G1246" i="11" a="1"/>
  <c r="G1246" i="11" s="1"/>
  <c r="F1246" i="11" a="1"/>
  <c r="F1246" i="11" s="1"/>
  <c r="E1246" i="11"/>
  <c r="E1246" i="11" a="1"/>
  <c r="D1246" i="11" a="1"/>
  <c r="D1246" i="11" s="1"/>
  <c r="H1245" i="11" a="1"/>
  <c r="H1245" i="11" s="1"/>
  <c r="G1245" i="11" a="1"/>
  <c r="G1245" i="11" s="1"/>
  <c r="F1245" i="11" a="1"/>
  <c r="F1245" i="11" s="1"/>
  <c r="E1245" i="11" a="1"/>
  <c r="E1245" i="11" s="1"/>
  <c r="D1245" i="11"/>
  <c r="D1245" i="11" a="1"/>
  <c r="H1244" i="11" a="1"/>
  <c r="H1244" i="11" s="1"/>
  <c r="G1244" i="11" a="1"/>
  <c r="G1244" i="11" s="1"/>
  <c r="F1244" i="11"/>
  <c r="F1244" i="11" a="1"/>
  <c r="E1244" i="11" a="1"/>
  <c r="E1244" i="11" s="1"/>
  <c r="D1244" i="11" a="1"/>
  <c r="D1244" i="11" s="1"/>
  <c r="H1243" i="11" a="1"/>
  <c r="H1243" i="11" s="1"/>
  <c r="G1243" i="11"/>
  <c r="G1243" i="11" a="1"/>
  <c r="F1243" i="11" a="1"/>
  <c r="F1243" i="11" s="1"/>
  <c r="E1243" i="11" a="1"/>
  <c r="E1243" i="11" s="1"/>
  <c r="D1243" i="11" a="1"/>
  <c r="D1243" i="11" s="1"/>
  <c r="H1242" i="11" a="1"/>
  <c r="H1242" i="11" s="1"/>
  <c r="G1242" i="11"/>
  <c r="G1242" i="11" a="1"/>
  <c r="F1242" i="11"/>
  <c r="F1242" i="11" a="1"/>
  <c r="E1242" i="11" a="1"/>
  <c r="E1242" i="11" s="1"/>
  <c r="D1242" i="11" a="1"/>
  <c r="D1242" i="11" s="1"/>
  <c r="H1241" i="11" a="1"/>
  <c r="H1241" i="11" s="1"/>
  <c r="G1241" i="11" a="1"/>
  <c r="G1241" i="11" s="1"/>
  <c r="F1241" i="11" a="1"/>
  <c r="F1241" i="11" s="1"/>
  <c r="E1241" i="11" a="1"/>
  <c r="E1241" i="11" s="1"/>
  <c r="D1241" i="11"/>
  <c r="D1241" i="11" a="1"/>
  <c r="H1240" i="11" a="1"/>
  <c r="H1240" i="11" s="1"/>
  <c r="G1240" i="11" a="1"/>
  <c r="G1240" i="11" s="1"/>
  <c r="F1240" i="11"/>
  <c r="F1240" i="11" a="1"/>
  <c r="E1240" i="11" a="1"/>
  <c r="E1240" i="11" s="1"/>
  <c r="D1240" i="11" a="1"/>
  <c r="D1240" i="11" s="1"/>
  <c r="H1239" i="11" a="1"/>
  <c r="H1239" i="11" s="1"/>
  <c r="G1239" i="11" a="1"/>
  <c r="G1239" i="11" s="1"/>
  <c r="F1239" i="11" a="1"/>
  <c r="F1239" i="11" s="1"/>
  <c r="E1239" i="11" a="1"/>
  <c r="E1239" i="11" s="1"/>
  <c r="D1239" i="11" a="1"/>
  <c r="D1239" i="11" s="1"/>
  <c r="H1238" i="11" a="1"/>
  <c r="H1238" i="11" s="1"/>
  <c r="G1238" i="11" a="1"/>
  <c r="G1238" i="11" s="1"/>
  <c r="F1238" i="11"/>
  <c r="F1238" i="11" a="1"/>
  <c r="E1238" i="11" a="1"/>
  <c r="E1238" i="11" s="1"/>
  <c r="D1238" i="11" a="1"/>
  <c r="D1238" i="11" s="1"/>
  <c r="H1237" i="11" a="1"/>
  <c r="H1237" i="11" s="1"/>
  <c r="G1237" i="11" a="1"/>
  <c r="G1237" i="11" s="1"/>
  <c r="F1237" i="11" a="1"/>
  <c r="F1237" i="11" s="1"/>
  <c r="E1237" i="11"/>
  <c r="E1237" i="11" a="1"/>
  <c r="D1237" i="11" a="1"/>
  <c r="D1237" i="11" s="1"/>
  <c r="H1236" i="11" a="1"/>
  <c r="H1236" i="11" s="1"/>
  <c r="G1236" i="11" a="1"/>
  <c r="G1236" i="11" s="1"/>
  <c r="F1236" i="11" a="1"/>
  <c r="F1236" i="11" s="1"/>
  <c r="E1236" i="11" a="1"/>
  <c r="E1236" i="11" s="1"/>
  <c r="D1236" i="11" a="1"/>
  <c r="D1236" i="11" s="1"/>
  <c r="H1235" i="11" a="1"/>
  <c r="H1235" i="11" s="1"/>
  <c r="G1235" i="11" a="1"/>
  <c r="G1235" i="11" s="1"/>
  <c r="F1235" i="11" a="1"/>
  <c r="F1235" i="11" s="1"/>
  <c r="E1235" i="11"/>
  <c r="E1235" i="11" a="1"/>
  <c r="D1235" i="11" a="1"/>
  <c r="D1235" i="11" s="1"/>
  <c r="H1234" i="11" a="1"/>
  <c r="H1234" i="11" s="1"/>
  <c r="G1234" i="11" a="1"/>
  <c r="G1234" i="11" s="1"/>
  <c r="F1234" i="11"/>
  <c r="F1234" i="11" a="1"/>
  <c r="E1234" i="11" a="1"/>
  <c r="E1234" i="11" s="1"/>
  <c r="D1234" i="11" a="1"/>
  <c r="D1234" i="11" s="1"/>
  <c r="H1233" i="11" a="1"/>
  <c r="H1233" i="11" s="1"/>
  <c r="G1233" i="11"/>
  <c r="G1233" i="11" a="1"/>
  <c r="F1233" i="11" a="1"/>
  <c r="F1233" i="11" s="1"/>
  <c r="E1233" i="11"/>
  <c r="E1233" i="11" a="1"/>
  <c r="D1233" i="11" a="1"/>
  <c r="D1233" i="11" s="1"/>
  <c r="H1232" i="11" a="1"/>
  <c r="H1232" i="11" s="1"/>
  <c r="G1232" i="11"/>
  <c r="G1232" i="11" a="1"/>
  <c r="F1232" i="11" a="1"/>
  <c r="F1232" i="11" s="1"/>
  <c r="E1232" i="11" a="1"/>
  <c r="E1232" i="11" s="1"/>
  <c r="D1232" i="11" a="1"/>
  <c r="D1232" i="11" s="1"/>
  <c r="H1231" i="11" a="1"/>
  <c r="H1231" i="11" s="1"/>
  <c r="G1231" i="11" a="1"/>
  <c r="G1231" i="11" s="1"/>
  <c r="F1231" i="11" a="1"/>
  <c r="F1231" i="11" s="1"/>
  <c r="E1231" i="11" a="1"/>
  <c r="E1231" i="11" s="1"/>
  <c r="D1231" i="11" a="1"/>
  <c r="D1231" i="11" s="1"/>
  <c r="H1230" i="11" a="1"/>
  <c r="H1230" i="11" s="1"/>
  <c r="G1230" i="11"/>
  <c r="G1230" i="11" a="1"/>
  <c r="F1230" i="11" a="1"/>
  <c r="F1230" i="11" s="1"/>
  <c r="E1230" i="11" a="1"/>
  <c r="E1230" i="11" s="1"/>
  <c r="D1230" i="11"/>
  <c r="D1230" i="11" a="1"/>
  <c r="H1229" i="11" a="1"/>
  <c r="H1229" i="11" s="1"/>
  <c r="G1229" i="11"/>
  <c r="G1229" i="11" a="1"/>
  <c r="F1229" i="11"/>
  <c r="F1229" i="11" a="1"/>
  <c r="E1229" i="11"/>
  <c r="E1229" i="11" a="1"/>
  <c r="D1229" i="11" a="1"/>
  <c r="D1229" i="11" s="1"/>
  <c r="H1228" i="11" a="1"/>
  <c r="H1228" i="11" s="1"/>
  <c r="G1228" i="11" a="1"/>
  <c r="G1228" i="11" s="1"/>
  <c r="F1228" i="11" a="1"/>
  <c r="F1228" i="11" s="1"/>
  <c r="E1228" i="11"/>
  <c r="E1228" i="11" a="1"/>
  <c r="D1228" i="11"/>
  <c r="D1228" i="11" a="1"/>
  <c r="H1227" i="11" a="1"/>
  <c r="H1227" i="11" s="1"/>
  <c r="G1227" i="11" a="1"/>
  <c r="G1227" i="11" s="1"/>
  <c r="F1227" i="11" a="1"/>
  <c r="F1227" i="11" s="1"/>
  <c r="E1227" i="11" a="1"/>
  <c r="E1227" i="11" s="1"/>
  <c r="D1227" i="11" a="1"/>
  <c r="D1227" i="11" s="1"/>
  <c r="H1226" i="11" a="1"/>
  <c r="H1226" i="11" s="1"/>
  <c r="G1226" i="11"/>
  <c r="G1226" i="11" a="1"/>
  <c r="F1226" i="11" a="1"/>
  <c r="F1226" i="11" s="1"/>
  <c r="E1226" i="11" a="1"/>
  <c r="E1226" i="11" s="1"/>
  <c r="D1226" i="11"/>
  <c r="D1226" i="11" a="1"/>
  <c r="H1225" i="11" a="1"/>
  <c r="H1225" i="11" s="1"/>
  <c r="G1225" i="11"/>
  <c r="G1225" i="11" a="1"/>
  <c r="F1225" i="11" a="1"/>
  <c r="F1225" i="11" s="1"/>
  <c r="E1225" i="11" a="1"/>
  <c r="E1225" i="11" s="1"/>
  <c r="D1225" i="11" a="1"/>
  <c r="D1225" i="11" s="1"/>
  <c r="H1224" i="11" a="1"/>
  <c r="H1224" i="11" s="1"/>
  <c r="G1224" i="11" a="1"/>
  <c r="G1224" i="11" s="1"/>
  <c r="F1224" i="11" a="1"/>
  <c r="F1224" i="11" s="1"/>
  <c r="E1224" i="11" a="1"/>
  <c r="E1224" i="11" s="1"/>
  <c r="D1224" i="11"/>
  <c r="D1224" i="11" a="1"/>
  <c r="H1223" i="11" a="1"/>
  <c r="H1223" i="11" s="1"/>
  <c r="G1223" i="11" a="1"/>
  <c r="G1223" i="11" s="1"/>
  <c r="F1223" i="11"/>
  <c r="F1223" i="11" a="1"/>
  <c r="E1223" i="11" a="1"/>
  <c r="E1223" i="11" s="1"/>
  <c r="D1223" i="11" a="1"/>
  <c r="D1223" i="11" s="1"/>
  <c r="H1222" i="11" a="1"/>
  <c r="H1222" i="11" s="1"/>
  <c r="G1222" i="11" a="1"/>
  <c r="G1222" i="11" s="1"/>
  <c r="F1222" i="11" a="1"/>
  <c r="F1222" i="11" s="1"/>
  <c r="E1222" i="11" a="1"/>
  <c r="E1222" i="11" s="1"/>
  <c r="D1222" i="11" a="1"/>
  <c r="D1222" i="11" s="1"/>
  <c r="H1221" i="11" a="1"/>
  <c r="H1221" i="11" s="1"/>
  <c r="G1221" i="11"/>
  <c r="G1221" i="11" a="1"/>
  <c r="F1221" i="11" a="1"/>
  <c r="F1221" i="11" s="1"/>
  <c r="E1221" i="11" a="1"/>
  <c r="E1221" i="11" s="1"/>
  <c r="D1221" i="11" a="1"/>
  <c r="D1221" i="11" s="1"/>
  <c r="H1220" i="11" a="1"/>
  <c r="H1220" i="11" s="1"/>
  <c r="G1220" i="11" a="1"/>
  <c r="G1220" i="11" s="1"/>
  <c r="F1220" i="11" a="1"/>
  <c r="F1220" i="11" s="1"/>
  <c r="E1220" i="11" a="1"/>
  <c r="E1220" i="11" s="1"/>
  <c r="D1220" i="11"/>
  <c r="D1220" i="11" a="1"/>
  <c r="H1219" i="11" a="1"/>
  <c r="H1219" i="11" s="1"/>
  <c r="G1219" i="11" a="1"/>
  <c r="G1219" i="11" s="1"/>
  <c r="F1219" i="11" a="1"/>
  <c r="F1219" i="11" s="1"/>
  <c r="E1219" i="11" a="1"/>
  <c r="E1219" i="11" s="1"/>
  <c r="D1219" i="11" a="1"/>
  <c r="D1219" i="11" s="1"/>
  <c r="H1218" i="11" a="1"/>
  <c r="H1218" i="11" s="1"/>
  <c r="G1218" i="11" a="1"/>
  <c r="G1218" i="11" s="1"/>
  <c r="F1218" i="11" a="1"/>
  <c r="F1218" i="11" s="1"/>
  <c r="E1218" i="11"/>
  <c r="E1218" i="11" a="1"/>
  <c r="D1218" i="11" a="1"/>
  <c r="D1218" i="11" s="1"/>
  <c r="H1217" i="11" a="1"/>
  <c r="H1217" i="11" s="1"/>
  <c r="G1217" i="11" a="1"/>
  <c r="G1217" i="11" s="1"/>
  <c r="F1217" i="11"/>
  <c r="F1217" i="11" a="1"/>
  <c r="E1217" i="11" a="1"/>
  <c r="E1217" i="11" s="1"/>
  <c r="D1217" i="11" a="1"/>
  <c r="D1217" i="11" s="1"/>
  <c r="H1216" i="11" a="1"/>
  <c r="H1216" i="11" s="1"/>
  <c r="G1216" i="11" a="1"/>
  <c r="G1216" i="11" s="1"/>
  <c r="F1216" i="11" a="1"/>
  <c r="F1216" i="11" s="1"/>
  <c r="E1216" i="11" a="1"/>
  <c r="E1216" i="11" s="1"/>
  <c r="D1216" i="11" a="1"/>
  <c r="D1216" i="11" s="1"/>
  <c r="H1215" i="11" a="1"/>
  <c r="H1215" i="11" s="1"/>
  <c r="G1215" i="11"/>
  <c r="G1215" i="11" a="1"/>
  <c r="F1215" i="11" a="1"/>
  <c r="F1215" i="11" s="1"/>
  <c r="E1215" i="11" a="1"/>
  <c r="E1215" i="11" s="1"/>
  <c r="D1215" i="11"/>
  <c r="D1215" i="11" a="1"/>
  <c r="H1214" i="11" a="1"/>
  <c r="H1214" i="11" s="1"/>
  <c r="G1214" i="11" a="1"/>
  <c r="G1214" i="11" s="1"/>
  <c r="F1214" i="11" a="1"/>
  <c r="F1214" i="11" s="1"/>
  <c r="E1214" i="11" a="1"/>
  <c r="E1214" i="11" s="1"/>
  <c r="D1214" i="11" a="1"/>
  <c r="D1214" i="11" s="1"/>
  <c r="H1213" i="11" a="1"/>
  <c r="H1213" i="11" s="1"/>
  <c r="G1213" i="11" a="1"/>
  <c r="G1213" i="11" s="1"/>
  <c r="F1213" i="11" a="1"/>
  <c r="F1213" i="11" s="1"/>
  <c r="E1213" i="11" a="1"/>
  <c r="E1213" i="11" s="1"/>
  <c r="D1213" i="11" a="1"/>
  <c r="D1213" i="11" s="1"/>
  <c r="H1212" i="11" a="1"/>
  <c r="H1212" i="11" s="1"/>
  <c r="G1212" i="11" a="1"/>
  <c r="G1212" i="11" s="1"/>
  <c r="F1212" i="11" a="1"/>
  <c r="F1212" i="11" s="1"/>
  <c r="E1212" i="11"/>
  <c r="E1212" i="11" a="1"/>
  <c r="D1212" i="11" a="1"/>
  <c r="D1212" i="11" s="1"/>
  <c r="H1211" i="11" a="1"/>
  <c r="H1211" i="11" s="1"/>
  <c r="G1211" i="11"/>
  <c r="G1211" i="11" a="1"/>
  <c r="F1211" i="11" a="1"/>
  <c r="F1211" i="11" s="1"/>
  <c r="E1211" i="11" a="1"/>
  <c r="E1211" i="11" s="1"/>
  <c r="D1211" i="11" a="1"/>
  <c r="D1211" i="11" s="1"/>
  <c r="H1210" i="11" a="1"/>
  <c r="H1210" i="11" s="1"/>
  <c r="G1210" i="11" a="1"/>
  <c r="G1210" i="11" s="1"/>
  <c r="F1210" i="11" a="1"/>
  <c r="F1210" i="11" s="1"/>
  <c r="E1210" i="11"/>
  <c r="E1210" i="11" a="1"/>
  <c r="D1210" i="11" a="1"/>
  <c r="D1210" i="11" s="1"/>
  <c r="H1209" i="11" a="1"/>
  <c r="H1209" i="11" s="1"/>
  <c r="G1209" i="11"/>
  <c r="G1209" i="11" a="1"/>
  <c r="F1209" i="11" a="1"/>
  <c r="F1209" i="11" s="1"/>
  <c r="E1209" i="11" a="1"/>
  <c r="E1209" i="11" s="1"/>
  <c r="D1209" i="11"/>
  <c r="D1209" i="11" a="1"/>
  <c r="H1208" i="11" a="1"/>
  <c r="H1208" i="11" s="1"/>
  <c r="G1208" i="11"/>
  <c r="G1208" i="11" a="1"/>
  <c r="F1208" i="11"/>
  <c r="F1208" i="11" a="1"/>
  <c r="E1208" i="11" a="1"/>
  <c r="E1208" i="11" s="1"/>
  <c r="D1208" i="11" a="1"/>
  <c r="D1208" i="11" s="1"/>
  <c r="H1207" i="11" a="1"/>
  <c r="H1207" i="11" s="1"/>
  <c r="G1207" i="11"/>
  <c r="G1207" i="11" a="1"/>
  <c r="F1207" i="11"/>
  <c r="F1207" i="11" a="1"/>
  <c r="E1207" i="11" a="1"/>
  <c r="E1207" i="11" s="1"/>
  <c r="D1207" i="11" a="1"/>
  <c r="D1207" i="11" s="1"/>
  <c r="H1206" i="11" a="1"/>
  <c r="H1206" i="11" s="1"/>
  <c r="G1206" i="11" a="1"/>
  <c r="G1206" i="11" s="1"/>
  <c r="F1206" i="11"/>
  <c r="F1206" i="11" a="1"/>
  <c r="E1206" i="11" a="1"/>
  <c r="E1206" i="11" s="1"/>
  <c r="D1206" i="11" a="1"/>
  <c r="D1206" i="11" s="1"/>
  <c r="H1205" i="11" a="1"/>
  <c r="H1205" i="11" s="1"/>
  <c r="G1205" i="11"/>
  <c r="G1205" i="11" a="1"/>
  <c r="F1205" i="11" a="1"/>
  <c r="F1205" i="11" s="1"/>
  <c r="E1205" i="11" a="1"/>
  <c r="E1205" i="11" s="1"/>
  <c r="D1205" i="11"/>
  <c r="D1205" i="11" a="1"/>
  <c r="H1204" i="11" a="1"/>
  <c r="H1204" i="11" s="1"/>
  <c r="G1204" i="11" a="1"/>
  <c r="G1204" i="11" s="1"/>
  <c r="F1204" i="11" a="1"/>
  <c r="F1204" i="11" s="1"/>
  <c r="E1204" i="11" a="1"/>
  <c r="E1204" i="11" s="1"/>
  <c r="D1204" i="11" a="1"/>
  <c r="D1204" i="11" s="1"/>
  <c r="H1203" i="11" a="1"/>
  <c r="H1203" i="11" s="1"/>
  <c r="G1203" i="11" a="1"/>
  <c r="G1203" i="11" s="1"/>
  <c r="F1203" i="11" a="1"/>
  <c r="F1203" i="11" s="1"/>
  <c r="E1203" i="11" a="1"/>
  <c r="E1203" i="11" s="1"/>
  <c r="D1203" i="11"/>
  <c r="D1203" i="11" a="1"/>
  <c r="H1202" i="11" a="1"/>
  <c r="H1202" i="11" s="1"/>
  <c r="G1202" i="11"/>
  <c r="G1202" i="11" a="1"/>
  <c r="F1202" i="11"/>
  <c r="F1202" i="11" a="1"/>
  <c r="E1202" i="11" a="1"/>
  <c r="E1202" i="11" s="1"/>
  <c r="D1202" i="11"/>
  <c r="D1202" i="11" a="1"/>
  <c r="H1201" i="11" a="1"/>
  <c r="H1201" i="11" s="1"/>
  <c r="G1201" i="11" a="1"/>
  <c r="G1201" i="11" s="1"/>
  <c r="F1201" i="11" a="1"/>
  <c r="F1201" i="11" s="1"/>
  <c r="E1201" i="11"/>
  <c r="E1201" i="11" a="1"/>
  <c r="D1201" i="11" a="1"/>
  <c r="D1201" i="11" s="1"/>
  <c r="H1200" i="11" a="1"/>
  <c r="H1200" i="11" s="1"/>
  <c r="G1200" i="11" a="1"/>
  <c r="G1200" i="11" s="1"/>
  <c r="F1200" i="11"/>
  <c r="F1200" i="11" a="1"/>
  <c r="E1200" i="11" a="1"/>
  <c r="E1200" i="11" s="1"/>
  <c r="D1200" i="11" a="1"/>
  <c r="D1200" i="11" s="1"/>
  <c r="H1199" i="11" a="1"/>
  <c r="H1199" i="11" s="1"/>
  <c r="G1199" i="11" a="1"/>
  <c r="G1199" i="11" s="1"/>
  <c r="F1199" i="11" a="1"/>
  <c r="F1199" i="11" s="1"/>
  <c r="E1199" i="11"/>
  <c r="E1199" i="11" a="1"/>
  <c r="D1199" i="11" a="1"/>
  <c r="D1199" i="11" s="1"/>
  <c r="H1198" i="11" a="1"/>
  <c r="H1198" i="11" s="1"/>
  <c r="G1198" i="11" a="1"/>
  <c r="G1198" i="11" s="1"/>
  <c r="F1198" i="11" a="1"/>
  <c r="F1198" i="11" s="1"/>
  <c r="E1198" i="11"/>
  <c r="E1198" i="11" a="1"/>
  <c r="D1198" i="11"/>
  <c r="D1198" i="11" a="1"/>
  <c r="H1197" i="11" a="1"/>
  <c r="H1197" i="11" s="1"/>
  <c r="G1197" i="11" a="1"/>
  <c r="G1197" i="11" s="1"/>
  <c r="F1197" i="11" a="1"/>
  <c r="F1197" i="11" s="1"/>
  <c r="E1197" i="11"/>
  <c r="E1197" i="11" a="1"/>
  <c r="D1197" i="11" a="1"/>
  <c r="D1197" i="11" s="1"/>
  <c r="H1196" i="11" a="1"/>
  <c r="H1196" i="11" s="1"/>
  <c r="G1196" i="11" a="1"/>
  <c r="G1196" i="11" s="1"/>
  <c r="F1196" i="11" a="1"/>
  <c r="F1196" i="11" s="1"/>
  <c r="E1196" i="11" a="1"/>
  <c r="E1196" i="11" s="1"/>
  <c r="D1196" i="11"/>
  <c r="D1196" i="11" a="1"/>
  <c r="H1195" i="11" a="1"/>
  <c r="H1195" i="11" s="1"/>
  <c r="G1195" i="11"/>
  <c r="G1195" i="11" a="1"/>
  <c r="F1195" i="11" a="1"/>
  <c r="F1195" i="11" s="1"/>
  <c r="E1195" i="11"/>
  <c r="E1195" i="11" a="1"/>
  <c r="D1195" i="11" a="1"/>
  <c r="D1195" i="11" s="1"/>
  <c r="H1194" i="11" a="1"/>
  <c r="H1194" i="11" s="1"/>
  <c r="G1194" i="11"/>
  <c r="G1194" i="11" a="1"/>
  <c r="F1194" i="11" a="1"/>
  <c r="F1194" i="11" s="1"/>
  <c r="E1194" i="11" a="1"/>
  <c r="E1194" i="11" s="1"/>
  <c r="D1194" i="11" a="1"/>
  <c r="D1194" i="11" s="1"/>
  <c r="H1193" i="11" a="1"/>
  <c r="H1193" i="11" s="1"/>
  <c r="G1193" i="11" a="1"/>
  <c r="G1193" i="11" s="1"/>
  <c r="F1193" i="11" a="1"/>
  <c r="F1193" i="11" s="1"/>
  <c r="E1193" i="11" a="1"/>
  <c r="E1193" i="11" s="1"/>
  <c r="D1193" i="11" a="1"/>
  <c r="D1193" i="11" s="1"/>
  <c r="H1192" i="11" a="1"/>
  <c r="H1192" i="11" s="1"/>
  <c r="G1192" i="11" a="1"/>
  <c r="G1192" i="11" s="1"/>
  <c r="F1192" i="11" a="1"/>
  <c r="F1192" i="11" s="1"/>
  <c r="E1192" i="11" a="1"/>
  <c r="E1192" i="11" s="1"/>
  <c r="D1192" i="11"/>
  <c r="D1192" i="11" a="1"/>
  <c r="H1191" i="11" a="1"/>
  <c r="H1191" i="11" s="1"/>
  <c r="G1191" i="11"/>
  <c r="G1191" i="11" a="1"/>
  <c r="F1191" i="11"/>
  <c r="F1191" i="11" a="1"/>
  <c r="E1191" i="11" a="1"/>
  <c r="E1191" i="11" s="1"/>
  <c r="D1191" i="11" a="1"/>
  <c r="D1191" i="11" s="1"/>
  <c r="H1190" i="11" a="1"/>
  <c r="H1190" i="11" s="1"/>
  <c r="G1190" i="11" a="1"/>
  <c r="G1190" i="11" s="1"/>
  <c r="F1190" i="11" a="1"/>
  <c r="F1190" i="11" s="1"/>
  <c r="E1190" i="11"/>
  <c r="E1190" i="11" a="1"/>
  <c r="D1190" i="11" a="1"/>
  <c r="D1190" i="11" s="1"/>
  <c r="H1189" i="11" a="1"/>
  <c r="H1189" i="11" s="1"/>
  <c r="G1189" i="11"/>
  <c r="G1189" i="11" a="1"/>
  <c r="F1189" i="11" a="1"/>
  <c r="F1189" i="11" s="1"/>
  <c r="E1189" i="11" a="1"/>
  <c r="E1189" i="11" s="1"/>
  <c r="D1189" i="11" a="1"/>
  <c r="D1189" i="11" s="1"/>
  <c r="H1188" i="11" a="1"/>
  <c r="H1188" i="11" s="1"/>
  <c r="G1188" i="11" a="1"/>
  <c r="G1188" i="11" s="1"/>
  <c r="F1188" i="11" a="1"/>
  <c r="F1188" i="11" s="1"/>
  <c r="E1188" i="11" a="1"/>
  <c r="E1188" i="11" s="1"/>
  <c r="D1188" i="11"/>
  <c r="D1188" i="11" a="1"/>
  <c r="H1187" i="11" a="1"/>
  <c r="H1187" i="11" s="1"/>
  <c r="G1187" i="11" a="1"/>
  <c r="G1187" i="11" s="1"/>
  <c r="F1187" i="11" a="1"/>
  <c r="F1187" i="11" s="1"/>
  <c r="E1187" i="11" a="1"/>
  <c r="E1187" i="11" s="1"/>
  <c r="D1187" i="11" a="1"/>
  <c r="D1187" i="11" s="1"/>
  <c r="H1186" i="11" a="1"/>
  <c r="H1186" i="11" s="1"/>
  <c r="G1186" i="11"/>
  <c r="G1186" i="11" a="1"/>
  <c r="F1186" i="11" a="1"/>
  <c r="F1186" i="11" s="1"/>
  <c r="E1186" i="11"/>
  <c r="E1186" i="11" a="1"/>
  <c r="D1186" i="11" a="1"/>
  <c r="D1186" i="11" s="1"/>
  <c r="H1185" i="11" a="1"/>
  <c r="H1185" i="11" s="1"/>
  <c r="G1185" i="11"/>
  <c r="G1185" i="11" a="1"/>
  <c r="F1185" i="11"/>
  <c r="F1185" i="11" a="1"/>
  <c r="E1185" i="11" a="1"/>
  <c r="E1185" i="11" s="1"/>
  <c r="D1185" i="11"/>
  <c r="D1185" i="11" a="1"/>
  <c r="H1184" i="11" a="1"/>
  <c r="H1184" i="11" s="1"/>
  <c r="G1184" i="11" a="1"/>
  <c r="G1184" i="11" s="1"/>
  <c r="F1184" i="11"/>
  <c r="F1184" i="11" a="1"/>
  <c r="E1184" i="11"/>
  <c r="E1184" i="11" a="1"/>
  <c r="D1184" i="11" a="1"/>
  <c r="D1184" i="11" s="1"/>
  <c r="H1183" i="11" a="1"/>
  <c r="H1183" i="11" s="1"/>
  <c r="G1183" i="11"/>
  <c r="G1183" i="11" a="1"/>
  <c r="F1183" i="11" a="1"/>
  <c r="F1183" i="11" s="1"/>
  <c r="E1183" i="11" a="1"/>
  <c r="E1183" i="11" s="1"/>
  <c r="D1183" i="11"/>
  <c r="D1183" i="11" a="1"/>
  <c r="H1182" i="11" a="1"/>
  <c r="H1182" i="11" s="1"/>
  <c r="G1182" i="11" a="1"/>
  <c r="G1182" i="11" s="1"/>
  <c r="F1182" i="11" a="1"/>
  <c r="F1182" i="11" s="1"/>
  <c r="E1182" i="11" a="1"/>
  <c r="E1182" i="11" s="1"/>
  <c r="D1182" i="11" a="1"/>
  <c r="D1182" i="11" s="1"/>
  <c r="H1181" i="11" a="1"/>
  <c r="H1181" i="11" s="1"/>
  <c r="G1181" i="11" a="1"/>
  <c r="G1181" i="11" s="1"/>
  <c r="F1181" i="11" a="1"/>
  <c r="F1181" i="11" s="1"/>
  <c r="E1181" i="11" a="1"/>
  <c r="E1181" i="11" s="1"/>
  <c r="D1181" i="11" a="1"/>
  <c r="D1181" i="11" s="1"/>
  <c r="H1180" i="11" a="1"/>
  <c r="H1180" i="11" s="1"/>
  <c r="G1180" i="11" a="1"/>
  <c r="G1180" i="11" s="1"/>
  <c r="F1180" i="11" a="1"/>
  <c r="F1180" i="11" s="1"/>
  <c r="E1180" i="11" a="1"/>
  <c r="E1180" i="11" s="1"/>
  <c r="D1180" i="11" a="1"/>
  <c r="D1180" i="11" s="1"/>
  <c r="H1179" i="11" a="1"/>
  <c r="H1179" i="11" s="1"/>
  <c r="G1179" i="11"/>
  <c r="G1179" i="11" a="1"/>
  <c r="F1179" i="11"/>
  <c r="F1179" i="11" a="1"/>
  <c r="E1179" i="11" a="1"/>
  <c r="E1179" i="11" s="1"/>
  <c r="D1179" i="11"/>
  <c r="D1179" i="11" a="1"/>
  <c r="H1178" i="11" a="1"/>
  <c r="H1178" i="11" s="1"/>
  <c r="G1178" i="11" a="1"/>
  <c r="G1178" i="11" s="1"/>
  <c r="F1178" i="11" a="1"/>
  <c r="F1178" i="11" s="1"/>
  <c r="E1178" i="11"/>
  <c r="E1178" i="11" a="1"/>
  <c r="D1178" i="11" a="1"/>
  <c r="D1178" i="11" s="1"/>
  <c r="H1177" i="11" a="1"/>
  <c r="H1177" i="11" s="1"/>
  <c r="G1177" i="11" a="1"/>
  <c r="G1177" i="11" s="1"/>
  <c r="F1177" i="11"/>
  <c r="F1177" i="11" a="1"/>
  <c r="E1177" i="11"/>
  <c r="E1177" i="11" a="1"/>
  <c r="D1177" i="11" a="1"/>
  <c r="D1177" i="11" s="1"/>
  <c r="H1176" i="11" a="1"/>
  <c r="H1176" i="11" s="1"/>
  <c r="G1176" i="11" a="1"/>
  <c r="G1176" i="11" s="1"/>
  <c r="F1176" i="11"/>
  <c r="F1176" i="11" a="1"/>
  <c r="E1176" i="11" a="1"/>
  <c r="E1176" i="11" s="1"/>
  <c r="D1176" i="11" a="1"/>
  <c r="D1176" i="11" s="1"/>
  <c r="H1175" i="11" a="1"/>
  <c r="H1175" i="11" s="1"/>
  <c r="G1175" i="11" a="1"/>
  <c r="G1175" i="11" s="1"/>
  <c r="F1175" i="11"/>
  <c r="F1175" i="11" a="1"/>
  <c r="E1175" i="11" a="1"/>
  <c r="E1175" i="11" s="1"/>
  <c r="D1175" i="11" a="1"/>
  <c r="D1175" i="11" s="1"/>
  <c r="H1174" i="11" a="1"/>
  <c r="H1174" i="11" s="1"/>
  <c r="G1174" i="11"/>
  <c r="G1174" i="11" a="1"/>
  <c r="F1174" i="11" a="1"/>
  <c r="F1174" i="11" s="1"/>
  <c r="E1174" i="11" a="1"/>
  <c r="E1174" i="11" s="1"/>
  <c r="D1174" i="11"/>
  <c r="D1174" i="11" a="1"/>
  <c r="H1173" i="11" a="1"/>
  <c r="H1173" i="11" s="1"/>
  <c r="G1173" i="11" a="1"/>
  <c r="G1173" i="11" s="1"/>
  <c r="F1173" i="11" a="1"/>
  <c r="F1173" i="11" s="1"/>
  <c r="E1173" i="11" a="1"/>
  <c r="E1173" i="11" s="1"/>
  <c r="D1173" i="11"/>
  <c r="D1173" i="11" a="1"/>
  <c r="H1172" i="11" a="1"/>
  <c r="H1172" i="11" s="1"/>
  <c r="G1172" i="11" a="1"/>
  <c r="G1172" i="11" s="1"/>
  <c r="F1172" i="11" a="1"/>
  <c r="F1172" i="11" s="1"/>
  <c r="E1172" i="11"/>
  <c r="E1172" i="11" a="1"/>
  <c r="D1172" i="11" a="1"/>
  <c r="D1172" i="11" s="1"/>
  <c r="H1171" i="11" a="1"/>
  <c r="H1171" i="11" s="1"/>
  <c r="G1171" i="11" a="1"/>
  <c r="G1171" i="11" s="1"/>
  <c r="F1171" i="11" a="1"/>
  <c r="F1171" i="11" s="1"/>
  <c r="E1171" i="11"/>
  <c r="E1171" i="11" a="1"/>
  <c r="D1171" i="11" a="1"/>
  <c r="D1171" i="11" s="1"/>
  <c r="H1170" i="11" a="1"/>
  <c r="H1170" i="11" s="1"/>
  <c r="G1170" i="11"/>
  <c r="G1170" i="11" a="1"/>
  <c r="F1170" i="11" a="1"/>
  <c r="F1170" i="11" s="1"/>
  <c r="E1170" i="11" a="1"/>
  <c r="E1170" i="11" s="1"/>
  <c r="D1170" i="11" a="1"/>
  <c r="D1170" i="11" s="1"/>
  <c r="H1169" i="11" a="1"/>
  <c r="H1169" i="11" s="1"/>
  <c r="G1169" i="11" a="1"/>
  <c r="G1169" i="11" s="1"/>
  <c r="F1169" i="11" a="1"/>
  <c r="F1169" i="11" s="1"/>
  <c r="E1169" i="11" a="1"/>
  <c r="E1169" i="11" s="1"/>
  <c r="D1169" i="11"/>
  <c r="D1169" i="11" a="1"/>
  <c r="H1168" i="11" a="1"/>
  <c r="H1168" i="11" s="1"/>
  <c r="G1168" i="11"/>
  <c r="G1168" i="11" a="1"/>
  <c r="F1168" i="11" a="1"/>
  <c r="F1168" i="11" s="1"/>
  <c r="E1168" i="11"/>
  <c r="E1168" i="11" a="1"/>
  <c r="D1168" i="11"/>
  <c r="D1168" i="11" a="1"/>
  <c r="H1167" i="11" a="1"/>
  <c r="H1167" i="11" s="1"/>
  <c r="G1167" i="11"/>
  <c r="G1167" i="11" a="1"/>
  <c r="F1167" i="11"/>
  <c r="F1167" i="11" a="1"/>
  <c r="E1167" i="11" a="1"/>
  <c r="E1167" i="11" s="1"/>
  <c r="D1167" i="11" a="1"/>
  <c r="D1167" i="11" s="1"/>
  <c r="H1166" i="11" a="1"/>
  <c r="H1166" i="11" s="1"/>
  <c r="G1166" i="11" a="1"/>
  <c r="G1166" i="11" s="1"/>
  <c r="F1166" i="11" a="1"/>
  <c r="F1166" i="11" s="1"/>
  <c r="E1166" i="11" a="1"/>
  <c r="E1166" i="11" s="1"/>
  <c r="D1166" i="11" a="1"/>
  <c r="D1166" i="11" s="1"/>
  <c r="H1165" i="11" a="1"/>
  <c r="H1165" i="11" s="1"/>
  <c r="G1165" i="11"/>
  <c r="G1165" i="11" a="1"/>
  <c r="F1165" i="11"/>
  <c r="F1165" i="11" a="1"/>
  <c r="E1165" i="11" a="1"/>
  <c r="E1165" i="11" s="1"/>
  <c r="D1165" i="11" a="1"/>
  <c r="D1165" i="11" s="1"/>
  <c r="H1164" i="11" a="1"/>
  <c r="H1164" i="11" s="1"/>
  <c r="G1164" i="11"/>
  <c r="G1164" i="11" a="1"/>
  <c r="F1164" i="11" a="1"/>
  <c r="F1164" i="11" s="1"/>
  <c r="E1164" i="11" a="1"/>
  <c r="E1164" i="11" s="1"/>
  <c r="D1164" i="11" a="1"/>
  <c r="D1164" i="11" s="1"/>
  <c r="H1163" i="11" a="1"/>
  <c r="H1163" i="11" s="1"/>
  <c r="G1163" i="11" a="1"/>
  <c r="G1163" i="11" s="1"/>
  <c r="F1163" i="11"/>
  <c r="F1163" i="11" a="1"/>
  <c r="E1163" i="11" a="1"/>
  <c r="E1163" i="11" s="1"/>
  <c r="D1163" i="11"/>
  <c r="D1163" i="11" a="1"/>
  <c r="H1162" i="11" a="1"/>
  <c r="H1162" i="11" s="1"/>
  <c r="G1162" i="11"/>
  <c r="G1162" i="11" a="1"/>
  <c r="F1162" i="11" a="1"/>
  <c r="F1162" i="11" s="1"/>
  <c r="E1162" i="11" a="1"/>
  <c r="E1162" i="11" s="1"/>
  <c r="D1162" i="11"/>
  <c r="D1162" i="11" a="1"/>
  <c r="H1161" i="11" a="1"/>
  <c r="H1161" i="11" s="1"/>
  <c r="G1161" i="11" a="1"/>
  <c r="G1161" i="11" s="1"/>
  <c r="F1161" i="11" a="1"/>
  <c r="F1161" i="11" s="1"/>
  <c r="E1161" i="11" a="1"/>
  <c r="E1161" i="11" s="1"/>
  <c r="D1161" i="11" a="1"/>
  <c r="D1161" i="11" s="1"/>
  <c r="H1160" i="11" a="1"/>
  <c r="H1160" i="11" s="1"/>
  <c r="G1160" i="11" a="1"/>
  <c r="G1160" i="11" s="1"/>
  <c r="F1160" i="11"/>
  <c r="F1160" i="11" a="1"/>
  <c r="E1160" i="11"/>
  <c r="E1160" i="11" a="1"/>
  <c r="D1160" i="11" a="1"/>
  <c r="D1160" i="11" s="1"/>
  <c r="H1159" i="11" a="1"/>
  <c r="H1159" i="11" s="1"/>
  <c r="G1159" i="11" a="1"/>
  <c r="G1159" i="11" s="1"/>
  <c r="F1159" i="11"/>
  <c r="F1159" i="11" a="1"/>
  <c r="E1159" i="11" a="1"/>
  <c r="E1159" i="11" s="1"/>
  <c r="D1159" i="11" a="1"/>
  <c r="D1159" i="11" s="1"/>
  <c r="H1158" i="11" a="1"/>
  <c r="H1158" i="11" s="1"/>
  <c r="G1158" i="11" a="1"/>
  <c r="G1158" i="11" s="1"/>
  <c r="F1158" i="11" a="1"/>
  <c r="F1158" i="11" s="1"/>
  <c r="E1158" i="11"/>
  <c r="E1158" i="11" a="1"/>
  <c r="D1158" i="11" a="1"/>
  <c r="D1158" i="11" s="1"/>
  <c r="H1157" i="11" a="1"/>
  <c r="H1157" i="11" s="1"/>
  <c r="G1157" i="11" a="1"/>
  <c r="G1157" i="11" s="1"/>
  <c r="F1157" i="11" a="1"/>
  <c r="F1157" i="11" s="1"/>
  <c r="E1157" i="11" a="1"/>
  <c r="E1157" i="11" s="1"/>
  <c r="D1157" i="11"/>
  <c r="D1157" i="11" a="1"/>
  <c r="H1156" i="11" a="1"/>
  <c r="H1156" i="11" s="1"/>
  <c r="G1156" i="11" a="1"/>
  <c r="G1156" i="11" s="1"/>
  <c r="F1156" i="11" a="1"/>
  <c r="F1156" i="11" s="1"/>
  <c r="E1156" i="11"/>
  <c r="E1156" i="11" a="1"/>
  <c r="D1156" i="11" a="1"/>
  <c r="D1156" i="11" s="1"/>
  <c r="H1155" i="11" a="1"/>
  <c r="H1155" i="11" s="1"/>
  <c r="G1155" i="11"/>
  <c r="G1155" i="11" a="1"/>
  <c r="F1155" i="11" a="1"/>
  <c r="F1155" i="11" s="1"/>
  <c r="E1155" i="11" a="1"/>
  <c r="E1155" i="11" s="1"/>
  <c r="D1155" i="11" a="1"/>
  <c r="D1155" i="11" s="1"/>
  <c r="H1154" i="11" a="1"/>
  <c r="H1154" i="11" s="1"/>
  <c r="G1154" i="11" a="1"/>
  <c r="G1154" i="11" s="1"/>
  <c r="F1154" i="11" a="1"/>
  <c r="F1154" i="11" s="1"/>
  <c r="E1154" i="11"/>
  <c r="E1154" i="11" a="1"/>
  <c r="D1154" i="11" a="1"/>
  <c r="D1154" i="11" s="1"/>
  <c r="H1153" i="11" a="1"/>
  <c r="H1153" i="11" s="1"/>
  <c r="G1153" i="11"/>
  <c r="G1153" i="11" a="1"/>
  <c r="F1153" i="11"/>
  <c r="F1153" i="11" a="1"/>
  <c r="E1153" i="11"/>
  <c r="E1153" i="11" a="1"/>
  <c r="D1153" i="11" a="1"/>
  <c r="D1153" i="11" s="1"/>
  <c r="H1152" i="11" a="1"/>
  <c r="H1152" i="11" s="1"/>
  <c r="G1152" i="11" a="1"/>
  <c r="G1152" i="11" s="1"/>
  <c r="F1152" i="11" a="1"/>
  <c r="F1152" i="11" s="1"/>
  <c r="E1152" i="11" a="1"/>
  <c r="E1152" i="11" s="1"/>
  <c r="D1152" i="11"/>
  <c r="D1152" i="11" a="1"/>
  <c r="H1151" i="11" a="1"/>
  <c r="H1151" i="11" s="1"/>
  <c r="G1151" i="11" a="1"/>
  <c r="G1151" i="11" s="1"/>
  <c r="F1151" i="11" a="1"/>
  <c r="F1151" i="11" s="1"/>
  <c r="E1151" i="11"/>
  <c r="E1151" i="11" a="1"/>
  <c r="D1151" i="11"/>
  <c r="D1151" i="11" a="1"/>
  <c r="H1150" i="11" a="1"/>
  <c r="H1150" i="11" s="1"/>
  <c r="G1150" i="11"/>
  <c r="G1150" i="11" a="1"/>
  <c r="F1150" i="11" a="1"/>
  <c r="F1150" i="11" s="1"/>
  <c r="E1150" i="11"/>
  <c r="E1150" i="11" a="1"/>
  <c r="D1150" i="11" a="1"/>
  <c r="D1150" i="11" s="1"/>
  <c r="H1149" i="11" a="1"/>
  <c r="H1149" i="11" s="1"/>
  <c r="G1149" i="11" a="1"/>
  <c r="G1149" i="11" s="1"/>
  <c r="F1149" i="11" a="1"/>
  <c r="F1149" i="11" s="1"/>
  <c r="E1149" i="11" a="1"/>
  <c r="E1149" i="11" s="1"/>
  <c r="D1149" i="11" a="1"/>
  <c r="D1149" i="11" s="1"/>
  <c r="H1148" i="11" a="1"/>
  <c r="H1148" i="11" s="1"/>
  <c r="G1148" i="11"/>
  <c r="G1148" i="11" a="1"/>
  <c r="F1148" i="11"/>
  <c r="F1148" i="11" a="1"/>
  <c r="E1148" i="11" a="1"/>
  <c r="E1148" i="11" s="1"/>
  <c r="D1148" i="11" a="1"/>
  <c r="D1148" i="11" s="1"/>
  <c r="H1147" i="11" a="1"/>
  <c r="H1147" i="11" s="1"/>
  <c r="G1147" i="11"/>
  <c r="G1147" i="11" a="1"/>
  <c r="F1147" i="11" a="1"/>
  <c r="F1147" i="11" s="1"/>
  <c r="E1147" i="11" a="1"/>
  <c r="E1147" i="11" s="1"/>
  <c r="D1147" i="11" a="1"/>
  <c r="D1147" i="11" s="1"/>
  <c r="H1146" i="11" a="1"/>
  <c r="H1146" i="11" s="1"/>
  <c r="G1146" i="11" a="1"/>
  <c r="G1146" i="11" s="1"/>
  <c r="F1146" i="11"/>
  <c r="F1146" i="11" a="1"/>
  <c r="E1146" i="11" a="1"/>
  <c r="E1146" i="11" s="1"/>
  <c r="D1146" i="11"/>
  <c r="D1146" i="11" a="1"/>
  <c r="H1145" i="11" a="1"/>
  <c r="H1145" i="11" s="1"/>
  <c r="G1145" i="11" a="1"/>
  <c r="G1145" i="11" s="1"/>
  <c r="F1145" i="11" a="1"/>
  <c r="F1145" i="11" s="1"/>
  <c r="E1145" i="11" a="1"/>
  <c r="E1145" i="11" s="1"/>
  <c r="D1145" i="11"/>
  <c r="D1145" i="11" a="1"/>
  <c r="H1144" i="11" a="1"/>
  <c r="H1144" i="11" s="1"/>
  <c r="G1144" i="11" a="1"/>
  <c r="G1144" i="11" s="1"/>
  <c r="F1144" i="11" a="1"/>
  <c r="F1144" i="11" s="1"/>
  <c r="E1144" i="11"/>
  <c r="E1144" i="11" a="1"/>
  <c r="D1144" i="11"/>
  <c r="D1144" i="11" a="1"/>
  <c r="H1143" i="11" a="1"/>
  <c r="H1143" i="11" s="1"/>
  <c r="G1143" i="11" a="1"/>
  <c r="G1143" i="11" s="1"/>
  <c r="F1143" i="11"/>
  <c r="F1143" i="11" a="1"/>
  <c r="E1143" i="11" a="1"/>
  <c r="E1143" i="11" s="1"/>
  <c r="D1143" i="11" a="1"/>
  <c r="D1143" i="11" s="1"/>
  <c r="H1142" i="11" a="1"/>
  <c r="H1142" i="11" s="1"/>
  <c r="G1142" i="11" a="1"/>
  <c r="G1142" i="11" s="1"/>
  <c r="F1142" i="11"/>
  <c r="F1142" i="11" a="1"/>
  <c r="E1142" i="11" a="1"/>
  <c r="E1142" i="11" s="1"/>
  <c r="D1142" i="11" a="1"/>
  <c r="D1142" i="11" s="1"/>
  <c r="H1141" i="11" a="1"/>
  <c r="H1141" i="11" s="1"/>
  <c r="G1141" i="11"/>
  <c r="G1141" i="11" a="1"/>
  <c r="F1141" i="11" a="1"/>
  <c r="F1141" i="11" s="1"/>
  <c r="E1141" i="11" a="1"/>
  <c r="E1141" i="11" s="1"/>
  <c r="D1141" i="11" a="1"/>
  <c r="D1141" i="11" s="1"/>
  <c r="H1140" i="11" a="1"/>
  <c r="H1140" i="11" s="1"/>
  <c r="G1140" i="11" a="1"/>
  <c r="G1140" i="11" s="1"/>
  <c r="F1140" i="11" a="1"/>
  <c r="F1140" i="11" s="1"/>
  <c r="E1140" i="11"/>
  <c r="E1140" i="11" a="1"/>
  <c r="D1140" i="11"/>
  <c r="D1140" i="11" a="1"/>
  <c r="H1139" i="11" a="1"/>
  <c r="H1139" i="11" s="1"/>
  <c r="G1139" i="11" a="1"/>
  <c r="G1139" i="11" s="1"/>
  <c r="F1139" i="11"/>
  <c r="F1139" i="11" a="1"/>
  <c r="E1139" i="11"/>
  <c r="E1139" i="11" a="1"/>
  <c r="D1139" i="11" a="1"/>
  <c r="D1139" i="11" s="1"/>
  <c r="H1138" i="11" a="1"/>
  <c r="H1138" i="11" s="1"/>
  <c r="G1138" i="11" a="1"/>
  <c r="G1138" i="11" s="1"/>
  <c r="F1138" i="11" a="1"/>
  <c r="F1138" i="11" s="1"/>
  <c r="E1138" i="11" a="1"/>
  <c r="E1138" i="11" s="1"/>
  <c r="D1138" i="11" a="1"/>
  <c r="D1138" i="11" s="1"/>
  <c r="H1137" i="11" a="1"/>
  <c r="H1137" i="11" s="1"/>
  <c r="G1137" i="11"/>
  <c r="G1137" i="11" a="1"/>
  <c r="F1137" i="11" a="1"/>
  <c r="F1137" i="11" s="1"/>
  <c r="E1137" i="11" a="1"/>
  <c r="E1137" i="11" s="1"/>
  <c r="D1137" i="11" a="1"/>
  <c r="D1137" i="11" s="1"/>
  <c r="H1136" i="11" a="1"/>
  <c r="H1136" i="11" s="1"/>
  <c r="G1136" i="11"/>
  <c r="G1136" i="11" a="1"/>
  <c r="F1136" i="11"/>
  <c r="F1136" i="11" a="1"/>
  <c r="E1136" i="11"/>
  <c r="E1136" i="11" a="1"/>
  <c r="D1136" i="11" a="1"/>
  <c r="D1136" i="11" s="1"/>
  <c r="H1135" i="11" a="1"/>
  <c r="H1135" i="11" s="1"/>
  <c r="G1135" i="11" a="1"/>
  <c r="G1135" i="11" s="1"/>
  <c r="F1135" i="11" a="1"/>
  <c r="F1135" i="11" s="1"/>
  <c r="E1135" i="11" a="1"/>
  <c r="E1135" i="11" s="1"/>
  <c r="D1135" i="11"/>
  <c r="D1135" i="11" a="1"/>
  <c r="H1134" i="11" a="1"/>
  <c r="H1134" i="11" s="1"/>
  <c r="G1134" i="11" a="1"/>
  <c r="G1134" i="11" s="1"/>
  <c r="F1134" i="11" a="1"/>
  <c r="F1134" i="11" s="1"/>
  <c r="E1134" i="11"/>
  <c r="E1134" i="11" a="1"/>
  <c r="D1134" i="11"/>
  <c r="D1134" i="11" a="1"/>
  <c r="H1133" i="11" a="1"/>
  <c r="H1133" i="11" s="1"/>
  <c r="G1133" i="11" a="1"/>
  <c r="G1133" i="11" s="1"/>
  <c r="F1133" i="11" a="1"/>
  <c r="F1133" i="11" s="1"/>
  <c r="E1133" i="11"/>
  <c r="E1133" i="11" a="1"/>
  <c r="D1133" i="11" a="1"/>
  <c r="D1133" i="11" s="1"/>
  <c r="H1132" i="11" a="1"/>
  <c r="H1132" i="11" s="1"/>
  <c r="G1132" i="11" a="1"/>
  <c r="G1132" i="11" s="1"/>
  <c r="F1132" i="11" a="1"/>
  <c r="F1132" i="11" s="1"/>
  <c r="E1132" i="11"/>
  <c r="E1132" i="11" a="1"/>
  <c r="D1132" i="11" a="1"/>
  <c r="D1132" i="11" s="1"/>
  <c r="H1131" i="11" a="1"/>
  <c r="H1131" i="11" s="1"/>
  <c r="G1131" i="11"/>
  <c r="G1131" i="11" a="1"/>
  <c r="F1131" i="11"/>
  <c r="F1131" i="11" a="1"/>
  <c r="E1131" i="11" a="1"/>
  <c r="E1131" i="11" s="1"/>
  <c r="D1131" i="11" a="1"/>
  <c r="D1131" i="11" s="1"/>
  <c r="H1130" i="11" a="1"/>
  <c r="H1130" i="11" s="1"/>
  <c r="G1130" i="11"/>
  <c r="G1130" i="11" a="1"/>
  <c r="F1130" i="11" a="1"/>
  <c r="F1130" i="11" s="1"/>
  <c r="E1130" i="11" a="1"/>
  <c r="E1130" i="11" s="1"/>
  <c r="D1130" i="11" a="1"/>
  <c r="D1130" i="11" s="1"/>
  <c r="H1129" i="11" a="1"/>
  <c r="H1129" i="11" s="1"/>
  <c r="G1129" i="11" a="1"/>
  <c r="G1129" i="11" s="1"/>
  <c r="F1129" i="11" a="1"/>
  <c r="F1129" i="11" s="1"/>
  <c r="E1129" i="11" a="1"/>
  <c r="E1129" i="11" s="1"/>
  <c r="D1129" i="11"/>
  <c r="D1129" i="11" a="1"/>
  <c r="H1128" i="11" a="1"/>
  <c r="H1128" i="11" s="1"/>
  <c r="G1128" i="11" a="1"/>
  <c r="G1128" i="11" s="1"/>
  <c r="F1128" i="11" a="1"/>
  <c r="F1128" i="11" s="1"/>
  <c r="E1128" i="11" a="1"/>
  <c r="E1128" i="11" s="1"/>
  <c r="D1128" i="11"/>
  <c r="D1128" i="11" a="1"/>
  <c r="H1127" i="11" a="1"/>
  <c r="H1127" i="11" s="1"/>
  <c r="G1127" i="11" a="1"/>
  <c r="G1127" i="11" s="1"/>
  <c r="F1127" i="11"/>
  <c r="F1127" i="11" a="1"/>
  <c r="E1127" i="11" a="1"/>
  <c r="E1127" i="11" s="1"/>
  <c r="D1127" i="11" a="1"/>
  <c r="D1127" i="11" s="1"/>
  <c r="H1126" i="11" a="1"/>
  <c r="H1126" i="11" s="1"/>
  <c r="G1126" i="11" a="1"/>
  <c r="G1126" i="11" s="1"/>
  <c r="F1126" i="11" a="1"/>
  <c r="F1126" i="11" s="1"/>
  <c r="E1126" i="11" a="1"/>
  <c r="E1126" i="11" s="1"/>
  <c r="D1126" i="11" a="1"/>
  <c r="D1126" i="11" s="1"/>
  <c r="H1125" i="11" a="1"/>
  <c r="H1125" i="11" s="1"/>
  <c r="G1125" i="11" a="1"/>
  <c r="G1125" i="11" s="1"/>
  <c r="F1125" i="11"/>
  <c r="F1125" i="11" a="1"/>
  <c r="E1125" i="11" a="1"/>
  <c r="E1125" i="11" s="1"/>
  <c r="D1125" i="11"/>
  <c r="D1125" i="11" a="1"/>
  <c r="H1124" i="11" a="1"/>
  <c r="H1124" i="11" s="1"/>
  <c r="G1124" i="11" a="1"/>
  <c r="G1124" i="11" s="1"/>
  <c r="F1124" i="11"/>
  <c r="F1124" i="11" a="1"/>
  <c r="E1124" i="11"/>
  <c r="E1124" i="11" a="1"/>
  <c r="D1124" i="11" a="1"/>
  <c r="D1124" i="11" s="1"/>
  <c r="H1123" i="11" a="1"/>
  <c r="H1123" i="11" s="1"/>
  <c r="G1123" i="11" a="1"/>
  <c r="G1123" i="11" s="1"/>
  <c r="F1123" i="11" a="1"/>
  <c r="F1123" i="11" s="1"/>
  <c r="E1123" i="11" a="1"/>
  <c r="E1123" i="11" s="1"/>
  <c r="D1123" i="11" a="1"/>
  <c r="D1123" i="11" s="1"/>
  <c r="H1122" i="11" a="1"/>
  <c r="H1122" i="11" s="1"/>
  <c r="G1122" i="11" a="1"/>
  <c r="G1122" i="11" s="1"/>
  <c r="F1122" i="11"/>
  <c r="F1122" i="11" a="1"/>
  <c r="E1122" i="11"/>
  <c r="E1122" i="11" a="1"/>
  <c r="D1122" i="11" a="1"/>
  <c r="D1122" i="11" s="1"/>
  <c r="H1121" i="11" a="1"/>
  <c r="H1121" i="11" s="1"/>
  <c r="G1121" i="11" a="1"/>
  <c r="G1121" i="11" s="1"/>
  <c r="F1121" i="11"/>
  <c r="F1121" i="11" a="1"/>
  <c r="E1121" i="11" a="1"/>
  <c r="E1121" i="11" s="1"/>
  <c r="D1121" i="11" a="1"/>
  <c r="D1121" i="11" s="1"/>
  <c r="H1120" i="11" a="1"/>
  <c r="H1120" i="11" s="1"/>
  <c r="G1120" i="11"/>
  <c r="G1120" i="11" a="1"/>
  <c r="F1120" i="11" a="1"/>
  <c r="F1120" i="11" s="1"/>
  <c r="E1120" i="11"/>
  <c r="E1120" i="11" a="1"/>
  <c r="D1120" i="11" a="1"/>
  <c r="D1120" i="11" s="1"/>
  <c r="H1119" i="11" a="1"/>
  <c r="H1119" i="11" s="1"/>
  <c r="G1119" i="11"/>
  <c r="G1119" i="11" a="1"/>
  <c r="F1119" i="11"/>
  <c r="F1119" i="11" a="1"/>
  <c r="E1119" i="11" a="1"/>
  <c r="E1119" i="11" s="1"/>
  <c r="D1119" i="11" a="1"/>
  <c r="D1119" i="11" s="1"/>
  <c r="H1118" i="11" a="1"/>
  <c r="H1118" i="11" s="1"/>
  <c r="G1118" i="11" a="1"/>
  <c r="G1118" i="11" s="1"/>
  <c r="F1118" i="11" a="1"/>
  <c r="F1118" i="11" s="1"/>
  <c r="E1118" i="11" a="1"/>
  <c r="E1118" i="11" s="1"/>
  <c r="D1118" i="11" a="1"/>
  <c r="D1118" i="11" s="1"/>
  <c r="H1117" i="11" a="1"/>
  <c r="H1117" i="11" s="1"/>
  <c r="G1117" i="11" a="1"/>
  <c r="G1117" i="11" s="1"/>
  <c r="F1117" i="11" a="1"/>
  <c r="F1117" i="11" s="1"/>
  <c r="E1117" i="11"/>
  <c r="E1117" i="11" a="1"/>
  <c r="D1117" i="11"/>
  <c r="D1117" i="11" a="1"/>
  <c r="H1116" i="11" a="1"/>
  <c r="H1116" i="11" s="1"/>
  <c r="G1116" i="11"/>
  <c r="G1116" i="11" a="1"/>
  <c r="F1116" i="11" a="1"/>
  <c r="F1116" i="11" s="1"/>
  <c r="E1116" i="11"/>
  <c r="E1116" i="11" a="1"/>
  <c r="D1116" i="11" a="1"/>
  <c r="D1116" i="11" s="1"/>
  <c r="H1115" i="11" a="1"/>
  <c r="H1115" i="11" s="1"/>
  <c r="G1115" i="11" a="1"/>
  <c r="G1115" i="11" s="1"/>
  <c r="F1115" i="11" a="1"/>
  <c r="F1115" i="11" s="1"/>
  <c r="E1115" i="11" a="1"/>
  <c r="E1115" i="11" s="1"/>
  <c r="D1115" i="11"/>
  <c r="D1115" i="11" a="1"/>
  <c r="H1114" i="11" a="1"/>
  <c r="H1114" i="11" s="1"/>
  <c r="G1114" i="11"/>
  <c r="G1114" i="11" a="1"/>
  <c r="F1114" i="11" a="1"/>
  <c r="F1114" i="11" s="1"/>
  <c r="E1114" i="11" a="1"/>
  <c r="E1114" i="11" s="1"/>
  <c r="D1114" i="11"/>
  <c r="D1114" i="11" a="1"/>
  <c r="H1113" i="11" a="1"/>
  <c r="H1113" i="11" s="1"/>
  <c r="G1113" i="11"/>
  <c r="G1113" i="11" a="1"/>
  <c r="F1113" i="11" a="1"/>
  <c r="F1113" i="11" s="1"/>
  <c r="E1113" i="11" a="1"/>
  <c r="E1113" i="11" s="1"/>
  <c r="D1113" i="11"/>
  <c r="D1113" i="11" a="1"/>
  <c r="H1112" i="11" a="1"/>
  <c r="H1112" i="11" s="1"/>
  <c r="G1112" i="11"/>
  <c r="G1112" i="11" a="1"/>
  <c r="F1112" i="11"/>
  <c r="F1112" i="11" a="1"/>
  <c r="E1112" i="11" a="1"/>
  <c r="E1112" i="11" s="1"/>
  <c r="D1112" i="11" a="1"/>
  <c r="D1112" i="11" s="1"/>
  <c r="H1111" i="11" a="1"/>
  <c r="H1111" i="11" s="1"/>
  <c r="G1111" i="11" a="1"/>
  <c r="G1111" i="11" s="1"/>
  <c r="F1111" i="11" a="1"/>
  <c r="F1111" i="11" s="1"/>
  <c r="E1111" i="11" a="1"/>
  <c r="E1111" i="11" s="1"/>
  <c r="D1111" i="11"/>
  <c r="D1111" i="11" a="1"/>
  <c r="H1110" i="11" a="1"/>
  <c r="H1110" i="11" s="1"/>
  <c r="G1110" i="11"/>
  <c r="G1110" i="11" a="1"/>
  <c r="F1110" i="11"/>
  <c r="F1110" i="11" a="1"/>
  <c r="E1110" i="11"/>
  <c r="E1110" i="11" a="1"/>
  <c r="D1110" i="11"/>
  <c r="D1110" i="11" a="1"/>
  <c r="H1109" i="11" a="1"/>
  <c r="H1109" i="11" s="1"/>
  <c r="G1109" i="11" a="1"/>
  <c r="G1109" i="11" s="1"/>
  <c r="F1109" i="11" a="1"/>
  <c r="F1109" i="11" s="1"/>
  <c r="E1109" i="11" a="1"/>
  <c r="E1109" i="11" s="1"/>
  <c r="D1109" i="11" a="1"/>
  <c r="D1109" i="11" s="1"/>
  <c r="H1108" i="11" a="1"/>
  <c r="H1108" i="11" s="1"/>
  <c r="G1108" i="11"/>
  <c r="G1108" i="11" a="1"/>
  <c r="F1108" i="11" a="1"/>
  <c r="F1108" i="11" s="1"/>
  <c r="E1108" i="11" a="1"/>
  <c r="E1108" i="11" s="1"/>
  <c r="D1108" i="11"/>
  <c r="D1108" i="11" a="1"/>
  <c r="H1107" i="11" a="1"/>
  <c r="H1107" i="11" s="1"/>
  <c r="G1107" i="11" a="1"/>
  <c r="G1107" i="11" s="1"/>
  <c r="F1107" i="11"/>
  <c r="F1107" i="11" a="1"/>
  <c r="E1107" i="11" a="1"/>
  <c r="E1107" i="11" s="1"/>
  <c r="D1107" i="11"/>
  <c r="D1107" i="11" a="1"/>
  <c r="H1106" i="11" a="1"/>
  <c r="H1106" i="11" s="1"/>
  <c r="G1106" i="11" a="1"/>
  <c r="G1106" i="11" s="1"/>
  <c r="F1106" i="11" a="1"/>
  <c r="F1106" i="11" s="1"/>
  <c r="E1106" i="11" a="1"/>
  <c r="E1106" i="11" s="1"/>
  <c r="D1106" i="11" a="1"/>
  <c r="D1106" i="11" s="1"/>
  <c r="H1105" i="11" a="1"/>
  <c r="H1105" i="11" s="1"/>
  <c r="G1105" i="11" a="1"/>
  <c r="G1105" i="11" s="1"/>
  <c r="F1105" i="11"/>
  <c r="F1105" i="11" a="1"/>
  <c r="E1105" i="11"/>
  <c r="E1105" i="11" a="1"/>
  <c r="D1105" i="11" a="1"/>
  <c r="D1105" i="11" s="1"/>
  <c r="H1104" i="11" a="1"/>
  <c r="H1104" i="11" s="1"/>
  <c r="G1104" i="11"/>
  <c r="G1104" i="11" a="1"/>
  <c r="F1104" i="11"/>
  <c r="F1104" i="11" a="1"/>
  <c r="E1104" i="11" a="1"/>
  <c r="E1104" i="11" s="1"/>
  <c r="D1104" i="11" a="1"/>
  <c r="D1104" i="11" s="1"/>
  <c r="H1103" i="11" a="1"/>
  <c r="H1103" i="11" s="1"/>
  <c r="G1103" i="11" a="1"/>
  <c r="G1103" i="11" s="1"/>
  <c r="F1103" i="11" a="1"/>
  <c r="F1103" i="11" s="1"/>
  <c r="E1103" i="11" a="1"/>
  <c r="E1103" i="11" s="1"/>
  <c r="D1103" i="11" a="1"/>
  <c r="D1103" i="11" s="1"/>
  <c r="H1102" i="11" a="1"/>
  <c r="H1102" i="11" s="1"/>
  <c r="G1102" i="11"/>
  <c r="G1102" i="11" a="1"/>
  <c r="F1102" i="11" a="1"/>
  <c r="F1102" i="11" s="1"/>
  <c r="E1102" i="11" a="1"/>
  <c r="E1102" i="11" s="1"/>
  <c r="D1102" i="11" a="1"/>
  <c r="D1102" i="11" s="1"/>
  <c r="H1101" i="11" a="1"/>
  <c r="H1101" i="11" s="1"/>
  <c r="G1101" i="11" a="1"/>
  <c r="G1101" i="11" s="1"/>
  <c r="F1101" i="11" a="1"/>
  <c r="F1101" i="11" s="1"/>
  <c r="E1101" i="11" a="1"/>
  <c r="E1101" i="11" s="1"/>
  <c r="D1101" i="11"/>
  <c r="D1101" i="11" a="1"/>
  <c r="H1100" i="11" a="1"/>
  <c r="H1100" i="11" s="1"/>
  <c r="G1100" i="11"/>
  <c r="G1100" i="11" a="1"/>
  <c r="F1100" i="11" a="1"/>
  <c r="F1100" i="11" s="1"/>
  <c r="E1100" i="11"/>
  <c r="E1100" i="11" a="1"/>
  <c r="D1100" i="11" a="1"/>
  <c r="D1100" i="11" s="1"/>
  <c r="H1099" i="11" a="1"/>
  <c r="H1099" i="11" s="1"/>
  <c r="G1099" i="11" a="1"/>
  <c r="G1099" i="11" s="1"/>
  <c r="F1099" i="11" a="1"/>
  <c r="F1099" i="11" s="1"/>
  <c r="E1099" i="11"/>
  <c r="E1099" i="11" a="1"/>
  <c r="D1099" i="11" a="1"/>
  <c r="D1099" i="11" s="1"/>
  <c r="H1098" i="11" a="1"/>
  <c r="H1098" i="11" s="1"/>
  <c r="G1098" i="11"/>
  <c r="G1098" i="11" a="1"/>
  <c r="F1098" i="11"/>
  <c r="F1098" i="11" a="1"/>
  <c r="E1098" i="11"/>
  <c r="E1098" i="11" a="1"/>
  <c r="D1098" i="11" a="1"/>
  <c r="D1098" i="11" s="1"/>
  <c r="H1097" i="11" a="1"/>
  <c r="H1097" i="11" s="1"/>
  <c r="G1097" i="11" a="1"/>
  <c r="G1097" i="11" s="1"/>
  <c r="F1097" i="11" a="1"/>
  <c r="F1097" i="11" s="1"/>
  <c r="E1097" i="11" a="1"/>
  <c r="E1097" i="11" s="1"/>
  <c r="D1097" i="11" a="1"/>
  <c r="D1097" i="11" s="1"/>
  <c r="H1096" i="11" a="1"/>
  <c r="H1096" i="11" s="1"/>
  <c r="G1096" i="11"/>
  <c r="G1096" i="11" a="1"/>
  <c r="F1096" i="11" a="1"/>
  <c r="F1096" i="11" s="1"/>
  <c r="E1096" i="11"/>
  <c r="E1096" i="11" a="1"/>
  <c r="D1096" i="11"/>
  <c r="D1096" i="11" a="1"/>
  <c r="H1095" i="11" a="1"/>
  <c r="H1095" i="11" s="1"/>
  <c r="G1095" i="11"/>
  <c r="G1095" i="11" a="1"/>
  <c r="F1095" i="11" a="1"/>
  <c r="F1095" i="11" s="1"/>
  <c r="E1095" i="11" a="1"/>
  <c r="E1095" i="11" s="1"/>
  <c r="D1095" i="11" a="1"/>
  <c r="D1095" i="11" s="1"/>
  <c r="H1094" i="11" a="1"/>
  <c r="H1094" i="11" s="1"/>
  <c r="G1094" i="11" a="1"/>
  <c r="G1094" i="11" s="1"/>
  <c r="F1094" i="11" a="1"/>
  <c r="F1094" i="11" s="1"/>
  <c r="E1094" i="11" a="1"/>
  <c r="E1094" i="11" s="1"/>
  <c r="D1094" i="11" a="1"/>
  <c r="D1094" i="11" s="1"/>
  <c r="H1093" i="11" a="1"/>
  <c r="H1093" i="11" s="1"/>
  <c r="G1093" i="11"/>
  <c r="G1093" i="11" a="1"/>
  <c r="F1093" i="11"/>
  <c r="F1093" i="11" a="1"/>
  <c r="E1093" i="11"/>
  <c r="E1093" i="11" a="1"/>
  <c r="D1093" i="11" a="1"/>
  <c r="D1093" i="11" s="1"/>
  <c r="H1092" i="11" a="1"/>
  <c r="H1092" i="11" s="1"/>
  <c r="G1092" i="11"/>
  <c r="G1092" i="11" a="1"/>
  <c r="F1092" i="11" a="1"/>
  <c r="F1092" i="11" s="1"/>
  <c r="E1092" i="11" a="1"/>
  <c r="E1092" i="11" s="1"/>
  <c r="D1092" i="11" a="1"/>
  <c r="D1092" i="11" s="1"/>
  <c r="H1091" i="11" a="1"/>
  <c r="H1091" i="11" s="1"/>
  <c r="G1091" i="11" a="1"/>
  <c r="G1091" i="11" s="1"/>
  <c r="F1091" i="11" a="1"/>
  <c r="F1091" i="11" s="1"/>
  <c r="E1091" i="11"/>
  <c r="E1091" i="11" a="1"/>
  <c r="D1091" i="11"/>
  <c r="D1091" i="11" a="1"/>
  <c r="H1090" i="11" a="1"/>
  <c r="H1090" i="11" s="1"/>
  <c r="G1090" i="11" a="1"/>
  <c r="G1090" i="11" s="1"/>
  <c r="F1090" i="11" a="1"/>
  <c r="F1090" i="11" s="1"/>
  <c r="E1090" i="11"/>
  <c r="E1090" i="11" a="1"/>
  <c r="D1090" i="11"/>
  <c r="D1090" i="11" a="1"/>
  <c r="H1089" i="11" a="1"/>
  <c r="H1089" i="11" s="1"/>
  <c r="G1089" i="11" a="1"/>
  <c r="G1089" i="11" s="1"/>
  <c r="F1089" i="11" a="1"/>
  <c r="F1089" i="11" s="1"/>
  <c r="E1089" i="11" a="1"/>
  <c r="E1089" i="11" s="1"/>
  <c r="D1089" i="11"/>
  <c r="D1089" i="11" a="1"/>
  <c r="H1088" i="11" a="1"/>
  <c r="H1088" i="11" s="1"/>
  <c r="G1088" i="11" a="1"/>
  <c r="G1088" i="11" s="1"/>
  <c r="F1088" i="11"/>
  <c r="F1088" i="11" a="1"/>
  <c r="E1088" i="11"/>
  <c r="E1088" i="11" a="1"/>
  <c r="D1088" i="11" a="1"/>
  <c r="D1088" i="11" s="1"/>
  <c r="H1087" i="11" a="1"/>
  <c r="H1087" i="11" s="1"/>
  <c r="G1087" i="11"/>
  <c r="G1087" i="11" a="1"/>
  <c r="F1087" i="11"/>
  <c r="F1087" i="11" a="1"/>
  <c r="E1087" i="11" a="1"/>
  <c r="E1087" i="11" s="1"/>
  <c r="D1087" i="11" a="1"/>
  <c r="D1087" i="11" s="1"/>
  <c r="H1086" i="11" a="1"/>
  <c r="H1086" i="11" s="1"/>
  <c r="G1086" i="11" a="1"/>
  <c r="G1086" i="11" s="1"/>
  <c r="F1086" i="11"/>
  <c r="F1086" i="11" a="1"/>
  <c r="E1086" i="11"/>
  <c r="E1086" i="11" a="1"/>
  <c r="D1086" i="11" a="1"/>
  <c r="D1086" i="11" s="1"/>
  <c r="H1085" i="11" a="1"/>
  <c r="H1085" i="11" s="1"/>
  <c r="G1085" i="11" a="1"/>
  <c r="G1085" i="11" s="1"/>
  <c r="F1085" i="11" a="1"/>
  <c r="F1085" i="11" s="1"/>
  <c r="E1085" i="11" a="1"/>
  <c r="E1085" i="11" s="1"/>
  <c r="D1085" i="11" a="1"/>
  <c r="D1085" i="11" s="1"/>
  <c r="H1084" i="11" a="1"/>
  <c r="H1084" i="11" s="1"/>
  <c r="G1084" i="11" a="1"/>
  <c r="G1084" i="11" s="1"/>
  <c r="F1084" i="11" a="1"/>
  <c r="F1084" i="11" s="1"/>
  <c r="E1084" i="11"/>
  <c r="E1084" i="11" a="1"/>
  <c r="D1084" i="11"/>
  <c r="D1084" i="11" a="1"/>
  <c r="H1083" i="11" a="1"/>
  <c r="H1083" i="11" s="1"/>
  <c r="G1083" i="11"/>
  <c r="G1083" i="11" a="1"/>
  <c r="F1083" i="11" a="1"/>
  <c r="F1083" i="11" s="1"/>
  <c r="E1083" i="11" a="1"/>
  <c r="E1083" i="11" s="1"/>
  <c r="D1083" i="11" a="1"/>
  <c r="D1083" i="11" s="1"/>
  <c r="H1082" i="11" a="1"/>
  <c r="H1082" i="11" s="1"/>
  <c r="G1082" i="11"/>
  <c r="G1082" i="11" a="1"/>
  <c r="F1082" i="11"/>
  <c r="F1082" i="11" a="1"/>
  <c r="E1082" i="11"/>
  <c r="E1082" i="11" a="1"/>
  <c r="D1082" i="11" a="1"/>
  <c r="D1082" i="11" s="1"/>
  <c r="H1081" i="11" a="1"/>
  <c r="H1081" i="11" s="1"/>
  <c r="G1081" i="11"/>
  <c r="G1081" i="11" a="1"/>
  <c r="F1081" i="11" a="1"/>
  <c r="F1081" i="11" s="1"/>
  <c r="E1081" i="11" a="1"/>
  <c r="E1081" i="11" s="1"/>
  <c r="D1081" i="11" a="1"/>
  <c r="D1081" i="11" s="1"/>
  <c r="H1080" i="11" a="1"/>
  <c r="H1080" i="11" s="1"/>
  <c r="G1080" i="11" a="1"/>
  <c r="G1080" i="11" s="1"/>
  <c r="F1080" i="11" a="1"/>
  <c r="F1080" i="11" s="1"/>
  <c r="E1080" i="11" a="1"/>
  <c r="E1080" i="11" s="1"/>
  <c r="D1080" i="11"/>
  <c r="D1080" i="11" a="1"/>
  <c r="H1079" i="11" a="1"/>
  <c r="H1079" i="11" s="1"/>
  <c r="G1079" i="11" a="1"/>
  <c r="G1079" i="11" s="1"/>
  <c r="F1079" i="11"/>
  <c r="F1079" i="11" a="1"/>
  <c r="E1079" i="11"/>
  <c r="E1079" i="11" a="1"/>
  <c r="D1079" i="11"/>
  <c r="D1079" i="11" a="1"/>
  <c r="H1078" i="11" a="1"/>
  <c r="H1078" i="11" s="1"/>
  <c r="G1078" i="11"/>
  <c r="G1078" i="11" a="1"/>
  <c r="F1078" i="11" a="1"/>
  <c r="F1078" i="11" s="1"/>
  <c r="E1078" i="11"/>
  <c r="E1078" i="11" a="1"/>
  <c r="D1078" i="11" a="1"/>
  <c r="D1078" i="11" s="1"/>
  <c r="H1077" i="11" a="1"/>
  <c r="H1077" i="11" s="1"/>
  <c r="G1077" i="11" a="1"/>
  <c r="G1077" i="11" s="1"/>
  <c r="F1077" i="11"/>
  <c r="F1077" i="11" a="1"/>
  <c r="E1077" i="11" a="1"/>
  <c r="E1077" i="11" s="1"/>
  <c r="D1077" i="11" a="1"/>
  <c r="D1077" i="11" s="1"/>
  <c r="H1076" i="11" a="1"/>
  <c r="H1076" i="11" s="1"/>
  <c r="G1076" i="11"/>
  <c r="G1076" i="11" a="1"/>
  <c r="F1076" i="11"/>
  <c r="F1076" i="11" a="1"/>
  <c r="E1076" i="11"/>
  <c r="E1076" i="11" a="1"/>
  <c r="D1076" i="11" a="1"/>
  <c r="D1076" i="11" s="1"/>
  <c r="H1075" i="11" a="1"/>
  <c r="H1075" i="11" s="1"/>
  <c r="G1075" i="11"/>
  <c r="G1075" i="11" a="1"/>
  <c r="F1075" i="11" a="1"/>
  <c r="F1075" i="11" s="1"/>
  <c r="E1075" i="11" a="1"/>
  <c r="E1075" i="11" s="1"/>
  <c r="D1075" i="11" a="1"/>
  <c r="D1075" i="11" s="1"/>
  <c r="H1074" i="11" a="1"/>
  <c r="H1074" i="11" s="1"/>
  <c r="G1074" i="11" a="1"/>
  <c r="G1074" i="11" s="1"/>
  <c r="F1074" i="11" a="1"/>
  <c r="F1074" i="11" s="1"/>
  <c r="E1074" i="11"/>
  <c r="E1074" i="11" a="1"/>
  <c r="D1074" i="11"/>
  <c r="D1074" i="11" a="1"/>
  <c r="H1073" i="11" a="1"/>
  <c r="H1073" i="11" s="1"/>
  <c r="G1073" i="11" a="1"/>
  <c r="G1073" i="11" s="1"/>
  <c r="F1073" i="11" a="1"/>
  <c r="F1073" i="11" s="1"/>
  <c r="E1073" i="11"/>
  <c r="E1073" i="11" a="1"/>
  <c r="D1073" i="11"/>
  <c r="D1073" i="11" a="1"/>
  <c r="H1072" i="11" a="1"/>
  <c r="H1072" i="11" s="1"/>
  <c r="G1072" i="11" a="1"/>
  <c r="G1072" i="11" s="1"/>
  <c r="F1072" i="11" a="1"/>
  <c r="F1072" i="11" s="1"/>
  <c r="E1072" i="11"/>
  <c r="E1072" i="11" a="1"/>
  <c r="D1072" i="11"/>
  <c r="D1072" i="11" a="1"/>
  <c r="H1071" i="11" a="1"/>
  <c r="H1071" i="11" s="1"/>
  <c r="G1071" i="11" a="1"/>
  <c r="G1071" i="11" s="1"/>
  <c r="F1071" i="11"/>
  <c r="F1071" i="11" a="1"/>
  <c r="E1071" i="11" a="1"/>
  <c r="E1071" i="11" s="1"/>
  <c r="D1071" i="11" a="1"/>
  <c r="D1071" i="11" s="1"/>
  <c r="H1070" i="11" a="1"/>
  <c r="H1070" i="11" s="1"/>
  <c r="G1070" i="11" a="1"/>
  <c r="G1070" i="11" s="1"/>
  <c r="F1070" i="11"/>
  <c r="F1070" i="11" a="1"/>
  <c r="E1070" i="11" a="1"/>
  <c r="E1070" i="11" s="1"/>
  <c r="D1070" i="11" a="1"/>
  <c r="D1070" i="11" s="1"/>
  <c r="H1069" i="11" a="1"/>
  <c r="H1069" i="11" s="1"/>
  <c r="G1069" i="11" a="1"/>
  <c r="G1069" i="11" s="1"/>
  <c r="F1069" i="11" a="1"/>
  <c r="F1069" i="11" s="1"/>
  <c r="E1069" i="11" a="1"/>
  <c r="E1069" i="11" s="1"/>
  <c r="D1069" i="11" a="1"/>
  <c r="D1069" i="11" s="1"/>
  <c r="H1068" i="11" a="1"/>
  <c r="H1068" i="11" s="1"/>
  <c r="G1068" i="11" a="1"/>
  <c r="G1068" i="11" s="1"/>
  <c r="F1068" i="11" a="1"/>
  <c r="F1068" i="11" s="1"/>
  <c r="E1068" i="11"/>
  <c r="E1068" i="11" a="1"/>
  <c r="D1068" i="11" a="1"/>
  <c r="D1068" i="11" s="1"/>
  <c r="H1067" i="11" a="1"/>
  <c r="H1067" i="11" s="1"/>
  <c r="G1067" i="11" a="1"/>
  <c r="G1067" i="11" s="1"/>
  <c r="F1067" i="11"/>
  <c r="F1067" i="11" a="1"/>
  <c r="E1067" i="11"/>
  <c r="E1067" i="11" a="1"/>
  <c r="D1067" i="11" a="1"/>
  <c r="D1067" i="11" s="1"/>
  <c r="H1066" i="11" a="1"/>
  <c r="H1066" i="11" s="1"/>
  <c r="G1066" i="11"/>
  <c r="G1066" i="11" a="1"/>
  <c r="F1066" i="11" a="1"/>
  <c r="F1066" i="11" s="1"/>
  <c r="E1066" i="11" a="1"/>
  <c r="E1066" i="11" s="1"/>
  <c r="D1066" i="11" a="1"/>
  <c r="D1066" i="11" s="1"/>
  <c r="H1065" i="11" a="1"/>
  <c r="H1065" i="11" s="1"/>
  <c r="G1065" i="11" a="1"/>
  <c r="G1065" i="11" s="1"/>
  <c r="F1065" i="11"/>
  <c r="F1065" i="11" a="1"/>
  <c r="E1065" i="11" a="1"/>
  <c r="E1065" i="11" s="1"/>
  <c r="D1065" i="11" a="1"/>
  <c r="D1065" i="11" s="1"/>
  <c r="H1064" i="11" a="1"/>
  <c r="H1064" i="11" s="1"/>
  <c r="G1064" i="11" a="1"/>
  <c r="G1064" i="11" s="1"/>
  <c r="F1064" i="11" a="1"/>
  <c r="F1064" i="11" s="1"/>
  <c r="E1064" i="11"/>
  <c r="E1064" i="11" a="1"/>
  <c r="D1064" i="11" a="1"/>
  <c r="D1064" i="11" s="1"/>
  <c r="H1063" i="11" a="1"/>
  <c r="H1063" i="11" s="1"/>
  <c r="G1063" i="11" a="1"/>
  <c r="G1063" i="11" s="1"/>
  <c r="F1063" i="11" a="1"/>
  <c r="F1063" i="11" s="1"/>
  <c r="E1063" i="11"/>
  <c r="E1063" i="11" a="1"/>
  <c r="D1063" i="11"/>
  <c r="D1063" i="11" a="1"/>
  <c r="H1062" i="11" a="1"/>
  <c r="H1062" i="11" s="1"/>
  <c r="G1062" i="11"/>
  <c r="G1062" i="11" a="1"/>
  <c r="F1062" i="11" a="1"/>
  <c r="F1062" i="11" s="1"/>
  <c r="E1062" i="11"/>
  <c r="E1062" i="11" a="1"/>
  <c r="D1062" i="11"/>
  <c r="D1062" i="11" a="1"/>
  <c r="H1061" i="11" a="1"/>
  <c r="H1061" i="11" s="1"/>
  <c r="G1061" i="11" a="1"/>
  <c r="G1061" i="11" s="1"/>
  <c r="F1061" i="11" a="1"/>
  <c r="F1061" i="11" s="1"/>
  <c r="E1061" i="11"/>
  <c r="E1061" i="11" a="1"/>
  <c r="D1061" i="11" a="1"/>
  <c r="D1061" i="11" s="1"/>
  <c r="H1060" i="11" a="1"/>
  <c r="H1060" i="11" s="1"/>
  <c r="G1060" i="11" a="1"/>
  <c r="G1060" i="11" s="1"/>
  <c r="F1060" i="11" a="1"/>
  <c r="F1060" i="11" s="1"/>
  <c r="E1060" i="11"/>
  <c r="E1060" i="11" a="1"/>
  <c r="D1060" i="11"/>
  <c r="D1060" i="11" a="1"/>
  <c r="H1059" i="11" a="1"/>
  <c r="H1059" i="11" s="1"/>
  <c r="G1059" i="11"/>
  <c r="G1059" i="11" a="1"/>
  <c r="F1059" i="11"/>
  <c r="F1059" i="11" a="1"/>
  <c r="E1059" i="11" a="1"/>
  <c r="E1059" i="11" s="1"/>
  <c r="D1059" i="11"/>
  <c r="D1059" i="11" a="1"/>
  <c r="H1058" i="11" a="1"/>
  <c r="H1058" i="11" s="1"/>
  <c r="G1058" i="11"/>
  <c r="G1058" i="11" a="1"/>
  <c r="F1058" i="11" a="1"/>
  <c r="F1058" i="11" s="1"/>
  <c r="E1058" i="11" a="1"/>
  <c r="E1058" i="11" s="1"/>
  <c r="D1058" i="11" a="1"/>
  <c r="D1058" i="11" s="1"/>
  <c r="H1057" i="11" a="1"/>
  <c r="H1057" i="11" s="1"/>
  <c r="G1057" i="11" a="1"/>
  <c r="G1057" i="11" s="1"/>
  <c r="F1057" i="11" a="1"/>
  <c r="F1057" i="11" s="1"/>
  <c r="E1057" i="11" a="1"/>
  <c r="E1057" i="11" s="1"/>
  <c r="D1057" i="11"/>
  <c r="D1057" i="11" a="1"/>
  <c r="H1056" i="11" a="1"/>
  <c r="H1056" i="11" s="1"/>
  <c r="G1056" i="11" a="1"/>
  <c r="G1056" i="11" s="1"/>
  <c r="F1056" i="11"/>
  <c r="F1056" i="11" a="1"/>
  <c r="E1056" i="11" a="1"/>
  <c r="E1056" i="11" s="1"/>
  <c r="D1056" i="11"/>
  <c r="D1056" i="11" a="1"/>
  <c r="H1055" i="11" a="1"/>
  <c r="H1055" i="11" s="1"/>
  <c r="G1055" i="11" a="1"/>
  <c r="G1055" i="11" s="1"/>
  <c r="F1055" i="11" a="1"/>
  <c r="F1055" i="11" s="1"/>
  <c r="E1055" i="11"/>
  <c r="E1055" i="11" a="1"/>
  <c r="D1055" i="11"/>
  <c r="D1055" i="11" a="1"/>
  <c r="H1054" i="11" a="1"/>
  <c r="H1054" i="11" s="1"/>
  <c r="G1054" i="11" a="1"/>
  <c r="G1054" i="11" s="1"/>
  <c r="F1054" i="11" a="1"/>
  <c r="F1054" i="11" s="1"/>
  <c r="E1054" i="11" a="1"/>
  <c r="E1054" i="11" s="1"/>
  <c r="D1054" i="11"/>
  <c r="D1054" i="11" a="1"/>
  <c r="H1053" i="11" a="1"/>
  <c r="H1053" i="11" s="1"/>
  <c r="G1053" i="11"/>
  <c r="G1053" i="11" a="1"/>
  <c r="F1053" i="11"/>
  <c r="F1053" i="11" a="1"/>
  <c r="E1053" i="11" a="1"/>
  <c r="E1053" i="11" s="1"/>
  <c r="D1053" i="11"/>
  <c r="D1053" i="11" a="1"/>
  <c r="H1052" i="11" a="1"/>
  <c r="H1052" i="11" s="1"/>
  <c r="G1052" i="11" a="1"/>
  <c r="G1052" i="11" s="1"/>
  <c r="F1052" i="11"/>
  <c r="F1052" i="11" a="1"/>
  <c r="E1052" i="11"/>
  <c r="E1052" i="11" a="1"/>
  <c r="D1052" i="11" a="1"/>
  <c r="D1052" i="11" s="1"/>
  <c r="H1051" i="11" a="1"/>
  <c r="H1051" i="11" s="1"/>
  <c r="G1051" i="11" a="1"/>
  <c r="G1051" i="11" s="1"/>
  <c r="F1051" i="11"/>
  <c r="F1051" i="11" a="1"/>
  <c r="E1051" i="11"/>
  <c r="E1051" i="11" a="1"/>
  <c r="D1051" i="11" a="1"/>
  <c r="D1051" i="11" s="1"/>
  <c r="H1050" i="11" a="1"/>
  <c r="H1050" i="11" s="1"/>
  <c r="G1050" i="11" a="1"/>
  <c r="G1050" i="11" s="1"/>
  <c r="F1050" i="11"/>
  <c r="F1050" i="11" a="1"/>
  <c r="E1050" i="11"/>
  <c r="E1050" i="11" a="1"/>
  <c r="D1050" i="11"/>
  <c r="D1050" i="11" a="1"/>
  <c r="H1049" i="11" a="1"/>
  <c r="H1049" i="11" s="1"/>
  <c r="G1049" i="11" a="1"/>
  <c r="G1049" i="11" s="1"/>
  <c r="F1049" i="11"/>
  <c r="F1049" i="11" a="1"/>
  <c r="E1049" i="11" a="1"/>
  <c r="E1049" i="11" s="1"/>
  <c r="D1049" i="11" a="1"/>
  <c r="D1049" i="11" s="1"/>
  <c r="H1048" i="11" a="1"/>
  <c r="H1048" i="11" s="1"/>
  <c r="G1048" i="11" a="1"/>
  <c r="G1048" i="11" s="1"/>
  <c r="F1048" i="11" a="1"/>
  <c r="F1048" i="11" s="1"/>
  <c r="E1048" i="11"/>
  <c r="E1048" i="11" a="1"/>
  <c r="D1048" i="11" a="1"/>
  <c r="D1048" i="11" s="1"/>
  <c r="H1047" i="11" a="1"/>
  <c r="H1047" i="11" s="1"/>
  <c r="G1047" i="11"/>
  <c r="G1047" i="11" a="1"/>
  <c r="F1047" i="11" a="1"/>
  <c r="F1047" i="11" s="1"/>
  <c r="E1047" i="11" a="1"/>
  <c r="E1047" i="11" s="1"/>
  <c r="D1047" i="11"/>
  <c r="D1047" i="11" a="1"/>
  <c r="H1046" i="11" a="1"/>
  <c r="H1046" i="11" s="1"/>
  <c r="G1046" i="11" a="1"/>
  <c r="G1046" i="11" s="1"/>
  <c r="F1046" i="11" a="1"/>
  <c r="F1046" i="11" s="1"/>
  <c r="E1046" i="11" a="1"/>
  <c r="E1046" i="11" s="1"/>
  <c r="D1046" i="11" a="1"/>
  <c r="D1046" i="11" s="1"/>
  <c r="H1045" i="11" a="1"/>
  <c r="H1045" i="11" s="1"/>
  <c r="G1045" i="11" a="1"/>
  <c r="G1045" i="11" s="1"/>
  <c r="F1045" i="11" a="1"/>
  <c r="F1045" i="11" s="1"/>
  <c r="E1045" i="11"/>
  <c r="E1045" i="11" a="1"/>
  <c r="D1045" i="11" a="1"/>
  <c r="D1045" i="11" s="1"/>
  <c r="H1044" i="11" a="1"/>
  <c r="H1044" i="11" s="1"/>
  <c r="G1044" i="11"/>
  <c r="G1044" i="11" a="1"/>
  <c r="F1044" i="11"/>
  <c r="F1044" i="11" a="1"/>
  <c r="E1044" i="11"/>
  <c r="E1044" i="11" a="1"/>
  <c r="D1044" i="11" a="1"/>
  <c r="D1044" i="11" s="1"/>
  <c r="H1043" i="11" a="1"/>
  <c r="H1043" i="11" s="1"/>
  <c r="G1043" i="11" a="1"/>
  <c r="G1043" i="11" s="1"/>
  <c r="F1043" i="11" a="1"/>
  <c r="F1043" i="11" s="1"/>
  <c r="E1043" i="11" a="1"/>
  <c r="E1043" i="11" s="1"/>
  <c r="D1043" i="11" a="1"/>
  <c r="D1043" i="11" s="1"/>
  <c r="H1042" i="11" a="1"/>
  <c r="H1042" i="11" s="1"/>
  <c r="G1042" i="11"/>
  <c r="G1042" i="11" a="1"/>
  <c r="F1042" i="11" a="1"/>
  <c r="F1042" i="11" s="1"/>
  <c r="E1042" i="11"/>
  <c r="E1042" i="11" a="1"/>
  <c r="D1042" i="11" a="1"/>
  <c r="D1042" i="11" s="1"/>
  <c r="H1041" i="11" a="1"/>
  <c r="H1041" i="11" s="1"/>
  <c r="G1041" i="11"/>
  <c r="G1041" i="11" a="1"/>
  <c r="F1041" i="11" a="1"/>
  <c r="F1041" i="11" s="1"/>
  <c r="E1041" i="11" a="1"/>
  <c r="E1041" i="11" s="1"/>
  <c r="D1041" i="11"/>
  <c r="D1041" i="11" a="1"/>
  <c r="H1040" i="11" a="1"/>
  <c r="H1040" i="11" s="1"/>
  <c r="G1040" i="11" a="1"/>
  <c r="G1040" i="11" s="1"/>
  <c r="F1040" i="11"/>
  <c r="F1040" i="11" a="1"/>
  <c r="E1040" i="11" a="1"/>
  <c r="E1040" i="11" s="1"/>
  <c r="D1040" i="11" a="1"/>
  <c r="D1040" i="11" s="1"/>
  <c r="H1039" i="11" a="1"/>
  <c r="H1039" i="11" s="1"/>
  <c r="G1039" i="11" a="1"/>
  <c r="G1039" i="11" s="1"/>
  <c r="F1039" i="11" a="1"/>
  <c r="F1039" i="11" s="1"/>
  <c r="E1039" i="11" a="1"/>
  <c r="E1039" i="11" s="1"/>
  <c r="D1039" i="11"/>
  <c r="D1039" i="11" a="1"/>
  <c r="H1038" i="11" a="1"/>
  <c r="H1038" i="11" s="1"/>
  <c r="G1038" i="11" a="1"/>
  <c r="G1038" i="11" s="1"/>
  <c r="F1038" i="11"/>
  <c r="F1038" i="11" a="1"/>
  <c r="E1038" i="11" a="1"/>
  <c r="E1038" i="11" s="1"/>
  <c r="D1038" i="11" a="1"/>
  <c r="D1038" i="11" s="1"/>
  <c r="H1037" i="11" a="1"/>
  <c r="H1037" i="11" s="1"/>
  <c r="G1037" i="11" a="1"/>
  <c r="G1037" i="11" s="1"/>
  <c r="F1037" i="11" a="1"/>
  <c r="F1037" i="11" s="1"/>
  <c r="E1037" i="11"/>
  <c r="E1037" i="11" a="1"/>
  <c r="D1037" i="11"/>
  <c r="D1037" i="11" a="1"/>
  <c r="H1036" i="11" a="1"/>
  <c r="H1036" i="11" s="1"/>
  <c r="G1036" i="11"/>
  <c r="G1036" i="11" a="1"/>
  <c r="F1036" i="11" a="1"/>
  <c r="F1036" i="11" s="1"/>
  <c r="E1036" i="11" a="1"/>
  <c r="E1036" i="11" s="1"/>
  <c r="D1036" i="11" a="1"/>
  <c r="D1036" i="11" s="1"/>
  <c r="H1035" i="11" a="1"/>
  <c r="H1035" i="11" s="1"/>
  <c r="G1035" i="11" a="1"/>
  <c r="G1035" i="11" s="1"/>
  <c r="F1035" i="11"/>
  <c r="F1035" i="11" a="1"/>
  <c r="E1035" i="11" a="1"/>
  <c r="E1035" i="11" s="1"/>
  <c r="D1035" i="11" a="1"/>
  <c r="D1035" i="11" s="1"/>
  <c r="H1034" i="11" a="1"/>
  <c r="H1034" i="11" s="1"/>
  <c r="G1034" i="11" a="1"/>
  <c r="G1034" i="11" s="1"/>
  <c r="F1034" i="11"/>
  <c r="F1034" i="11" a="1"/>
  <c r="E1034" i="11"/>
  <c r="E1034" i="11" a="1"/>
  <c r="D1034" i="11" a="1"/>
  <c r="D1034" i="11" s="1"/>
  <c r="H1033" i="11" a="1"/>
  <c r="H1033" i="11" s="1"/>
  <c r="G1033" i="11" a="1"/>
  <c r="G1033" i="11" s="1"/>
  <c r="F1033" i="11" a="1"/>
  <c r="F1033" i="11" s="1"/>
  <c r="E1033" i="11"/>
  <c r="E1033" i="11" a="1"/>
  <c r="D1033" i="11"/>
  <c r="D1033" i="11" a="1"/>
  <c r="H1032" i="11" a="1"/>
  <c r="H1032" i="11" s="1"/>
  <c r="G1032" i="11" a="1"/>
  <c r="G1032" i="11" s="1"/>
  <c r="F1032" i="11" a="1"/>
  <c r="F1032" i="11" s="1"/>
  <c r="E1032" i="11" a="1"/>
  <c r="E1032" i="11" s="1"/>
  <c r="D1032" i="11" a="1"/>
  <c r="D1032" i="11" s="1"/>
  <c r="H1031" i="11" a="1"/>
  <c r="H1031" i="11" s="1"/>
  <c r="G1031" i="11" a="1"/>
  <c r="G1031" i="11" s="1"/>
  <c r="F1031" i="11" a="1"/>
  <c r="F1031" i="11" s="1"/>
  <c r="E1031" i="11" a="1"/>
  <c r="E1031" i="11" s="1"/>
  <c r="D1031" i="11" a="1"/>
  <c r="D1031" i="11" s="1"/>
  <c r="H1030" i="11" a="1"/>
  <c r="H1030" i="11" s="1"/>
  <c r="G1030" i="11"/>
  <c r="G1030" i="11" a="1"/>
  <c r="F1030" i="11" a="1"/>
  <c r="F1030" i="11" s="1"/>
  <c r="E1030" i="11" a="1"/>
  <c r="E1030" i="11" s="1"/>
  <c r="D1030" i="11"/>
  <c r="D1030" i="11" a="1"/>
  <c r="H1029" i="11" a="1"/>
  <c r="H1029" i="11" s="1"/>
  <c r="G1029" i="11" a="1"/>
  <c r="G1029" i="11" s="1"/>
  <c r="F1029" i="11"/>
  <c r="F1029" i="11" a="1"/>
  <c r="E1029" i="11" a="1"/>
  <c r="E1029" i="11" s="1"/>
  <c r="D1029" i="11" a="1"/>
  <c r="D1029" i="11" s="1"/>
  <c r="H1028" i="11" a="1"/>
  <c r="H1028" i="11" s="1"/>
  <c r="G1028" i="11"/>
  <c r="G1028" i="11" a="1"/>
  <c r="F1028" i="11"/>
  <c r="F1028" i="11" a="1"/>
  <c r="E1028" i="11"/>
  <c r="E1028" i="11" a="1"/>
  <c r="D1028" i="11" a="1"/>
  <c r="D1028" i="11" s="1"/>
  <c r="H1027" i="11" a="1"/>
  <c r="H1027" i="11" s="1"/>
  <c r="G1027" i="11" a="1"/>
  <c r="G1027" i="11" s="1"/>
  <c r="F1027" i="11"/>
  <c r="F1027" i="11" a="1"/>
  <c r="E1027" i="11"/>
  <c r="E1027" i="11" a="1"/>
  <c r="D1027" i="11"/>
  <c r="D1027" i="11" a="1"/>
  <c r="H1026" i="11" a="1"/>
  <c r="H1026" i="11" s="1"/>
  <c r="G1026" i="11" a="1"/>
  <c r="G1026" i="11" s="1"/>
  <c r="F1026" i="11" a="1"/>
  <c r="F1026" i="11" s="1"/>
  <c r="E1026" i="11" a="1"/>
  <c r="E1026" i="11" s="1"/>
  <c r="D1026" i="11" a="1"/>
  <c r="D1026" i="11" s="1"/>
  <c r="H1025" i="11" a="1"/>
  <c r="H1025" i="11" s="1"/>
  <c r="G1025" i="11" a="1"/>
  <c r="G1025" i="11" s="1"/>
  <c r="F1025" i="11" a="1"/>
  <c r="F1025" i="11" s="1"/>
  <c r="E1025" i="11" a="1"/>
  <c r="E1025" i="11" s="1"/>
  <c r="D1025" i="11" a="1"/>
  <c r="D1025" i="11" s="1"/>
  <c r="H1024" i="11" a="1"/>
  <c r="H1024" i="11" s="1"/>
  <c r="G1024" i="11"/>
  <c r="G1024" i="11" a="1"/>
  <c r="F1024" i="11" a="1"/>
  <c r="F1024" i="11" s="1"/>
  <c r="E1024" i="11" a="1"/>
  <c r="E1024" i="11" s="1"/>
  <c r="D1024" i="11"/>
  <c r="D1024" i="11" a="1"/>
  <c r="H1023" i="11" a="1"/>
  <c r="H1023" i="11" s="1"/>
  <c r="G1023" i="11" a="1"/>
  <c r="G1023" i="11" s="1"/>
  <c r="F1023" i="11"/>
  <c r="F1023" i="11" a="1"/>
  <c r="E1023" i="11" a="1"/>
  <c r="E1023" i="11" s="1"/>
  <c r="D1023" i="11" a="1"/>
  <c r="D1023" i="11" s="1"/>
  <c r="H1022" i="11" a="1"/>
  <c r="H1022" i="11" s="1"/>
  <c r="G1022" i="11" a="1"/>
  <c r="G1022" i="11" s="1"/>
  <c r="F1022" i="11" a="1"/>
  <c r="F1022" i="11" s="1"/>
  <c r="E1022" i="11"/>
  <c r="E1022" i="11" a="1"/>
  <c r="D1022" i="11" a="1"/>
  <c r="D1022" i="11" s="1"/>
  <c r="H1021" i="11" a="1"/>
  <c r="H1021" i="11" s="1"/>
  <c r="G1021" i="11" a="1"/>
  <c r="G1021" i="11" s="1"/>
  <c r="F1021" i="11" a="1"/>
  <c r="F1021" i="11" s="1"/>
  <c r="E1021" i="11"/>
  <c r="E1021" i="11" a="1"/>
  <c r="D1021" i="11"/>
  <c r="D1021" i="11" a="1"/>
  <c r="H1020" i="11" a="1"/>
  <c r="H1020" i="11" s="1"/>
  <c r="G1020" i="11" a="1"/>
  <c r="G1020" i="11" s="1"/>
  <c r="F1020" i="11" a="1"/>
  <c r="F1020" i="11" s="1"/>
  <c r="E1020" i="11"/>
  <c r="E1020" i="11" a="1"/>
  <c r="D1020" i="11" a="1"/>
  <c r="D1020" i="11" s="1"/>
  <c r="H1019" i="11" a="1"/>
  <c r="H1019" i="11" s="1"/>
  <c r="G1019" i="11" a="1"/>
  <c r="G1019" i="11" s="1"/>
  <c r="F1019" i="11"/>
  <c r="F1019" i="11" a="1"/>
  <c r="E1019" i="11" a="1"/>
  <c r="E1019" i="11" s="1"/>
  <c r="D1019" i="11" a="1"/>
  <c r="D1019" i="11" s="1"/>
  <c r="H1018" i="11" a="1"/>
  <c r="H1018" i="11" s="1"/>
  <c r="G1018" i="11"/>
  <c r="G1018" i="11" a="1"/>
  <c r="F1018" i="11" a="1"/>
  <c r="F1018" i="11" s="1"/>
  <c r="E1018" i="11" a="1"/>
  <c r="E1018" i="11" s="1"/>
  <c r="D1018" i="11" a="1"/>
  <c r="D1018" i="11" s="1"/>
  <c r="H1017" i="11" a="1"/>
  <c r="H1017" i="11" s="1"/>
  <c r="G1017" i="11"/>
  <c r="G1017" i="11" a="1"/>
  <c r="F1017" i="11"/>
  <c r="F1017" i="11" a="1"/>
  <c r="E1017" i="11" a="1"/>
  <c r="E1017" i="11" s="1"/>
  <c r="D1017" i="11"/>
  <c r="D1017" i="11" a="1"/>
  <c r="H1016" i="11" a="1"/>
  <c r="H1016" i="11" s="1"/>
  <c r="G1016" i="11" a="1"/>
  <c r="G1016" i="11" s="1"/>
  <c r="F1016" i="11" a="1"/>
  <c r="F1016" i="11" s="1"/>
  <c r="E1016" i="11"/>
  <c r="E1016" i="11" a="1"/>
  <c r="D1016" i="11" a="1"/>
  <c r="D1016" i="11" s="1"/>
  <c r="H1015" i="11" a="1"/>
  <c r="H1015" i="11" s="1"/>
  <c r="G1015" i="11" a="1"/>
  <c r="G1015" i="11" s="1"/>
  <c r="F1015" i="11" a="1"/>
  <c r="F1015" i="11" s="1"/>
  <c r="E1015" i="11"/>
  <c r="E1015" i="11" a="1"/>
  <c r="D1015" i="11"/>
  <c r="D1015" i="11" a="1"/>
  <c r="H1014" i="11" a="1"/>
  <c r="H1014" i="11" s="1"/>
  <c r="G1014" i="11"/>
  <c r="G1014" i="11" a="1"/>
  <c r="F1014" i="11"/>
  <c r="F1014" i="11" a="1"/>
  <c r="E1014" i="11"/>
  <c r="E1014" i="11" a="1"/>
  <c r="D1014" i="11" a="1"/>
  <c r="D1014" i="11" s="1"/>
  <c r="H1013" i="11" a="1"/>
  <c r="H1013" i="11" s="1"/>
  <c r="G1013" i="11" a="1"/>
  <c r="G1013" i="11" s="1"/>
  <c r="F1013" i="11" a="1"/>
  <c r="F1013" i="11" s="1"/>
  <c r="E1013" i="11" a="1"/>
  <c r="E1013" i="11" s="1"/>
  <c r="D1013" i="11" a="1"/>
  <c r="D1013" i="11" s="1"/>
  <c r="H1012" i="11" a="1"/>
  <c r="H1012" i="11" s="1"/>
  <c r="G1012" i="11" a="1"/>
  <c r="G1012" i="11" s="1"/>
  <c r="F1012" i="11" a="1"/>
  <c r="F1012" i="11" s="1"/>
  <c r="E1012" i="11" a="1"/>
  <c r="E1012" i="11" s="1"/>
  <c r="D1012" i="11"/>
  <c r="D1012" i="11" a="1"/>
  <c r="H1011" i="11" a="1"/>
  <c r="H1011" i="11" s="1"/>
  <c r="G1011" i="11"/>
  <c r="G1011" i="11" a="1"/>
  <c r="F1011" i="11" a="1"/>
  <c r="F1011" i="11" s="1"/>
  <c r="E1011" i="11" a="1"/>
  <c r="E1011" i="11" s="1"/>
  <c r="D1011" i="11"/>
  <c r="D1011" i="11" a="1"/>
  <c r="H1010" i="11" a="1"/>
  <c r="H1010" i="11" s="1"/>
  <c r="G1010" i="11" a="1"/>
  <c r="G1010" i="11" s="1"/>
  <c r="F1010" i="11" a="1"/>
  <c r="F1010" i="11" s="1"/>
  <c r="E1010" i="11" a="1"/>
  <c r="E1010" i="11" s="1"/>
  <c r="D1010" i="11" a="1"/>
  <c r="D1010" i="11" s="1"/>
  <c r="H1009" i="11" a="1"/>
  <c r="H1009" i="11" s="1"/>
  <c r="G1009" i="11" a="1"/>
  <c r="G1009" i="11" s="1"/>
  <c r="F1009" i="11"/>
  <c r="F1009" i="11" a="1"/>
  <c r="E1009" i="11"/>
  <c r="E1009" i="11" a="1"/>
  <c r="D1009" i="11"/>
  <c r="D1009" i="11" a="1"/>
  <c r="H1008" i="11" a="1"/>
  <c r="H1008" i="11" s="1"/>
  <c r="G1008" i="11"/>
  <c r="G1008" i="11" a="1"/>
  <c r="F1008" i="11"/>
  <c r="F1008" i="11" a="1"/>
  <c r="E1008" i="11" a="1"/>
  <c r="E1008" i="11" s="1"/>
  <c r="D1008" i="11" a="1"/>
  <c r="D1008" i="11" s="1"/>
  <c r="H1007" i="11" a="1"/>
  <c r="H1007" i="11" s="1"/>
  <c r="G1007" i="11" a="1"/>
  <c r="G1007" i="11" s="1"/>
  <c r="F1007" i="11" a="1"/>
  <c r="F1007" i="11" s="1"/>
  <c r="E1007" i="11" a="1"/>
  <c r="E1007" i="11" s="1"/>
  <c r="D1007" i="11" a="1"/>
  <c r="D1007" i="11" s="1"/>
  <c r="H1006" i="11" a="1"/>
  <c r="H1006" i="11" s="1"/>
  <c r="G1006" i="11"/>
  <c r="G1006" i="11" a="1"/>
  <c r="F1006" i="11" a="1"/>
  <c r="F1006" i="11" s="1"/>
  <c r="E1006" i="11" a="1"/>
  <c r="E1006" i="11" s="1"/>
  <c r="D1006" i="11" a="1"/>
  <c r="D1006" i="11" s="1"/>
  <c r="H1005" i="11" a="1"/>
  <c r="H1005" i="11" s="1"/>
  <c r="G1005" i="11"/>
  <c r="G1005" i="11" a="1"/>
  <c r="F1005" i="11" a="1"/>
  <c r="F1005" i="11" s="1"/>
  <c r="E1005" i="11" a="1"/>
  <c r="E1005" i="11" s="1"/>
  <c r="D1005" i="11"/>
  <c r="D1005" i="11" a="1"/>
  <c r="H1004" i="11" a="1"/>
  <c r="H1004" i="11" s="1"/>
  <c r="G1004" i="11" a="1"/>
  <c r="G1004" i="11" s="1"/>
  <c r="F1004" i="11" a="1"/>
  <c r="F1004" i="11" s="1"/>
  <c r="E1004" i="11"/>
  <c r="E1004" i="11" a="1"/>
  <c r="D1004" i="11" a="1"/>
  <c r="D1004" i="11" s="1"/>
  <c r="H1003" i="11" a="1"/>
  <c r="H1003" i="11" s="1"/>
  <c r="G1003" i="11" a="1"/>
  <c r="G1003" i="11" s="1"/>
  <c r="F1003" i="11" a="1"/>
  <c r="F1003" i="11" s="1"/>
  <c r="E1003" i="11"/>
  <c r="E1003" i="11" a="1"/>
  <c r="D1003" i="11" a="1"/>
  <c r="D1003" i="11" s="1"/>
  <c r="H1002" i="11" a="1"/>
  <c r="H1002" i="11" s="1"/>
  <c r="G1002" i="11"/>
  <c r="G1002" i="11" a="1"/>
  <c r="F1002" i="11"/>
  <c r="F1002" i="11" a="1"/>
  <c r="E1002" i="11" a="1"/>
  <c r="E1002" i="11" s="1"/>
  <c r="D1002" i="11" a="1"/>
  <c r="D1002" i="11" s="1"/>
  <c r="H1001" i="11" a="1"/>
  <c r="H1001" i="11" s="1"/>
  <c r="G1001" i="11" a="1"/>
  <c r="G1001" i="11" s="1"/>
  <c r="F1001" i="11" a="1"/>
  <c r="F1001" i="11" s="1"/>
  <c r="E1001" i="11" a="1"/>
  <c r="E1001" i="11" s="1"/>
  <c r="D1001" i="11" a="1"/>
  <c r="D1001" i="11" s="1"/>
  <c r="H1000" i="11" a="1"/>
  <c r="H1000" i="11" s="1"/>
  <c r="G1000" i="11"/>
  <c r="G1000" i="11" a="1"/>
  <c r="F1000" i="11" a="1"/>
  <c r="F1000" i="11" s="1"/>
  <c r="E1000" i="11"/>
  <c r="E1000" i="11" a="1"/>
  <c r="D1000" i="11"/>
  <c r="D1000" i="11" a="1"/>
  <c r="H999" i="11" a="1"/>
  <c r="H999" i="11" s="1"/>
  <c r="G999" i="11" a="1"/>
  <c r="G999" i="11" s="1"/>
  <c r="F999" i="11" a="1"/>
  <c r="F999" i="11" s="1"/>
  <c r="E999" i="11" a="1"/>
  <c r="E999" i="11" s="1"/>
  <c r="D999" i="11"/>
  <c r="D999" i="11" a="1"/>
  <c r="H998" i="11" a="1"/>
  <c r="H998" i="11" s="1"/>
  <c r="G998" i="11" a="1"/>
  <c r="G998" i="11" s="1"/>
  <c r="F998" i="11" a="1"/>
  <c r="F998" i="11" s="1"/>
  <c r="E998" i="11"/>
  <c r="E998" i="11" a="1"/>
  <c r="D998" i="11" a="1"/>
  <c r="D998" i="11" s="1"/>
  <c r="H997" i="11" a="1"/>
  <c r="H997" i="11" s="1"/>
  <c r="G997" i="11"/>
  <c r="G997" i="11" a="1"/>
  <c r="F997" i="11"/>
  <c r="F997" i="11" a="1"/>
  <c r="E997" i="11"/>
  <c r="E997" i="11" a="1"/>
  <c r="D997" i="11" a="1"/>
  <c r="D997" i="11" s="1"/>
  <c r="H996" i="11" a="1"/>
  <c r="H996" i="11" s="1"/>
  <c r="G996" i="11"/>
  <c r="G996" i="11" a="1"/>
  <c r="F996" i="11" a="1"/>
  <c r="F996" i="11" s="1"/>
  <c r="E996" i="11" a="1"/>
  <c r="E996" i="11" s="1"/>
  <c r="D996" i="11" a="1"/>
  <c r="D996" i="11" s="1"/>
  <c r="H995" i="11" a="1"/>
  <c r="H995" i="11" s="1"/>
  <c r="G995" i="11" a="1"/>
  <c r="G995" i="11" s="1"/>
  <c r="F995" i="11" a="1"/>
  <c r="F995" i="11" s="1"/>
  <c r="E995" i="11" a="1"/>
  <c r="E995" i="11" s="1"/>
  <c r="D995" i="11"/>
  <c r="D995" i="11" a="1"/>
  <c r="H994" i="11" a="1"/>
  <c r="H994" i="11" s="1"/>
  <c r="G994" i="11"/>
  <c r="G994" i="11" a="1"/>
  <c r="F994" i="11" a="1"/>
  <c r="F994" i="11" s="1"/>
  <c r="E994" i="11"/>
  <c r="E994" i="11" a="1"/>
  <c r="D994" i="11" a="1"/>
  <c r="D994" i="11" s="1"/>
  <c r="H993" i="11" a="1"/>
  <c r="H993" i="11" s="1"/>
  <c r="G993" i="11" a="1"/>
  <c r="G993" i="11" s="1"/>
  <c r="F993" i="11" a="1"/>
  <c r="F993" i="11" s="1"/>
  <c r="E993" i="11" a="1"/>
  <c r="E993" i="11" s="1"/>
  <c r="D993" i="11" a="1"/>
  <c r="D993" i="11" s="1"/>
  <c r="H992" i="11" a="1"/>
  <c r="H992" i="11" s="1"/>
  <c r="G992" i="11"/>
  <c r="G992" i="11" a="1"/>
  <c r="F992" i="11"/>
  <c r="F992" i="11" a="1"/>
  <c r="E992" i="11"/>
  <c r="E992" i="11" a="1"/>
  <c r="D992" i="11" a="1"/>
  <c r="D992" i="11" s="1"/>
  <c r="H991" i="11" a="1"/>
  <c r="H991" i="11" s="1"/>
  <c r="G991" i="11"/>
  <c r="G991" i="11" a="1"/>
  <c r="F991" i="11" a="1"/>
  <c r="F991" i="11" s="1"/>
  <c r="E991" i="11"/>
  <c r="E991" i="11" a="1"/>
  <c r="D991" i="11" a="1"/>
  <c r="D991" i="11" s="1"/>
  <c r="H990" i="11" a="1"/>
  <c r="H990" i="11" s="1"/>
  <c r="G990" i="11"/>
  <c r="G990" i="11" a="1"/>
  <c r="F990" i="11" a="1"/>
  <c r="F990" i="11" s="1"/>
  <c r="E990" i="11" a="1"/>
  <c r="E990" i="11" s="1"/>
  <c r="D990" i="11" a="1"/>
  <c r="D990" i="11" s="1"/>
  <c r="H989" i="11" a="1"/>
  <c r="H989" i="11" s="1"/>
  <c r="G989" i="11" a="1"/>
  <c r="G989" i="11" s="1"/>
  <c r="F989" i="11" a="1"/>
  <c r="F989" i="11" s="1"/>
  <c r="E989" i="11" a="1"/>
  <c r="E989" i="11" s="1"/>
  <c r="D989" i="11" a="1"/>
  <c r="D989" i="11" s="1"/>
  <c r="H988" i="11" a="1"/>
  <c r="H988" i="11" s="1"/>
  <c r="G988" i="11"/>
  <c r="G988" i="11" a="1"/>
  <c r="F988" i="11" a="1"/>
  <c r="F988" i="11" s="1"/>
  <c r="E988" i="11"/>
  <c r="E988" i="11" a="1"/>
  <c r="D988" i="11"/>
  <c r="D988" i="11" a="1"/>
  <c r="H987" i="11" a="1"/>
  <c r="H987" i="11" s="1"/>
  <c r="G987" i="11" a="1"/>
  <c r="G987" i="11" s="1"/>
  <c r="F987" i="11" a="1"/>
  <c r="F987" i="11" s="1"/>
  <c r="E987" i="11" a="1"/>
  <c r="E987" i="11" s="1"/>
  <c r="D987" i="11" a="1"/>
  <c r="D987" i="11" s="1"/>
  <c r="H986" i="11" a="1"/>
  <c r="H986" i="11" s="1"/>
  <c r="G986" i="11" a="1"/>
  <c r="G986" i="11" s="1"/>
  <c r="F986" i="11"/>
  <c r="F986" i="11" a="1"/>
  <c r="E986" i="11" a="1"/>
  <c r="E986" i="11" s="1"/>
  <c r="D986" i="11" a="1"/>
  <c r="D986" i="11" s="1"/>
  <c r="H985" i="11" a="1"/>
  <c r="H985" i="11" s="1"/>
  <c r="G985" i="11"/>
  <c r="G985" i="11" a="1"/>
  <c r="F985" i="11"/>
  <c r="F985" i="11" a="1"/>
  <c r="E985" i="11" a="1"/>
  <c r="E985" i="11" s="1"/>
  <c r="D985" i="11"/>
  <c r="D985" i="11" a="1"/>
  <c r="H984" i="11" a="1"/>
  <c r="H984" i="11" s="1"/>
  <c r="G984" i="11" a="1"/>
  <c r="G984" i="11" s="1"/>
  <c r="F984" i="11" a="1"/>
  <c r="F984" i="11" s="1"/>
  <c r="E984" i="11" a="1"/>
  <c r="E984" i="11" s="1"/>
  <c r="D984" i="11" a="1"/>
  <c r="D984" i="11" s="1"/>
  <c r="H983" i="11" a="1"/>
  <c r="H983" i="11" s="1"/>
  <c r="G983" i="11" a="1"/>
  <c r="G983" i="11" s="1"/>
  <c r="F983" i="11"/>
  <c r="F983" i="11" a="1"/>
  <c r="E983" i="11"/>
  <c r="E983" i="11" a="1"/>
  <c r="D983" i="11"/>
  <c r="D983" i="11" a="1"/>
  <c r="H982" i="11" a="1"/>
  <c r="H982" i="11" s="1"/>
  <c r="G982" i="11" a="1"/>
  <c r="G982" i="11" s="1"/>
  <c r="F982" i="11" a="1"/>
  <c r="F982" i="11" s="1"/>
  <c r="E982" i="11" a="1"/>
  <c r="E982" i="11" s="1"/>
  <c r="D982" i="11"/>
  <c r="D982" i="11" a="1"/>
  <c r="H981" i="11" a="1"/>
  <c r="H981" i="11" s="1"/>
  <c r="G981" i="11" a="1"/>
  <c r="G981" i="11" s="1"/>
  <c r="F981" i="11" a="1"/>
  <c r="F981" i="11" s="1"/>
  <c r="E981" i="11" a="1"/>
  <c r="E981" i="11" s="1"/>
  <c r="D981" i="11"/>
  <c r="D981" i="11" a="1"/>
  <c r="H980" i="11" a="1"/>
  <c r="H980" i="11" s="1"/>
  <c r="G980" i="11"/>
  <c r="G980" i="11" a="1"/>
  <c r="F980" i="11"/>
  <c r="F980" i="11" a="1"/>
  <c r="E980" i="11"/>
  <c r="E980" i="11" a="1"/>
  <c r="D980" i="11" a="1"/>
  <c r="D980" i="11" s="1"/>
  <c r="H979" i="11" a="1"/>
  <c r="H979" i="11" s="1"/>
  <c r="G979" i="11" a="1"/>
  <c r="G979" i="11" s="1"/>
  <c r="F979" i="11"/>
  <c r="F979" i="11" a="1"/>
  <c r="E979" i="11" a="1"/>
  <c r="E979" i="11" s="1"/>
  <c r="D979" i="11" a="1"/>
  <c r="D979" i="11" s="1"/>
  <c r="H978" i="11" a="1"/>
  <c r="H978" i="11" s="1"/>
  <c r="G978" i="11" a="1"/>
  <c r="G978" i="11" s="1"/>
  <c r="F978" i="11" a="1"/>
  <c r="F978" i="11" s="1"/>
  <c r="E978" i="11"/>
  <c r="E978" i="11" a="1"/>
  <c r="D978" i="11"/>
  <c r="D978" i="11" a="1"/>
  <c r="H977" i="11" a="1"/>
  <c r="H977" i="11" s="1"/>
  <c r="G977" i="11" a="1"/>
  <c r="G977" i="11" s="1"/>
  <c r="F977" i="11" a="1"/>
  <c r="F977" i="11" s="1"/>
  <c r="E977" i="11"/>
  <c r="E977" i="11" a="1"/>
  <c r="D977" i="11" a="1"/>
  <c r="D977" i="11" s="1"/>
  <c r="H976" i="11" a="1"/>
  <c r="H976" i="11" s="1"/>
  <c r="G976" i="11" a="1"/>
  <c r="G976" i="11" s="1"/>
  <c r="F976" i="11" a="1"/>
  <c r="F976" i="11" s="1"/>
  <c r="E976" i="11"/>
  <c r="E976" i="11" a="1"/>
  <c r="D976" i="11" a="1"/>
  <c r="D976" i="11" s="1"/>
  <c r="H975" i="11" a="1"/>
  <c r="H975" i="11" s="1"/>
  <c r="G975" i="11" a="1"/>
  <c r="G975" i="11" s="1"/>
  <c r="F975" i="11"/>
  <c r="F975" i="11" a="1"/>
  <c r="E975" i="11" a="1"/>
  <c r="E975" i="11" s="1"/>
  <c r="D975" i="11" a="1"/>
  <c r="D975" i="11" s="1"/>
  <c r="H974" i="11" a="1"/>
  <c r="H974" i="11" s="1"/>
  <c r="G974" i="11"/>
  <c r="G974" i="11" a="1"/>
  <c r="F974" i="11" a="1"/>
  <c r="F974" i="11" s="1"/>
  <c r="E974" i="11"/>
  <c r="E974" i="11" a="1"/>
  <c r="D974" i="11" a="1"/>
  <c r="D974" i="11" s="1"/>
  <c r="H973" i="11" a="1"/>
  <c r="H973" i="11" s="1"/>
  <c r="G973" i="11"/>
  <c r="G973" i="11" a="1"/>
  <c r="F973" i="11" a="1"/>
  <c r="F973" i="11" s="1"/>
  <c r="E973" i="11"/>
  <c r="E973" i="11" a="1"/>
  <c r="D973" i="11" a="1"/>
  <c r="D973" i="11" s="1"/>
  <c r="H972" i="11" a="1"/>
  <c r="H972" i="11" s="1"/>
  <c r="G972" i="11" a="1"/>
  <c r="G972" i="11" s="1"/>
  <c r="F972" i="11" a="1"/>
  <c r="F972" i="11" s="1"/>
  <c r="E972" i="11" a="1"/>
  <c r="E972" i="11" s="1"/>
  <c r="D972" i="11" a="1"/>
  <c r="D972" i="11" s="1"/>
  <c r="H971" i="11" a="1"/>
  <c r="H971" i="11" s="1"/>
  <c r="G971" i="11" a="1"/>
  <c r="G971" i="11" s="1"/>
  <c r="F971" i="11"/>
  <c r="F971" i="11" a="1"/>
  <c r="E971" i="11"/>
  <c r="E971" i="11" a="1"/>
  <c r="D971" i="11"/>
  <c r="D971" i="11" a="1"/>
  <c r="H970" i="11" a="1"/>
  <c r="H970" i="11" s="1"/>
  <c r="G970" i="11"/>
  <c r="G970" i="11" a="1"/>
  <c r="F970" i="11" a="1"/>
  <c r="F970" i="11" s="1"/>
  <c r="E970" i="11" a="1"/>
  <c r="E970" i="11" s="1"/>
  <c r="D970" i="11" a="1"/>
  <c r="D970" i="11" s="1"/>
  <c r="H969" i="11" a="1"/>
  <c r="H969" i="11" s="1"/>
  <c r="G969" i="11" a="1"/>
  <c r="G969" i="11" s="1"/>
  <c r="F969" i="11"/>
  <c r="F969" i="11" a="1"/>
  <c r="E969" i="11" a="1"/>
  <c r="E969" i="11" s="1"/>
  <c r="D969" i="11" a="1"/>
  <c r="D969" i="11" s="1"/>
  <c r="H968" i="11" a="1"/>
  <c r="H968" i="11" s="1"/>
  <c r="G968" i="11"/>
  <c r="G968" i="11" a="1"/>
  <c r="F968" i="11"/>
  <c r="F968" i="11" a="1"/>
  <c r="E968" i="11" a="1"/>
  <c r="E968" i="11" s="1"/>
  <c r="D968" i="11" a="1"/>
  <c r="D968" i="11" s="1"/>
  <c r="H967" i="11" a="1"/>
  <c r="H967" i="11" s="1"/>
  <c r="G967" i="11" a="1"/>
  <c r="G967" i="11" s="1"/>
  <c r="F967" i="11" a="1"/>
  <c r="F967" i="11" s="1"/>
  <c r="E967" i="11" a="1"/>
  <c r="E967" i="11" s="1"/>
  <c r="D967" i="11" a="1"/>
  <c r="D967" i="11" s="1"/>
  <c r="H966" i="11" a="1"/>
  <c r="H966" i="11" s="1"/>
  <c r="G966" i="11" a="1"/>
  <c r="G966" i="11" s="1"/>
  <c r="F966" i="11"/>
  <c r="F966" i="11" a="1"/>
  <c r="E966" i="11"/>
  <c r="E966" i="11" a="1"/>
  <c r="D966" i="11"/>
  <c r="D966" i="11" a="1"/>
  <c r="H965" i="11" a="1"/>
  <c r="H965" i="11" s="1"/>
  <c r="G965" i="11" a="1"/>
  <c r="G965" i="11" s="1"/>
  <c r="F965" i="11"/>
  <c r="F965" i="11" a="1"/>
  <c r="E965" i="11" a="1"/>
  <c r="E965" i="11" s="1"/>
  <c r="D965" i="11"/>
  <c r="D965" i="11" a="1"/>
  <c r="H964" i="11" a="1"/>
  <c r="H964" i="11" s="1"/>
  <c r="G964" i="11" a="1"/>
  <c r="G964" i="11" s="1"/>
  <c r="F964" i="11" a="1"/>
  <c r="F964" i="11" s="1"/>
  <c r="E964" i="11" a="1"/>
  <c r="E964" i="11" s="1"/>
  <c r="D964" i="11" a="1"/>
  <c r="D964" i="11" s="1"/>
  <c r="H963" i="11" a="1"/>
  <c r="H963" i="11" s="1"/>
  <c r="G963" i="11"/>
  <c r="G963" i="11" a="1"/>
  <c r="F963" i="11"/>
  <c r="F963" i="11" a="1"/>
  <c r="E963" i="11" a="1"/>
  <c r="E963" i="11" s="1"/>
  <c r="D963" i="11" a="1"/>
  <c r="D963" i="11" s="1"/>
  <c r="H962" i="11" a="1"/>
  <c r="H962" i="11" s="1"/>
  <c r="G962" i="11" a="1"/>
  <c r="G962" i="11" s="1"/>
  <c r="F962" i="11"/>
  <c r="F962" i="11" a="1"/>
  <c r="E962" i="11" a="1"/>
  <c r="E962" i="11" s="1"/>
  <c r="D962" i="11" a="1"/>
  <c r="D962" i="11" s="1"/>
  <c r="H961" i="11" a="1"/>
  <c r="H961" i="11" s="1"/>
  <c r="G961" i="11" a="1"/>
  <c r="G961" i="11" s="1"/>
  <c r="F961" i="11" a="1"/>
  <c r="F961" i="11" s="1"/>
  <c r="E961" i="11"/>
  <c r="E961" i="11" a="1"/>
  <c r="D961" i="11"/>
  <c r="D961" i="11" a="1"/>
  <c r="H960" i="11" a="1"/>
  <c r="H960" i="11" s="1"/>
  <c r="G960" i="11" a="1"/>
  <c r="G960" i="11" s="1"/>
  <c r="F960" i="11" a="1"/>
  <c r="F960" i="11" s="1"/>
  <c r="E960" i="11"/>
  <c r="E960" i="11" a="1"/>
  <c r="D960" i="11" a="1"/>
  <c r="D960" i="11" s="1"/>
  <c r="H959" i="11" a="1"/>
  <c r="H959" i="11" s="1"/>
  <c r="G959" i="11" a="1"/>
  <c r="G959" i="11" s="1"/>
  <c r="F959" i="11"/>
  <c r="F959" i="11" a="1"/>
  <c r="E959" i="11"/>
  <c r="E959" i="11" a="1"/>
  <c r="D959" i="11"/>
  <c r="D959" i="11" a="1"/>
  <c r="H958" i="11" a="1"/>
  <c r="H958" i="11" s="1"/>
  <c r="G958" i="11" a="1"/>
  <c r="G958" i="11" s="1"/>
  <c r="F958" i="11" a="1"/>
  <c r="F958" i="11" s="1"/>
  <c r="E958" i="11" a="1"/>
  <c r="E958" i="11" s="1"/>
  <c r="D958" i="11" a="1"/>
  <c r="D958" i="11" s="1"/>
  <c r="H957" i="11" a="1"/>
  <c r="H957" i="11" s="1"/>
  <c r="G957" i="11" a="1"/>
  <c r="G957" i="11" s="1"/>
  <c r="F957" i="11"/>
  <c r="F957" i="11" a="1"/>
  <c r="E957" i="11" a="1"/>
  <c r="E957" i="11" s="1"/>
  <c r="D957" i="11"/>
  <c r="D957" i="11" a="1"/>
  <c r="H956" i="11" a="1"/>
  <c r="H956" i="11" s="1"/>
  <c r="G956" i="11"/>
  <c r="G956" i="11" a="1"/>
  <c r="F956" i="11"/>
  <c r="F956" i="11" a="1"/>
  <c r="E956" i="11" a="1"/>
  <c r="E956" i="11" s="1"/>
  <c r="D956" i="11" a="1"/>
  <c r="D956" i="11" s="1"/>
  <c r="H955" i="11" a="1"/>
  <c r="H955" i="11" s="1"/>
  <c r="G955" i="11" a="1"/>
  <c r="G955" i="11" s="1"/>
  <c r="F955" i="11" a="1"/>
  <c r="F955" i="11" s="1"/>
  <c r="E955" i="11" a="1"/>
  <c r="E955" i="11" s="1"/>
  <c r="D955" i="11" a="1"/>
  <c r="D955" i="11" s="1"/>
  <c r="H954" i="11" a="1"/>
  <c r="H954" i="11" s="1"/>
  <c r="G954" i="11" a="1"/>
  <c r="G954" i="11" s="1"/>
  <c r="F954" i="11"/>
  <c r="F954" i="11" a="1"/>
  <c r="E954" i="11"/>
  <c r="E954" i="11" a="1"/>
  <c r="D954" i="11"/>
  <c r="D954" i="11" a="1"/>
  <c r="H953" i="11" a="1"/>
  <c r="H953" i="11" s="1"/>
  <c r="G953" i="11" a="1"/>
  <c r="G953" i="11" s="1"/>
  <c r="F953" i="11"/>
  <c r="F953" i="11" a="1"/>
  <c r="E953" i="11"/>
  <c r="E953" i="11" a="1"/>
  <c r="D953" i="11" a="1"/>
  <c r="D953" i="11" s="1"/>
  <c r="H952" i="11" a="1"/>
  <c r="H952" i="11" s="1"/>
  <c r="G952" i="11" a="1"/>
  <c r="G952" i="11" s="1"/>
  <c r="F952" i="11" a="1"/>
  <c r="F952" i="11" s="1"/>
  <c r="E952" i="11"/>
  <c r="E952" i="11" a="1"/>
  <c r="D952" i="11" a="1"/>
  <c r="D952" i="11" s="1"/>
  <c r="H951" i="11" a="1"/>
  <c r="H951" i="11" s="1"/>
  <c r="G951" i="11"/>
  <c r="G951" i="11" a="1"/>
  <c r="F951" i="11"/>
  <c r="F951" i="11" a="1"/>
  <c r="E951" i="11" a="1"/>
  <c r="E951" i="11" s="1"/>
  <c r="D951" i="11" a="1"/>
  <c r="D951" i="11" s="1"/>
  <c r="H950" i="11" a="1"/>
  <c r="H950" i="11" s="1"/>
  <c r="G950" i="11" a="1"/>
  <c r="G950" i="11" s="1"/>
  <c r="F950" i="11" a="1"/>
  <c r="F950" i="11" s="1"/>
  <c r="E950" i="11" a="1"/>
  <c r="E950" i="11" s="1"/>
  <c r="D950" i="11" a="1"/>
  <c r="D950" i="11" s="1"/>
  <c r="H949" i="11" a="1"/>
  <c r="H949" i="11" s="1"/>
  <c r="G949" i="11" a="1"/>
  <c r="G949" i="11" s="1"/>
  <c r="F949" i="11" a="1"/>
  <c r="F949" i="11" s="1"/>
  <c r="E949" i="11"/>
  <c r="E949" i="11" a="1"/>
  <c r="D949" i="11"/>
  <c r="D949" i="11" a="1"/>
  <c r="H948" i="11" a="1"/>
  <c r="H948" i="11" s="1"/>
  <c r="G948" i="11" a="1"/>
  <c r="G948" i="11" s="1"/>
  <c r="F948" i="11"/>
  <c r="F948" i="11" a="1"/>
  <c r="E948" i="11" a="1"/>
  <c r="E948" i="11" s="1"/>
  <c r="D948" i="11" a="1"/>
  <c r="D948" i="11" s="1"/>
  <c r="H947" i="11" a="1"/>
  <c r="H947" i="11" s="1"/>
  <c r="G947" i="11" a="1"/>
  <c r="G947" i="11" s="1"/>
  <c r="F947" i="11"/>
  <c r="F947" i="11" a="1"/>
  <c r="E947" i="11" a="1"/>
  <c r="E947" i="11" s="1"/>
  <c r="D947" i="11"/>
  <c r="D947" i="11" a="1"/>
  <c r="H946" i="11" a="1"/>
  <c r="H946" i="11" s="1"/>
  <c r="G946" i="11"/>
  <c r="G946" i="11" a="1"/>
  <c r="F946" i="11" a="1"/>
  <c r="F946" i="11" s="1"/>
  <c r="E946" i="11" a="1"/>
  <c r="E946" i="11" s="1"/>
  <c r="D946" i="11" a="1"/>
  <c r="D946" i="11" s="1"/>
  <c r="H945" i="11" a="1"/>
  <c r="H945" i="11" s="1"/>
  <c r="G945" i="11"/>
  <c r="G945" i="11" a="1"/>
  <c r="F945" i="11" a="1"/>
  <c r="F945" i="11" s="1"/>
  <c r="E945" i="11" a="1"/>
  <c r="E945" i="11" s="1"/>
  <c r="D945" i="11"/>
  <c r="D945" i="11" a="1"/>
  <c r="H944" i="11" a="1"/>
  <c r="H944" i="11" s="1"/>
  <c r="G944" i="11"/>
  <c r="G944" i="11" a="1"/>
  <c r="F944" i="11"/>
  <c r="F944" i="11" a="1"/>
  <c r="E944" i="11"/>
  <c r="E944" i="11" a="1"/>
  <c r="D944" i="11" a="1"/>
  <c r="D944" i="11" s="1"/>
  <c r="H943" i="11" a="1"/>
  <c r="H943" i="11" s="1"/>
  <c r="G943" i="11" a="1"/>
  <c r="G943" i="11" s="1"/>
  <c r="F943" i="11" a="1"/>
  <c r="F943" i="11" s="1"/>
  <c r="E943" i="11" a="1"/>
  <c r="E943" i="11" s="1"/>
  <c r="D943" i="11"/>
  <c r="D943" i="11" a="1"/>
  <c r="H942" i="11" a="1"/>
  <c r="H942" i="11" s="1"/>
  <c r="G942" i="11"/>
  <c r="G942" i="11" a="1"/>
  <c r="F942" i="11"/>
  <c r="F942" i="11" a="1"/>
  <c r="E942" i="11"/>
  <c r="E942" i="11" a="1"/>
  <c r="D942" i="11"/>
  <c r="D942" i="11" a="1"/>
  <c r="H941" i="11" a="1"/>
  <c r="H941" i="11" s="1"/>
  <c r="G941" i="11" a="1"/>
  <c r="G941" i="11" s="1"/>
  <c r="F941" i="11" a="1"/>
  <c r="F941" i="11" s="1"/>
  <c r="E941" i="11" a="1"/>
  <c r="E941" i="11" s="1"/>
  <c r="D941" i="11" a="1"/>
  <c r="D941" i="11" s="1"/>
  <c r="H940" i="11" a="1"/>
  <c r="H940" i="11" s="1"/>
  <c r="G940" i="11" a="1"/>
  <c r="G940" i="11" s="1"/>
  <c r="F940" i="11" a="1"/>
  <c r="F940" i="11" s="1"/>
  <c r="E940" i="11" a="1"/>
  <c r="E940" i="11" s="1"/>
  <c r="D940" i="11"/>
  <c r="D940" i="11" a="1"/>
  <c r="H939" i="11" a="1"/>
  <c r="H939" i="11" s="1"/>
  <c r="G939" i="11"/>
  <c r="G939" i="11" a="1"/>
  <c r="F939" i="11" a="1"/>
  <c r="F939" i="11" s="1"/>
  <c r="E939" i="11" a="1"/>
  <c r="E939" i="11" s="1"/>
  <c r="D939" i="11"/>
  <c r="D939" i="11" a="1"/>
  <c r="H938" i="11" a="1"/>
  <c r="H938" i="11" s="1"/>
  <c r="G938" i="11" a="1"/>
  <c r="G938" i="11" s="1"/>
  <c r="F938" i="11" a="1"/>
  <c r="F938" i="11" s="1"/>
  <c r="E938" i="11" a="1"/>
  <c r="E938" i="11" s="1"/>
  <c r="D938" i="11"/>
  <c r="D938" i="11" a="1"/>
  <c r="H937" i="11" a="1"/>
  <c r="H937" i="11" s="1"/>
  <c r="G937" i="11"/>
  <c r="G937" i="11" a="1"/>
  <c r="F937" i="11" a="1"/>
  <c r="F937" i="11" s="1"/>
  <c r="E937" i="11" a="1"/>
  <c r="E937" i="11" s="1"/>
  <c r="D937" i="11" a="1"/>
  <c r="D937" i="11" s="1"/>
  <c r="H936" i="11" a="1"/>
  <c r="H936" i="11" s="1"/>
  <c r="G936" i="11"/>
  <c r="G936" i="11" a="1"/>
  <c r="F936" i="11" a="1"/>
  <c r="F936" i="11" s="1"/>
  <c r="E936" i="11" a="1"/>
  <c r="E936" i="11" s="1"/>
  <c r="D936" i="11" a="1"/>
  <c r="D936" i="11" s="1"/>
  <c r="H935" i="11" a="1"/>
  <c r="H935" i="11" s="1"/>
  <c r="G935" i="11" a="1"/>
  <c r="G935" i="11" s="1"/>
  <c r="F935" i="11"/>
  <c r="F935" i="11" a="1"/>
  <c r="E935" i="11"/>
  <c r="E935" i="11" a="1"/>
  <c r="D935" i="11" a="1"/>
  <c r="D935" i="11" s="1"/>
  <c r="H934" i="11" a="1"/>
  <c r="H934" i="11" s="1"/>
  <c r="G934" i="11" a="1"/>
  <c r="G934" i="11" s="1"/>
  <c r="F934" i="11" a="1"/>
  <c r="F934" i="11" s="1"/>
  <c r="E934" i="11"/>
  <c r="E934" i="11" a="1"/>
  <c r="D934" i="11"/>
  <c r="D934" i="11" a="1"/>
  <c r="H933" i="11" a="1"/>
  <c r="H933" i="11" s="1"/>
  <c r="G933" i="11" a="1"/>
  <c r="G933" i="11" s="1"/>
  <c r="F933" i="11" a="1"/>
  <c r="F933" i="11" s="1"/>
  <c r="E933" i="11"/>
  <c r="E933" i="11" a="1"/>
  <c r="D933" i="11" a="1"/>
  <c r="D933" i="11" s="1"/>
  <c r="H932" i="11" a="1"/>
  <c r="H932" i="11" s="1"/>
  <c r="G932" i="11" a="1"/>
  <c r="G932" i="11" s="1"/>
  <c r="F932" i="11" a="1"/>
  <c r="F932" i="11" s="1"/>
  <c r="E932" i="11" a="1"/>
  <c r="E932" i="11" s="1"/>
  <c r="D932" i="11" a="1"/>
  <c r="D932" i="11" s="1"/>
  <c r="H931" i="11" a="1"/>
  <c r="H931" i="11" s="1"/>
  <c r="G931" i="11" a="1"/>
  <c r="G931" i="11" s="1"/>
  <c r="F931" i="11" a="1"/>
  <c r="F931" i="11" s="1"/>
  <c r="E931" i="11" a="1"/>
  <c r="E931" i="11" s="1"/>
  <c r="D931" i="11" a="1"/>
  <c r="D931" i="11" s="1"/>
  <c r="H930" i="11" a="1"/>
  <c r="H930" i="11" s="1"/>
  <c r="G930" i="11"/>
  <c r="G930" i="11" a="1"/>
  <c r="F930" i="11" a="1"/>
  <c r="F930" i="11" s="1"/>
  <c r="E930" i="11" a="1"/>
  <c r="E930" i="11" s="1"/>
  <c r="D930" i="11" a="1"/>
  <c r="D930" i="11" s="1"/>
  <c r="H929" i="11" a="1"/>
  <c r="H929" i="11" s="1"/>
  <c r="G929" i="11" a="1"/>
  <c r="G929" i="11" s="1"/>
  <c r="F929" i="11"/>
  <c r="F929" i="11" a="1"/>
  <c r="E929" i="11"/>
  <c r="E929" i="11" a="1"/>
  <c r="D929" i="11" a="1"/>
  <c r="D929" i="11" s="1"/>
  <c r="H928" i="11" a="1"/>
  <c r="H928" i="11" s="1"/>
  <c r="G928" i="11" a="1"/>
  <c r="G928" i="11" s="1"/>
  <c r="F928" i="11"/>
  <c r="F928" i="11" a="1"/>
  <c r="E928" i="11" a="1"/>
  <c r="E928" i="11" s="1"/>
  <c r="D928" i="11" a="1"/>
  <c r="D928" i="11" s="1"/>
  <c r="H927" i="11" a="1"/>
  <c r="H927" i="11" s="1"/>
  <c r="G927" i="11" a="1"/>
  <c r="G927" i="11" s="1"/>
  <c r="F927" i="11" a="1"/>
  <c r="F927" i="11" s="1"/>
  <c r="E927" i="11" a="1"/>
  <c r="E927" i="11" s="1"/>
  <c r="D927" i="11"/>
  <c r="D927" i="11" a="1"/>
  <c r="H926" i="11" a="1"/>
  <c r="H926" i="11" s="1"/>
  <c r="G926" i="11" a="1"/>
  <c r="G926" i="11" s="1"/>
  <c r="F926" i="11" a="1"/>
  <c r="F926" i="11" s="1"/>
  <c r="E926" i="11" a="1"/>
  <c r="E926" i="11" s="1"/>
  <c r="D926" i="11" a="1"/>
  <c r="D926" i="11" s="1"/>
  <c r="H925" i="11" a="1"/>
  <c r="H925" i="11" s="1"/>
  <c r="G925" i="11"/>
  <c r="G925" i="11" a="1"/>
  <c r="F925" i="11" a="1"/>
  <c r="F925" i="11" s="1"/>
  <c r="E925" i="11" a="1"/>
  <c r="E925" i="11" s="1"/>
  <c r="D925" i="11" a="1"/>
  <c r="D925" i="11" s="1"/>
  <c r="H924" i="11" a="1"/>
  <c r="H924" i="11" s="1"/>
  <c r="G924" i="11"/>
  <c r="G924" i="11" a="1"/>
  <c r="F924" i="11" a="1"/>
  <c r="F924" i="11" s="1"/>
  <c r="E924" i="11" a="1"/>
  <c r="E924" i="11" s="1"/>
  <c r="D924" i="11" a="1"/>
  <c r="D924" i="11" s="1"/>
  <c r="H923" i="11" a="1"/>
  <c r="H923" i="11" s="1"/>
  <c r="G923" i="11"/>
  <c r="G923" i="11" a="1"/>
  <c r="F923" i="11" a="1"/>
  <c r="F923" i="11" s="1"/>
  <c r="E923" i="11" a="1"/>
  <c r="E923" i="11" s="1"/>
  <c r="D923" i="11" a="1"/>
  <c r="D923" i="11" s="1"/>
  <c r="H922" i="11" a="1"/>
  <c r="H922" i="11" s="1"/>
  <c r="G922" i="11" a="1"/>
  <c r="G922" i="11" s="1"/>
  <c r="F922" i="11" a="1"/>
  <c r="F922" i="11" s="1"/>
  <c r="E922" i="11"/>
  <c r="E922" i="11" a="1"/>
  <c r="D922" i="11" a="1"/>
  <c r="D922" i="11" s="1"/>
  <c r="H921" i="11" a="1"/>
  <c r="H921" i="11" s="1"/>
  <c r="G921" i="11" a="1"/>
  <c r="G921" i="11" s="1"/>
  <c r="F921" i="11" a="1"/>
  <c r="F921" i="11" s="1"/>
  <c r="E921" i="11" a="1"/>
  <c r="E921" i="11" s="1"/>
  <c r="D921" i="11"/>
  <c r="D921" i="11" a="1"/>
  <c r="H920" i="11" a="1"/>
  <c r="H920" i="11" s="1"/>
  <c r="G920" i="11" a="1"/>
  <c r="G920" i="11" s="1"/>
  <c r="F920" i="11" a="1"/>
  <c r="F920" i="11" s="1"/>
  <c r="E920" i="11" a="1"/>
  <c r="E920" i="11" s="1"/>
  <c r="D920" i="11" a="1"/>
  <c r="D920" i="11" s="1"/>
  <c r="H919" i="11" a="1"/>
  <c r="H919" i="11" s="1"/>
  <c r="G919" i="11" a="1"/>
  <c r="G919" i="11" s="1"/>
  <c r="F919" i="11" a="1"/>
  <c r="F919" i="11" s="1"/>
  <c r="E919" i="11" a="1"/>
  <c r="E919" i="11" s="1"/>
  <c r="D919" i="11" a="1"/>
  <c r="D919" i="11" s="1"/>
  <c r="H918" i="11" a="1"/>
  <c r="H918" i="11" s="1"/>
  <c r="G918" i="11" a="1"/>
  <c r="G918" i="11" s="1"/>
  <c r="F918" i="11"/>
  <c r="F918" i="11" a="1"/>
  <c r="E918" i="11" a="1"/>
  <c r="E918" i="11" s="1"/>
  <c r="D918" i="11" a="1"/>
  <c r="D918" i="11" s="1"/>
  <c r="H917" i="11" a="1"/>
  <c r="H917" i="11" s="1"/>
  <c r="G917" i="11" a="1"/>
  <c r="G917" i="11" s="1"/>
  <c r="F917" i="11"/>
  <c r="F917" i="11" a="1"/>
  <c r="E917" i="11" a="1"/>
  <c r="E917" i="11" s="1"/>
  <c r="D917" i="11" a="1"/>
  <c r="D917" i="11" s="1"/>
  <c r="H916" i="11" a="1"/>
  <c r="H916" i="11" s="1"/>
  <c r="G916" i="11" a="1"/>
  <c r="G916" i="11" s="1"/>
  <c r="F916" i="11" a="1"/>
  <c r="F916" i="11" s="1"/>
  <c r="E916" i="11"/>
  <c r="E916" i="11" a="1"/>
  <c r="D916" i="11"/>
  <c r="D916" i="11" a="1"/>
  <c r="H915" i="11" a="1"/>
  <c r="H915" i="11" s="1"/>
  <c r="G915" i="11" a="1"/>
  <c r="G915" i="11" s="1"/>
  <c r="F915" i="11" a="1"/>
  <c r="F915" i="11" s="1"/>
  <c r="E915" i="11" a="1"/>
  <c r="E915" i="11" s="1"/>
  <c r="D915" i="11"/>
  <c r="D915" i="11" a="1"/>
  <c r="H914" i="11" a="1"/>
  <c r="H914" i="11" s="1"/>
  <c r="G914" i="11" a="1"/>
  <c r="G914" i="11" s="1"/>
  <c r="F914" i="11" a="1"/>
  <c r="F914" i="11" s="1"/>
  <c r="E914" i="11"/>
  <c r="E914" i="11" a="1"/>
  <c r="D914" i="11" a="1"/>
  <c r="D914" i="11" s="1"/>
  <c r="H913" i="11" a="1"/>
  <c r="H913" i="11" s="1"/>
  <c r="G913" i="11"/>
  <c r="G913" i="11" a="1"/>
  <c r="F913" i="11" a="1"/>
  <c r="F913" i="11" s="1"/>
  <c r="E913" i="11" a="1"/>
  <c r="E913" i="11" s="1"/>
  <c r="D913" i="11" a="1"/>
  <c r="D913" i="11" s="1"/>
  <c r="H912" i="11" a="1"/>
  <c r="H912" i="11" s="1"/>
  <c r="G912" i="11" a="1"/>
  <c r="G912" i="11" s="1"/>
  <c r="F912" i="11" a="1"/>
  <c r="F912" i="11" s="1"/>
  <c r="E912" i="11" a="1"/>
  <c r="E912" i="11" s="1"/>
  <c r="D912" i="11" a="1"/>
  <c r="D912" i="11" s="1"/>
  <c r="H911" i="11" a="1"/>
  <c r="H911" i="11" s="1"/>
  <c r="G911" i="11" a="1"/>
  <c r="G911" i="11" s="1"/>
  <c r="F911" i="11"/>
  <c r="F911" i="11" a="1"/>
  <c r="E911" i="11" a="1"/>
  <c r="E911" i="11" s="1"/>
  <c r="D911" i="11" a="1"/>
  <c r="D911" i="11" s="1"/>
  <c r="H910" i="11" a="1"/>
  <c r="H910" i="11" s="1"/>
  <c r="G910" i="11"/>
  <c r="G910" i="11" a="1"/>
  <c r="F910" i="11" a="1"/>
  <c r="F910" i="11" s="1"/>
  <c r="E910" i="11" a="1"/>
  <c r="E910" i="11" s="1"/>
  <c r="D910" i="11"/>
  <c r="D910" i="11" a="1"/>
  <c r="H909" i="11" a="1"/>
  <c r="H909" i="11" s="1"/>
  <c r="G909" i="11" a="1"/>
  <c r="G909" i="11" s="1"/>
  <c r="F909" i="11" a="1"/>
  <c r="F909" i="11" s="1"/>
  <c r="E909" i="11"/>
  <c r="E909" i="11" a="1"/>
  <c r="D909" i="11"/>
  <c r="D909" i="11" a="1"/>
  <c r="H908" i="11" a="1"/>
  <c r="H908" i="11" s="1"/>
  <c r="G908" i="11" a="1"/>
  <c r="G908" i="11" s="1"/>
  <c r="F908" i="11" a="1"/>
  <c r="F908" i="11" s="1"/>
  <c r="E908" i="11" a="1"/>
  <c r="E908" i="11" s="1"/>
  <c r="D908" i="11" a="1"/>
  <c r="D908" i="11" s="1"/>
  <c r="H907" i="11" a="1"/>
  <c r="H907" i="11" s="1"/>
  <c r="G907" i="11" a="1"/>
  <c r="G907" i="11" s="1"/>
  <c r="F907" i="11" a="1"/>
  <c r="F907" i="11" s="1"/>
  <c r="E907" i="11" a="1"/>
  <c r="E907" i="11" s="1"/>
  <c r="D907" i="11"/>
  <c r="D907" i="11" a="1"/>
  <c r="H906" i="11" a="1"/>
  <c r="H906" i="11" s="1"/>
  <c r="G906" i="11" a="1"/>
  <c r="G906" i="11" s="1"/>
  <c r="F906" i="11"/>
  <c r="F906" i="11" a="1"/>
  <c r="E906" i="11" a="1"/>
  <c r="E906" i="11" s="1"/>
  <c r="D906" i="11" a="1"/>
  <c r="D906" i="11" s="1"/>
  <c r="H905" i="11" a="1"/>
  <c r="H905" i="11" s="1"/>
  <c r="G905" i="11"/>
  <c r="G905" i="11" a="1"/>
  <c r="F905" i="11" a="1"/>
  <c r="F905" i="11" s="1"/>
  <c r="E905" i="11" a="1"/>
  <c r="E905" i="11" s="1"/>
  <c r="D905" i="11" a="1"/>
  <c r="D905" i="11" s="1"/>
  <c r="H904" i="11" a="1"/>
  <c r="H904" i="11" s="1"/>
  <c r="G904" i="11" a="1"/>
  <c r="G904" i="11" s="1"/>
  <c r="F904" i="11" a="1"/>
  <c r="F904" i="11" s="1"/>
  <c r="E904" i="11"/>
  <c r="E904" i="11" a="1"/>
  <c r="D904" i="11" a="1"/>
  <c r="D904" i="11" s="1"/>
  <c r="H903" i="11" a="1"/>
  <c r="H903" i="11" s="1"/>
  <c r="G903" i="11" a="1"/>
  <c r="G903" i="11" s="1"/>
  <c r="F903" i="11"/>
  <c r="F903" i="11" a="1"/>
  <c r="E903" i="11" a="1"/>
  <c r="E903" i="11" s="1"/>
  <c r="D903" i="11" a="1"/>
  <c r="D903" i="11" s="1"/>
  <c r="H902" i="11" a="1"/>
  <c r="H902" i="11" s="1"/>
  <c r="G902" i="11" a="1"/>
  <c r="G902" i="11" s="1"/>
  <c r="F902" i="11" a="1"/>
  <c r="F902" i="11" s="1"/>
  <c r="E902" i="11" a="1"/>
  <c r="E902" i="11" s="1"/>
  <c r="D902" i="11"/>
  <c r="D902" i="11" a="1"/>
  <c r="H901" i="11" a="1"/>
  <c r="H901" i="11" s="1"/>
  <c r="G901" i="11" a="1"/>
  <c r="G901" i="11" s="1"/>
  <c r="F901" i="11" a="1"/>
  <c r="F901" i="11" s="1"/>
  <c r="E901" i="11" a="1"/>
  <c r="E901" i="11" s="1"/>
  <c r="D901" i="11" a="1"/>
  <c r="D901" i="11" s="1"/>
  <c r="H900" i="11" a="1"/>
  <c r="H900" i="11" s="1"/>
  <c r="G900" i="11"/>
  <c r="G900" i="11" a="1"/>
  <c r="F900" i="11" a="1"/>
  <c r="F900" i="11" s="1"/>
  <c r="E900" i="11" a="1"/>
  <c r="E900" i="11" s="1"/>
  <c r="D900" i="11" a="1"/>
  <c r="D900" i="11" s="1"/>
  <c r="H899" i="11" a="1"/>
  <c r="H899" i="11" s="1"/>
  <c r="G899" i="11" a="1"/>
  <c r="G899" i="11" s="1"/>
  <c r="F899" i="11" a="1"/>
  <c r="F899" i="11" s="1"/>
  <c r="E899" i="11"/>
  <c r="E899" i="11" a="1"/>
  <c r="D899" i="11" a="1"/>
  <c r="D899" i="11" s="1"/>
  <c r="H898" i="11" a="1"/>
  <c r="H898" i="11" s="1"/>
  <c r="G898" i="11" a="1"/>
  <c r="G898" i="11" s="1"/>
  <c r="F898" i="11"/>
  <c r="F898" i="11" a="1"/>
  <c r="E898" i="11" a="1"/>
  <c r="E898" i="11" s="1"/>
  <c r="D898" i="11" a="1"/>
  <c r="D898" i="11" s="1"/>
  <c r="H897" i="11" a="1"/>
  <c r="H897" i="11" s="1"/>
  <c r="G897" i="11" a="1"/>
  <c r="G897" i="11" s="1"/>
  <c r="F897" i="11" a="1"/>
  <c r="F897" i="11" s="1"/>
  <c r="E897" i="11" a="1"/>
  <c r="E897" i="11" s="1"/>
  <c r="D897" i="11"/>
  <c r="D897" i="11" a="1"/>
  <c r="H896" i="11" a="1"/>
  <c r="H896" i="11" s="1"/>
  <c r="G896" i="11" a="1"/>
  <c r="G896" i="11" s="1"/>
  <c r="F896" i="11" a="1"/>
  <c r="F896" i="11" s="1"/>
  <c r="E896" i="11"/>
  <c r="E896" i="11" a="1"/>
  <c r="D896" i="11" a="1"/>
  <c r="D896" i="11" s="1"/>
  <c r="H895" i="11" a="1"/>
  <c r="H895" i="11" s="1"/>
  <c r="G895" i="11"/>
  <c r="G895" i="11" a="1"/>
  <c r="F895" i="11" a="1"/>
  <c r="F895" i="11" s="1"/>
  <c r="E895" i="11" a="1"/>
  <c r="E895" i="11" s="1"/>
  <c r="D895" i="11" a="1"/>
  <c r="D895" i="11" s="1"/>
  <c r="H894" i="11" a="1"/>
  <c r="H894" i="11" s="1"/>
  <c r="G894" i="11"/>
  <c r="G894" i="11" a="1"/>
  <c r="F894" i="11" a="1"/>
  <c r="F894" i="11" s="1"/>
  <c r="E894" i="11" a="1"/>
  <c r="E894" i="11" s="1"/>
  <c r="D894" i="11" a="1"/>
  <c r="D894" i="11" s="1"/>
  <c r="H893" i="11" a="1"/>
  <c r="H893" i="11" s="1"/>
  <c r="G893" i="11" a="1"/>
  <c r="G893" i="11" s="1"/>
  <c r="F893" i="11"/>
  <c r="F893" i="11" a="1"/>
  <c r="E893" i="11"/>
  <c r="E893" i="11" a="1"/>
  <c r="D893" i="11" a="1"/>
  <c r="D893" i="11" s="1"/>
  <c r="H892" i="11" a="1"/>
  <c r="H892" i="11" s="1"/>
  <c r="G892" i="11"/>
  <c r="G892" i="11" a="1"/>
  <c r="F892" i="11" a="1"/>
  <c r="F892" i="11" s="1"/>
  <c r="E892" i="11" a="1"/>
  <c r="E892" i="11" s="1"/>
  <c r="D892" i="11"/>
  <c r="D892" i="11" a="1"/>
  <c r="H891" i="11" a="1"/>
  <c r="H891" i="11" s="1"/>
  <c r="G891" i="11" a="1"/>
  <c r="G891" i="11" s="1"/>
  <c r="F891" i="11" a="1"/>
  <c r="F891" i="11" s="1"/>
  <c r="E891" i="11"/>
  <c r="E891" i="11" a="1"/>
  <c r="D891" i="11" a="1"/>
  <c r="D891" i="11" s="1"/>
  <c r="H890" i="11" a="1"/>
  <c r="H890" i="11" s="1"/>
  <c r="G890" i="11" a="1"/>
  <c r="G890" i="11" s="1"/>
  <c r="F890" i="11" a="1"/>
  <c r="F890" i="11" s="1"/>
  <c r="E890" i="11" a="1"/>
  <c r="E890" i="11" s="1"/>
  <c r="D890" i="11" a="1"/>
  <c r="D890" i="11" s="1"/>
  <c r="H889" i="11" a="1"/>
  <c r="H889" i="11" s="1"/>
  <c r="G889" i="11" a="1"/>
  <c r="G889" i="11" s="1"/>
  <c r="F889" i="11" a="1"/>
  <c r="F889" i="11" s="1"/>
  <c r="E889" i="11" a="1"/>
  <c r="E889" i="11" s="1"/>
  <c r="D889" i="11"/>
  <c r="D889" i="11" a="1"/>
  <c r="H888" i="11" a="1"/>
  <c r="H888" i="11" s="1"/>
  <c r="G888" i="11" a="1"/>
  <c r="G888" i="11" s="1"/>
  <c r="F888" i="11"/>
  <c r="F888" i="11" a="1"/>
  <c r="E888" i="11" a="1"/>
  <c r="E888" i="11" s="1"/>
  <c r="D888" i="11" a="1"/>
  <c r="D888" i="11" s="1"/>
  <c r="H887" i="11" a="1"/>
  <c r="H887" i="11" s="1"/>
  <c r="G887" i="11"/>
  <c r="G887" i="11" a="1"/>
  <c r="F887" i="11"/>
  <c r="F887" i="11" a="1"/>
  <c r="E887" i="11" a="1"/>
  <c r="E887" i="11" s="1"/>
  <c r="D887" i="11" a="1"/>
  <c r="D887" i="11" s="1"/>
  <c r="H886" i="11" a="1"/>
  <c r="H886" i="11" s="1"/>
  <c r="G886" i="11" a="1"/>
  <c r="G886" i="11" s="1"/>
  <c r="F886" i="11" a="1"/>
  <c r="F886" i="11" s="1"/>
  <c r="E886" i="11"/>
  <c r="E886" i="11" a="1"/>
  <c r="D886" i="11"/>
  <c r="D886" i="11" a="1"/>
  <c r="H885" i="11" a="1"/>
  <c r="H885" i="11" s="1"/>
  <c r="G885" i="11" a="1"/>
  <c r="G885" i="11" s="1"/>
  <c r="F885" i="11"/>
  <c r="F885" i="11" a="1"/>
  <c r="E885" i="11" a="1"/>
  <c r="E885" i="11" s="1"/>
  <c r="D885" i="11" a="1"/>
  <c r="D885" i="11" s="1"/>
  <c r="H884" i="11" a="1"/>
  <c r="H884" i="11" s="1"/>
  <c r="G884" i="11" a="1"/>
  <c r="G884" i="11" s="1"/>
  <c r="F884" i="11" a="1"/>
  <c r="F884" i="11" s="1"/>
  <c r="E884" i="11" a="1"/>
  <c r="E884" i="11" s="1"/>
  <c r="D884" i="11"/>
  <c r="D884" i="11" a="1"/>
  <c r="H883" i="11" a="1"/>
  <c r="H883" i="11" s="1"/>
  <c r="G883" i="11" a="1"/>
  <c r="G883" i="11" s="1"/>
  <c r="F883" i="11" a="1"/>
  <c r="F883" i="11" s="1"/>
  <c r="E883" i="11" a="1"/>
  <c r="E883" i="11" s="1"/>
  <c r="D883" i="11" a="1"/>
  <c r="D883" i="11" s="1"/>
  <c r="H882" i="11" a="1"/>
  <c r="H882" i="11" s="1"/>
  <c r="G882" i="11"/>
  <c r="G882" i="11" a="1"/>
  <c r="F882" i="11" a="1"/>
  <c r="F882" i="11" s="1"/>
  <c r="E882" i="11" a="1"/>
  <c r="E882" i="11" s="1"/>
  <c r="D882" i="11" a="1"/>
  <c r="D882" i="11" s="1"/>
  <c r="H881" i="11" a="1"/>
  <c r="H881" i="11" s="1"/>
  <c r="G881" i="11" a="1"/>
  <c r="G881" i="11" s="1"/>
  <c r="F881" i="11" a="1"/>
  <c r="F881" i="11" s="1"/>
  <c r="E881" i="11"/>
  <c r="E881" i="11" a="1"/>
  <c r="D881" i="11" a="1"/>
  <c r="D881" i="11" s="1"/>
  <c r="H880" i="11" a="1"/>
  <c r="H880" i="11" s="1"/>
  <c r="G880" i="11" a="1"/>
  <c r="G880" i="11" s="1"/>
  <c r="F880" i="11"/>
  <c r="F880" i="11" a="1"/>
  <c r="E880" i="11"/>
  <c r="E880" i="11" a="1"/>
  <c r="D880" i="11" a="1"/>
  <c r="D880" i="11" s="1"/>
  <c r="H879" i="11" a="1"/>
  <c r="H879" i="11" s="1"/>
  <c r="G879" i="11" a="1"/>
  <c r="G879" i="11" s="1"/>
  <c r="F879" i="11" a="1"/>
  <c r="F879" i="11" s="1"/>
  <c r="E879" i="11" a="1"/>
  <c r="E879" i="11" s="1"/>
  <c r="D879" i="11"/>
  <c r="D879" i="11" a="1"/>
  <c r="H878" i="11" a="1"/>
  <c r="H878" i="11" s="1"/>
  <c r="G878" i="11" a="1"/>
  <c r="G878" i="11" s="1"/>
  <c r="F878" i="11" a="1"/>
  <c r="F878" i="11" s="1"/>
  <c r="E878" i="11"/>
  <c r="E878" i="11" a="1"/>
  <c r="D878" i="11" a="1"/>
  <c r="D878" i="11" s="1"/>
  <c r="H877" i="11" a="1"/>
  <c r="H877" i="11" s="1"/>
  <c r="G877" i="11"/>
  <c r="G877" i="11" a="1"/>
  <c r="F877" i="11" a="1"/>
  <c r="F877" i="11" s="1"/>
  <c r="E877" i="11" a="1"/>
  <c r="E877" i="11" s="1"/>
  <c r="D877" i="11" a="1"/>
  <c r="D877" i="11" s="1"/>
  <c r="H876" i="11" a="1"/>
  <c r="H876" i="11" s="1"/>
  <c r="G876" i="11" a="1"/>
  <c r="G876" i="11" s="1"/>
  <c r="F876" i="11" a="1"/>
  <c r="F876" i="11" s="1"/>
  <c r="E876" i="11" a="1"/>
  <c r="E876" i="11" s="1"/>
  <c r="D876" i="11" a="1"/>
  <c r="D876" i="11" s="1"/>
  <c r="H875" i="11" a="1"/>
  <c r="H875" i="11" s="1"/>
  <c r="G875" i="11" a="1"/>
  <c r="G875" i="11" s="1"/>
  <c r="F875" i="11"/>
  <c r="F875" i="11" a="1"/>
  <c r="E875" i="11" a="1"/>
  <c r="E875" i="11" s="1"/>
  <c r="D875" i="11" a="1"/>
  <c r="D875" i="11" s="1"/>
  <c r="H874" i="11" a="1"/>
  <c r="H874" i="11" s="1"/>
  <c r="G874" i="11"/>
  <c r="G874" i="11" a="1"/>
  <c r="F874" i="11" a="1"/>
  <c r="F874" i="11" s="1"/>
  <c r="E874" i="11" a="1"/>
  <c r="E874" i="11" s="1"/>
  <c r="D874" i="11"/>
  <c r="D874" i="11" a="1"/>
  <c r="H873" i="11" a="1"/>
  <c r="H873" i="11" s="1"/>
  <c r="G873" i="11" a="1"/>
  <c r="G873" i="11" s="1"/>
  <c r="F873" i="11" a="1"/>
  <c r="F873" i="11" s="1"/>
  <c r="E873" i="11"/>
  <c r="E873" i="11" a="1"/>
  <c r="D873" i="11"/>
  <c r="D873" i="11" a="1"/>
  <c r="H872" i="11" a="1"/>
  <c r="H872" i="11" s="1"/>
  <c r="G872" i="11" a="1"/>
  <c r="G872" i="11" s="1"/>
  <c r="F872" i="11" a="1"/>
  <c r="F872" i="11" s="1"/>
  <c r="E872" i="11" a="1"/>
  <c r="E872" i="11" s="1"/>
  <c r="D872" i="11" a="1"/>
  <c r="D872" i="11" s="1"/>
  <c r="H871" i="11" a="1"/>
  <c r="H871" i="11" s="1"/>
  <c r="G871" i="11" a="1"/>
  <c r="G871" i="11" s="1"/>
  <c r="F871" i="11" a="1"/>
  <c r="F871" i="11" s="1"/>
  <c r="E871" i="11" a="1"/>
  <c r="E871" i="11" s="1"/>
  <c r="D871" i="11"/>
  <c r="D871" i="11" a="1"/>
  <c r="H870" i="11" a="1"/>
  <c r="H870" i="11" s="1"/>
  <c r="G870" i="11" a="1"/>
  <c r="G870" i="11" s="1"/>
  <c r="F870" i="11"/>
  <c r="F870" i="11" a="1"/>
  <c r="E870" i="11" a="1"/>
  <c r="E870" i="11" s="1"/>
  <c r="D870" i="11" a="1"/>
  <c r="D870" i="11" s="1"/>
  <c r="H869" i="11" a="1"/>
  <c r="H869" i="11" s="1"/>
  <c r="G869" i="11"/>
  <c r="G869" i="11" a="1"/>
  <c r="F869" i="11" a="1"/>
  <c r="F869" i="11" s="1"/>
  <c r="E869" i="11" a="1"/>
  <c r="E869" i="11" s="1"/>
  <c r="D869" i="11" a="1"/>
  <c r="D869" i="11" s="1"/>
  <c r="H868" i="11" a="1"/>
  <c r="H868" i="11" s="1"/>
  <c r="G868" i="11" a="1"/>
  <c r="G868" i="11" s="1"/>
  <c r="F868" i="11" a="1"/>
  <c r="F868" i="11" s="1"/>
  <c r="E868" i="11"/>
  <c r="E868" i="11" a="1"/>
  <c r="D868" i="11" a="1"/>
  <c r="D868" i="11" s="1"/>
  <c r="H867" i="11" a="1"/>
  <c r="H867" i="11" s="1"/>
  <c r="G867" i="11" a="1"/>
  <c r="G867" i="11" s="1"/>
  <c r="F867" i="11"/>
  <c r="F867" i="11" a="1"/>
  <c r="E867" i="11" a="1"/>
  <c r="E867" i="11" s="1"/>
  <c r="D867" i="11" a="1"/>
  <c r="D867" i="11" s="1"/>
  <c r="H866" i="11" a="1"/>
  <c r="H866" i="11" s="1"/>
  <c r="G866" i="11" a="1"/>
  <c r="G866" i="11" s="1"/>
  <c r="F866" i="11" a="1"/>
  <c r="F866" i="11" s="1"/>
  <c r="E866" i="11" a="1"/>
  <c r="E866" i="11" s="1"/>
  <c r="D866" i="11"/>
  <c r="D866" i="11" a="1"/>
  <c r="H865" i="11" a="1"/>
  <c r="H865" i="11" s="1"/>
  <c r="G865" i="11" a="1"/>
  <c r="G865" i="11" s="1"/>
  <c r="F865" i="11" a="1"/>
  <c r="F865" i="11" s="1"/>
  <c r="E865" i="11" a="1"/>
  <c r="E865" i="11" s="1"/>
  <c r="D865" i="11" a="1"/>
  <c r="D865" i="11" s="1"/>
  <c r="H864" i="11" a="1"/>
  <c r="H864" i="11" s="1"/>
  <c r="G864" i="11"/>
  <c r="G864" i="11" a="1"/>
  <c r="F864" i="11" a="1"/>
  <c r="F864" i="11" s="1"/>
  <c r="E864" i="11" a="1"/>
  <c r="E864" i="11" s="1"/>
  <c r="D864" i="11" a="1"/>
  <c r="D864" i="11" s="1"/>
  <c r="H863" i="11" a="1"/>
  <c r="H863" i="11" s="1"/>
  <c r="G863" i="11" a="1"/>
  <c r="G863" i="11" s="1"/>
  <c r="F863" i="11" a="1"/>
  <c r="F863" i="11" s="1"/>
  <c r="E863" i="11"/>
  <c r="E863" i="11" a="1"/>
  <c r="D863" i="11" a="1"/>
  <c r="D863" i="11" s="1"/>
  <c r="H862" i="11" a="1"/>
  <c r="H862" i="11" s="1"/>
  <c r="G862" i="11" a="1"/>
  <c r="G862" i="11" s="1"/>
  <c r="F862" i="11"/>
  <c r="F862" i="11" a="1"/>
  <c r="E862" i="11" a="1"/>
  <c r="E862" i="11" s="1"/>
  <c r="D862" i="11" a="1"/>
  <c r="D862" i="11" s="1"/>
  <c r="H861" i="11" a="1"/>
  <c r="H861" i="11" s="1"/>
  <c r="G861" i="11" a="1"/>
  <c r="G861" i="11" s="1"/>
  <c r="F861" i="11" a="1"/>
  <c r="F861" i="11" s="1"/>
  <c r="E861" i="11" a="1"/>
  <c r="E861" i="11" s="1"/>
  <c r="D861" i="11"/>
  <c r="D861" i="11" a="1"/>
  <c r="H860" i="11" a="1"/>
  <c r="H860" i="11" s="1"/>
  <c r="G860" i="11" a="1"/>
  <c r="G860" i="11" s="1"/>
  <c r="F860" i="11" a="1"/>
  <c r="F860" i="11" s="1"/>
  <c r="E860" i="11"/>
  <c r="E860" i="11" a="1"/>
  <c r="D860" i="11" a="1"/>
  <c r="D860" i="11" s="1"/>
  <c r="H859" i="11" a="1"/>
  <c r="H859" i="11" s="1"/>
  <c r="G859" i="11"/>
  <c r="G859" i="11" a="1"/>
  <c r="F859" i="11" a="1"/>
  <c r="F859" i="11" s="1"/>
  <c r="E859" i="11" a="1"/>
  <c r="E859" i="11" s="1"/>
  <c r="D859" i="11" a="1"/>
  <c r="D859" i="11" s="1"/>
  <c r="H858" i="11" a="1"/>
  <c r="H858" i="11" s="1"/>
  <c r="G858" i="11"/>
  <c r="G858" i="11" a="1"/>
  <c r="F858" i="11" a="1"/>
  <c r="F858" i="11" s="1"/>
  <c r="E858" i="11" a="1"/>
  <c r="E858" i="11" s="1"/>
  <c r="D858" i="11" a="1"/>
  <c r="D858" i="11" s="1"/>
  <c r="H857" i="11" a="1"/>
  <c r="H857" i="11" s="1"/>
  <c r="G857" i="11" a="1"/>
  <c r="G857" i="11" s="1"/>
  <c r="F857" i="11"/>
  <c r="F857" i="11" a="1"/>
  <c r="E857" i="11" a="1"/>
  <c r="E857" i="11" s="1"/>
  <c r="D857" i="11" a="1"/>
  <c r="D857" i="11" s="1"/>
  <c r="H856" i="11" a="1"/>
  <c r="H856" i="11" s="1"/>
  <c r="G856" i="11"/>
  <c r="G856" i="11" a="1"/>
  <c r="F856" i="11" a="1"/>
  <c r="F856" i="11" s="1"/>
  <c r="E856" i="11" a="1"/>
  <c r="E856" i="11" s="1"/>
  <c r="D856" i="11"/>
  <c r="D856" i="11" a="1"/>
  <c r="H855" i="11" a="1"/>
  <c r="H855" i="11" s="1"/>
  <c r="G855" i="11" a="1"/>
  <c r="G855" i="11" s="1"/>
  <c r="F855" i="11" a="1"/>
  <c r="F855" i="11" s="1"/>
  <c r="E855" i="11"/>
  <c r="E855" i="11" a="1"/>
  <c r="D855" i="11" a="1"/>
  <c r="D855" i="11" s="1"/>
  <c r="H854" i="11" a="1"/>
  <c r="H854" i="11" s="1"/>
  <c r="G854" i="11" a="1"/>
  <c r="G854" i="11" s="1"/>
  <c r="F854" i="11" a="1"/>
  <c r="F854" i="11" s="1"/>
  <c r="E854" i="11"/>
  <c r="E854" i="11" a="1"/>
  <c r="D854" i="11"/>
  <c r="D854" i="11" a="1"/>
  <c r="H853" i="11" a="1"/>
  <c r="H853" i="11" s="1"/>
  <c r="G853" i="11" a="1"/>
  <c r="G853" i="11" s="1"/>
  <c r="F853" i="11" a="1"/>
  <c r="F853" i="11" s="1"/>
  <c r="E853" i="11"/>
  <c r="E853" i="11" a="1"/>
  <c r="D853" i="11" a="1"/>
  <c r="D853" i="11" s="1"/>
  <c r="H852" i="11" a="1"/>
  <c r="H852" i="11" s="1"/>
  <c r="G852" i="11"/>
  <c r="G852" i="11" a="1"/>
  <c r="F852" i="11" a="1"/>
  <c r="F852" i="11" s="1"/>
  <c r="E852" i="11" a="1"/>
  <c r="E852" i="11" s="1"/>
  <c r="D852" i="11"/>
  <c r="D852" i="11" a="1"/>
  <c r="H851" i="11" a="1"/>
  <c r="H851" i="11" s="1"/>
  <c r="G851" i="11"/>
  <c r="G851" i="11" a="1"/>
  <c r="F851" i="11" a="1"/>
  <c r="F851" i="11" s="1"/>
  <c r="E851" i="11"/>
  <c r="E851" i="11" a="1"/>
  <c r="D851" i="11" a="1"/>
  <c r="D851" i="11" s="1"/>
  <c r="H850" i="11" a="1"/>
  <c r="H850" i="11" s="1"/>
  <c r="G850" i="11"/>
  <c r="G850" i="11" a="1"/>
  <c r="F850" i="11"/>
  <c r="F850" i="11" a="1"/>
  <c r="E850" i="11" a="1"/>
  <c r="E850" i="11" s="1"/>
  <c r="D850" i="11"/>
  <c r="D850" i="11" a="1"/>
  <c r="H849" i="11" a="1"/>
  <c r="H849" i="11" s="1"/>
  <c r="G849" i="11" a="1"/>
  <c r="G849" i="11" s="1"/>
  <c r="F849" i="11"/>
  <c r="F849" i="11" a="1"/>
  <c r="E849" i="11" a="1"/>
  <c r="E849" i="11" s="1"/>
  <c r="D849" i="11"/>
  <c r="D849" i="11" a="1"/>
  <c r="H848" i="11" a="1"/>
  <c r="H848" i="11" s="1"/>
  <c r="G848" i="11" a="1"/>
  <c r="G848" i="11" s="1"/>
  <c r="F848" i="11" a="1"/>
  <c r="F848" i="11" s="1"/>
  <c r="E848" i="11" a="1"/>
  <c r="E848" i="11" s="1"/>
  <c r="D848" i="11"/>
  <c r="D848" i="11" a="1"/>
  <c r="H847" i="11" a="1"/>
  <c r="H847" i="11" s="1"/>
  <c r="G847" i="11" a="1"/>
  <c r="G847" i="11" s="1"/>
  <c r="F847" i="11" a="1"/>
  <c r="F847" i="11" s="1"/>
  <c r="E847" i="11"/>
  <c r="E847" i="11" a="1"/>
  <c r="D847" i="11" a="1"/>
  <c r="D847" i="11" s="1"/>
  <c r="H846" i="11" a="1"/>
  <c r="H846" i="11" s="1"/>
  <c r="G846" i="11" a="1"/>
  <c r="G846" i="11" s="1"/>
  <c r="F846" i="11"/>
  <c r="F846" i="11" a="1"/>
  <c r="E846" i="11" a="1"/>
  <c r="E846" i="11" s="1"/>
  <c r="D846" i="11"/>
  <c r="D846" i="11" a="1"/>
  <c r="H845" i="11" a="1"/>
  <c r="H845" i="11" s="1"/>
  <c r="G845" i="11" a="1"/>
  <c r="G845" i="11" s="1"/>
  <c r="F845" i="11"/>
  <c r="F845" i="11" a="1"/>
  <c r="E845" i="11"/>
  <c r="E845" i="11" a="1"/>
  <c r="D845" i="11" a="1"/>
  <c r="D845" i="11" s="1"/>
  <c r="H844" i="11" a="1"/>
  <c r="H844" i="11" s="1"/>
  <c r="G844" i="11"/>
  <c r="G844" i="11" a="1"/>
  <c r="F844" i="11" a="1"/>
  <c r="F844" i="11" s="1"/>
  <c r="E844" i="11" a="1"/>
  <c r="E844" i="11" s="1"/>
  <c r="D844" i="11" a="1"/>
  <c r="D844" i="11" s="1"/>
  <c r="H843" i="11" a="1"/>
  <c r="H843" i="11" s="1"/>
  <c r="G843" i="11"/>
  <c r="G843" i="11" a="1"/>
  <c r="F843" i="11"/>
  <c r="F843" i="11" a="1"/>
  <c r="E843" i="11" a="1"/>
  <c r="E843" i="11" s="1"/>
  <c r="D843" i="11" a="1"/>
  <c r="D843" i="11" s="1"/>
  <c r="H842" i="11" a="1"/>
  <c r="H842" i="11" s="1"/>
  <c r="G842" i="11" a="1"/>
  <c r="G842" i="11" s="1"/>
  <c r="F842" i="11"/>
  <c r="F842" i="11" a="1"/>
  <c r="E842" i="11"/>
  <c r="E842" i="11" a="1"/>
  <c r="D842" i="11"/>
  <c r="D842" i="11" a="1"/>
  <c r="H841" i="11" a="1"/>
  <c r="H841" i="11" s="1"/>
  <c r="G841" i="11" a="1"/>
  <c r="G841" i="11" s="1"/>
  <c r="F841" i="11" a="1"/>
  <c r="F841" i="11" s="1"/>
  <c r="E841" i="11" a="1"/>
  <c r="E841" i="11" s="1"/>
  <c r="D841" i="11" a="1"/>
  <c r="D841" i="11" s="1"/>
  <c r="H840" i="11" a="1"/>
  <c r="H840" i="11" s="1"/>
  <c r="G840" i="11" a="1"/>
  <c r="G840" i="11" s="1"/>
  <c r="F840" i="11" a="1"/>
  <c r="F840" i="11" s="1"/>
  <c r="E840" i="11" a="1"/>
  <c r="E840" i="11" s="1"/>
  <c r="D840" i="11" a="1"/>
  <c r="D840" i="11" s="1"/>
  <c r="H839" i="11" a="1"/>
  <c r="H839" i="11" s="1"/>
  <c r="G839" i="11" a="1"/>
  <c r="G839" i="11" s="1"/>
  <c r="F839" i="11"/>
  <c r="F839" i="11" a="1"/>
  <c r="E839" i="11" a="1"/>
  <c r="E839" i="11" s="1"/>
  <c r="D839" i="11" a="1"/>
  <c r="D839" i="11" s="1"/>
  <c r="H838" i="11" a="1"/>
  <c r="H838" i="11" s="1"/>
  <c r="G838" i="11" a="1"/>
  <c r="G838" i="11" s="1"/>
  <c r="F838" i="11"/>
  <c r="F838" i="11" a="1"/>
  <c r="E838" i="11"/>
  <c r="E838" i="11" a="1"/>
  <c r="D838" i="11" a="1"/>
  <c r="D838" i="11" s="1"/>
  <c r="H837" i="11" a="1"/>
  <c r="H837" i="11" s="1"/>
  <c r="G837" i="11"/>
  <c r="G837" i="11" a="1"/>
  <c r="F837" i="11" a="1"/>
  <c r="F837" i="11" s="1"/>
  <c r="E837" i="11" a="1"/>
  <c r="E837" i="11" s="1"/>
  <c r="D837" i="11" a="1"/>
  <c r="D837" i="11" s="1"/>
  <c r="H836" i="11" a="1"/>
  <c r="H836" i="11" s="1"/>
  <c r="G836" i="11" a="1"/>
  <c r="G836" i="11" s="1"/>
  <c r="F836" i="11" a="1"/>
  <c r="F836" i="11" s="1"/>
  <c r="E836" i="11"/>
  <c r="E836" i="11" a="1"/>
  <c r="D836" i="11"/>
  <c r="D836" i="11" a="1"/>
  <c r="H835" i="11" a="1"/>
  <c r="H835" i="11" s="1"/>
  <c r="G835" i="11"/>
  <c r="G835" i="11" a="1"/>
  <c r="F835" i="11" a="1"/>
  <c r="F835" i="11" s="1"/>
  <c r="E835" i="11" a="1"/>
  <c r="E835" i="11" s="1"/>
  <c r="D835" i="11" a="1"/>
  <c r="D835" i="11" s="1"/>
  <c r="H834" i="11" a="1"/>
  <c r="H834" i="11" s="1"/>
  <c r="G834" i="11"/>
  <c r="G834" i="11" a="1"/>
  <c r="F834" i="11"/>
  <c r="F834" i="11" a="1"/>
  <c r="E834" i="11" a="1"/>
  <c r="E834" i="11" s="1"/>
  <c r="D834" i="11" a="1"/>
  <c r="D834" i="11" s="1"/>
  <c r="H833" i="11" a="1"/>
  <c r="H833" i="11" s="1"/>
  <c r="G833" i="11"/>
  <c r="G833" i="11" a="1"/>
  <c r="F833" i="11" a="1"/>
  <c r="F833" i="11" s="1"/>
  <c r="E833" i="11" a="1"/>
  <c r="E833" i="11" s="1"/>
  <c r="D833" i="11" a="1"/>
  <c r="D833" i="11" s="1"/>
  <c r="H832" i="11" a="1"/>
  <c r="H832" i="11" s="1"/>
  <c r="G832" i="11" a="1"/>
  <c r="G832" i="11" s="1"/>
  <c r="F832" i="11" a="1"/>
  <c r="F832" i="11" s="1"/>
  <c r="E832" i="11" a="1"/>
  <c r="E832" i="11" s="1"/>
  <c r="D832" i="11" a="1"/>
  <c r="D832" i="11" s="1"/>
  <c r="H831" i="11" a="1"/>
  <c r="H831" i="11" s="1"/>
  <c r="G831" i="11"/>
  <c r="G831" i="11" a="1"/>
  <c r="F831" i="11" a="1"/>
  <c r="F831" i="11" s="1"/>
  <c r="E831" i="11" a="1"/>
  <c r="E831" i="11" s="1"/>
  <c r="D831" i="11"/>
  <c r="D831" i="11" a="1"/>
  <c r="H830" i="11" a="1"/>
  <c r="H830" i="11" s="1"/>
  <c r="G830" i="11" a="1"/>
  <c r="G830" i="11" s="1"/>
  <c r="F830" i="11" a="1"/>
  <c r="F830" i="11" s="1"/>
  <c r="E830" i="11"/>
  <c r="E830" i="11" a="1"/>
  <c r="D830" i="11" a="1"/>
  <c r="D830" i="11" s="1"/>
  <c r="H829" i="11" a="1"/>
  <c r="H829" i="11" s="1"/>
  <c r="G829" i="11" a="1"/>
  <c r="G829" i="11" s="1"/>
  <c r="F829" i="11" a="1"/>
  <c r="F829" i="11" s="1"/>
  <c r="E829" i="11" a="1"/>
  <c r="E829" i="11" s="1"/>
  <c r="D829" i="11"/>
  <c r="D829" i="11" a="1"/>
  <c r="H828" i="11" a="1"/>
  <c r="H828" i="11" s="1"/>
  <c r="G828" i="11" a="1"/>
  <c r="G828" i="11" s="1"/>
  <c r="F828" i="11"/>
  <c r="F828" i="11" a="1"/>
  <c r="E828" i="11" a="1"/>
  <c r="E828" i="11" s="1"/>
  <c r="D828" i="11"/>
  <c r="D828" i="11" a="1"/>
  <c r="H827" i="11" a="1"/>
  <c r="H827" i="11" s="1"/>
  <c r="G827" i="11"/>
  <c r="G827" i="11" a="1"/>
  <c r="F827" i="11" a="1"/>
  <c r="F827" i="11" s="1"/>
  <c r="E827" i="11" a="1"/>
  <c r="E827" i="11" s="1"/>
  <c r="D827" i="11" a="1"/>
  <c r="D827" i="11" s="1"/>
  <c r="H826" i="11" a="1"/>
  <c r="H826" i="11" s="1"/>
  <c r="G826" i="11" a="1"/>
  <c r="G826" i="11" s="1"/>
  <c r="F826" i="11"/>
  <c r="F826" i="11" a="1"/>
  <c r="E826" i="11" a="1"/>
  <c r="E826" i="11" s="1"/>
  <c r="D826" i="11" a="1"/>
  <c r="D826" i="11" s="1"/>
  <c r="H825" i="11" a="1"/>
  <c r="H825" i="11" s="1"/>
  <c r="G825" i="11" a="1"/>
  <c r="G825" i="11" s="1"/>
  <c r="F825" i="11"/>
  <c r="F825" i="11" a="1"/>
  <c r="E825" i="11"/>
  <c r="E825" i="11" a="1"/>
  <c r="D825" i="11"/>
  <c r="D825" i="11" a="1"/>
  <c r="H824" i="11" a="1"/>
  <c r="H824" i="11" s="1"/>
  <c r="G824" i="11" a="1"/>
  <c r="G824" i="11" s="1"/>
  <c r="F824" i="11"/>
  <c r="F824" i="11" a="1"/>
  <c r="E824" i="11" a="1"/>
  <c r="E824" i="11" s="1"/>
  <c r="D824" i="11" a="1"/>
  <c r="D824" i="11" s="1"/>
  <c r="H823" i="11" a="1"/>
  <c r="H823" i="11" s="1"/>
  <c r="G823" i="11" a="1"/>
  <c r="G823" i="11" s="1"/>
  <c r="F823" i="11" a="1"/>
  <c r="F823" i="11" s="1"/>
  <c r="E823" i="11" a="1"/>
  <c r="E823" i="11" s="1"/>
  <c r="D823" i="11" a="1"/>
  <c r="D823" i="11" s="1"/>
  <c r="H822" i="11" a="1"/>
  <c r="H822" i="11" s="1"/>
  <c r="G822" i="11" a="1"/>
  <c r="G822" i="11" s="1"/>
  <c r="F822" i="11"/>
  <c r="F822" i="11" a="1"/>
  <c r="E822" i="11" a="1"/>
  <c r="E822" i="11" s="1"/>
  <c r="D822" i="11" a="1"/>
  <c r="D822" i="11" s="1"/>
  <c r="H821" i="11" a="1"/>
  <c r="H821" i="11" s="1"/>
  <c r="G821" i="11" a="1"/>
  <c r="G821" i="11" s="1"/>
  <c r="F821" i="11"/>
  <c r="F821" i="11" a="1"/>
  <c r="E821" i="11"/>
  <c r="E821" i="11" a="1"/>
  <c r="D821" i="11" a="1"/>
  <c r="D821" i="11" s="1"/>
  <c r="H820" i="11" a="1"/>
  <c r="H820" i="11" s="1"/>
  <c r="G820" i="11"/>
  <c r="G820" i="11" a="1"/>
  <c r="F820" i="11" a="1"/>
  <c r="F820" i="11" s="1"/>
  <c r="E820" i="11" a="1"/>
  <c r="E820" i="11" s="1"/>
  <c r="D820" i="11"/>
  <c r="D820" i="11" a="1"/>
  <c r="H819" i="11" a="1"/>
  <c r="H819" i="11" s="1"/>
  <c r="G819" i="11" a="1"/>
  <c r="G819" i="11" s="1"/>
  <c r="F819" i="11" a="1"/>
  <c r="F819" i="11" s="1"/>
  <c r="E819" i="11"/>
  <c r="E819" i="11" a="1"/>
  <c r="D819" i="11"/>
  <c r="D819" i="11" a="1"/>
  <c r="H818" i="11" a="1"/>
  <c r="H818" i="11" s="1"/>
  <c r="G818" i="11" a="1"/>
  <c r="G818" i="11" s="1"/>
  <c r="F818" i="11"/>
  <c r="F818" i="11" a="1"/>
  <c r="E818" i="11" a="1"/>
  <c r="E818" i="11" s="1"/>
  <c r="D818" i="11" a="1"/>
  <c r="D818" i="11" s="1"/>
  <c r="H817" i="11" a="1"/>
  <c r="H817" i="11" s="1"/>
  <c r="G817" i="11"/>
  <c r="G817" i="11" a="1"/>
  <c r="F817" i="11" a="1"/>
  <c r="F817" i="11" s="1"/>
  <c r="E817" i="11" a="1"/>
  <c r="E817" i="11" s="1"/>
  <c r="D817" i="11" a="1"/>
  <c r="D817" i="11" s="1"/>
  <c r="H816" i="11" a="1"/>
  <c r="H816" i="11" s="1"/>
  <c r="G816" i="11"/>
  <c r="G816" i="11" a="1"/>
  <c r="F816" i="11" a="1"/>
  <c r="F816" i="11" s="1"/>
  <c r="E816" i="11" a="1"/>
  <c r="E816" i="11" s="1"/>
  <c r="D816" i="11"/>
  <c r="D816" i="11" a="1"/>
  <c r="H815" i="11" a="1"/>
  <c r="H815" i="11" s="1"/>
  <c r="G815" i="11" a="1"/>
  <c r="G815" i="11" s="1"/>
  <c r="F815" i="11" a="1"/>
  <c r="F815" i="11" s="1"/>
  <c r="E815" i="11" a="1"/>
  <c r="E815" i="11" s="1"/>
  <c r="D815" i="11" a="1"/>
  <c r="D815" i="11" s="1"/>
  <c r="H814" i="11" a="1"/>
  <c r="H814" i="11" s="1"/>
  <c r="G814" i="11"/>
  <c r="G814" i="11" a="1"/>
  <c r="F814" i="11" a="1"/>
  <c r="F814" i="11" s="1"/>
  <c r="E814" i="11" a="1"/>
  <c r="E814" i="11" s="1"/>
  <c r="D814" i="11"/>
  <c r="D814" i="11" a="1"/>
  <c r="H813" i="11" a="1"/>
  <c r="H813" i="11" s="1"/>
  <c r="G813" i="11"/>
  <c r="G813" i="11" a="1"/>
  <c r="F813" i="11" a="1"/>
  <c r="F813" i="11" s="1"/>
  <c r="E813" i="11"/>
  <c r="E813" i="11" a="1"/>
  <c r="D813" i="11" a="1"/>
  <c r="D813" i="11" s="1"/>
  <c r="H812" i="11" a="1"/>
  <c r="H812" i="11" s="1"/>
  <c r="G812" i="11" a="1"/>
  <c r="G812" i="11" s="1"/>
  <c r="F812" i="11" a="1"/>
  <c r="F812" i="11" s="1"/>
  <c r="E812" i="11"/>
  <c r="E812" i="11" a="1"/>
  <c r="D812" i="11"/>
  <c r="D812" i="11" a="1"/>
  <c r="H811" i="11" a="1"/>
  <c r="H811" i="11" s="1"/>
  <c r="G811" i="11"/>
  <c r="G811" i="11" a="1"/>
  <c r="F811" i="11" a="1"/>
  <c r="F811" i="11" s="1"/>
  <c r="E811" i="11"/>
  <c r="E811" i="11" a="1"/>
  <c r="D811" i="11" a="1"/>
  <c r="D811" i="11" s="1"/>
  <c r="H810" i="11" a="1"/>
  <c r="H810" i="11" s="1"/>
  <c r="G810" i="11" a="1"/>
  <c r="G810" i="11" s="1"/>
  <c r="F810" i="11" a="1"/>
  <c r="F810" i="11" s="1"/>
  <c r="E810" i="11" a="1"/>
  <c r="E810" i="11" s="1"/>
  <c r="D810" i="11"/>
  <c r="D810" i="11" a="1"/>
  <c r="H809" i="11" a="1"/>
  <c r="H809" i="11" s="1"/>
  <c r="G809" i="11"/>
  <c r="G809" i="11" a="1"/>
  <c r="F809" i="11" a="1"/>
  <c r="F809" i="11" s="1"/>
  <c r="E809" i="11"/>
  <c r="E809" i="11" a="1"/>
  <c r="D809" i="11" a="1"/>
  <c r="D809" i="11" s="1"/>
  <c r="H808" i="11" a="1"/>
  <c r="H808" i="11" s="1"/>
  <c r="G808" i="11"/>
  <c r="G808" i="11" a="1"/>
  <c r="F808" i="11"/>
  <c r="F808" i="11" a="1"/>
  <c r="E808" i="11" a="1"/>
  <c r="E808" i="11" s="1"/>
  <c r="D808" i="11" a="1"/>
  <c r="D808" i="11" s="1"/>
  <c r="H807" i="11" a="1"/>
  <c r="H807" i="11" s="1"/>
  <c r="G807" i="11" a="1"/>
  <c r="G807" i="11" s="1"/>
  <c r="F807" i="11"/>
  <c r="F807" i="11" a="1"/>
  <c r="E807" i="11"/>
  <c r="E807" i="11" a="1"/>
  <c r="D807" i="11" a="1"/>
  <c r="D807" i="11" s="1"/>
  <c r="H806" i="11" a="1"/>
  <c r="H806" i="11" s="1"/>
  <c r="G806" i="11" a="1"/>
  <c r="G806" i="11" s="1"/>
  <c r="F806" i="11"/>
  <c r="F806" i="11" a="1"/>
  <c r="E806" i="11" a="1"/>
  <c r="E806" i="11" s="1"/>
  <c r="D806" i="11"/>
  <c r="D806" i="11" a="1"/>
  <c r="H805" i="11" a="1"/>
  <c r="H805" i="11" s="1"/>
  <c r="G805" i="11"/>
  <c r="G805" i="11" a="1"/>
  <c r="F805" i="11" a="1"/>
  <c r="F805" i="11" s="1"/>
  <c r="E805" i="11" a="1"/>
  <c r="E805" i="11" s="1"/>
  <c r="D805" i="11"/>
  <c r="D805" i="11" a="1"/>
  <c r="H804" i="11" a="1"/>
  <c r="H804" i="11" s="1"/>
  <c r="G804" i="11" a="1"/>
  <c r="G804" i="11" s="1"/>
  <c r="F804" i="11"/>
  <c r="F804" i="11" a="1"/>
  <c r="E804" i="11" a="1"/>
  <c r="E804" i="11" s="1"/>
  <c r="D804" i="11" a="1"/>
  <c r="D804" i="11" s="1"/>
  <c r="H803" i="11" a="1"/>
  <c r="H803" i="11" s="1"/>
  <c r="G803" i="11"/>
  <c r="G803" i="11" a="1"/>
  <c r="F803" i="11" a="1"/>
  <c r="F803" i="11" s="1"/>
  <c r="E803" i="11" a="1"/>
  <c r="E803" i="11" s="1"/>
  <c r="D803" i="11" a="1"/>
  <c r="D803" i="11" s="1"/>
  <c r="H802" i="11" a="1"/>
  <c r="H802" i="11" s="1"/>
  <c r="G802" i="11" a="1"/>
  <c r="G802" i="11" s="1"/>
  <c r="F802" i="11"/>
  <c r="F802" i="11" a="1"/>
  <c r="E802" i="11" a="1"/>
  <c r="E802" i="11" s="1"/>
  <c r="D802" i="11"/>
  <c r="D802" i="11" a="1"/>
  <c r="H801" i="11" a="1"/>
  <c r="H801" i="11" s="1"/>
  <c r="G801" i="11"/>
  <c r="G801" i="11" a="1"/>
  <c r="F801" i="11"/>
  <c r="F801" i="11" a="1"/>
  <c r="E801" i="11"/>
  <c r="E801" i="11" a="1"/>
  <c r="D801" i="11" a="1"/>
  <c r="D801" i="11" s="1"/>
  <c r="H800" i="11" a="1"/>
  <c r="H800" i="11" s="1"/>
  <c r="G800" i="11" a="1"/>
  <c r="G800" i="11" s="1"/>
  <c r="F800" i="11" a="1"/>
  <c r="F800" i="11" s="1"/>
  <c r="E800" i="11" a="1"/>
  <c r="E800" i="11" s="1"/>
  <c r="D800" i="11"/>
  <c r="D800" i="11" a="1"/>
  <c r="H799" i="11" a="1"/>
  <c r="H799" i="11" s="1"/>
  <c r="G799" i="11" a="1"/>
  <c r="G799" i="11" s="1"/>
  <c r="F799" i="11" a="1"/>
  <c r="F799" i="11" s="1"/>
  <c r="E799" i="11"/>
  <c r="E799" i="11" a="1"/>
  <c r="D799" i="11" a="1"/>
  <c r="D799" i="11" s="1"/>
  <c r="H798" i="11" a="1"/>
  <c r="H798" i="11" s="1"/>
  <c r="G798" i="11" a="1"/>
  <c r="G798" i="11" s="1"/>
  <c r="F798" i="11"/>
  <c r="F798" i="11" a="1"/>
  <c r="E798" i="11" a="1"/>
  <c r="E798" i="11" s="1"/>
  <c r="D798" i="11" a="1"/>
  <c r="D798" i="11" s="1"/>
  <c r="H797" i="11" a="1"/>
  <c r="H797" i="11" s="1"/>
  <c r="G797" i="11"/>
  <c r="G797" i="11" a="1"/>
  <c r="F797" i="11" a="1"/>
  <c r="F797" i="11" s="1"/>
  <c r="E797" i="11"/>
  <c r="E797" i="11" a="1"/>
  <c r="D797" i="11" a="1"/>
  <c r="D797" i="11" s="1"/>
  <c r="H796" i="11" a="1"/>
  <c r="H796" i="11" s="1"/>
  <c r="G796" i="11" a="1"/>
  <c r="G796" i="11" s="1"/>
  <c r="F796" i="11"/>
  <c r="F796" i="11" a="1"/>
  <c r="E796" i="11" a="1"/>
  <c r="E796" i="11" s="1"/>
  <c r="D796" i="11" a="1"/>
  <c r="D796" i="11" s="1"/>
  <c r="H795" i="11" a="1"/>
  <c r="H795" i="11" s="1"/>
  <c r="G795" i="11"/>
  <c r="G795" i="11" a="1"/>
  <c r="F795" i="11" a="1"/>
  <c r="F795" i="11" s="1"/>
  <c r="E795" i="11"/>
  <c r="E795" i="11" a="1"/>
  <c r="D795" i="11" a="1"/>
  <c r="D795" i="11" s="1"/>
  <c r="H794" i="11" a="1"/>
  <c r="H794" i="11" s="1"/>
  <c r="G794" i="11" a="1"/>
  <c r="G794" i="11" s="1"/>
  <c r="F794" i="11" a="1"/>
  <c r="F794" i="11" s="1"/>
  <c r="E794" i="11"/>
  <c r="E794" i="11" a="1"/>
  <c r="D794" i="11"/>
  <c r="D794" i="11" a="1"/>
  <c r="H793" i="11" a="1"/>
  <c r="H793" i="11" s="1"/>
  <c r="G793" i="11" a="1"/>
  <c r="G793" i="11" s="1"/>
  <c r="F793" i="11" a="1"/>
  <c r="F793" i="11" s="1"/>
  <c r="E793" i="11" a="1"/>
  <c r="E793" i="11" s="1"/>
  <c r="D793" i="11" a="1"/>
  <c r="D793" i="11" s="1"/>
  <c r="H792" i="11" a="1"/>
  <c r="H792" i="11" s="1"/>
  <c r="G792" i="11" a="1"/>
  <c r="G792" i="11" s="1"/>
  <c r="F792" i="11" a="1"/>
  <c r="F792" i="11" s="1"/>
  <c r="E792" i="11" a="1"/>
  <c r="E792" i="11" s="1"/>
  <c r="D792" i="11"/>
  <c r="D792" i="11" a="1"/>
  <c r="H791" i="11" a="1"/>
  <c r="H791" i="11" s="1"/>
  <c r="G791" i="11"/>
  <c r="G791" i="11" a="1"/>
  <c r="F791" i="11" a="1"/>
  <c r="F791" i="11" s="1"/>
  <c r="E791" i="11"/>
  <c r="E791" i="11" a="1"/>
  <c r="D791" i="11" a="1"/>
  <c r="D791" i="11" s="1"/>
  <c r="H790" i="11" a="1"/>
  <c r="H790" i="11" s="1"/>
  <c r="G790" i="11"/>
  <c r="G790" i="11" a="1"/>
  <c r="F790" i="11"/>
  <c r="F790" i="11" a="1"/>
  <c r="E790" i="11" a="1"/>
  <c r="E790" i="11" s="1"/>
  <c r="D790" i="11" a="1"/>
  <c r="D790" i="11" s="1"/>
  <c r="H789" i="11" a="1"/>
  <c r="H789" i="11" s="1"/>
  <c r="G789" i="11" a="1"/>
  <c r="G789" i="11" s="1"/>
  <c r="F789" i="11" a="1"/>
  <c r="F789" i="11" s="1"/>
  <c r="E789" i="11"/>
  <c r="E789" i="11" a="1"/>
  <c r="D789" i="11" a="1"/>
  <c r="D789" i="11" s="1"/>
  <c r="H788" i="11" a="1"/>
  <c r="H788" i="11" s="1"/>
  <c r="G788" i="11" a="1"/>
  <c r="G788" i="11" s="1"/>
  <c r="F788" i="11"/>
  <c r="F788" i="11" a="1"/>
  <c r="E788" i="11" a="1"/>
  <c r="E788" i="11" s="1"/>
  <c r="D788" i="11"/>
  <c r="D788" i="11" a="1"/>
  <c r="H787" i="11" a="1"/>
  <c r="H787" i="11" s="1"/>
  <c r="G787" i="11"/>
  <c r="G787" i="11" a="1"/>
  <c r="F787" i="11" a="1"/>
  <c r="F787" i="11" s="1"/>
  <c r="E787" i="11" a="1"/>
  <c r="E787" i="11" s="1"/>
  <c r="D787" i="11"/>
  <c r="D787" i="11" a="1"/>
  <c r="H786" i="11" a="1"/>
  <c r="H786" i="11" s="1"/>
  <c r="G786" i="11" a="1"/>
  <c r="G786" i="11" s="1"/>
  <c r="F786" i="11" a="1"/>
  <c r="F786" i="11" s="1"/>
  <c r="E786" i="11" a="1"/>
  <c r="E786" i="11" s="1"/>
  <c r="D786" i="11" a="1"/>
  <c r="D786" i="11" s="1"/>
  <c r="H785" i="11" a="1"/>
  <c r="H785" i="11" s="1"/>
  <c r="G785" i="11"/>
  <c r="G785" i="11" a="1"/>
  <c r="F785" i="11" a="1"/>
  <c r="F785" i="11" s="1"/>
  <c r="E785" i="11" a="1"/>
  <c r="E785" i="11" s="1"/>
  <c r="D785" i="11" a="1"/>
  <c r="D785" i="11" s="1"/>
  <c r="H784" i="11" a="1"/>
  <c r="H784" i="11" s="1"/>
  <c r="G784" i="11" a="1"/>
  <c r="G784" i="11" s="1"/>
  <c r="F784" i="11"/>
  <c r="F784" i="11" a="1"/>
  <c r="E784" i="11" a="1"/>
  <c r="E784" i="11" s="1"/>
  <c r="D784" i="11"/>
  <c r="D784" i="11" a="1"/>
  <c r="H783" i="11" a="1"/>
  <c r="H783" i="11" s="1"/>
  <c r="G783" i="11" a="1"/>
  <c r="G783" i="11" s="1"/>
  <c r="F783" i="11" a="1"/>
  <c r="F783" i="11" s="1"/>
  <c r="E783" i="11"/>
  <c r="E783" i="11" a="1"/>
  <c r="D783" i="11" a="1"/>
  <c r="D783" i="11" s="1"/>
  <c r="H782" i="11" a="1"/>
  <c r="H782" i="11" s="1"/>
  <c r="G782" i="11" a="1"/>
  <c r="G782" i="11" s="1"/>
  <c r="F782" i="11" a="1"/>
  <c r="F782" i="11" s="1"/>
  <c r="E782" i="11" a="1"/>
  <c r="E782" i="11" s="1"/>
  <c r="D782" i="11"/>
  <c r="D782" i="11" a="1"/>
  <c r="H781" i="11" a="1"/>
  <c r="H781" i="11" s="1"/>
  <c r="G781" i="11" a="1"/>
  <c r="G781" i="11" s="1"/>
  <c r="F781" i="11" a="1"/>
  <c r="F781" i="11" s="1"/>
  <c r="E781" i="11"/>
  <c r="E781" i="11" a="1"/>
  <c r="D781" i="11" a="1"/>
  <c r="D781" i="11" s="1"/>
  <c r="H780" i="11" a="1"/>
  <c r="H780" i="11" s="1"/>
  <c r="G780" i="11" a="1"/>
  <c r="G780" i="11" s="1"/>
  <c r="F780" i="11"/>
  <c r="F780" i="11" a="1"/>
  <c r="E780" i="11" a="1"/>
  <c r="E780" i="11" s="1"/>
  <c r="D780" i="11" a="1"/>
  <c r="D780" i="11" s="1"/>
  <c r="H779" i="11" a="1"/>
  <c r="H779" i="11" s="1"/>
  <c r="G779" i="11"/>
  <c r="G779" i="11" a="1"/>
  <c r="F779" i="11" a="1"/>
  <c r="F779" i="11" s="1"/>
  <c r="E779" i="11"/>
  <c r="E779" i="11" a="1"/>
  <c r="D779" i="11" a="1"/>
  <c r="D779" i="11" s="1"/>
  <c r="H778" i="11" a="1"/>
  <c r="H778" i="11" s="1"/>
  <c r="G778" i="11" a="1"/>
  <c r="G778" i="11" s="1"/>
  <c r="F778" i="11"/>
  <c r="F778" i="11" a="1"/>
  <c r="E778" i="11" a="1"/>
  <c r="E778" i="11" s="1"/>
  <c r="D778" i="11" a="1"/>
  <c r="D778" i="11" s="1"/>
  <c r="H777" i="11" a="1"/>
  <c r="H777" i="11" s="1"/>
  <c r="G777" i="11" a="1"/>
  <c r="G777" i="11" s="1"/>
  <c r="F777" i="11" a="1"/>
  <c r="F777" i="11" s="1"/>
  <c r="E777" i="11"/>
  <c r="E777" i="11" a="1"/>
  <c r="D777" i="11" a="1"/>
  <c r="D777" i="11" s="1"/>
  <c r="H776" i="11" a="1"/>
  <c r="H776" i="11" s="1"/>
  <c r="G776" i="11" a="1"/>
  <c r="G776" i="11" s="1"/>
  <c r="F776" i="11" a="1"/>
  <c r="F776" i="11" s="1"/>
  <c r="E776" i="11"/>
  <c r="E776" i="11" a="1"/>
  <c r="D776" i="11"/>
  <c r="D776" i="11" a="1"/>
  <c r="H775" i="11" a="1"/>
  <c r="H775" i="11" s="1"/>
  <c r="G775" i="11"/>
  <c r="G775" i="11" a="1"/>
  <c r="F775" i="11" a="1"/>
  <c r="F775" i="11" s="1"/>
  <c r="E775" i="11" a="1"/>
  <c r="E775" i="11" s="1"/>
  <c r="D775" i="11" a="1"/>
  <c r="D775" i="11" s="1"/>
  <c r="H774" i="11" a="1"/>
  <c r="H774" i="11" s="1"/>
  <c r="G774" i="11" a="1"/>
  <c r="G774" i="11" s="1"/>
  <c r="F774" i="11" a="1"/>
  <c r="F774" i="11" s="1"/>
  <c r="E774" i="11" a="1"/>
  <c r="E774" i="11" s="1"/>
  <c r="D774" i="11"/>
  <c r="D774" i="11" a="1"/>
  <c r="H773" i="11" a="1"/>
  <c r="H773" i="11" s="1"/>
  <c r="G773" i="11"/>
  <c r="G773" i="11" a="1"/>
  <c r="F773" i="11" a="1"/>
  <c r="F773" i="11" s="1"/>
  <c r="E773" i="11"/>
  <c r="E773" i="11" a="1"/>
  <c r="D773" i="11" a="1"/>
  <c r="D773" i="11" s="1"/>
  <c r="H772" i="11" a="1"/>
  <c r="H772" i="11" s="1"/>
  <c r="G772" i="11"/>
  <c r="G772" i="11" a="1"/>
  <c r="F772" i="11"/>
  <c r="F772" i="11" a="1"/>
  <c r="E772" i="11" a="1"/>
  <c r="E772" i="11" s="1"/>
  <c r="D772" i="11" a="1"/>
  <c r="D772" i="11" s="1"/>
  <c r="H771" i="11" a="1"/>
  <c r="H771" i="11" s="1"/>
  <c r="G771" i="11" a="1"/>
  <c r="G771" i="11" s="1"/>
  <c r="F771" i="11" a="1"/>
  <c r="F771" i="11" s="1"/>
  <c r="E771" i="11"/>
  <c r="E771" i="11" a="1"/>
  <c r="D771" i="11" a="1"/>
  <c r="D771" i="11" s="1"/>
  <c r="H770" i="11" a="1"/>
  <c r="H770" i="11" s="1"/>
  <c r="G770" i="11" a="1"/>
  <c r="G770" i="11" s="1"/>
  <c r="F770" i="11"/>
  <c r="F770" i="11" a="1"/>
  <c r="E770" i="11" a="1"/>
  <c r="E770" i="11" s="1"/>
  <c r="D770" i="11"/>
  <c r="D770" i="11" a="1"/>
  <c r="H769" i="11" a="1"/>
  <c r="H769" i="11" s="1"/>
  <c r="G769" i="11"/>
  <c r="G769" i="11" a="1"/>
  <c r="F769" i="11" a="1"/>
  <c r="F769" i="11" s="1"/>
  <c r="E769" i="11" a="1"/>
  <c r="E769" i="11" s="1"/>
  <c r="D769" i="11" a="1"/>
  <c r="D769" i="11" s="1"/>
  <c r="H768" i="11" a="1"/>
  <c r="H768" i="11" s="1"/>
  <c r="G768" i="11" a="1"/>
  <c r="G768" i="11" s="1"/>
  <c r="F768" i="11" a="1"/>
  <c r="F768" i="11" s="1"/>
  <c r="E768" i="11" a="1"/>
  <c r="E768" i="11" s="1"/>
  <c r="D768" i="11" a="1"/>
  <c r="D768" i="11" s="1"/>
  <c r="H767" i="11" a="1"/>
  <c r="H767" i="11" s="1"/>
  <c r="G767" i="11"/>
  <c r="G767" i="11" a="1"/>
  <c r="F767" i="11" a="1"/>
  <c r="F767" i="11" s="1"/>
  <c r="E767" i="11" a="1"/>
  <c r="E767" i="11" s="1"/>
  <c r="D767" i="11" a="1"/>
  <c r="D767" i="11" s="1"/>
  <c r="H766" i="11" a="1"/>
  <c r="H766" i="11" s="1"/>
  <c r="G766" i="11" a="1"/>
  <c r="G766" i="11" s="1"/>
  <c r="F766" i="11"/>
  <c r="F766" i="11" a="1"/>
  <c r="E766" i="11" a="1"/>
  <c r="E766" i="11" s="1"/>
  <c r="D766" i="11"/>
  <c r="D766" i="11" a="1"/>
  <c r="H765" i="11" a="1"/>
  <c r="H765" i="11" s="1"/>
  <c r="G765" i="11" a="1"/>
  <c r="G765" i="11" s="1"/>
  <c r="F765" i="11"/>
  <c r="F765" i="11" a="1"/>
  <c r="E765" i="11"/>
  <c r="E765" i="11" a="1"/>
  <c r="D765" i="11" a="1"/>
  <c r="D765" i="11" s="1"/>
  <c r="H764" i="11" a="1"/>
  <c r="H764" i="11" s="1"/>
  <c r="G764" i="11" a="1"/>
  <c r="G764" i="11" s="1"/>
  <c r="F764" i="11" a="1"/>
  <c r="F764" i="11" s="1"/>
  <c r="E764" i="11"/>
  <c r="E764" i="11" a="1"/>
  <c r="D764" i="11"/>
  <c r="D764" i="11" a="1"/>
  <c r="H763" i="11" a="1"/>
  <c r="H763" i="11" s="1"/>
  <c r="G763" i="11" a="1"/>
  <c r="G763" i="11" s="1"/>
  <c r="F763" i="11" a="1"/>
  <c r="F763" i="11" s="1"/>
  <c r="E763" i="11"/>
  <c r="E763" i="11" a="1"/>
  <c r="D763" i="11" a="1"/>
  <c r="D763" i="11" s="1"/>
  <c r="H762" i="11" a="1"/>
  <c r="H762" i="11" s="1"/>
  <c r="G762" i="11" a="1"/>
  <c r="G762" i="11" s="1"/>
  <c r="F762" i="11"/>
  <c r="F762" i="11" a="1"/>
  <c r="E762" i="11" a="1"/>
  <c r="E762" i="11" s="1"/>
  <c r="D762" i="11" a="1"/>
  <c r="D762" i="11" s="1"/>
  <c r="H761" i="11" a="1"/>
  <c r="H761" i="11" s="1"/>
  <c r="G761" i="11"/>
  <c r="G761" i="11" a="1"/>
  <c r="F761" i="11" a="1"/>
  <c r="F761" i="11" s="1"/>
  <c r="E761" i="11"/>
  <c r="E761" i="11" a="1"/>
  <c r="D761" i="11" a="1"/>
  <c r="D761" i="11" s="1"/>
  <c r="H760" i="11" a="1"/>
  <c r="H760" i="11" s="1"/>
  <c r="G760" i="11" a="1"/>
  <c r="G760" i="11" s="1"/>
  <c r="F760" i="11"/>
  <c r="F760" i="11" a="1"/>
  <c r="E760" i="11" a="1"/>
  <c r="E760" i="11" s="1"/>
  <c r="D760" i="11" a="1"/>
  <c r="D760" i="11" s="1"/>
  <c r="H759" i="11" a="1"/>
  <c r="H759" i="11" s="1"/>
  <c r="G759" i="11"/>
  <c r="G759" i="11" a="1"/>
  <c r="F759" i="11" a="1"/>
  <c r="F759" i="11" s="1"/>
  <c r="E759" i="11"/>
  <c r="E759" i="11" a="1"/>
  <c r="D759" i="11" a="1"/>
  <c r="D759" i="11" s="1"/>
  <c r="H758" i="11" a="1"/>
  <c r="H758" i="11" s="1"/>
  <c r="G758" i="11" a="1"/>
  <c r="G758" i="11" s="1"/>
  <c r="F758" i="11" a="1"/>
  <c r="F758" i="11" s="1"/>
  <c r="E758" i="11"/>
  <c r="E758" i="11" a="1"/>
  <c r="D758" i="11"/>
  <c r="D758" i="11" a="1"/>
  <c r="H757" i="11" a="1"/>
  <c r="H757" i="11" s="1"/>
  <c r="G757" i="11"/>
  <c r="G757" i="11" a="1"/>
  <c r="F757" i="11" a="1"/>
  <c r="F757" i="11" s="1"/>
  <c r="E757" i="11" a="1"/>
  <c r="E757" i="11" s="1"/>
  <c r="D757" i="11" a="1"/>
  <c r="D757" i="11" s="1"/>
  <c r="H756" i="11" a="1"/>
  <c r="H756" i="11" s="1"/>
  <c r="G756" i="11" a="1"/>
  <c r="G756" i="11" s="1"/>
  <c r="F756" i="11" a="1"/>
  <c r="F756" i="11" s="1"/>
  <c r="E756" i="11" a="1"/>
  <c r="E756" i="11" s="1"/>
  <c r="D756" i="11" a="1"/>
  <c r="D756" i="11" s="1"/>
  <c r="H755" i="11" a="1"/>
  <c r="H755" i="11" s="1"/>
  <c r="G755" i="11"/>
  <c r="G755" i="11" a="1"/>
  <c r="F755" i="11" a="1"/>
  <c r="F755" i="11" s="1"/>
  <c r="E755" i="11"/>
  <c r="E755" i="11" a="1"/>
  <c r="D755" i="11" a="1"/>
  <c r="D755" i="11" s="1"/>
  <c r="H754" i="11" a="1"/>
  <c r="H754" i="11" s="1"/>
  <c r="G754" i="11"/>
  <c r="G754" i="11" a="1"/>
  <c r="F754" i="11"/>
  <c r="F754" i="11" a="1"/>
  <c r="E754" i="11" a="1"/>
  <c r="E754" i="11" s="1"/>
  <c r="D754" i="11"/>
  <c r="D754" i="11" a="1"/>
  <c r="H753" i="11" a="1"/>
  <c r="H753" i="11" s="1"/>
  <c r="G753" i="11" a="1"/>
  <c r="G753" i="11" s="1"/>
  <c r="F753" i="11" a="1"/>
  <c r="F753" i="11" s="1"/>
  <c r="E753" i="11"/>
  <c r="E753" i="11" a="1"/>
  <c r="D753" i="11" a="1"/>
  <c r="D753" i="11" s="1"/>
  <c r="H752" i="11" a="1"/>
  <c r="H752" i="11" s="1"/>
  <c r="G752" i="11" a="1"/>
  <c r="G752" i="11" s="1"/>
  <c r="F752" i="11"/>
  <c r="F752" i="11" a="1"/>
  <c r="E752" i="11" a="1"/>
  <c r="E752" i="11" s="1"/>
  <c r="D752" i="11"/>
  <c r="D752" i="11" a="1"/>
  <c r="H751" i="11" a="1"/>
  <c r="H751" i="11" s="1"/>
  <c r="G751" i="11"/>
  <c r="G751" i="11" a="1"/>
  <c r="F751" i="11" a="1"/>
  <c r="F751" i="11" s="1"/>
  <c r="E751" i="11"/>
  <c r="E751" i="11" a="1"/>
  <c r="D751" i="11"/>
  <c r="D751" i="11" a="1"/>
  <c r="H750" i="11" a="1"/>
  <c r="H750" i="11" s="1"/>
  <c r="G750" i="11" a="1"/>
  <c r="G750" i="11" s="1"/>
  <c r="F750" i="11" a="1"/>
  <c r="F750" i="11" s="1"/>
  <c r="E750" i="11" a="1"/>
  <c r="E750" i="11" s="1"/>
  <c r="D750" i="11" a="1"/>
  <c r="D750" i="11" s="1"/>
  <c r="H749" i="11" a="1"/>
  <c r="H749" i="11" s="1"/>
  <c r="G749" i="11"/>
  <c r="G749" i="11" a="1"/>
  <c r="F749" i="11" a="1"/>
  <c r="F749" i="11" s="1"/>
  <c r="E749" i="11" a="1"/>
  <c r="E749" i="11" s="1"/>
  <c r="D749" i="11" a="1"/>
  <c r="D749" i="11" s="1"/>
  <c r="H748" i="11" a="1"/>
  <c r="H748" i="11" s="1"/>
  <c r="G748" i="11" a="1"/>
  <c r="G748" i="11" s="1"/>
  <c r="F748" i="11"/>
  <c r="F748" i="11" a="1"/>
  <c r="E748" i="11" a="1"/>
  <c r="E748" i="11" s="1"/>
  <c r="D748" i="11"/>
  <c r="D748" i="11" a="1"/>
  <c r="H747" i="11" a="1"/>
  <c r="H747" i="11" s="1"/>
  <c r="G747" i="11" a="1"/>
  <c r="G747" i="11" s="1"/>
  <c r="F747" i="11" a="1"/>
  <c r="F747" i="11" s="1"/>
  <c r="E747" i="11"/>
  <c r="E747" i="11" a="1"/>
  <c r="D747" i="11" a="1"/>
  <c r="D747" i="11" s="1"/>
  <c r="H746" i="11" a="1"/>
  <c r="H746" i="11" s="1"/>
  <c r="G746" i="11" a="1"/>
  <c r="G746" i="11" s="1"/>
  <c r="F746" i="11" a="1"/>
  <c r="F746" i="11" s="1"/>
  <c r="E746" i="11" a="1"/>
  <c r="E746" i="11" s="1"/>
  <c r="D746" i="11"/>
  <c r="D746" i="11" a="1"/>
  <c r="H745" i="11" a="1"/>
  <c r="H745" i="11" s="1"/>
  <c r="G745" i="11" a="1"/>
  <c r="G745" i="11" s="1"/>
  <c r="F745" i="11" a="1"/>
  <c r="F745" i="11" s="1"/>
  <c r="E745" i="11"/>
  <c r="E745" i="11" a="1"/>
  <c r="D745" i="11" a="1"/>
  <c r="D745" i="11" s="1"/>
  <c r="H744" i="11" a="1"/>
  <c r="H744" i="11" s="1"/>
  <c r="G744" i="11" a="1"/>
  <c r="G744" i="11" s="1"/>
  <c r="F744" i="11"/>
  <c r="F744" i="11" a="1"/>
  <c r="E744" i="11" a="1"/>
  <c r="E744" i="11" s="1"/>
  <c r="D744" i="11" a="1"/>
  <c r="D744" i="11" s="1"/>
  <c r="H743" i="11" a="1"/>
  <c r="H743" i="11" s="1"/>
  <c r="G743" i="11"/>
  <c r="G743" i="11" a="1"/>
  <c r="F743" i="11" a="1"/>
  <c r="F743" i="11" s="1"/>
  <c r="E743" i="11" a="1"/>
  <c r="E743" i="11" s="1"/>
  <c r="D743" i="11" a="1"/>
  <c r="D743" i="11" s="1"/>
  <c r="H742" i="11" a="1"/>
  <c r="H742" i="11" s="1"/>
  <c r="G742" i="11"/>
  <c r="G742" i="11" a="1"/>
  <c r="F742" i="11"/>
  <c r="F742" i="11" a="1"/>
  <c r="E742" i="11" a="1"/>
  <c r="E742" i="11" s="1"/>
  <c r="D742" i="11" a="1"/>
  <c r="D742" i="11" s="1"/>
  <c r="H741" i="11" a="1"/>
  <c r="H741" i="11" s="1"/>
  <c r="G741" i="11"/>
  <c r="G741" i="11" a="1"/>
  <c r="F741" i="11" a="1"/>
  <c r="F741" i="11" s="1"/>
  <c r="E741" i="11"/>
  <c r="E741" i="11" a="1"/>
  <c r="D741" i="11" a="1"/>
  <c r="D741" i="11" s="1"/>
  <c r="H740" i="11" a="1"/>
  <c r="H740" i="11" s="1"/>
  <c r="G740" i="11" a="1"/>
  <c r="G740" i="11" s="1"/>
  <c r="F740" i="11" a="1"/>
  <c r="F740" i="11" s="1"/>
  <c r="E740" i="11" a="1"/>
  <c r="E740" i="11" s="1"/>
  <c r="D740" i="11"/>
  <c r="D740" i="11" a="1"/>
  <c r="H739" i="11" a="1"/>
  <c r="H739" i="11" s="1"/>
  <c r="G739" i="11"/>
  <c r="G739" i="11" a="1"/>
  <c r="F739" i="11" a="1"/>
  <c r="F739" i="11" s="1"/>
  <c r="E739" i="11" a="1"/>
  <c r="E739" i="11" s="1"/>
  <c r="D739" i="11" a="1"/>
  <c r="D739" i="11" s="1"/>
  <c r="H738" i="11" a="1"/>
  <c r="H738" i="11" s="1"/>
  <c r="G738" i="11" a="1"/>
  <c r="G738" i="11" s="1"/>
  <c r="F738" i="11" a="1"/>
  <c r="F738" i="11" s="1"/>
  <c r="E738" i="11" a="1"/>
  <c r="E738" i="11" s="1"/>
  <c r="D738" i="11"/>
  <c r="D738" i="11" a="1"/>
  <c r="H737" i="11" a="1"/>
  <c r="H737" i="11" s="1"/>
  <c r="G737" i="11" a="1"/>
  <c r="G737" i="11" s="1"/>
  <c r="F737" i="11" a="1"/>
  <c r="F737" i="11" s="1"/>
  <c r="E737" i="11"/>
  <c r="E737" i="11" a="1"/>
  <c r="D737" i="11" a="1"/>
  <c r="D737" i="11" s="1"/>
  <c r="H736" i="11" a="1"/>
  <c r="H736" i="11" s="1"/>
  <c r="G736" i="11"/>
  <c r="G736" i="11" a="1"/>
  <c r="F736" i="11" a="1"/>
  <c r="F736" i="11" s="1"/>
  <c r="E736" i="11" a="1"/>
  <c r="E736" i="11" s="1"/>
  <c r="D736" i="11"/>
  <c r="D736" i="11" a="1"/>
  <c r="H735" i="11" a="1"/>
  <c r="H735" i="11" s="1"/>
  <c r="G735" i="11" a="1"/>
  <c r="G735" i="11" s="1"/>
  <c r="F735" i="11"/>
  <c r="F735" i="11" a="1"/>
  <c r="E735" i="11"/>
  <c r="E735" i="11" a="1"/>
  <c r="D735" i="11" a="1"/>
  <c r="D735" i="11" s="1"/>
  <c r="H734" i="11" a="1"/>
  <c r="H734" i="11" s="1"/>
  <c r="G734" i="11" a="1"/>
  <c r="G734" i="11" s="1"/>
  <c r="F734" i="11"/>
  <c r="F734" i="11" a="1"/>
  <c r="E734" i="11" a="1"/>
  <c r="E734" i="11" s="1"/>
  <c r="D734" i="11"/>
  <c r="D734" i="11" a="1"/>
  <c r="H733" i="11" a="1"/>
  <c r="H733" i="11" s="1"/>
  <c r="G733" i="11"/>
  <c r="G733" i="11" a="1"/>
  <c r="F733" i="11" a="1"/>
  <c r="F733" i="11" s="1"/>
  <c r="E733" i="11" a="1"/>
  <c r="E733" i="11" s="1"/>
  <c r="D733" i="11"/>
  <c r="D733" i="11" a="1"/>
  <c r="H732" i="11" a="1"/>
  <c r="H732" i="11" s="1"/>
  <c r="G732" i="11" a="1"/>
  <c r="G732" i="11" s="1"/>
  <c r="F732" i="11" a="1"/>
  <c r="F732" i="11" s="1"/>
  <c r="E732" i="11" a="1"/>
  <c r="E732" i="11" s="1"/>
  <c r="D732" i="11" a="1"/>
  <c r="D732" i="11" s="1"/>
  <c r="H731" i="11" a="1"/>
  <c r="H731" i="11" s="1"/>
  <c r="G731" i="11" a="1"/>
  <c r="G731" i="11" s="1"/>
  <c r="F731" i="11" a="1"/>
  <c r="F731" i="11" s="1"/>
  <c r="E731" i="11"/>
  <c r="E731" i="11" a="1"/>
  <c r="D731" i="11" a="1"/>
  <c r="D731" i="11" s="1"/>
  <c r="H730" i="11" a="1"/>
  <c r="H730" i="11" s="1"/>
  <c r="G730" i="11" a="1"/>
  <c r="G730" i="11" s="1"/>
  <c r="F730" i="11" a="1"/>
  <c r="F730" i="11" s="1"/>
  <c r="E730" i="11" a="1"/>
  <c r="E730" i="11" s="1"/>
  <c r="D730" i="11"/>
  <c r="D730" i="11" a="1"/>
  <c r="H729" i="11" a="1"/>
  <c r="H729" i="11" s="1"/>
  <c r="G729" i="11" a="1"/>
  <c r="G729" i="11" s="1"/>
  <c r="F729" i="11"/>
  <c r="F729" i="11" a="1"/>
  <c r="E729" i="11" a="1"/>
  <c r="E729" i="11" s="1"/>
  <c r="D729" i="11" a="1"/>
  <c r="D729" i="11" s="1"/>
  <c r="H728" i="11" a="1"/>
  <c r="H728" i="11" s="1"/>
  <c r="G728" i="11" a="1"/>
  <c r="G728" i="11" s="1"/>
  <c r="F728" i="11" a="1"/>
  <c r="F728" i="11" s="1"/>
  <c r="E728" i="11" a="1"/>
  <c r="E728" i="11" s="1"/>
  <c r="D728" i="11"/>
  <c r="D728" i="11" a="1"/>
  <c r="H727" i="11" a="1"/>
  <c r="H727" i="11" s="1"/>
  <c r="G727" i="11" a="1"/>
  <c r="G727" i="11" s="1"/>
  <c r="F727" i="11" a="1"/>
  <c r="F727" i="11" s="1"/>
  <c r="E727" i="11" a="1"/>
  <c r="E727" i="11" s="1"/>
  <c r="D727" i="11" a="1"/>
  <c r="D727" i="11" s="1"/>
  <c r="H726" i="11" a="1"/>
  <c r="H726" i="11" s="1"/>
  <c r="G726" i="11" a="1"/>
  <c r="G726" i="11" s="1"/>
  <c r="F726" i="11"/>
  <c r="F726" i="11" a="1"/>
  <c r="E726" i="11" a="1"/>
  <c r="E726" i="11" s="1"/>
  <c r="D726" i="11" a="1"/>
  <c r="D726" i="11" s="1"/>
  <c r="H725" i="11" a="1"/>
  <c r="H725" i="11" s="1"/>
  <c r="G725" i="11" a="1"/>
  <c r="G725" i="11" s="1"/>
  <c r="F725" i="11" a="1"/>
  <c r="F725" i="11" s="1"/>
  <c r="E725" i="11" a="1"/>
  <c r="E725" i="11" s="1"/>
  <c r="D725" i="11" a="1"/>
  <c r="D725" i="11" s="1"/>
  <c r="H724" i="11" a="1"/>
  <c r="H724" i="11" s="1"/>
  <c r="G724" i="11" a="1"/>
  <c r="G724" i="11" s="1"/>
  <c r="F724" i="11" a="1"/>
  <c r="F724" i="11" s="1"/>
  <c r="E724" i="11" a="1"/>
  <c r="E724" i="11" s="1"/>
  <c r="D724" i="11"/>
  <c r="D724" i="11" a="1"/>
  <c r="H723" i="11" a="1"/>
  <c r="H723" i="11" s="1"/>
  <c r="G723" i="11"/>
  <c r="G723" i="11" a="1"/>
  <c r="F723" i="11" a="1"/>
  <c r="F723" i="11" s="1"/>
  <c r="E723" i="11" a="1"/>
  <c r="E723" i="11" s="1"/>
  <c r="D723" i="11" a="1"/>
  <c r="D723" i="11" s="1"/>
  <c r="H722" i="11" a="1"/>
  <c r="H722" i="11" s="1"/>
  <c r="G722" i="11" a="1"/>
  <c r="G722" i="11" s="1"/>
  <c r="F722" i="11" a="1"/>
  <c r="F722" i="11" s="1"/>
  <c r="E722" i="11"/>
  <c r="E722" i="11" a="1"/>
  <c r="D722" i="11" a="1"/>
  <c r="D722" i="11" s="1"/>
  <c r="H721" i="11" a="1"/>
  <c r="H721" i="11" s="1"/>
  <c r="G721" i="11"/>
  <c r="G721" i="11" a="1"/>
  <c r="F721" i="11" a="1"/>
  <c r="F721" i="11" s="1"/>
  <c r="E721" i="11" a="1"/>
  <c r="E721" i="11" s="1"/>
  <c r="D721" i="11" a="1"/>
  <c r="D721" i="11" s="1"/>
  <c r="H720" i="11" a="1"/>
  <c r="H720" i="11" s="1"/>
  <c r="G720" i="11" a="1"/>
  <c r="G720" i="11" s="1"/>
  <c r="F720" i="11" a="1"/>
  <c r="F720" i="11" s="1"/>
  <c r="E720" i="11"/>
  <c r="E720" i="11" a="1"/>
  <c r="D720" i="11"/>
  <c r="D720" i="11" a="1"/>
  <c r="H719" i="11" a="1"/>
  <c r="H719" i="11" s="1"/>
  <c r="G719" i="11" a="1"/>
  <c r="G719" i="11" s="1"/>
  <c r="F719" i="11" a="1"/>
  <c r="F719" i="11" s="1"/>
  <c r="E719" i="11" a="1"/>
  <c r="E719" i="11" s="1"/>
  <c r="D719" i="11" a="1"/>
  <c r="D719" i="11" s="1"/>
  <c r="H718" i="11" a="1"/>
  <c r="H718" i="11" s="1"/>
  <c r="G718" i="11" a="1"/>
  <c r="G718" i="11" s="1"/>
  <c r="F718" i="11"/>
  <c r="F718" i="11" a="1"/>
  <c r="E718" i="11" a="1"/>
  <c r="E718" i="11" s="1"/>
  <c r="D718" i="11"/>
  <c r="D718" i="11" a="1"/>
  <c r="H717" i="11" a="1"/>
  <c r="H717" i="11" s="1"/>
  <c r="G717" i="11" a="1"/>
  <c r="G717" i="11" s="1"/>
  <c r="F717" i="11"/>
  <c r="F717" i="11" a="1"/>
  <c r="E717" i="11"/>
  <c r="E717" i="11" a="1"/>
  <c r="D717" i="11" a="1"/>
  <c r="D717" i="11" s="1"/>
  <c r="H716" i="11" a="1"/>
  <c r="H716" i="11" s="1"/>
  <c r="G716" i="11" a="1"/>
  <c r="G716" i="11" s="1"/>
  <c r="F716" i="11" a="1"/>
  <c r="F716" i="11" s="1"/>
  <c r="E716" i="11"/>
  <c r="E716" i="11" a="1"/>
  <c r="D716" i="11" a="1"/>
  <c r="D716" i="11" s="1"/>
  <c r="H715" i="11" a="1"/>
  <c r="H715" i="11" s="1"/>
  <c r="G715" i="11" a="1"/>
  <c r="G715" i="11" s="1"/>
  <c r="F715" i="11"/>
  <c r="F715" i="11" a="1"/>
  <c r="E715" i="11" a="1"/>
  <c r="E715" i="11" s="1"/>
  <c r="D715" i="11" a="1"/>
  <c r="D715" i="11" s="1"/>
  <c r="H714" i="11" a="1"/>
  <c r="H714" i="11" s="1"/>
  <c r="G714" i="11" a="1"/>
  <c r="G714" i="11" s="1"/>
  <c r="F714" i="11"/>
  <c r="F714" i="11" a="1"/>
  <c r="E714" i="11"/>
  <c r="E714" i="11" a="1"/>
  <c r="D714" i="11" a="1"/>
  <c r="D714" i="11" s="1"/>
  <c r="H713" i="11" a="1"/>
  <c r="H713" i="11" s="1"/>
  <c r="G713" i="11"/>
  <c r="G713" i="11" a="1"/>
  <c r="F713" i="11" a="1"/>
  <c r="F713" i="11" s="1"/>
  <c r="E713" i="11" a="1"/>
  <c r="E713" i="11" s="1"/>
  <c r="D713" i="11" a="1"/>
  <c r="D713" i="11" s="1"/>
  <c r="H712" i="11" a="1"/>
  <c r="H712" i="11" s="1"/>
  <c r="G712" i="11" a="1"/>
  <c r="G712" i="11" s="1"/>
  <c r="F712" i="11" a="1"/>
  <c r="F712" i="11" s="1"/>
  <c r="E712" i="11" a="1"/>
  <c r="E712" i="11" s="1"/>
  <c r="D712" i="11" a="1"/>
  <c r="D712" i="11" s="1"/>
  <c r="H711" i="11" a="1"/>
  <c r="H711" i="11" s="1"/>
  <c r="G711" i="11"/>
  <c r="G711" i="11" a="1"/>
  <c r="F711" i="11" a="1"/>
  <c r="F711" i="11" s="1"/>
  <c r="E711" i="11" a="1"/>
  <c r="E711" i="11" s="1"/>
  <c r="D711" i="11" a="1"/>
  <c r="D711" i="11" s="1"/>
  <c r="H710" i="11" a="1"/>
  <c r="H710" i="11" s="1"/>
  <c r="G710" i="11"/>
  <c r="G710" i="11" a="1"/>
  <c r="F710" i="11" a="1"/>
  <c r="F710" i="11" s="1"/>
  <c r="E710" i="11"/>
  <c r="E710" i="11" a="1"/>
  <c r="D710" i="11" a="1"/>
  <c r="D710" i="11" s="1"/>
  <c r="H709" i="11" a="1"/>
  <c r="H709" i="11" s="1"/>
  <c r="G709" i="11"/>
  <c r="G709" i="11" a="1"/>
  <c r="F709" i="11" a="1"/>
  <c r="F709" i="11" s="1"/>
  <c r="E709" i="11" a="1"/>
  <c r="E709" i="11" s="1"/>
  <c r="D709" i="11"/>
  <c r="D709" i="11" a="1"/>
  <c r="H708" i="11" a="1"/>
  <c r="H708" i="11" s="1"/>
  <c r="G708" i="11" a="1"/>
  <c r="G708" i="11" s="1"/>
  <c r="F708" i="11"/>
  <c r="F708" i="11" a="1"/>
  <c r="E708" i="11"/>
  <c r="E708" i="11" a="1"/>
  <c r="D708" i="11" a="1"/>
  <c r="D708" i="11" s="1"/>
  <c r="H707" i="11" a="1"/>
  <c r="H707" i="11" s="1"/>
  <c r="G707" i="11"/>
  <c r="G707" i="11" a="1"/>
  <c r="F707" i="11" a="1"/>
  <c r="F707" i="11" s="1"/>
  <c r="E707" i="11" a="1"/>
  <c r="E707" i="11" s="1"/>
  <c r="D707" i="11"/>
  <c r="D707" i="11" a="1"/>
  <c r="H706" i="11" a="1"/>
  <c r="H706" i="11" s="1"/>
  <c r="G706" i="11"/>
  <c r="G706" i="11" a="1"/>
  <c r="F706" i="11"/>
  <c r="F706" i="11" a="1"/>
  <c r="E706" i="11" a="1"/>
  <c r="E706" i="11" s="1"/>
  <c r="D706" i="11" a="1"/>
  <c r="D706" i="11" s="1"/>
  <c r="H705" i="11" a="1"/>
  <c r="H705" i="11" s="1"/>
  <c r="G705" i="11"/>
  <c r="G705" i="11" a="1"/>
  <c r="F705" i="11" a="1"/>
  <c r="F705" i="11" s="1"/>
  <c r="E705" i="11"/>
  <c r="E705" i="11" a="1"/>
  <c r="D705" i="11" a="1"/>
  <c r="D705" i="11" s="1"/>
  <c r="H704" i="11" a="1"/>
  <c r="H704" i="11" s="1"/>
  <c r="G704" i="11" a="1"/>
  <c r="G704" i="11" s="1"/>
  <c r="F704" i="11"/>
  <c r="F704" i="11" a="1"/>
  <c r="E704" i="11" a="1"/>
  <c r="E704" i="11" s="1"/>
  <c r="D704" i="11" a="1"/>
  <c r="D704" i="11" s="1"/>
  <c r="H703" i="11" a="1"/>
  <c r="H703" i="11" s="1"/>
  <c r="G703" i="11"/>
  <c r="G703" i="11" a="1"/>
  <c r="F703" i="11" a="1"/>
  <c r="F703" i="11" s="1"/>
  <c r="E703" i="11"/>
  <c r="E703" i="11" a="1"/>
  <c r="D703" i="11"/>
  <c r="D703" i="11" a="1"/>
  <c r="H702" i="11" a="1"/>
  <c r="H702" i="11" s="1"/>
  <c r="G702" i="11" a="1"/>
  <c r="G702" i="11" s="1"/>
  <c r="F702" i="11"/>
  <c r="F702" i="11" a="1"/>
  <c r="E702" i="11" a="1"/>
  <c r="E702" i="11" s="1"/>
  <c r="D702" i="11" a="1"/>
  <c r="D702" i="11" s="1"/>
  <c r="H701" i="11" a="1"/>
  <c r="H701" i="11" s="1"/>
  <c r="G701" i="11" a="1"/>
  <c r="G701" i="11" s="1"/>
  <c r="F701" i="11" a="1"/>
  <c r="F701" i="11" s="1"/>
  <c r="E701" i="11"/>
  <c r="E701" i="11" a="1"/>
  <c r="D701" i="11"/>
  <c r="D701" i="11" a="1"/>
  <c r="H700" i="11" a="1"/>
  <c r="H700" i="11" s="1"/>
  <c r="G700" i="11" a="1"/>
  <c r="G700" i="11" s="1"/>
  <c r="F700" i="11"/>
  <c r="F700" i="11" a="1"/>
  <c r="E700" i="11" a="1"/>
  <c r="E700" i="11" s="1"/>
  <c r="D700" i="11" a="1"/>
  <c r="D700" i="11" s="1"/>
  <c r="H699" i="11" a="1"/>
  <c r="H699" i="11" s="1"/>
  <c r="G699" i="11" a="1"/>
  <c r="G699" i="11" s="1"/>
  <c r="F699" i="11" a="1"/>
  <c r="F699" i="11" s="1"/>
  <c r="E699" i="11"/>
  <c r="E699" i="11" a="1"/>
  <c r="D699" i="11" a="1"/>
  <c r="D699" i="11" s="1"/>
  <c r="H698" i="11" a="1"/>
  <c r="H698" i="11" s="1"/>
  <c r="G698" i="11"/>
  <c r="G698" i="11" a="1"/>
  <c r="F698" i="11"/>
  <c r="F698" i="11" a="1"/>
  <c r="E698" i="11" a="1"/>
  <c r="E698" i="11" s="1"/>
  <c r="D698" i="11" a="1"/>
  <c r="D698" i="11" s="1"/>
  <c r="H697" i="11" a="1"/>
  <c r="H697" i="11" s="1"/>
  <c r="G697" i="11" a="1"/>
  <c r="G697" i="11" s="1"/>
  <c r="F697" i="11"/>
  <c r="F697" i="11" a="1"/>
  <c r="E697" i="11"/>
  <c r="E697" i="11" a="1"/>
  <c r="D697" i="11" a="1"/>
  <c r="D697" i="11" s="1"/>
  <c r="H696" i="11" a="1"/>
  <c r="H696" i="11" s="1"/>
  <c r="G696" i="11" a="1"/>
  <c r="G696" i="11" s="1"/>
  <c r="F696" i="11"/>
  <c r="F696" i="11" a="1"/>
  <c r="E696" i="11" a="1"/>
  <c r="E696" i="11" s="1"/>
  <c r="D696" i="11" a="1"/>
  <c r="D696" i="11" s="1"/>
  <c r="H695" i="11" a="1"/>
  <c r="H695" i="11" s="1"/>
  <c r="G695" i="11" a="1"/>
  <c r="G695" i="11" s="1"/>
  <c r="F695" i="11" a="1"/>
  <c r="F695" i="11" s="1"/>
  <c r="E695" i="11"/>
  <c r="E695" i="11" a="1"/>
  <c r="D695" i="11" a="1"/>
  <c r="D695" i="11" s="1"/>
  <c r="H694" i="11" a="1"/>
  <c r="H694" i="11" s="1"/>
  <c r="G694" i="11"/>
  <c r="G694" i="11" a="1"/>
  <c r="F694" i="11" a="1"/>
  <c r="F694" i="11" s="1"/>
  <c r="E694" i="11" a="1"/>
  <c r="E694" i="11" s="1"/>
  <c r="D694" i="11" a="1"/>
  <c r="D694" i="11" s="1"/>
  <c r="H693" i="11" a="1"/>
  <c r="H693" i="11" s="1"/>
  <c r="G693" i="11"/>
  <c r="G693" i="11" a="1"/>
  <c r="F693" i="11" a="1"/>
  <c r="F693" i="11" s="1"/>
  <c r="E693" i="11"/>
  <c r="E693" i="11" a="1"/>
  <c r="D693" i="11" a="1"/>
  <c r="D693" i="11" s="1"/>
  <c r="H692" i="11" a="1"/>
  <c r="H692" i="11" s="1"/>
  <c r="G692" i="11" a="1"/>
  <c r="G692" i="11" s="1"/>
  <c r="F692" i="11" a="1"/>
  <c r="F692" i="11" s="1"/>
  <c r="E692" i="11"/>
  <c r="E692" i="11" a="1"/>
  <c r="D692" i="11"/>
  <c r="D692" i="11" a="1"/>
  <c r="H691" i="11" a="1"/>
  <c r="H691" i="11" s="1"/>
  <c r="G691" i="11" a="1"/>
  <c r="G691" i="11" s="1"/>
  <c r="F691" i="11" a="1"/>
  <c r="F691" i="11" s="1"/>
  <c r="E691" i="11"/>
  <c r="E691" i="11" a="1"/>
  <c r="D691" i="11"/>
  <c r="D691" i="11" a="1"/>
  <c r="H690" i="11" a="1"/>
  <c r="H690" i="11" s="1"/>
  <c r="G690" i="11" a="1"/>
  <c r="G690" i="11" s="1"/>
  <c r="F690" i="11" a="1"/>
  <c r="F690" i="11" s="1"/>
  <c r="E690" i="11" a="1"/>
  <c r="E690" i="11" s="1"/>
  <c r="D690" i="11"/>
  <c r="D690" i="11" a="1"/>
  <c r="H689" i="11" a="1"/>
  <c r="H689" i="11" s="1"/>
  <c r="G689" i="11"/>
  <c r="G689" i="11" a="1"/>
  <c r="F689" i="11" a="1"/>
  <c r="F689" i="11" s="1"/>
  <c r="E689" i="11"/>
  <c r="E689" i="11" a="1"/>
  <c r="D689" i="11" a="1"/>
  <c r="D689" i="11" s="1"/>
  <c r="H688" i="11" a="1"/>
  <c r="H688" i="11" s="1"/>
  <c r="G688" i="11"/>
  <c r="G688" i="11" a="1"/>
  <c r="F688" i="11" a="1"/>
  <c r="F688" i="11" s="1"/>
  <c r="E688" i="11" a="1"/>
  <c r="E688" i="11" s="1"/>
  <c r="D688" i="11"/>
  <c r="D688" i="11" a="1"/>
  <c r="H687" i="11" a="1"/>
  <c r="H687" i="11" s="1"/>
  <c r="G687" i="11" a="1"/>
  <c r="G687" i="11" s="1"/>
  <c r="F687" i="11"/>
  <c r="F687" i="11" a="1"/>
  <c r="E687" i="11" a="1"/>
  <c r="E687" i="11" s="1"/>
  <c r="D687" i="11" a="1"/>
  <c r="D687" i="11" s="1"/>
  <c r="H686" i="11" a="1"/>
  <c r="H686" i="11" s="1"/>
  <c r="G686" i="11"/>
  <c r="G686" i="11" a="1"/>
  <c r="F686" i="11" a="1"/>
  <c r="F686" i="11" s="1"/>
  <c r="E686" i="11"/>
  <c r="E686" i="11" a="1"/>
  <c r="D686" i="11"/>
  <c r="D686" i="11" a="1"/>
  <c r="H685" i="11" a="1"/>
  <c r="H685" i="11" s="1"/>
  <c r="G685" i="11" a="1"/>
  <c r="G685" i="11" s="1"/>
  <c r="F685" i="11"/>
  <c r="F685" i="11" a="1"/>
  <c r="E685" i="11" a="1"/>
  <c r="E685" i="11" s="1"/>
  <c r="D685" i="11" a="1"/>
  <c r="D685" i="11" s="1"/>
  <c r="H684" i="11" a="1"/>
  <c r="H684" i="11" s="1"/>
  <c r="G684" i="11" a="1"/>
  <c r="G684" i="11" s="1"/>
  <c r="F684" i="11"/>
  <c r="F684" i="11" a="1"/>
  <c r="E684" i="11" a="1"/>
  <c r="E684" i="11" s="1"/>
  <c r="D684" i="11"/>
  <c r="D684" i="11" a="1"/>
  <c r="H683" i="11" a="1"/>
  <c r="H683" i="11" s="1"/>
  <c r="G683" i="11"/>
  <c r="G683" i="11" a="1"/>
  <c r="F683" i="11" a="1"/>
  <c r="F683" i="11" s="1"/>
  <c r="E683" i="11" a="1"/>
  <c r="E683" i="11" s="1"/>
  <c r="D683" i="11" a="1"/>
  <c r="D683" i="11" s="1"/>
  <c r="H682" i="11" a="1"/>
  <c r="H682" i="11" s="1"/>
  <c r="G682" i="11" a="1"/>
  <c r="G682" i="11" s="1"/>
  <c r="F682" i="11" a="1"/>
  <c r="F682" i="11" s="1"/>
  <c r="E682" i="11" a="1"/>
  <c r="E682" i="11" s="1"/>
  <c r="D682" i="11"/>
  <c r="D682" i="11" a="1"/>
  <c r="H681" i="11" a="1"/>
  <c r="H681" i="11" s="1"/>
  <c r="G681" i="11"/>
  <c r="G681" i="11" a="1"/>
  <c r="F681" i="11"/>
  <c r="F681" i="11" a="1"/>
  <c r="E681" i="11" a="1"/>
  <c r="E681" i="11" s="1"/>
  <c r="D681" i="11" a="1"/>
  <c r="D681" i="11" s="1"/>
  <c r="H680" i="11" a="1"/>
  <c r="H680" i="11" s="1"/>
  <c r="G680" i="11" a="1"/>
  <c r="G680" i="11" s="1"/>
  <c r="F680" i="11"/>
  <c r="F680" i="11" a="1"/>
  <c r="E680" i="11"/>
  <c r="E680" i="11" a="1"/>
  <c r="D680" i="11" a="1"/>
  <c r="D680" i="11" s="1"/>
  <c r="H679" i="11" a="1"/>
  <c r="H679" i="11" s="1"/>
  <c r="G679" i="11"/>
  <c r="G679" i="11" a="1"/>
  <c r="F679" i="11"/>
  <c r="F679" i="11" a="1"/>
  <c r="E679" i="11"/>
  <c r="E679" i="11" a="1"/>
  <c r="D679" i="11"/>
  <c r="D679" i="11" a="1"/>
  <c r="H678" i="11" a="1"/>
  <c r="H678" i="11" s="1"/>
  <c r="G678" i="11" a="1"/>
  <c r="G678" i="11" s="1"/>
  <c r="F678" i="11" a="1"/>
  <c r="F678" i="11" s="1"/>
  <c r="E678" i="11"/>
  <c r="E678" i="11" a="1"/>
  <c r="D678" i="11" a="1"/>
  <c r="D678" i="11" s="1"/>
  <c r="H677" i="11" a="1"/>
  <c r="H677" i="11" s="1"/>
  <c r="G677" i="11"/>
  <c r="G677" i="11" a="1"/>
  <c r="F677" i="11" a="1"/>
  <c r="F677" i="11" s="1"/>
  <c r="E677" i="11" a="1"/>
  <c r="E677" i="11" s="1"/>
  <c r="D677" i="11"/>
  <c r="D677" i="11" a="1"/>
  <c r="H676" i="11" a="1"/>
  <c r="H676" i="11" s="1"/>
  <c r="G676" i="11" a="1"/>
  <c r="G676" i="11" s="1"/>
  <c r="F676" i="11" a="1"/>
  <c r="F676" i="11" s="1"/>
  <c r="E676" i="11" a="1"/>
  <c r="E676" i="11" s="1"/>
  <c r="D676" i="11" a="1"/>
  <c r="D676" i="11" s="1"/>
  <c r="H675" i="11" a="1"/>
  <c r="H675" i="11" s="1"/>
  <c r="G675" i="11" a="1"/>
  <c r="G675" i="11" s="1"/>
  <c r="F675" i="11" a="1"/>
  <c r="F675" i="11" s="1"/>
  <c r="E675" i="11"/>
  <c r="E675" i="11" a="1"/>
  <c r="D675" i="11" a="1"/>
  <c r="D675" i="11" s="1"/>
  <c r="H674" i="11" a="1"/>
  <c r="H674" i="11" s="1"/>
  <c r="G674" i="11" a="1"/>
  <c r="G674" i="11" s="1"/>
  <c r="F674" i="11" a="1"/>
  <c r="F674" i="11" s="1"/>
  <c r="E674" i="11"/>
  <c r="E674" i="11" a="1"/>
  <c r="D674" i="11"/>
  <c r="D674" i="11" a="1"/>
  <c r="H673" i="11" a="1"/>
  <c r="H673" i="11" s="1"/>
  <c r="G673" i="11"/>
  <c r="G673" i="11" a="1"/>
  <c r="F673" i="11" a="1"/>
  <c r="F673" i="11" s="1"/>
  <c r="E673" i="11" a="1"/>
  <c r="E673" i="11" s="1"/>
  <c r="D673" i="11"/>
  <c r="D673" i="11" a="1"/>
  <c r="H672" i="11" a="1"/>
  <c r="H672" i="11" s="1"/>
  <c r="G672" i="11" a="1"/>
  <c r="G672" i="11" s="1"/>
  <c r="F672" i="11" a="1"/>
  <c r="F672" i="11" s="1"/>
  <c r="E672" i="11"/>
  <c r="E672" i="11" a="1"/>
  <c r="D672" i="11" a="1"/>
  <c r="D672" i="11" s="1"/>
  <c r="H671" i="11" a="1"/>
  <c r="H671" i="11" s="1"/>
  <c r="G671" i="11"/>
  <c r="G671" i="11" a="1"/>
  <c r="F671" i="11" a="1"/>
  <c r="F671" i="11" s="1"/>
  <c r="E671" i="11"/>
  <c r="E671" i="11" a="1"/>
  <c r="D671" i="11"/>
  <c r="D671" i="11" a="1"/>
  <c r="H670" i="11" a="1"/>
  <c r="H670" i="11" s="1"/>
  <c r="G670" i="11" a="1"/>
  <c r="G670" i="11" s="1"/>
  <c r="F670" i="11"/>
  <c r="F670" i="11" a="1"/>
  <c r="E670" i="11" a="1"/>
  <c r="E670" i="11" s="1"/>
  <c r="D670" i="11" a="1"/>
  <c r="D670" i="11" s="1"/>
  <c r="H669" i="11" a="1"/>
  <c r="H669" i="11" s="1"/>
  <c r="G669" i="11"/>
  <c r="G669" i="11" a="1"/>
  <c r="F669" i="11" a="1"/>
  <c r="F669" i="11" s="1"/>
  <c r="E669" i="11" a="1"/>
  <c r="E669" i="11" s="1"/>
  <c r="D669" i="11" a="1"/>
  <c r="D669" i="11" s="1"/>
  <c r="H668" i="11" a="1"/>
  <c r="H668" i="11" s="1"/>
  <c r="G668" i="11" a="1"/>
  <c r="G668" i="11" s="1"/>
  <c r="F668" i="11"/>
  <c r="F668" i="11" a="1"/>
  <c r="E668" i="11" a="1"/>
  <c r="E668" i="11" s="1"/>
  <c r="D668" i="11" a="1"/>
  <c r="D668" i="11" s="1"/>
  <c r="H667" i="11" a="1"/>
  <c r="H667" i="11" s="1"/>
  <c r="G667" i="11"/>
  <c r="G667" i="11" a="1"/>
  <c r="F667" i="11"/>
  <c r="F667" i="11" a="1"/>
  <c r="E667" i="11" a="1"/>
  <c r="E667" i="11" s="1"/>
  <c r="D667" i="11"/>
  <c r="D667" i="11" a="1"/>
  <c r="H666" i="11" a="1"/>
  <c r="H666" i="11" s="1"/>
  <c r="G666" i="11" a="1"/>
  <c r="G666" i="11" s="1"/>
  <c r="F666" i="11"/>
  <c r="F666" i="11" a="1"/>
  <c r="E666" i="11" a="1"/>
  <c r="E666" i="11" s="1"/>
  <c r="D666" i="11" a="1"/>
  <c r="D666" i="11" s="1"/>
  <c r="H665" i="11" a="1"/>
  <c r="H665" i="11" s="1"/>
  <c r="G665" i="11" a="1"/>
  <c r="G665" i="11" s="1"/>
  <c r="F665" i="11" a="1"/>
  <c r="F665" i="11" s="1"/>
  <c r="E665" i="11"/>
  <c r="E665" i="11" a="1"/>
  <c r="D665" i="11"/>
  <c r="D665" i="11" a="1"/>
  <c r="H664" i="11" a="1"/>
  <c r="H664" i="11" s="1"/>
  <c r="G664" i="11" a="1"/>
  <c r="G664" i="11" s="1"/>
  <c r="F664" i="11"/>
  <c r="F664" i="11" a="1"/>
  <c r="E664" i="11" a="1"/>
  <c r="E664" i="11" s="1"/>
  <c r="D664" i="11" a="1"/>
  <c r="D664" i="11" s="1"/>
  <c r="H663" i="11" a="1"/>
  <c r="H663" i="11" s="1"/>
  <c r="G663" i="11" a="1"/>
  <c r="G663" i="11" s="1"/>
  <c r="F663" i="11"/>
  <c r="F663" i="11" a="1"/>
  <c r="E663" i="11"/>
  <c r="E663" i="11" a="1"/>
  <c r="D663" i="11" a="1"/>
  <c r="D663" i="11" s="1"/>
  <c r="H662" i="11" a="1"/>
  <c r="H662" i="11" s="1"/>
  <c r="G662" i="11" a="1"/>
  <c r="G662" i="11" s="1"/>
  <c r="F662" i="11"/>
  <c r="F662" i="11" a="1"/>
  <c r="E662" i="11" a="1"/>
  <c r="E662" i="11" s="1"/>
  <c r="D662" i="11"/>
  <c r="D662" i="11" a="1"/>
  <c r="H661" i="11" a="1"/>
  <c r="H661" i="11" s="1"/>
  <c r="G661" i="11" a="1"/>
  <c r="G661" i="11" s="1"/>
  <c r="F661" i="11" a="1"/>
  <c r="F661" i="11" s="1"/>
  <c r="E661" i="11"/>
  <c r="E661" i="11" a="1"/>
  <c r="D661" i="11" a="1"/>
  <c r="D661" i="11" s="1"/>
  <c r="H660" i="11" a="1"/>
  <c r="H660" i="11" s="1"/>
  <c r="G660" i="11"/>
  <c r="G660" i="11" a="1"/>
  <c r="F660" i="11" a="1"/>
  <c r="F660" i="11" s="1"/>
  <c r="E660" i="11" a="1"/>
  <c r="E660" i="11" s="1"/>
  <c r="D660" i="11"/>
  <c r="D660" i="11" a="1"/>
  <c r="H659" i="11" a="1"/>
  <c r="H659" i="11" s="1"/>
  <c r="G659" i="11"/>
  <c r="G659" i="11" a="1"/>
  <c r="F659" i="11"/>
  <c r="F659" i="11" a="1"/>
  <c r="E659" i="11" a="1"/>
  <c r="E659" i="11" s="1"/>
  <c r="D659" i="11" a="1"/>
  <c r="D659" i="11" s="1"/>
  <c r="H658" i="11" a="1"/>
  <c r="H658" i="11" s="1"/>
  <c r="G658" i="11" a="1"/>
  <c r="G658" i="11" s="1"/>
  <c r="F658" i="11"/>
  <c r="F658" i="11" a="1"/>
  <c r="E658" i="11"/>
  <c r="E658" i="11" a="1"/>
  <c r="D658" i="11" a="1"/>
  <c r="D658" i="11" s="1"/>
  <c r="H657" i="11" a="1"/>
  <c r="H657" i="11" s="1"/>
  <c r="G657" i="11" a="1"/>
  <c r="G657" i="11" s="1"/>
  <c r="F657" i="11" a="1"/>
  <c r="F657" i="11" s="1"/>
  <c r="E657" i="11"/>
  <c r="E657" i="11" a="1"/>
  <c r="D657" i="11"/>
  <c r="D657" i="11" a="1"/>
  <c r="H656" i="11" a="1"/>
  <c r="H656" i="11" s="1"/>
  <c r="G656" i="11" a="1"/>
  <c r="G656" i="11" s="1"/>
  <c r="F656" i="11"/>
  <c r="F656" i="11" a="1"/>
  <c r="E656" i="11" a="1"/>
  <c r="E656" i="11" s="1"/>
  <c r="D656" i="11" a="1"/>
  <c r="D656" i="11" s="1"/>
  <c r="H655" i="11" a="1"/>
  <c r="H655" i="11" s="1"/>
  <c r="G655" i="11" a="1"/>
  <c r="G655" i="11" s="1"/>
  <c r="F655" i="11" a="1"/>
  <c r="F655" i="11" s="1"/>
  <c r="E655" i="11"/>
  <c r="E655" i="11" a="1"/>
  <c r="D655" i="11" a="1"/>
  <c r="D655" i="11" s="1"/>
  <c r="H654" i="11" a="1"/>
  <c r="H654" i="11" s="1"/>
  <c r="G654" i="11"/>
  <c r="G654" i="11" a="1"/>
  <c r="F654" i="11" a="1"/>
  <c r="F654" i="11" s="1"/>
  <c r="E654" i="11" a="1"/>
  <c r="E654" i="11" s="1"/>
  <c r="D654" i="11"/>
  <c r="D654" i="11" a="1"/>
  <c r="H653" i="11" a="1"/>
  <c r="H653" i="11" s="1"/>
  <c r="G653" i="11"/>
  <c r="G653" i="11" a="1"/>
  <c r="F653" i="11"/>
  <c r="F653" i="11" a="1"/>
  <c r="E653" i="11" a="1"/>
  <c r="E653" i="11" s="1"/>
  <c r="D653" i="11" a="1"/>
  <c r="D653" i="11" s="1"/>
  <c r="H652" i="11" a="1"/>
  <c r="H652" i="11" s="1"/>
  <c r="G652" i="11" a="1"/>
  <c r="G652" i="11" s="1"/>
  <c r="F652" i="11"/>
  <c r="F652" i="11" a="1"/>
  <c r="E652" i="11"/>
  <c r="E652" i="11" a="1"/>
  <c r="D652" i="11" a="1"/>
  <c r="D652" i="11" s="1"/>
  <c r="H651" i="11" a="1"/>
  <c r="H651" i="11" s="1"/>
  <c r="G651" i="11"/>
  <c r="G651" i="11" a="1"/>
  <c r="F651" i="11" a="1"/>
  <c r="F651" i="11" s="1"/>
  <c r="E651" i="11" a="1"/>
  <c r="E651" i="11" s="1"/>
  <c r="D651" i="11"/>
  <c r="D651" i="11" a="1"/>
  <c r="H650" i="11" a="1"/>
  <c r="H650" i="11" s="1"/>
  <c r="G650" i="11" a="1"/>
  <c r="G650" i="11" s="1"/>
  <c r="F650" i="11"/>
  <c r="F650" i="11" a="1"/>
  <c r="E650" i="11" a="1"/>
  <c r="E650" i="11" s="1"/>
  <c r="D650" i="11"/>
  <c r="D650" i="11" a="1"/>
  <c r="H649" i="11" a="1"/>
  <c r="H649" i="11" s="1"/>
  <c r="G649" i="11" a="1"/>
  <c r="G649" i="11" s="1"/>
  <c r="F649" i="11" a="1"/>
  <c r="F649" i="11" s="1"/>
  <c r="E649" i="11"/>
  <c r="E649" i="11" a="1"/>
  <c r="D649" i="11" a="1"/>
  <c r="D649" i="11" s="1"/>
  <c r="H648" i="11" a="1"/>
  <c r="H648" i="11" s="1"/>
  <c r="G648" i="11"/>
  <c r="G648" i="11" a="1"/>
  <c r="F648" i="11" a="1"/>
  <c r="F648" i="11" s="1"/>
  <c r="E648" i="11" a="1"/>
  <c r="E648" i="11" s="1"/>
  <c r="D648" i="11" a="1"/>
  <c r="D648" i="11" s="1"/>
  <c r="H647" i="11" a="1"/>
  <c r="H647" i="11" s="1"/>
  <c r="G647" i="11"/>
  <c r="G647" i="11" a="1"/>
  <c r="F647" i="11"/>
  <c r="F647" i="11" a="1"/>
  <c r="E647" i="11" a="1"/>
  <c r="E647" i="11" s="1"/>
  <c r="D647" i="11" a="1"/>
  <c r="D647" i="11" s="1"/>
  <c r="H646" i="11" a="1"/>
  <c r="H646" i="11" s="1"/>
  <c r="G646" i="11" a="1"/>
  <c r="G646" i="11" s="1"/>
  <c r="F646" i="11" a="1"/>
  <c r="F646" i="11" s="1"/>
  <c r="E646" i="11"/>
  <c r="E646" i="11" a="1"/>
  <c r="D646" i="11" a="1"/>
  <c r="D646" i="11" s="1"/>
  <c r="H645" i="11" a="1"/>
  <c r="H645" i="11" s="1"/>
  <c r="G645" i="11"/>
  <c r="G645" i="11" a="1"/>
  <c r="F645" i="11" a="1"/>
  <c r="F645" i="11" s="1"/>
  <c r="E645" i="11"/>
  <c r="E645" i="11" a="1"/>
  <c r="D645" i="11"/>
  <c r="D645" i="11" a="1"/>
  <c r="H644" i="11" a="1"/>
  <c r="H644" i="11" s="1"/>
  <c r="G644" i="11" a="1"/>
  <c r="G644" i="11" s="1"/>
  <c r="F644" i="11"/>
  <c r="F644" i="11" a="1"/>
  <c r="E644" i="11" a="1"/>
  <c r="E644" i="11" s="1"/>
  <c r="D644" i="11"/>
  <c r="D644" i="11" a="1"/>
  <c r="H643" i="11" a="1"/>
  <c r="H643" i="11" s="1"/>
  <c r="G643" i="11" a="1"/>
  <c r="G643" i="11" s="1"/>
  <c r="F643" i="11" a="1"/>
  <c r="F643" i="11" s="1"/>
  <c r="E643" i="11" a="1"/>
  <c r="E643" i="11" s="1"/>
  <c r="D643" i="11" a="1"/>
  <c r="D643" i="11" s="1"/>
  <c r="H642" i="11" a="1"/>
  <c r="H642" i="11" s="1"/>
  <c r="G642" i="11"/>
  <c r="G642" i="11" a="1"/>
  <c r="F642" i="11" a="1"/>
  <c r="F642" i="11" s="1"/>
  <c r="E642" i="11" a="1"/>
  <c r="E642" i="11" s="1"/>
  <c r="D642" i="11"/>
  <c r="D642" i="11" a="1"/>
  <c r="H641" i="11" a="1"/>
  <c r="H641" i="11" s="1"/>
  <c r="G641" i="11" a="1"/>
  <c r="G641" i="11" s="1"/>
  <c r="F641" i="11"/>
  <c r="F641" i="11" a="1"/>
  <c r="E641" i="11" a="1"/>
  <c r="E641" i="11" s="1"/>
  <c r="D641" i="11" a="1"/>
  <c r="D641" i="11" s="1"/>
  <c r="H640" i="11" a="1"/>
  <c r="H640" i="11" s="1"/>
  <c r="G640" i="11" a="1"/>
  <c r="G640" i="11" s="1"/>
  <c r="F640" i="11"/>
  <c r="F640" i="11" a="1"/>
  <c r="E640" i="11"/>
  <c r="E640" i="11" a="1"/>
  <c r="D640" i="11" a="1"/>
  <c r="D640" i="11" s="1"/>
  <c r="H639" i="11" a="1"/>
  <c r="H639" i="11" s="1"/>
  <c r="G639" i="11"/>
  <c r="G639" i="11" a="1"/>
  <c r="F639" i="11" a="1"/>
  <c r="F639" i="11" s="1"/>
  <c r="E639" i="11"/>
  <c r="E639" i="11" a="1"/>
  <c r="D639" i="11"/>
  <c r="D639" i="11" a="1"/>
  <c r="H638" i="11" a="1"/>
  <c r="H638" i="11" s="1"/>
  <c r="G638" i="11" a="1"/>
  <c r="G638" i="11" s="1"/>
  <c r="F638" i="11" a="1"/>
  <c r="F638" i="11" s="1"/>
  <c r="E638" i="11" a="1"/>
  <c r="E638" i="11" s="1"/>
  <c r="D638" i="11"/>
  <c r="D638" i="11" a="1"/>
  <c r="H637" i="11" a="1"/>
  <c r="H637" i="11" s="1"/>
  <c r="G637" i="11" a="1"/>
  <c r="G637" i="11" s="1"/>
  <c r="F637" i="11" a="1"/>
  <c r="F637" i="11" s="1"/>
  <c r="E637" i="11"/>
  <c r="E637" i="11" a="1"/>
  <c r="D637" i="11" a="1"/>
  <c r="D637" i="11" s="1"/>
  <c r="H636" i="11" a="1"/>
  <c r="H636" i="11" s="1"/>
  <c r="G636" i="11"/>
  <c r="G636" i="11" a="1"/>
  <c r="F636" i="11" a="1"/>
  <c r="F636" i="11" s="1"/>
  <c r="E636" i="11" a="1"/>
  <c r="E636" i="11" s="1"/>
  <c r="D636" i="11"/>
  <c r="D636" i="11" a="1"/>
  <c r="H635" i="11" a="1"/>
  <c r="H635" i="11" s="1"/>
  <c r="G635" i="11"/>
  <c r="G635" i="11" a="1"/>
  <c r="F635" i="11"/>
  <c r="F635" i="11" a="1"/>
  <c r="E635" i="11" a="1"/>
  <c r="E635" i="11" s="1"/>
  <c r="D635" i="11" a="1"/>
  <c r="D635" i="11" s="1"/>
  <c r="H634" i="11" a="1"/>
  <c r="H634" i="11" s="1"/>
  <c r="G634" i="11" a="1"/>
  <c r="G634" i="11" s="1"/>
  <c r="F634" i="11"/>
  <c r="F634" i="11" a="1"/>
  <c r="E634" i="11"/>
  <c r="E634" i="11" a="1"/>
  <c r="D634" i="11" a="1"/>
  <c r="D634" i="11" s="1"/>
  <c r="H633" i="11" a="1"/>
  <c r="H633" i="11" s="1"/>
  <c r="G633" i="11" a="1"/>
  <c r="G633" i="11" s="1"/>
  <c r="F633" i="11" a="1"/>
  <c r="F633" i="11" s="1"/>
  <c r="E633" i="11"/>
  <c r="E633" i="11" a="1"/>
  <c r="D633" i="11" a="1"/>
  <c r="D633" i="11" s="1"/>
  <c r="H632" i="11" a="1"/>
  <c r="H632" i="11" s="1"/>
  <c r="G632" i="11" a="1"/>
  <c r="G632" i="11" s="1"/>
  <c r="F632" i="11"/>
  <c r="F632" i="11" a="1"/>
  <c r="E632" i="11" a="1"/>
  <c r="E632" i="11" s="1"/>
  <c r="D632" i="11" a="1"/>
  <c r="D632" i="11" s="1"/>
  <c r="H631" i="11" a="1"/>
  <c r="H631" i="11" s="1"/>
  <c r="G631" i="11" a="1"/>
  <c r="G631" i="11" s="1"/>
  <c r="F631" i="11" a="1"/>
  <c r="F631" i="11" s="1"/>
  <c r="E631" i="11"/>
  <c r="E631" i="11" a="1"/>
  <c r="D631" i="11" a="1"/>
  <c r="D631" i="11" s="1"/>
  <c r="H630" i="11" a="1"/>
  <c r="H630" i="11" s="1"/>
  <c r="G630" i="11" a="1"/>
  <c r="G630" i="11" s="1"/>
  <c r="F630" i="11" a="1"/>
  <c r="F630" i="11" s="1"/>
  <c r="E630" i="11" a="1"/>
  <c r="E630" i="11" s="1"/>
  <c r="D630" i="11"/>
  <c r="D630" i="11" a="1"/>
  <c r="H629" i="11" a="1"/>
  <c r="H629" i="11" s="1"/>
  <c r="G629" i="11"/>
  <c r="G629" i="11" a="1"/>
  <c r="F629" i="11"/>
  <c r="F629" i="11" a="1"/>
  <c r="E629" i="11" a="1"/>
  <c r="E629" i="11" s="1"/>
  <c r="D629" i="11" a="1"/>
  <c r="D629" i="11" s="1"/>
  <c r="H628" i="11" a="1"/>
  <c r="H628" i="11" s="1"/>
  <c r="G628" i="11" a="1"/>
  <c r="G628" i="11" s="1"/>
  <c r="F628" i="11"/>
  <c r="F628" i="11" a="1"/>
  <c r="E628" i="11" a="1"/>
  <c r="E628" i="11" s="1"/>
  <c r="D628" i="11" a="1"/>
  <c r="D628" i="11" s="1"/>
  <c r="H627" i="11" a="1"/>
  <c r="H627" i="11" s="1"/>
  <c r="G627" i="11"/>
  <c r="G627" i="11" a="1"/>
  <c r="F627" i="11" a="1"/>
  <c r="F627" i="11" s="1"/>
  <c r="E627" i="11" a="1"/>
  <c r="E627" i="11" s="1"/>
  <c r="D627" i="11" a="1"/>
  <c r="D627" i="11" s="1"/>
  <c r="H626" i="11" a="1"/>
  <c r="H626" i="11" s="1"/>
  <c r="G626" i="11" a="1"/>
  <c r="G626" i="11" s="1"/>
  <c r="F626" i="11"/>
  <c r="F626" i="11" a="1"/>
  <c r="E626" i="11" a="1"/>
  <c r="E626" i="11" s="1"/>
  <c r="D626" i="11"/>
  <c r="D626" i="11" a="1"/>
  <c r="H625" i="11" a="1"/>
  <c r="H625" i="11" s="1"/>
  <c r="G625" i="11" a="1"/>
  <c r="G625" i="11" s="1"/>
  <c r="F625" i="11" a="1"/>
  <c r="F625" i="11" s="1"/>
  <c r="E625" i="11"/>
  <c r="E625" i="11" a="1"/>
  <c r="D625" i="11" a="1"/>
  <c r="D625" i="11" s="1"/>
  <c r="H624" i="11" a="1"/>
  <c r="H624" i="11" s="1"/>
  <c r="G624" i="11"/>
  <c r="G624" i="11" a="1"/>
  <c r="F624" i="11" a="1"/>
  <c r="F624" i="11" s="1"/>
  <c r="E624" i="11" a="1"/>
  <c r="E624" i="11" s="1"/>
  <c r="D624" i="11" a="1"/>
  <c r="D624" i="11" s="1"/>
  <c r="H623" i="11" a="1"/>
  <c r="H623" i="11" s="1"/>
  <c r="G623" i="11"/>
  <c r="G623" i="11" a="1"/>
  <c r="F623" i="11" a="1"/>
  <c r="F623" i="11" s="1"/>
  <c r="E623" i="11" a="1"/>
  <c r="E623" i="11" s="1"/>
  <c r="D623" i="11" a="1"/>
  <c r="D623" i="11" s="1"/>
  <c r="H622" i="11" a="1"/>
  <c r="H622" i="11" s="1"/>
  <c r="G622" i="11" a="1"/>
  <c r="G622" i="11" s="1"/>
  <c r="F622" i="11" a="1"/>
  <c r="F622" i="11" s="1"/>
  <c r="E622" i="11" a="1"/>
  <c r="E622" i="11" s="1"/>
  <c r="D622" i="11" a="1"/>
  <c r="D622" i="11" s="1"/>
  <c r="H621" i="11" a="1"/>
  <c r="H621" i="11" s="1"/>
  <c r="G621" i="11"/>
  <c r="G621" i="11" a="1"/>
  <c r="F621" i="11" a="1"/>
  <c r="F621" i="11" s="1"/>
  <c r="E621" i="11"/>
  <c r="E621" i="11" a="1"/>
  <c r="D621" i="11" a="1"/>
  <c r="D621" i="11" s="1"/>
  <c r="H620" i="11" a="1"/>
  <c r="H620" i="11" s="1"/>
  <c r="G620" i="11" a="1"/>
  <c r="G620" i="11" s="1"/>
  <c r="F620" i="11"/>
  <c r="F620" i="11" a="1"/>
  <c r="E620" i="11" a="1"/>
  <c r="E620" i="11" s="1"/>
  <c r="D620" i="11"/>
  <c r="D620" i="11" a="1"/>
  <c r="H619" i="11" a="1"/>
  <c r="H619" i="11" s="1"/>
  <c r="G619" i="11" a="1"/>
  <c r="G619" i="11" s="1"/>
  <c r="F619" i="11" a="1"/>
  <c r="F619" i="11" s="1"/>
  <c r="E619" i="11" a="1"/>
  <c r="E619" i="11" s="1"/>
  <c r="D619" i="11" a="1"/>
  <c r="D619" i="11" s="1"/>
  <c r="H618" i="11" a="1"/>
  <c r="H618" i="11" s="1"/>
  <c r="G618" i="11" a="1"/>
  <c r="G618" i="11" s="1"/>
  <c r="F618" i="11" a="1"/>
  <c r="F618" i="11" s="1"/>
  <c r="E618" i="11" a="1"/>
  <c r="E618" i="11" s="1"/>
  <c r="D618" i="11"/>
  <c r="D618" i="11" a="1"/>
  <c r="H617" i="11" a="1"/>
  <c r="H617" i="11" s="1"/>
  <c r="G617" i="11" a="1"/>
  <c r="G617" i="11" s="1"/>
  <c r="F617" i="11" a="1"/>
  <c r="F617" i="11" s="1"/>
  <c r="E617" i="11" a="1"/>
  <c r="E617" i="11" s="1"/>
  <c r="D617" i="11" a="1"/>
  <c r="D617" i="11" s="1"/>
  <c r="H616" i="11" a="1"/>
  <c r="H616" i="11" s="1"/>
  <c r="G616" i="11" a="1"/>
  <c r="G616" i="11" s="1"/>
  <c r="F616" i="11"/>
  <c r="F616" i="11" a="1"/>
  <c r="E616" i="11" a="1"/>
  <c r="E616" i="11" s="1"/>
  <c r="D616" i="11" a="1"/>
  <c r="D616" i="11" s="1"/>
  <c r="H615" i="11" a="1"/>
  <c r="H615" i="11" s="1"/>
  <c r="G615" i="11"/>
  <c r="G615" i="11" a="1"/>
  <c r="F615" i="11" a="1"/>
  <c r="F615" i="11" s="1"/>
  <c r="E615" i="11"/>
  <c r="E615" i="11" a="1"/>
  <c r="D615" i="11"/>
  <c r="D615" i="11" a="1"/>
  <c r="H614" i="11" a="1"/>
  <c r="H614" i="11" s="1"/>
  <c r="G614" i="11" a="1"/>
  <c r="G614" i="11" s="1"/>
  <c r="F614" i="11" a="1"/>
  <c r="F614" i="11" s="1"/>
  <c r="E614" i="11" a="1"/>
  <c r="E614" i="11" s="1"/>
  <c r="D614" i="11"/>
  <c r="D614" i="11" a="1"/>
  <c r="H613" i="11" a="1"/>
  <c r="H613" i="11" s="1"/>
  <c r="G613" i="11" a="1"/>
  <c r="G613" i="11" s="1"/>
  <c r="F613" i="11" a="1"/>
  <c r="F613" i="11" s="1"/>
  <c r="E613" i="11"/>
  <c r="E613" i="11" a="1"/>
  <c r="D613" i="11" a="1"/>
  <c r="D613" i="11" s="1"/>
  <c r="H612" i="11" a="1"/>
  <c r="H612" i="11" s="1"/>
  <c r="G612" i="11" a="1"/>
  <c r="G612" i="11" s="1"/>
  <c r="F612" i="11" a="1"/>
  <c r="F612" i="11" s="1"/>
  <c r="E612" i="11" a="1"/>
  <c r="E612" i="11" s="1"/>
  <c r="D612" i="11"/>
  <c r="D612" i="11" a="1"/>
  <c r="H611" i="11" a="1"/>
  <c r="H611" i="11" s="1"/>
  <c r="G611" i="11"/>
  <c r="G611" i="11" a="1"/>
  <c r="F611" i="11" a="1"/>
  <c r="F611" i="11" s="1"/>
  <c r="E611" i="11" a="1"/>
  <c r="E611" i="11" s="1"/>
  <c r="D611" i="11" a="1"/>
  <c r="D611" i="11" s="1"/>
  <c r="H610" i="11" a="1"/>
  <c r="H610" i="11" s="1"/>
  <c r="G610" i="11" a="1"/>
  <c r="G610" i="11" s="1"/>
  <c r="F610" i="11"/>
  <c r="F610" i="11" a="1"/>
  <c r="E610" i="11"/>
  <c r="E610" i="11" a="1"/>
  <c r="D610" i="11" a="1"/>
  <c r="D610" i="11" s="1"/>
  <c r="H609" i="11" a="1"/>
  <c r="H609" i="11" s="1"/>
  <c r="G609" i="11" a="1"/>
  <c r="G609" i="11" s="1"/>
  <c r="F609" i="11" a="1"/>
  <c r="F609" i="11" s="1"/>
  <c r="E609" i="11"/>
  <c r="E609" i="11" a="1"/>
  <c r="D609" i="11" a="1"/>
  <c r="D609" i="11" s="1"/>
  <c r="H608" i="11" a="1"/>
  <c r="H608" i="11" s="1"/>
  <c r="G608" i="11" a="1"/>
  <c r="G608" i="11" s="1"/>
  <c r="F608" i="11"/>
  <c r="F608" i="11" a="1"/>
  <c r="E608" i="11" a="1"/>
  <c r="E608" i="11" s="1"/>
  <c r="D608" i="11" a="1"/>
  <c r="D608" i="11" s="1"/>
  <c r="H607" i="11" a="1"/>
  <c r="H607" i="11" s="1"/>
  <c r="G607" i="11" a="1"/>
  <c r="G607" i="11" s="1"/>
  <c r="F607" i="11" a="1"/>
  <c r="F607" i="11" s="1"/>
  <c r="E607" i="11"/>
  <c r="E607" i="11" a="1"/>
  <c r="D607" i="11" a="1"/>
  <c r="D607" i="11" s="1"/>
  <c r="H606" i="11" a="1"/>
  <c r="H606" i="11" s="1"/>
  <c r="G606" i="11" a="1"/>
  <c r="G606" i="11" s="1"/>
  <c r="F606" i="11" a="1"/>
  <c r="F606" i="11" s="1"/>
  <c r="E606" i="11" a="1"/>
  <c r="E606" i="11" s="1"/>
  <c r="D606" i="11"/>
  <c r="D606" i="11" a="1"/>
  <c r="H605" i="11" a="1"/>
  <c r="H605" i="11" s="1"/>
  <c r="G605" i="11"/>
  <c r="G605" i="11" a="1"/>
  <c r="F605" i="11"/>
  <c r="F605" i="11" a="1"/>
  <c r="E605" i="11" a="1"/>
  <c r="E605" i="11" s="1"/>
  <c r="D605" i="11" a="1"/>
  <c r="D605" i="11" s="1"/>
  <c r="H604" i="11" a="1"/>
  <c r="H604" i="11" s="1"/>
  <c r="G604" i="11" a="1"/>
  <c r="G604" i="11" s="1"/>
  <c r="F604" i="11"/>
  <c r="F604" i="11" a="1"/>
  <c r="E604" i="11" a="1"/>
  <c r="E604" i="11" s="1"/>
  <c r="D604" i="11" a="1"/>
  <c r="D604" i="11" s="1"/>
  <c r="H603" i="11" a="1"/>
  <c r="H603" i="11" s="1"/>
  <c r="G603" i="11"/>
  <c r="G603" i="11" a="1"/>
  <c r="F603" i="11" a="1"/>
  <c r="F603" i="11" s="1"/>
  <c r="E603" i="11" a="1"/>
  <c r="E603" i="11" s="1"/>
  <c r="D603" i="11" a="1"/>
  <c r="D603" i="11" s="1"/>
  <c r="H602" i="11" a="1"/>
  <c r="H602" i="11" s="1"/>
  <c r="G602" i="11" a="1"/>
  <c r="G602" i="11" s="1"/>
  <c r="F602" i="11"/>
  <c r="F602" i="11" a="1"/>
  <c r="E602" i="11" a="1"/>
  <c r="E602" i="11" s="1"/>
  <c r="D602" i="11"/>
  <c r="D602" i="11" a="1"/>
  <c r="H601" i="11" a="1"/>
  <c r="H601" i="11" s="1"/>
  <c r="G601" i="11" a="1"/>
  <c r="G601" i="11" s="1"/>
  <c r="F601" i="11" a="1"/>
  <c r="F601" i="11" s="1"/>
  <c r="E601" i="11"/>
  <c r="E601" i="11" a="1"/>
  <c r="D601" i="11" a="1"/>
  <c r="D601" i="11" s="1"/>
  <c r="H600" i="11" a="1"/>
  <c r="H600" i="11" s="1"/>
  <c r="G600" i="11"/>
  <c r="G600" i="11" a="1"/>
  <c r="F600" i="11" a="1"/>
  <c r="F600" i="11" s="1"/>
  <c r="E600" i="11" a="1"/>
  <c r="E600" i="11" s="1"/>
  <c r="D600" i="11" a="1"/>
  <c r="D600" i="11" s="1"/>
  <c r="H599" i="11" a="1"/>
  <c r="H599" i="11" s="1"/>
  <c r="G599" i="11"/>
  <c r="G599" i="11" a="1"/>
  <c r="F599" i="11" a="1"/>
  <c r="F599" i="11" s="1"/>
  <c r="E599" i="11" a="1"/>
  <c r="E599" i="11" s="1"/>
  <c r="D599" i="11" a="1"/>
  <c r="D599" i="11" s="1"/>
  <c r="H598" i="11" a="1"/>
  <c r="H598" i="11" s="1"/>
  <c r="G598" i="11" a="1"/>
  <c r="G598" i="11" s="1"/>
  <c r="F598" i="11" a="1"/>
  <c r="F598" i="11" s="1"/>
  <c r="E598" i="11" a="1"/>
  <c r="E598" i="11" s="1"/>
  <c r="D598" i="11" a="1"/>
  <c r="D598" i="11" s="1"/>
  <c r="H597" i="11" a="1"/>
  <c r="H597" i="11" s="1"/>
  <c r="G597" i="11"/>
  <c r="G597" i="11" a="1"/>
  <c r="F597" i="11" a="1"/>
  <c r="F597" i="11" s="1"/>
  <c r="E597" i="11"/>
  <c r="E597" i="11" a="1"/>
  <c r="D597" i="11" a="1"/>
  <c r="D597" i="11" s="1"/>
  <c r="H596" i="11" a="1"/>
  <c r="H596" i="11" s="1"/>
  <c r="G596" i="11" a="1"/>
  <c r="G596" i="11" s="1"/>
  <c r="F596" i="11"/>
  <c r="F596" i="11" a="1"/>
  <c r="E596" i="11" a="1"/>
  <c r="E596" i="11" s="1"/>
  <c r="D596" i="11"/>
  <c r="D596" i="11" a="1"/>
  <c r="H595" i="11" a="1"/>
  <c r="H595" i="11" s="1"/>
  <c r="G595" i="11" a="1"/>
  <c r="G595" i="11" s="1"/>
  <c r="F595" i="11" a="1"/>
  <c r="F595" i="11" s="1"/>
  <c r="E595" i="11" a="1"/>
  <c r="E595" i="11" s="1"/>
  <c r="D595" i="11" a="1"/>
  <c r="D595" i="11" s="1"/>
  <c r="H594" i="11" a="1"/>
  <c r="H594" i="11" s="1"/>
  <c r="G594" i="11" a="1"/>
  <c r="G594" i="11" s="1"/>
  <c r="F594" i="11" a="1"/>
  <c r="F594" i="11" s="1"/>
  <c r="E594" i="11" a="1"/>
  <c r="E594" i="11" s="1"/>
  <c r="D594" i="11"/>
  <c r="D594" i="11" a="1"/>
  <c r="H593" i="11" a="1"/>
  <c r="H593" i="11" s="1"/>
  <c r="G593" i="11" a="1"/>
  <c r="G593" i="11" s="1"/>
  <c r="F593" i="11" a="1"/>
  <c r="F593" i="11" s="1"/>
  <c r="E593" i="11" a="1"/>
  <c r="E593" i="11" s="1"/>
  <c r="D593" i="11" a="1"/>
  <c r="D593" i="11" s="1"/>
  <c r="H592" i="11" a="1"/>
  <c r="H592" i="11" s="1"/>
  <c r="G592" i="11" a="1"/>
  <c r="G592" i="11" s="1"/>
  <c r="F592" i="11"/>
  <c r="F592" i="11" a="1"/>
  <c r="E592" i="11" a="1"/>
  <c r="E592" i="11" s="1"/>
  <c r="D592" i="11" a="1"/>
  <c r="D592" i="11" s="1"/>
  <c r="H591" i="11" a="1"/>
  <c r="H591" i="11" s="1"/>
  <c r="G591" i="11"/>
  <c r="G591" i="11" a="1"/>
  <c r="F591" i="11" a="1"/>
  <c r="F591" i="11" s="1"/>
  <c r="E591" i="11"/>
  <c r="E591" i="11" a="1"/>
  <c r="D591" i="11"/>
  <c r="D591" i="11" a="1"/>
  <c r="H590" i="11" a="1"/>
  <c r="H590" i="11" s="1"/>
  <c r="G590" i="11" a="1"/>
  <c r="G590" i="11" s="1"/>
  <c r="F590" i="11" a="1"/>
  <c r="F590" i="11" s="1"/>
  <c r="E590" i="11" a="1"/>
  <c r="E590" i="11" s="1"/>
  <c r="D590" i="11"/>
  <c r="D590" i="11" a="1"/>
  <c r="H589" i="11" a="1"/>
  <c r="H589" i="11" s="1"/>
  <c r="G589" i="11" a="1"/>
  <c r="G589" i="11" s="1"/>
  <c r="F589" i="11" a="1"/>
  <c r="F589" i="11" s="1"/>
  <c r="E589" i="11"/>
  <c r="E589" i="11" a="1"/>
  <c r="D589" i="11" a="1"/>
  <c r="D589" i="11" s="1"/>
  <c r="H588" i="11" a="1"/>
  <c r="H588" i="11" s="1"/>
  <c r="G588" i="11" a="1"/>
  <c r="G588" i="11" s="1"/>
  <c r="F588" i="11" a="1"/>
  <c r="F588" i="11" s="1"/>
  <c r="E588" i="11" a="1"/>
  <c r="E588" i="11" s="1"/>
  <c r="D588" i="11"/>
  <c r="D588" i="11" a="1"/>
  <c r="H587" i="11" a="1"/>
  <c r="H587" i="11" s="1"/>
  <c r="G587" i="11"/>
  <c r="G587" i="11" a="1"/>
  <c r="F587" i="11" a="1"/>
  <c r="F587" i="11" s="1"/>
  <c r="E587" i="11" a="1"/>
  <c r="E587" i="11" s="1"/>
  <c r="D587" i="11" a="1"/>
  <c r="D587" i="11" s="1"/>
  <c r="H586" i="11" a="1"/>
  <c r="H586" i="11" s="1"/>
  <c r="G586" i="11" a="1"/>
  <c r="G586" i="11" s="1"/>
  <c r="F586" i="11" a="1"/>
  <c r="F586" i="11" s="1"/>
  <c r="E586" i="11"/>
  <c r="E586" i="11" a="1"/>
  <c r="D586" i="11" a="1"/>
  <c r="D586" i="11" s="1"/>
  <c r="H585" i="11" a="1"/>
  <c r="H585" i="11" s="1"/>
  <c r="G585" i="11" a="1"/>
  <c r="G585" i="11" s="1"/>
  <c r="F585" i="11" a="1"/>
  <c r="F585" i="11" s="1"/>
  <c r="E585" i="11" a="1"/>
  <c r="E585" i="11" s="1"/>
  <c r="D585" i="11" a="1"/>
  <c r="D585" i="11" s="1"/>
  <c r="H584" i="11" a="1"/>
  <c r="H584" i="11" s="1"/>
  <c r="G584" i="11" a="1"/>
  <c r="G584" i="11" s="1"/>
  <c r="F584" i="11" a="1"/>
  <c r="F584" i="11" s="1"/>
  <c r="E584" i="11" a="1"/>
  <c r="E584" i="11" s="1"/>
  <c r="D584" i="11"/>
  <c r="D584" i="11" a="1"/>
  <c r="H583" i="11" a="1"/>
  <c r="H583" i="11" s="1"/>
  <c r="G583" i="11" a="1"/>
  <c r="G583" i="11" s="1"/>
  <c r="F583" i="11"/>
  <c r="F583" i="11" a="1"/>
  <c r="E583" i="11" a="1"/>
  <c r="E583" i="11" s="1"/>
  <c r="D583" i="11" a="1"/>
  <c r="D583" i="11" s="1"/>
  <c r="H582" i="11" a="1"/>
  <c r="H582" i="11" s="1"/>
  <c r="G582" i="11"/>
  <c r="G582" i="11" a="1"/>
  <c r="F582" i="11" a="1"/>
  <c r="F582" i="11" s="1"/>
  <c r="E582" i="11"/>
  <c r="E582" i="11" a="1"/>
  <c r="D582" i="11"/>
  <c r="D582" i="11" a="1"/>
  <c r="H581" i="11" a="1"/>
  <c r="H581" i="11" s="1"/>
  <c r="G581" i="11" a="1"/>
  <c r="G581" i="11" s="1"/>
  <c r="F581" i="11"/>
  <c r="F581" i="11" a="1"/>
  <c r="E581" i="11" a="1"/>
  <c r="E581" i="11" s="1"/>
  <c r="D581" i="11"/>
  <c r="D581" i="11" a="1"/>
  <c r="H580" i="11" a="1"/>
  <c r="H580" i="11" s="1"/>
  <c r="G580" i="11" a="1"/>
  <c r="G580" i="11" s="1"/>
  <c r="F580" i="11"/>
  <c r="F580" i="11" a="1"/>
  <c r="E580" i="11" a="1"/>
  <c r="E580" i="11" s="1"/>
  <c r="D580" i="11" a="1"/>
  <c r="D580" i="11" s="1"/>
  <c r="H579" i="11" a="1"/>
  <c r="H579" i="11" s="1"/>
  <c r="G579" i="11" a="1"/>
  <c r="G579" i="11" s="1"/>
  <c r="F579" i="11" a="1"/>
  <c r="F579" i="11" s="1"/>
  <c r="E579" i="11" a="1"/>
  <c r="E579" i="11" s="1"/>
  <c r="D579" i="11"/>
  <c r="D579" i="11" a="1"/>
  <c r="H578" i="11" a="1"/>
  <c r="H578" i="11" s="1"/>
  <c r="G578" i="11" a="1"/>
  <c r="G578" i="11" s="1"/>
  <c r="F578" i="11" a="1"/>
  <c r="F578" i="11" s="1"/>
  <c r="E578" i="11" a="1"/>
  <c r="E578" i="11" s="1"/>
  <c r="D578" i="11" a="1"/>
  <c r="D578" i="11" s="1"/>
  <c r="H577" i="11" a="1"/>
  <c r="H577" i="11" s="1"/>
  <c r="G577" i="11" a="1"/>
  <c r="G577" i="11" s="1"/>
  <c r="F577" i="11" a="1"/>
  <c r="F577" i="11" s="1"/>
  <c r="E577" i="11" a="1"/>
  <c r="E577" i="11" s="1"/>
  <c r="D577" i="11" a="1"/>
  <c r="D577" i="11" s="1"/>
  <c r="H576" i="11" a="1"/>
  <c r="H576" i="11" s="1"/>
  <c r="G576" i="11" a="1"/>
  <c r="G576" i="11" s="1"/>
  <c r="F576" i="11" a="1"/>
  <c r="F576" i="11" s="1"/>
  <c r="E576" i="11"/>
  <c r="E576" i="11" a="1"/>
  <c r="D576" i="11" a="1"/>
  <c r="D576" i="11" s="1"/>
  <c r="H575" i="11" a="1"/>
  <c r="H575" i="11" s="1"/>
  <c r="G575" i="11"/>
  <c r="G575" i="11" a="1"/>
  <c r="F575" i="11"/>
  <c r="F575" i="11" a="1"/>
  <c r="E575" i="11" a="1"/>
  <c r="E575" i="11" s="1"/>
  <c r="D575" i="11"/>
  <c r="D575" i="11" a="1"/>
  <c r="H574" i="11" a="1"/>
  <c r="H574" i="11" s="1"/>
  <c r="G574" i="11" a="1"/>
  <c r="G574" i="11" s="1"/>
  <c r="F574" i="11" a="1"/>
  <c r="F574" i="11" s="1"/>
  <c r="E574" i="11"/>
  <c r="E574" i="11" a="1"/>
  <c r="D574" i="11" a="1"/>
  <c r="D574" i="11" s="1"/>
  <c r="H573" i="11" a="1"/>
  <c r="H573" i="11" s="1"/>
  <c r="G573" i="11"/>
  <c r="G573" i="11" a="1"/>
  <c r="F573" i="11" a="1"/>
  <c r="F573" i="11" s="1"/>
  <c r="E573" i="11"/>
  <c r="E573" i="11" a="1"/>
  <c r="D573" i="11" a="1"/>
  <c r="D573" i="11" s="1"/>
  <c r="H572" i="11" a="1"/>
  <c r="H572" i="11" s="1"/>
  <c r="G572" i="11" a="1"/>
  <c r="G572" i="11" s="1"/>
  <c r="F572" i="11" a="1"/>
  <c r="F572" i="11" s="1"/>
  <c r="E572" i="11" a="1"/>
  <c r="E572" i="11" s="1"/>
  <c r="D572" i="11" a="1"/>
  <c r="D572" i="11" s="1"/>
  <c r="H571" i="11" a="1"/>
  <c r="H571" i="11" s="1"/>
  <c r="G571" i="11" a="1"/>
  <c r="G571" i="11" s="1"/>
  <c r="F571" i="11" a="1"/>
  <c r="F571" i="11" s="1"/>
  <c r="E571" i="11" a="1"/>
  <c r="E571" i="11" s="1"/>
  <c r="D571" i="11" a="1"/>
  <c r="D571" i="11" s="1"/>
  <c r="H570" i="11" a="1"/>
  <c r="H570" i="11" s="1"/>
  <c r="G570" i="11" a="1"/>
  <c r="G570" i="11" s="1"/>
  <c r="F570" i="11" a="1"/>
  <c r="F570" i="11" s="1"/>
  <c r="E570" i="11" a="1"/>
  <c r="E570" i="11" s="1"/>
  <c r="D570" i="11" a="1"/>
  <c r="D570" i="11" s="1"/>
  <c r="H569" i="11" a="1"/>
  <c r="H569" i="11" s="1"/>
  <c r="G569" i="11"/>
  <c r="G569" i="11" a="1"/>
  <c r="F569" i="11" a="1"/>
  <c r="F569" i="11" s="1"/>
  <c r="E569" i="11" a="1"/>
  <c r="E569" i="11" s="1"/>
  <c r="D569" i="11"/>
  <c r="D569" i="11" a="1"/>
  <c r="H568" i="11" a="1"/>
  <c r="H568" i="11" s="1"/>
  <c r="G568" i="11" a="1"/>
  <c r="G568" i="11" s="1"/>
  <c r="F568" i="11"/>
  <c r="F568" i="11" a="1"/>
  <c r="E568" i="11"/>
  <c r="E568" i="11" a="1"/>
  <c r="D568" i="11" a="1"/>
  <c r="D568" i="11" s="1"/>
  <c r="H567" i="11" a="1"/>
  <c r="H567" i="11" s="1"/>
  <c r="G567" i="11"/>
  <c r="G567" i="11" a="1"/>
  <c r="F567" i="11" a="1"/>
  <c r="F567" i="11" s="1"/>
  <c r="E567" i="11" a="1"/>
  <c r="E567" i="11" s="1"/>
  <c r="D567" i="11"/>
  <c r="D567" i="11" a="1"/>
  <c r="H566" i="11" a="1"/>
  <c r="H566" i="11" s="1"/>
  <c r="G566" i="11" a="1"/>
  <c r="G566" i="11" s="1"/>
  <c r="F566" i="11"/>
  <c r="F566" i="11" a="1"/>
  <c r="E566" i="11" a="1"/>
  <c r="E566" i="11" s="1"/>
  <c r="D566" i="11"/>
  <c r="D566" i="11" a="1"/>
  <c r="H565" i="11" a="1"/>
  <c r="H565" i="11" s="1"/>
  <c r="G565" i="11" a="1"/>
  <c r="G565" i="11" s="1"/>
  <c r="F565" i="11" a="1"/>
  <c r="F565" i="11" s="1"/>
  <c r="E565" i="11" a="1"/>
  <c r="E565" i="11" s="1"/>
  <c r="D565" i="11" a="1"/>
  <c r="D565" i="11" s="1"/>
  <c r="H564" i="11" a="1"/>
  <c r="H564" i="11" s="1"/>
  <c r="G564" i="11"/>
  <c r="G564" i="11" a="1"/>
  <c r="F564" i="11" a="1"/>
  <c r="F564" i="11" s="1"/>
  <c r="E564" i="11" a="1"/>
  <c r="E564" i="11" s="1"/>
  <c r="D564" i="11" a="1"/>
  <c r="D564" i="11" s="1"/>
  <c r="H563" i="11" a="1"/>
  <c r="H563" i="11" s="1"/>
  <c r="G563" i="11" a="1"/>
  <c r="G563" i="11" s="1"/>
  <c r="F563" i="11" a="1"/>
  <c r="F563" i="11" s="1"/>
  <c r="E563" i="11" a="1"/>
  <c r="E563" i="11" s="1"/>
  <c r="D563" i="11" a="1"/>
  <c r="D563" i="11" s="1"/>
  <c r="H562" i="11" a="1"/>
  <c r="H562" i="11" s="1"/>
  <c r="G562" i="11" a="1"/>
  <c r="G562" i="11" s="1"/>
  <c r="F562" i="11"/>
  <c r="F562" i="11" a="1"/>
  <c r="E562" i="11" a="1"/>
  <c r="E562" i="11" s="1"/>
  <c r="D562" i="11" a="1"/>
  <c r="D562" i="11" s="1"/>
  <c r="H561" i="11" a="1"/>
  <c r="H561" i="11" s="1"/>
  <c r="G561" i="11" a="1"/>
  <c r="G561" i="11" s="1"/>
  <c r="F561" i="11" a="1"/>
  <c r="F561" i="11" s="1"/>
  <c r="E561" i="11"/>
  <c r="E561" i="11" a="1"/>
  <c r="D561" i="11"/>
  <c r="D561" i="11" a="1"/>
  <c r="H560" i="11" a="1"/>
  <c r="H560" i="11" s="1"/>
  <c r="G560" i="11"/>
  <c r="G560" i="11" a="1"/>
  <c r="F560" i="11"/>
  <c r="F560" i="11" a="1"/>
  <c r="E560" i="11" a="1"/>
  <c r="E560" i="11" s="1"/>
  <c r="D560" i="11" a="1"/>
  <c r="D560" i="11" s="1"/>
  <c r="H559" i="11" a="1"/>
  <c r="H559" i="11" s="1"/>
  <c r="G559" i="11" a="1"/>
  <c r="G559" i="11" s="1"/>
  <c r="F559" i="11" a="1"/>
  <c r="F559" i="11" s="1"/>
  <c r="E559" i="11"/>
  <c r="E559" i="11" a="1"/>
  <c r="D559" i="11" a="1"/>
  <c r="D559" i="11" s="1"/>
  <c r="H558" i="11" a="1"/>
  <c r="H558" i="11" s="1"/>
  <c r="G558" i="11" a="1"/>
  <c r="G558" i="11" s="1"/>
  <c r="F558" i="11" a="1"/>
  <c r="F558" i="11" s="1"/>
  <c r="E558" i="11" a="1"/>
  <c r="E558" i="11" s="1"/>
  <c r="D558" i="11" a="1"/>
  <c r="D558" i="11" s="1"/>
  <c r="H557" i="11" a="1"/>
  <c r="H557" i="11" s="1"/>
  <c r="G557" i="11" a="1"/>
  <c r="G557" i="11" s="1"/>
  <c r="F557" i="11"/>
  <c r="F557" i="11" a="1"/>
  <c r="E557" i="11" a="1"/>
  <c r="E557" i="11" s="1"/>
  <c r="D557" i="11" a="1"/>
  <c r="D557" i="11" s="1"/>
  <c r="H556" i="11" a="1"/>
  <c r="H556" i="11" s="1"/>
  <c r="G556" i="11" a="1"/>
  <c r="G556" i="11" s="1"/>
  <c r="F556" i="11" a="1"/>
  <c r="F556" i="11" s="1"/>
  <c r="E556" i="11" a="1"/>
  <c r="E556" i="11" s="1"/>
  <c r="D556" i="11" a="1"/>
  <c r="D556" i="11" s="1"/>
  <c r="H555" i="11" a="1"/>
  <c r="H555" i="11" s="1"/>
  <c r="G555" i="11" a="1"/>
  <c r="G555" i="11" s="1"/>
  <c r="F555" i="11" a="1"/>
  <c r="F555" i="11" s="1"/>
  <c r="E555" i="11"/>
  <c r="E555" i="11" a="1"/>
  <c r="D555" i="11" a="1"/>
  <c r="D555" i="11" s="1"/>
  <c r="H554" i="11" a="1"/>
  <c r="H554" i="11" s="1"/>
  <c r="G554" i="11"/>
  <c r="G554" i="11" a="1"/>
  <c r="F554" i="11" a="1"/>
  <c r="F554" i="11" s="1"/>
  <c r="E554" i="11" a="1"/>
  <c r="E554" i="11" s="1"/>
  <c r="D554" i="11"/>
  <c r="D554" i="11" a="1"/>
  <c r="H553" i="11" a="1"/>
  <c r="H553" i="11" s="1"/>
  <c r="G553" i="11" a="1"/>
  <c r="G553" i="11" s="1"/>
  <c r="F553" i="11"/>
  <c r="F553" i="11" a="1"/>
  <c r="E553" i="11"/>
  <c r="E553" i="11" a="1"/>
  <c r="D553" i="11" a="1"/>
  <c r="D553" i="11" s="1"/>
  <c r="H552" i="11" a="1"/>
  <c r="H552" i="11" s="1"/>
  <c r="G552" i="11"/>
  <c r="G552" i="11" a="1"/>
  <c r="F552" i="11" a="1"/>
  <c r="F552" i="11" s="1"/>
  <c r="E552" i="11" a="1"/>
  <c r="E552" i="11" s="1"/>
  <c r="D552" i="11"/>
  <c r="D552" i="11" a="1"/>
  <c r="H551" i="11" a="1"/>
  <c r="H551" i="11" s="1"/>
  <c r="G551" i="11"/>
  <c r="G551" i="11" a="1"/>
  <c r="F551" i="11"/>
  <c r="F551" i="11" a="1"/>
  <c r="E551" i="11" a="1"/>
  <c r="E551" i="11" s="1"/>
  <c r="D551" i="11" a="1"/>
  <c r="D551" i="11" s="1"/>
  <c r="H550" i="11" a="1"/>
  <c r="H550" i="11" s="1"/>
  <c r="G550" i="11" a="1"/>
  <c r="G550" i="11" s="1"/>
  <c r="F550" i="11" a="1"/>
  <c r="F550" i="11" s="1"/>
  <c r="E550" i="11"/>
  <c r="E550" i="11" a="1"/>
  <c r="D550" i="11" a="1"/>
  <c r="D550" i="11" s="1"/>
  <c r="H549" i="11" a="1"/>
  <c r="H549" i="11" s="1"/>
  <c r="G549" i="11" a="1"/>
  <c r="G549" i="11" s="1"/>
  <c r="F549" i="11" a="1"/>
  <c r="F549" i="11" s="1"/>
  <c r="E549" i="11" a="1"/>
  <c r="E549" i="11" s="1"/>
  <c r="D549" i="11" a="1"/>
  <c r="D549" i="11" s="1"/>
  <c r="H548" i="11" a="1"/>
  <c r="H548" i="11" s="1"/>
  <c r="G548" i="11" a="1"/>
  <c r="G548" i="11" s="1"/>
  <c r="F548" i="11" a="1"/>
  <c r="F548" i="11" s="1"/>
  <c r="E548" i="11" a="1"/>
  <c r="E548" i="11" s="1"/>
  <c r="D548" i="11"/>
  <c r="D548" i="11" a="1"/>
  <c r="H547" i="11" a="1"/>
  <c r="H547" i="11" s="1"/>
  <c r="G547" i="11" a="1"/>
  <c r="G547" i="11" s="1"/>
  <c r="F547" i="11"/>
  <c r="F547" i="11" a="1"/>
  <c r="E547" i="11" a="1"/>
  <c r="E547" i="11" s="1"/>
  <c r="D547" i="11" a="1"/>
  <c r="D547" i="11" s="1"/>
  <c r="H546" i="11" a="1"/>
  <c r="H546" i="11" s="1"/>
  <c r="G546" i="11"/>
  <c r="G546" i="11" a="1"/>
  <c r="F546" i="11" a="1"/>
  <c r="F546" i="11" s="1"/>
  <c r="E546" i="11"/>
  <c r="E546" i="11" a="1"/>
  <c r="D546" i="11"/>
  <c r="D546" i="11" a="1"/>
  <c r="H545" i="11" a="1"/>
  <c r="H545" i="11" s="1"/>
  <c r="G545" i="11"/>
  <c r="G545" i="11" a="1"/>
  <c r="F545" i="11"/>
  <c r="F545" i="11" a="1"/>
  <c r="E545" i="11" a="1"/>
  <c r="E545" i="11" s="1"/>
  <c r="D545" i="11" a="1"/>
  <c r="D545" i="11" s="1"/>
  <c r="H544" i="11" a="1"/>
  <c r="H544" i="11" s="1"/>
  <c r="G544" i="11" a="1"/>
  <c r="G544" i="11" s="1"/>
  <c r="F544" i="11"/>
  <c r="F544" i="11" a="1"/>
  <c r="E544" i="11"/>
  <c r="E544" i="11" a="1"/>
  <c r="D544" i="11" a="1"/>
  <c r="D544" i="11" s="1"/>
  <c r="H543" i="11" a="1"/>
  <c r="H543" i="11" s="1"/>
  <c r="G543" i="11" a="1"/>
  <c r="G543" i="11" s="1"/>
  <c r="F543" i="11" a="1"/>
  <c r="F543" i="11" s="1"/>
  <c r="E543" i="11" a="1"/>
  <c r="E543" i="11" s="1"/>
  <c r="D543" i="11"/>
  <c r="D543" i="11" a="1"/>
  <c r="H542" i="11" a="1"/>
  <c r="H542" i="11" s="1"/>
  <c r="G542" i="11" a="1"/>
  <c r="G542" i="11" s="1"/>
  <c r="F542" i="11" a="1"/>
  <c r="F542" i="11" s="1"/>
  <c r="E542" i="11" a="1"/>
  <c r="E542" i="11" s="1"/>
  <c r="D542" i="11" a="1"/>
  <c r="D542" i="11" s="1"/>
  <c r="H541" i="11" a="1"/>
  <c r="H541" i="11" s="1"/>
  <c r="G541" i="11" a="1"/>
  <c r="G541" i="11" s="1"/>
  <c r="F541" i="11" a="1"/>
  <c r="F541" i="11" s="1"/>
  <c r="E541" i="11" a="1"/>
  <c r="E541" i="11" s="1"/>
  <c r="D541" i="11" a="1"/>
  <c r="D541" i="11" s="1"/>
  <c r="H540" i="11" a="1"/>
  <c r="H540" i="11" s="1"/>
  <c r="G540" i="11" a="1"/>
  <c r="G540" i="11" s="1"/>
  <c r="F540" i="11" a="1"/>
  <c r="F540" i="11" s="1"/>
  <c r="E540" i="11"/>
  <c r="E540" i="11" a="1"/>
  <c r="D540" i="11" a="1"/>
  <c r="D540" i="11" s="1"/>
  <c r="H539" i="11" a="1"/>
  <c r="H539" i="11" s="1"/>
  <c r="G539" i="11"/>
  <c r="G539" i="11" a="1"/>
  <c r="F539" i="11"/>
  <c r="F539" i="11" a="1"/>
  <c r="E539" i="11" a="1"/>
  <c r="E539" i="11" s="1"/>
  <c r="D539" i="11"/>
  <c r="D539" i="11" a="1"/>
  <c r="H538" i="11" a="1"/>
  <c r="H538" i="11" s="1"/>
  <c r="G538" i="11" a="1"/>
  <c r="G538" i="11" s="1"/>
  <c r="F538" i="11"/>
  <c r="F538" i="11" a="1"/>
  <c r="E538" i="11"/>
  <c r="E538" i="11" a="1"/>
  <c r="D538" i="11" a="1"/>
  <c r="D538" i="11" s="1"/>
  <c r="H537" i="11" a="1"/>
  <c r="H537" i="11" s="1"/>
  <c r="G537" i="11"/>
  <c r="G537" i="11" a="1"/>
  <c r="F537" i="11" a="1"/>
  <c r="F537" i="11" s="1"/>
  <c r="E537" i="11"/>
  <c r="E537" i="11" a="1"/>
  <c r="D537" i="11"/>
  <c r="D537" i="11" a="1"/>
  <c r="H536" i="11" a="1"/>
  <c r="H536" i="11" s="1"/>
  <c r="G536" i="11" a="1"/>
  <c r="G536" i="11" s="1"/>
  <c r="F536" i="11" a="1"/>
  <c r="F536" i="11" s="1"/>
  <c r="E536" i="11" a="1"/>
  <c r="E536" i="11" s="1"/>
  <c r="D536" i="11" a="1"/>
  <c r="D536" i="11" s="1"/>
  <c r="H535" i="11" a="1"/>
  <c r="H535" i="11" s="1"/>
  <c r="G535" i="11" a="1"/>
  <c r="G535" i="11" s="1"/>
  <c r="F535" i="11" a="1"/>
  <c r="F535" i="11" s="1"/>
  <c r="E535" i="11" a="1"/>
  <c r="E535" i="11" s="1"/>
  <c r="D535" i="11" a="1"/>
  <c r="D535" i="11" s="1"/>
  <c r="H534" i="11" a="1"/>
  <c r="H534" i="11" s="1"/>
  <c r="G534" i="11" a="1"/>
  <c r="G534" i="11" s="1"/>
  <c r="F534" i="11" a="1"/>
  <c r="F534" i="11" s="1"/>
  <c r="E534" i="11" a="1"/>
  <c r="E534" i="11" s="1"/>
  <c r="D534" i="11" a="1"/>
  <c r="D534" i="11" s="1"/>
  <c r="H533" i="11" a="1"/>
  <c r="H533" i="11" s="1"/>
  <c r="G533" i="11"/>
  <c r="G533" i="11" a="1"/>
  <c r="F533" i="11" a="1"/>
  <c r="F533" i="11" s="1"/>
  <c r="E533" i="11" a="1"/>
  <c r="E533" i="11" s="1"/>
  <c r="D533" i="11"/>
  <c r="D533" i="11" a="1"/>
  <c r="H532" i="11" a="1"/>
  <c r="H532" i="11" s="1"/>
  <c r="G532" i="11" a="1"/>
  <c r="G532" i="11" s="1"/>
  <c r="F532" i="11"/>
  <c r="F532" i="11" a="1"/>
  <c r="E532" i="11"/>
  <c r="E532" i="11" a="1"/>
  <c r="D532" i="11" a="1"/>
  <c r="D532" i="11" s="1"/>
  <c r="H531" i="11" a="1"/>
  <c r="H531" i="11" s="1"/>
  <c r="G531" i="11"/>
  <c r="G531" i="11" a="1"/>
  <c r="F531" i="11" a="1"/>
  <c r="F531" i="11" s="1"/>
  <c r="E531" i="11"/>
  <c r="E531" i="11" a="1"/>
  <c r="D531" i="11"/>
  <c r="D531" i="11" a="1"/>
  <c r="H530" i="11" a="1"/>
  <c r="H530" i="11" s="1"/>
  <c r="G530" i="11" a="1"/>
  <c r="G530" i="11" s="1"/>
  <c r="F530" i="11"/>
  <c r="F530" i="11" a="1"/>
  <c r="E530" i="11" a="1"/>
  <c r="E530" i="11" s="1"/>
  <c r="D530" i="11"/>
  <c r="D530" i="11" a="1"/>
  <c r="H529" i="11" a="1"/>
  <c r="H529" i="11" s="1"/>
  <c r="G529" i="11" a="1"/>
  <c r="G529" i="11" s="1"/>
  <c r="F529" i="11" a="1"/>
  <c r="F529" i="11" s="1"/>
  <c r="E529" i="11" a="1"/>
  <c r="E529" i="11" s="1"/>
  <c r="D529" i="11" a="1"/>
  <c r="D529" i="11" s="1"/>
  <c r="H528" i="11" a="1"/>
  <c r="H528" i="11" s="1"/>
  <c r="G528" i="11"/>
  <c r="G528" i="11" a="1"/>
  <c r="F528" i="11" a="1"/>
  <c r="F528" i="11" s="1"/>
  <c r="E528" i="11" a="1"/>
  <c r="E528" i="11" s="1"/>
  <c r="D528" i="11" a="1"/>
  <c r="D528" i="11" s="1"/>
  <c r="H527" i="11" a="1"/>
  <c r="H527" i="11" s="1"/>
  <c r="G527" i="11" a="1"/>
  <c r="G527" i="11" s="1"/>
  <c r="F527" i="11" a="1"/>
  <c r="F527" i="11" s="1"/>
  <c r="E527" i="11" a="1"/>
  <c r="E527" i="11" s="1"/>
  <c r="D527" i="11" a="1"/>
  <c r="D527" i="11" s="1"/>
  <c r="H526" i="11" a="1"/>
  <c r="H526" i="11" s="1"/>
  <c r="G526" i="11" a="1"/>
  <c r="G526" i="11" s="1"/>
  <c r="F526" i="11"/>
  <c r="F526" i="11" a="1"/>
  <c r="E526" i="11" a="1"/>
  <c r="E526" i="11" s="1"/>
  <c r="D526" i="11" a="1"/>
  <c r="D526" i="11" s="1"/>
  <c r="H525" i="11" a="1"/>
  <c r="H525" i="11" s="1"/>
  <c r="G525" i="11" a="1"/>
  <c r="G525" i="11" s="1"/>
  <c r="F525" i="11" a="1"/>
  <c r="F525" i="11" s="1"/>
  <c r="E525" i="11" a="1"/>
  <c r="E525" i="11" s="1"/>
  <c r="D525" i="11" a="1"/>
  <c r="D525" i="11" s="1"/>
  <c r="H524" i="11" a="1"/>
  <c r="H524" i="11" s="1"/>
  <c r="G524" i="11" a="1"/>
  <c r="G524" i="11" s="1"/>
  <c r="F524" i="11"/>
  <c r="F524" i="11" a="1"/>
  <c r="E524" i="11"/>
  <c r="E524" i="11" a="1"/>
  <c r="D524" i="11"/>
  <c r="D524" i="11" a="1"/>
  <c r="H523" i="11" a="1"/>
  <c r="H523" i="11" s="1"/>
  <c r="G523" i="11" a="1"/>
  <c r="G523" i="11" s="1"/>
  <c r="F523" i="11"/>
  <c r="F523" i="11" a="1"/>
  <c r="E523" i="11"/>
  <c r="E523" i="11" a="1"/>
  <c r="D523" i="11" a="1"/>
  <c r="D523" i="11" s="1"/>
  <c r="H522" i="11" a="1"/>
  <c r="H522" i="11" s="1"/>
  <c r="G522" i="11" a="1"/>
  <c r="G522" i="11" s="1"/>
  <c r="F522" i="11" a="1"/>
  <c r="F522" i="11" s="1"/>
  <c r="E522" i="11" a="1"/>
  <c r="E522" i="11" s="1"/>
  <c r="D522" i="11" a="1"/>
  <c r="D522" i="11" s="1"/>
  <c r="H521" i="11" a="1"/>
  <c r="H521" i="11" s="1"/>
  <c r="G521" i="11"/>
  <c r="G521" i="11" a="1"/>
  <c r="F521" i="11"/>
  <c r="F521" i="11" a="1"/>
  <c r="E521" i="11" a="1"/>
  <c r="E521" i="11" s="1"/>
  <c r="D521" i="11" a="1"/>
  <c r="D521" i="11" s="1"/>
  <c r="H520" i="11" a="1"/>
  <c r="H520" i="11" s="1"/>
  <c r="G520" i="11"/>
  <c r="G520" i="11" a="1"/>
  <c r="F520" i="11" a="1"/>
  <c r="F520" i="11" s="1"/>
  <c r="E520" i="11" a="1"/>
  <c r="E520" i="11" s="1"/>
  <c r="D520" i="11" a="1"/>
  <c r="D520" i="11" s="1"/>
  <c r="H519" i="11" a="1"/>
  <c r="H519" i="11" s="1"/>
  <c r="G519" i="11" a="1"/>
  <c r="G519" i="11" s="1"/>
  <c r="F519" i="11" a="1"/>
  <c r="F519" i="11" s="1"/>
  <c r="E519" i="11"/>
  <c r="E519" i="11" a="1"/>
  <c r="D519" i="11"/>
  <c r="D519" i="11" a="1"/>
  <c r="H518" i="11" a="1"/>
  <c r="H518" i="11" s="1"/>
  <c r="G518" i="11" a="1"/>
  <c r="G518" i="11" s="1"/>
  <c r="F518" i="11" a="1"/>
  <c r="F518" i="11" s="1"/>
  <c r="E518" i="11"/>
  <c r="E518" i="11" a="1"/>
  <c r="D518" i="11"/>
  <c r="D518" i="11" a="1"/>
  <c r="H517" i="11" a="1"/>
  <c r="H517" i="11" s="1"/>
  <c r="G517" i="11" a="1"/>
  <c r="G517" i="11" s="1"/>
  <c r="F517" i="11"/>
  <c r="F517" i="11" a="1"/>
  <c r="E517" i="11"/>
  <c r="E517" i="11" a="1"/>
  <c r="D517" i="11" a="1"/>
  <c r="D517" i="11" s="1"/>
  <c r="H516" i="11" a="1"/>
  <c r="H516" i="11" s="1"/>
  <c r="G516" i="11"/>
  <c r="G516" i="11" a="1"/>
  <c r="F516" i="11" a="1"/>
  <c r="F516" i="11" s="1"/>
  <c r="E516" i="11" a="1"/>
  <c r="E516" i="11" s="1"/>
  <c r="D516" i="11" a="1"/>
  <c r="D516" i="11" s="1"/>
  <c r="H515" i="11" a="1"/>
  <c r="H515" i="11" s="1"/>
  <c r="G515" i="11"/>
  <c r="G515" i="11" a="1"/>
  <c r="F515" i="11"/>
  <c r="F515" i="11" a="1"/>
  <c r="E515" i="11" a="1"/>
  <c r="E515" i="11" s="1"/>
  <c r="D515" i="11"/>
  <c r="D515" i="11" a="1"/>
  <c r="H514" i="11" a="1"/>
  <c r="H514" i="11" s="1"/>
  <c r="G514" i="11"/>
  <c r="G514" i="11" a="1"/>
  <c r="F514" i="11" a="1"/>
  <c r="F514" i="11" s="1"/>
  <c r="E514" i="11" a="1"/>
  <c r="E514" i="11" s="1"/>
  <c r="D514" i="11" a="1"/>
  <c r="D514" i="11" s="1"/>
  <c r="H513" i="11" a="1"/>
  <c r="H513" i="11" s="1"/>
  <c r="G513" i="11" a="1"/>
  <c r="G513" i="11" s="1"/>
  <c r="F513" i="11" a="1"/>
  <c r="F513" i="11" s="1"/>
  <c r="E513" i="11" a="1"/>
  <c r="E513" i="11" s="1"/>
  <c r="D513" i="11"/>
  <c r="D513" i="11" a="1"/>
  <c r="H512" i="11" a="1"/>
  <c r="H512" i="11" s="1"/>
  <c r="G512" i="11"/>
  <c r="G512" i="11" a="1"/>
  <c r="F512" i="11"/>
  <c r="F512" i="11" a="1"/>
  <c r="E512" i="11"/>
  <c r="E512" i="11" a="1"/>
  <c r="D512" i="11"/>
  <c r="D512" i="11" a="1"/>
  <c r="H511" i="11" a="1"/>
  <c r="H511" i="11" s="1"/>
  <c r="G511" i="11" a="1"/>
  <c r="G511" i="11" s="1"/>
  <c r="F511" i="11"/>
  <c r="F511" i="11" a="1"/>
  <c r="E511" i="11" a="1"/>
  <c r="E511" i="11" s="1"/>
  <c r="D511" i="11" a="1"/>
  <c r="D511" i="11" s="1"/>
  <c r="H510" i="11" a="1"/>
  <c r="H510" i="11" s="1"/>
  <c r="G510" i="11" a="1"/>
  <c r="G510" i="11" s="1"/>
  <c r="F510" i="11" a="1"/>
  <c r="F510" i="11" s="1"/>
  <c r="E510" i="11" a="1"/>
  <c r="E510" i="11" s="1"/>
  <c r="D510" i="11"/>
  <c r="D510" i="11" a="1"/>
  <c r="H509" i="11" a="1"/>
  <c r="H509" i="11" s="1"/>
  <c r="G509" i="11"/>
  <c r="G509" i="11" a="1"/>
  <c r="F509" i="11"/>
  <c r="F509" i="11" a="1"/>
  <c r="E509" i="11" a="1"/>
  <c r="E509" i="11" s="1"/>
  <c r="D509" i="11"/>
  <c r="D509" i="11" a="1"/>
  <c r="H508" i="11" a="1"/>
  <c r="H508" i="11" s="1"/>
  <c r="G508" i="11" a="1"/>
  <c r="G508" i="11" s="1"/>
  <c r="F508" i="11" a="1"/>
  <c r="F508" i="11" s="1"/>
  <c r="E508" i="11" a="1"/>
  <c r="E508" i="11" s="1"/>
  <c r="D508" i="11" a="1"/>
  <c r="D508" i="11" s="1"/>
  <c r="H507" i="11" a="1"/>
  <c r="H507" i="11" s="1"/>
  <c r="G507" i="11" a="1"/>
  <c r="G507" i="11" s="1"/>
  <c r="F507" i="11"/>
  <c r="F507" i="11" a="1"/>
  <c r="E507" i="11"/>
  <c r="E507" i="11" a="1"/>
  <c r="D507" i="11"/>
  <c r="D507" i="11" a="1"/>
  <c r="H506" i="11" a="1"/>
  <c r="H506" i="11" s="1"/>
  <c r="G506" i="11" a="1"/>
  <c r="G506" i="11" s="1"/>
  <c r="F506" i="11"/>
  <c r="F506" i="11" a="1"/>
  <c r="E506" i="11"/>
  <c r="E506" i="11" a="1"/>
  <c r="D506" i="11" a="1"/>
  <c r="D506" i="11" s="1"/>
  <c r="H505" i="11" a="1"/>
  <c r="H505" i="11" s="1"/>
  <c r="G505" i="11" a="1"/>
  <c r="G505" i="11" s="1"/>
  <c r="F505" i="11"/>
  <c r="F505" i="11" a="1"/>
  <c r="E505" i="11" a="1"/>
  <c r="E505" i="11" s="1"/>
  <c r="D505" i="11" a="1"/>
  <c r="D505" i="11" s="1"/>
  <c r="H504" i="11" a="1"/>
  <c r="H504" i="11" s="1"/>
  <c r="G504" i="11"/>
  <c r="G504" i="11" a="1"/>
  <c r="F504" i="11" a="1"/>
  <c r="F504" i="11" s="1"/>
  <c r="E504" i="11" a="1"/>
  <c r="E504" i="11" s="1"/>
  <c r="D504" i="11" a="1"/>
  <c r="D504" i="11" s="1"/>
  <c r="H503" i="11" a="1"/>
  <c r="H503" i="11" s="1"/>
  <c r="G503" i="11"/>
  <c r="G503" i="11" a="1"/>
  <c r="F503" i="11" a="1"/>
  <c r="F503" i="11" s="1"/>
  <c r="E503" i="11" a="1"/>
  <c r="E503" i="11" s="1"/>
  <c r="D503" i="11"/>
  <c r="D503" i="11" a="1"/>
  <c r="H502" i="11" a="1"/>
  <c r="H502" i="11" s="1"/>
  <c r="G502" i="11" a="1"/>
  <c r="G502" i="11" s="1"/>
  <c r="F502" i="11" a="1"/>
  <c r="F502" i="11" s="1"/>
  <c r="E502" i="11"/>
  <c r="E502" i="11" a="1"/>
  <c r="D502" i="11" a="1"/>
  <c r="D502" i="11" s="1"/>
  <c r="H501" i="11" a="1"/>
  <c r="H501" i="11" s="1"/>
  <c r="G501" i="11" a="1"/>
  <c r="G501" i="11" s="1"/>
  <c r="F501" i="11" a="1"/>
  <c r="F501" i="11" s="1"/>
  <c r="E501" i="11"/>
  <c r="E501" i="11" a="1"/>
  <c r="D501" i="11"/>
  <c r="D501" i="11" a="1"/>
  <c r="H500" i="11" a="1"/>
  <c r="H500" i="11" s="1"/>
  <c r="G500" i="11" a="1"/>
  <c r="G500" i="11" s="1"/>
  <c r="F500" i="11"/>
  <c r="F500" i="11" a="1"/>
  <c r="E500" i="11"/>
  <c r="E500" i="11" a="1"/>
  <c r="D500" i="11" a="1"/>
  <c r="D500" i="11" s="1"/>
  <c r="H499" i="11" a="1"/>
  <c r="H499" i="11" s="1"/>
  <c r="G499" i="11" a="1"/>
  <c r="G499" i="11" s="1"/>
  <c r="F499" i="11" a="1"/>
  <c r="F499" i="11" s="1"/>
  <c r="E499" i="11" a="1"/>
  <c r="E499" i="11" s="1"/>
  <c r="D499" i="11" a="1"/>
  <c r="D499" i="11" s="1"/>
  <c r="H498" i="11" a="1"/>
  <c r="H498" i="11" s="1"/>
  <c r="G498" i="11"/>
  <c r="G498" i="11" a="1"/>
  <c r="F498" i="11" a="1"/>
  <c r="F498" i="11" s="1"/>
  <c r="E498" i="11"/>
  <c r="E498" i="11" a="1"/>
  <c r="D498" i="11" a="1"/>
  <c r="D498" i="11" s="1"/>
  <c r="H497" i="11" a="1"/>
  <c r="H497" i="11" s="1"/>
  <c r="G497" i="11"/>
  <c r="G497" i="11" a="1"/>
  <c r="F497" i="11" a="1"/>
  <c r="F497" i="11" s="1"/>
  <c r="E497" i="11" a="1"/>
  <c r="E497" i="11" s="1"/>
  <c r="D497" i="11"/>
  <c r="D497" i="11" a="1"/>
  <c r="H496" i="11" a="1"/>
  <c r="H496" i="11" s="1"/>
  <c r="G496" i="11" a="1"/>
  <c r="G496" i="11" s="1"/>
  <c r="F496" i="11" a="1"/>
  <c r="F496" i="11" s="1"/>
  <c r="E496" i="11" a="1"/>
  <c r="E496" i="11" s="1"/>
  <c r="D496" i="11" a="1"/>
  <c r="D496" i="11" s="1"/>
  <c r="H495" i="11" a="1"/>
  <c r="H495" i="11" s="1"/>
  <c r="G495" i="11"/>
  <c r="G495" i="11" a="1"/>
  <c r="F495" i="11" a="1"/>
  <c r="F495" i="11" s="1"/>
  <c r="E495" i="11"/>
  <c r="E495" i="11" a="1"/>
  <c r="D495" i="11"/>
  <c r="D495" i="11" a="1"/>
  <c r="H494" i="11" a="1"/>
  <c r="H494" i="11" s="1"/>
  <c r="G494" i="11"/>
  <c r="G494" i="11" a="1"/>
  <c r="F494" i="11"/>
  <c r="F494" i="11" a="1"/>
  <c r="E494" i="11" a="1"/>
  <c r="E494" i="11" s="1"/>
  <c r="D494" i="11" a="1"/>
  <c r="D494" i="11" s="1"/>
  <c r="H493" i="11" a="1"/>
  <c r="H493" i="11" s="1"/>
  <c r="G493" i="11" a="1"/>
  <c r="G493" i="11" s="1"/>
  <c r="F493" i="11" a="1"/>
  <c r="F493" i="11" s="1"/>
  <c r="E493" i="11" a="1"/>
  <c r="E493" i="11" s="1"/>
  <c r="D493" i="11"/>
  <c r="D493" i="11" a="1"/>
  <c r="H492" i="11" a="1"/>
  <c r="H492" i="11" s="1"/>
  <c r="G492" i="11"/>
  <c r="G492" i="11" a="1"/>
  <c r="F492" i="11" a="1"/>
  <c r="F492" i="11" s="1"/>
  <c r="E492" i="11" a="1"/>
  <c r="E492" i="11" s="1"/>
  <c r="D492" i="11"/>
  <c r="D492" i="11" a="1"/>
  <c r="H491" i="11" a="1"/>
  <c r="H491" i="11" s="1"/>
  <c r="G491" i="11" a="1"/>
  <c r="G491" i="11" s="1"/>
  <c r="F491" i="11" a="1"/>
  <c r="F491" i="11" s="1"/>
  <c r="E491" i="11" a="1"/>
  <c r="E491" i="11" s="1"/>
  <c r="D491" i="11"/>
  <c r="D491" i="11" a="1"/>
  <c r="H490" i="11" a="1"/>
  <c r="H490" i="11" s="1"/>
  <c r="G490" i="11" a="1"/>
  <c r="G490" i="11" s="1"/>
  <c r="F490" i="11"/>
  <c r="F490" i="11" a="1"/>
  <c r="E490" i="11" a="1"/>
  <c r="E490" i="11" s="1"/>
  <c r="D490" i="11" a="1"/>
  <c r="D490" i="11" s="1"/>
  <c r="H489" i="11" a="1"/>
  <c r="H489" i="11" s="1"/>
  <c r="G489" i="11" a="1"/>
  <c r="G489" i="11" s="1"/>
  <c r="F489" i="11"/>
  <c r="F489" i="11" a="1"/>
  <c r="E489" i="11"/>
  <c r="E489" i="11" a="1"/>
  <c r="D489" i="11" a="1"/>
  <c r="D489" i="11" s="1"/>
  <c r="H488" i="11" a="1"/>
  <c r="H488" i="11" s="1"/>
  <c r="G488" i="11"/>
  <c r="G488" i="11" a="1"/>
  <c r="F488" i="11"/>
  <c r="F488" i="11" a="1"/>
  <c r="E488" i="11" a="1"/>
  <c r="E488" i="11" s="1"/>
  <c r="D488" i="11" a="1"/>
  <c r="D488" i="11" s="1"/>
  <c r="H487" i="11" a="1"/>
  <c r="H487" i="11" s="1"/>
  <c r="G487" i="11" a="1"/>
  <c r="G487" i="11" s="1"/>
  <c r="F487" i="11" a="1"/>
  <c r="F487" i="11" s="1"/>
  <c r="E487" i="11" a="1"/>
  <c r="E487" i="11" s="1"/>
  <c r="D487" i="11" a="1"/>
  <c r="D487" i="11" s="1"/>
  <c r="H486" i="11" a="1"/>
  <c r="H486" i="11" s="1"/>
  <c r="G486" i="11"/>
  <c r="G486" i="11" a="1"/>
  <c r="F486" i="11" a="1"/>
  <c r="F486" i="11" s="1"/>
  <c r="E486" i="11" a="1"/>
  <c r="E486" i="11" s="1"/>
  <c r="D486" i="11"/>
  <c r="D486" i="11" a="1"/>
  <c r="H485" i="11" a="1"/>
  <c r="H485" i="11" s="1"/>
  <c r="G485" i="11" a="1"/>
  <c r="G485" i="11" s="1"/>
  <c r="F485" i="11" a="1"/>
  <c r="F485" i="11" s="1"/>
  <c r="E485" i="11" a="1"/>
  <c r="E485" i="11" s="1"/>
  <c r="D485" i="11" a="1"/>
  <c r="D485" i="11" s="1"/>
  <c r="H484" i="11" a="1"/>
  <c r="H484" i="11" s="1"/>
  <c r="G484" i="11" a="1"/>
  <c r="G484" i="11" s="1"/>
  <c r="F484" i="11" a="1"/>
  <c r="F484" i="11" s="1"/>
  <c r="E484" i="11"/>
  <c r="E484" i="11" a="1"/>
  <c r="D484" i="11" a="1"/>
  <c r="D484" i="11" s="1"/>
  <c r="H483" i="11" a="1"/>
  <c r="H483" i="11" s="1"/>
  <c r="G483" i="11" a="1"/>
  <c r="G483" i="11" s="1"/>
  <c r="F483" i="11"/>
  <c r="F483" i="11" a="1"/>
  <c r="E483" i="11"/>
  <c r="E483" i="11" a="1"/>
  <c r="D483" i="11" a="1"/>
  <c r="D483" i="11" s="1"/>
  <c r="H482" i="11" a="1"/>
  <c r="H482" i="11" s="1"/>
  <c r="G482" i="11"/>
  <c r="G482" i="11" a="1"/>
  <c r="F482" i="11" a="1"/>
  <c r="F482" i="11" s="1"/>
  <c r="E482" i="11" a="1"/>
  <c r="E482" i="11" s="1"/>
  <c r="D482" i="11" a="1"/>
  <c r="D482" i="11" s="1"/>
  <c r="H481" i="11" a="1"/>
  <c r="H481" i="11" s="1"/>
  <c r="G481" i="11" a="1"/>
  <c r="G481" i="11" s="1"/>
  <c r="F481" i="11" a="1"/>
  <c r="F481" i="11" s="1"/>
  <c r="E481" i="11"/>
  <c r="E481" i="11" a="1"/>
  <c r="D481" i="11" a="1"/>
  <c r="D481" i="11" s="1"/>
  <c r="H480" i="11" a="1"/>
  <c r="H480" i="11" s="1"/>
  <c r="G480" i="11"/>
  <c r="G480" i="11" a="1"/>
  <c r="F480" i="11" a="1"/>
  <c r="F480" i="11" s="1"/>
  <c r="E480" i="11"/>
  <c r="E480" i="11" a="1"/>
  <c r="D480" i="11"/>
  <c r="D480" i="11" a="1"/>
  <c r="H479" i="11" a="1"/>
  <c r="H479" i="11" s="1"/>
  <c r="G479" i="11" a="1"/>
  <c r="G479" i="11" s="1"/>
  <c r="F479" i="11" a="1"/>
  <c r="F479" i="11" s="1"/>
  <c r="E479" i="11" a="1"/>
  <c r="E479" i="11" s="1"/>
  <c r="D479" i="11" a="1"/>
  <c r="D479" i="11" s="1"/>
  <c r="H478" i="11" a="1"/>
  <c r="H478" i="11" s="1"/>
  <c r="G478" i="11"/>
  <c r="G478" i="11" a="1"/>
  <c r="F478" i="11" a="1"/>
  <c r="F478" i="11" s="1"/>
  <c r="E478" i="11"/>
  <c r="E478" i="11" a="1"/>
  <c r="D478" i="11" a="1"/>
  <c r="D478" i="11" s="1"/>
  <c r="H477" i="11" a="1"/>
  <c r="H477" i="11" s="1"/>
  <c r="G477" i="11"/>
  <c r="G477" i="11" a="1"/>
  <c r="F477" i="11"/>
  <c r="F477" i="11" a="1"/>
  <c r="E477" i="11" a="1"/>
  <c r="E477" i="11" s="1"/>
  <c r="D477" i="11" a="1"/>
  <c r="D477" i="11" s="1"/>
  <c r="H476" i="11" a="1"/>
  <c r="H476" i="11" s="1"/>
  <c r="G476" i="11"/>
  <c r="G476" i="11" a="1"/>
  <c r="F476" i="11" a="1"/>
  <c r="F476" i="11" s="1"/>
  <c r="E476" i="11" a="1"/>
  <c r="E476" i="11" s="1"/>
  <c r="D476" i="11"/>
  <c r="D476" i="11" a="1"/>
  <c r="H475" i="11" a="1"/>
  <c r="H475" i="11" s="1"/>
  <c r="G475" i="11" a="1"/>
  <c r="G475" i="11" s="1"/>
  <c r="F475" i="11" a="1"/>
  <c r="F475" i="11" s="1"/>
  <c r="E475" i="11" a="1"/>
  <c r="E475" i="11" s="1"/>
  <c r="D475" i="11"/>
  <c r="D475" i="11" a="1"/>
  <c r="H474" i="11" a="1"/>
  <c r="H474" i="11" s="1"/>
  <c r="G474" i="11" a="1"/>
  <c r="G474" i="11" s="1"/>
  <c r="F474" i="11" a="1"/>
  <c r="F474" i="11" s="1"/>
  <c r="E474" i="11"/>
  <c r="E474" i="11" a="1"/>
  <c r="D474" i="11"/>
  <c r="D474" i="11" a="1"/>
  <c r="H473" i="11" a="1"/>
  <c r="H473" i="11" s="1"/>
  <c r="G473" i="11" a="1"/>
  <c r="G473" i="11" s="1"/>
  <c r="F473" i="11"/>
  <c r="F473" i="11" a="1"/>
  <c r="E473" i="11" a="1"/>
  <c r="E473" i="11" s="1"/>
  <c r="D473" i="11" a="1"/>
  <c r="D473" i="11" s="1"/>
  <c r="H472" i="11" a="1"/>
  <c r="H472" i="11" s="1"/>
  <c r="G472" i="11" a="1"/>
  <c r="G472" i="11" s="1"/>
  <c r="F472" i="11"/>
  <c r="F472" i="11" a="1"/>
  <c r="E472" i="11"/>
  <c r="E472" i="11" a="1"/>
  <c r="D472" i="11" a="1"/>
  <c r="D472" i="11" s="1"/>
  <c r="H471" i="11" a="1"/>
  <c r="H471" i="11" s="1"/>
  <c r="G471" i="11"/>
  <c r="G471" i="11" a="1"/>
  <c r="F471" i="11"/>
  <c r="F471" i="11" a="1"/>
  <c r="E471" i="11" a="1"/>
  <c r="E471" i="11" s="1"/>
  <c r="D471" i="11" a="1"/>
  <c r="D471" i="11" s="1"/>
  <c r="H470" i="11" a="1"/>
  <c r="H470" i="11" s="1"/>
  <c r="G470" i="11" a="1"/>
  <c r="G470" i="11" s="1"/>
  <c r="F470" i="11" a="1"/>
  <c r="F470" i="11" s="1"/>
  <c r="E470" i="11" a="1"/>
  <c r="E470" i="11" s="1"/>
  <c r="D470" i="11" a="1"/>
  <c r="D470" i="11" s="1"/>
  <c r="H469" i="11" a="1"/>
  <c r="H469" i="11" s="1"/>
  <c r="G469" i="11" a="1"/>
  <c r="G469" i="11" s="1"/>
  <c r="F469" i="11"/>
  <c r="F469" i="11" a="1"/>
  <c r="E469" i="11"/>
  <c r="E469" i="11" a="1"/>
  <c r="D469" i="11"/>
  <c r="D469" i="11" a="1"/>
  <c r="H468" i="11" a="1"/>
  <c r="H468" i="11" s="1"/>
  <c r="G468" i="11" a="1"/>
  <c r="G468" i="11" s="1"/>
  <c r="F468" i="11" a="1"/>
  <c r="F468" i="11" s="1"/>
  <c r="E468" i="11"/>
  <c r="E468" i="11" a="1"/>
  <c r="D468" i="11" a="1"/>
  <c r="D468" i="11" s="1"/>
  <c r="H467" i="11" a="1"/>
  <c r="H467" i="11" s="1"/>
  <c r="G467" i="11" a="1"/>
  <c r="G467" i="11" s="1"/>
  <c r="F467" i="11" a="1"/>
  <c r="F467" i="11" s="1"/>
  <c r="E467" i="11" a="1"/>
  <c r="E467" i="11" s="1"/>
  <c r="D467" i="11" a="1"/>
  <c r="D467" i="11" s="1"/>
  <c r="H466" i="11" a="1"/>
  <c r="H466" i="11" s="1"/>
  <c r="G466" i="11" a="1"/>
  <c r="G466" i="11" s="1"/>
  <c r="F466" i="11"/>
  <c r="F466" i="11" a="1"/>
  <c r="E466" i="11"/>
  <c r="E466" i="11" a="1"/>
  <c r="D466" i="11" a="1"/>
  <c r="D466" i="11" s="1"/>
  <c r="H465" i="11" a="1"/>
  <c r="H465" i="11" s="1"/>
  <c r="G465" i="11"/>
  <c r="G465" i="11" a="1"/>
  <c r="F465" i="11" a="1"/>
  <c r="F465" i="11" s="1"/>
  <c r="E465" i="11" a="1"/>
  <c r="E465" i="11" s="1"/>
  <c r="D465" i="11" a="1"/>
  <c r="D465" i="11" s="1"/>
  <c r="H464" i="11" a="1"/>
  <c r="H464" i="11" s="1"/>
  <c r="G464" i="11" a="1"/>
  <c r="G464" i="11" s="1"/>
  <c r="F464" i="11" a="1"/>
  <c r="F464" i="11" s="1"/>
  <c r="E464" i="11"/>
  <c r="E464" i="11" a="1"/>
  <c r="D464" i="11" a="1"/>
  <c r="D464" i="11" s="1"/>
  <c r="H463" i="11" a="1"/>
  <c r="H463" i="11" s="1"/>
  <c r="G463" i="11" a="1"/>
  <c r="G463" i="11" s="1"/>
  <c r="F463" i="11" a="1"/>
  <c r="F463" i="11" s="1"/>
  <c r="E463" i="11"/>
  <c r="E463" i="11" a="1"/>
  <c r="D463" i="11"/>
  <c r="D463" i="11" a="1"/>
  <c r="H462" i="11" a="1"/>
  <c r="H462" i="11" s="1"/>
  <c r="G462" i="11" a="1"/>
  <c r="G462" i="11" s="1"/>
  <c r="F462" i="11" a="1"/>
  <c r="F462" i="11" s="1"/>
  <c r="E462" i="11"/>
  <c r="E462" i="11" a="1"/>
  <c r="D462" i="11" a="1"/>
  <c r="D462" i="11" s="1"/>
  <c r="H461" i="11" a="1"/>
  <c r="H461" i="11" s="1"/>
  <c r="G461" i="11"/>
  <c r="G461" i="11" a="1"/>
  <c r="F461" i="11" a="1"/>
  <c r="F461" i="11" s="1"/>
  <c r="E461" i="11" a="1"/>
  <c r="E461" i="11" s="1"/>
  <c r="D461" i="11" a="1"/>
  <c r="D461" i="11" s="1"/>
  <c r="H460" i="11" a="1"/>
  <c r="H460" i="11" s="1"/>
  <c r="G460" i="11"/>
  <c r="G460" i="11" a="1"/>
  <c r="F460" i="11"/>
  <c r="F460" i="11" a="1"/>
  <c r="E460" i="11" a="1"/>
  <c r="E460" i="11" s="1"/>
  <c r="D460" i="11" a="1"/>
  <c r="D460" i="11" s="1"/>
  <c r="H459" i="11" a="1"/>
  <c r="H459" i="11" s="1"/>
  <c r="G459" i="11"/>
  <c r="G459" i="11" a="1"/>
  <c r="F459" i="11" a="1"/>
  <c r="F459" i="11" s="1"/>
  <c r="E459" i="11" a="1"/>
  <c r="E459" i="11" s="1"/>
  <c r="D459" i="11"/>
  <c r="D459" i="11" a="1"/>
  <c r="H458" i="11" a="1"/>
  <c r="H458" i="11" s="1"/>
  <c r="G458" i="11" a="1"/>
  <c r="G458" i="11" s="1"/>
  <c r="F458" i="11" a="1"/>
  <c r="F458" i="11" s="1"/>
  <c r="E458" i="11" a="1"/>
  <c r="E458" i="11" s="1"/>
  <c r="D458" i="11"/>
  <c r="D458" i="11" a="1"/>
  <c r="H457" i="11" a="1"/>
  <c r="H457" i="11" s="1"/>
  <c r="G457" i="11" a="1"/>
  <c r="G457" i="11" s="1"/>
  <c r="F457" i="11"/>
  <c r="F457" i="11" a="1"/>
  <c r="E457" i="11"/>
  <c r="E457" i="11" a="1"/>
  <c r="D457" i="11"/>
  <c r="D457" i="11" a="1"/>
  <c r="H456" i="11" a="1"/>
  <c r="H456" i="11" s="1"/>
  <c r="G456" i="11" a="1"/>
  <c r="G456" i="11" s="1"/>
  <c r="F456" i="11" a="1"/>
  <c r="F456" i="11" s="1"/>
  <c r="E456" i="11" a="1"/>
  <c r="E456" i="11" s="1"/>
  <c r="D456" i="11" a="1"/>
  <c r="D456" i="11" s="1"/>
  <c r="H455" i="11" a="1"/>
  <c r="H455" i="11" s="1"/>
  <c r="G455" i="11" a="1"/>
  <c r="G455" i="11" s="1"/>
  <c r="F455" i="11"/>
  <c r="F455" i="11" a="1"/>
  <c r="E455" i="11" a="1"/>
  <c r="E455" i="11" s="1"/>
  <c r="D455" i="11"/>
  <c r="D455" i="11" a="1"/>
  <c r="H454" i="11" a="1"/>
  <c r="H454" i="11" s="1"/>
  <c r="G454" i="11"/>
  <c r="G454" i="11" a="1"/>
  <c r="F454" i="11"/>
  <c r="F454" i="11" a="1"/>
  <c r="E454" i="11" a="1"/>
  <c r="E454" i="11" s="1"/>
  <c r="D454" i="11" a="1"/>
  <c r="D454" i="11" s="1"/>
  <c r="H453" i="11" a="1"/>
  <c r="H453" i="11" s="1"/>
  <c r="G453" i="11" a="1"/>
  <c r="G453" i="11" s="1"/>
  <c r="F453" i="11" a="1"/>
  <c r="F453" i="11" s="1"/>
  <c r="E453" i="11" a="1"/>
  <c r="E453" i="11" s="1"/>
  <c r="D453" i="11" a="1"/>
  <c r="D453" i="11" s="1"/>
  <c r="H452" i="11" a="1"/>
  <c r="H452" i="11" s="1"/>
  <c r="G452" i="11" a="1"/>
  <c r="G452" i="11" s="1"/>
  <c r="F452" i="11"/>
  <c r="F452" i="11" a="1"/>
  <c r="E452" i="11"/>
  <c r="E452" i="11" a="1"/>
  <c r="D452" i="11"/>
  <c r="D452" i="11" a="1"/>
  <c r="H451" i="11" a="1"/>
  <c r="H451" i="11" s="1"/>
  <c r="G451" i="11" a="1"/>
  <c r="G451" i="11" s="1"/>
  <c r="F451" i="11"/>
  <c r="F451" i="11" a="1"/>
  <c r="E451" i="11"/>
  <c r="E451" i="11" a="1"/>
  <c r="D451" i="11" a="1"/>
  <c r="D451" i="11" s="1"/>
  <c r="H450" i="11" a="1"/>
  <c r="H450" i="11" s="1"/>
  <c r="G450" i="11" a="1"/>
  <c r="G450" i="11" s="1"/>
  <c r="F450" i="11" a="1"/>
  <c r="F450" i="11" s="1"/>
  <c r="E450" i="11"/>
  <c r="E450" i="11" a="1"/>
  <c r="D450" i="11" a="1"/>
  <c r="D450" i="11" s="1"/>
  <c r="H449" i="11" a="1"/>
  <c r="H449" i="11" s="1"/>
  <c r="G449" i="11"/>
  <c r="G449" i="11" a="1"/>
  <c r="F449" i="11"/>
  <c r="F449" i="11" a="1"/>
  <c r="E449" i="11" a="1"/>
  <c r="E449" i="11" s="1"/>
  <c r="D449" i="11" a="1"/>
  <c r="D449" i="11" s="1"/>
  <c r="H448" i="11" a="1"/>
  <c r="H448" i="11" s="1"/>
  <c r="G448" i="11"/>
  <c r="G448" i="11" a="1"/>
  <c r="F448" i="11" a="1"/>
  <c r="F448" i="11" s="1"/>
  <c r="E448" i="11" a="1"/>
  <c r="E448" i="11" s="1"/>
  <c r="D448" i="11" a="1"/>
  <c r="D448" i="11" s="1"/>
  <c r="H447" i="11" a="1"/>
  <c r="H447" i="11" s="1"/>
  <c r="G447" i="11"/>
  <c r="G447" i="11" a="1"/>
  <c r="F447" i="11" a="1"/>
  <c r="F447" i="11" s="1"/>
  <c r="E447" i="11"/>
  <c r="E447" i="11" a="1"/>
  <c r="D447" i="11" a="1"/>
  <c r="D447" i="11" s="1"/>
  <c r="H446" i="11" a="1"/>
  <c r="H446" i="11" s="1"/>
  <c r="G446" i="11" a="1"/>
  <c r="G446" i="11" s="1"/>
  <c r="F446" i="11" a="1"/>
  <c r="F446" i="11" s="1"/>
  <c r="E446" i="11"/>
  <c r="E446" i="11" a="1"/>
  <c r="D446" i="11"/>
  <c r="D446" i="11" a="1"/>
  <c r="H445" i="11" a="1"/>
  <c r="H445" i="11" s="1"/>
  <c r="G445" i="11" a="1"/>
  <c r="G445" i="11" s="1"/>
  <c r="F445" i="11"/>
  <c r="F445" i="11" a="1"/>
  <c r="E445" i="11"/>
  <c r="E445" i="11" a="1"/>
  <c r="D445" i="11" a="1"/>
  <c r="D445" i="11" s="1"/>
  <c r="H444" i="11" a="1"/>
  <c r="H444" i="11" s="1"/>
  <c r="G444" i="11"/>
  <c r="G444" i="11" a="1"/>
  <c r="F444" i="11" a="1"/>
  <c r="F444" i="11" s="1"/>
  <c r="E444" i="11"/>
  <c r="E444" i="11" a="1"/>
  <c r="D444" i="11" a="1"/>
  <c r="D444" i="11" s="1"/>
  <c r="H443" i="11" a="1"/>
  <c r="H443" i="11" s="1"/>
  <c r="G443" i="11"/>
  <c r="G443" i="11" a="1"/>
  <c r="F443" i="11"/>
  <c r="F443" i="11" a="1"/>
  <c r="E443" i="11" a="1"/>
  <c r="E443" i="11" s="1"/>
  <c r="D443" i="11" a="1"/>
  <c r="D443" i="11" s="1"/>
  <c r="H442" i="11" a="1"/>
  <c r="H442" i="11" s="1"/>
  <c r="G442" i="11"/>
  <c r="G442" i="11" a="1"/>
  <c r="F442" i="11" a="1"/>
  <c r="F442" i="11" s="1"/>
  <c r="E442" i="11" a="1"/>
  <c r="E442" i="11" s="1"/>
  <c r="D442" i="11" a="1"/>
  <c r="D442" i="11" s="1"/>
  <c r="H441" i="11" a="1"/>
  <c r="H441" i="11" s="1"/>
  <c r="G441" i="11" a="1"/>
  <c r="G441" i="11" s="1"/>
  <c r="F441" i="11" a="1"/>
  <c r="F441" i="11" s="1"/>
  <c r="E441" i="11"/>
  <c r="E441" i="11" a="1"/>
  <c r="D441" i="11" a="1"/>
  <c r="D441" i="11" s="1"/>
  <c r="H440" i="11" a="1"/>
  <c r="H440" i="11" s="1"/>
  <c r="G440" i="11"/>
  <c r="G440" i="11" a="1"/>
  <c r="F440" i="11"/>
  <c r="F440" i="11" a="1"/>
  <c r="E440" i="11"/>
  <c r="E440" i="11" a="1"/>
  <c r="D440" i="11" a="1"/>
  <c r="D440" i="11" s="1"/>
  <c r="H439" i="11" a="1"/>
  <c r="H439" i="11" s="1"/>
  <c r="G439" i="11" a="1"/>
  <c r="G439" i="11" s="1"/>
  <c r="F439" i="11"/>
  <c r="F439" i="11" a="1"/>
  <c r="E439" i="11" a="1"/>
  <c r="E439" i="11" s="1"/>
  <c r="D439" i="11"/>
  <c r="D439" i="11" a="1"/>
  <c r="H438" i="11" a="1"/>
  <c r="H438" i="11" s="1"/>
  <c r="G438" i="11" a="1"/>
  <c r="G438" i="11" s="1"/>
  <c r="F438" i="11" a="1"/>
  <c r="F438" i="11" s="1"/>
  <c r="E438" i="11"/>
  <c r="E438" i="11" a="1"/>
  <c r="D438" i="11"/>
  <c r="D438" i="11" a="1"/>
  <c r="H437" i="11" a="1"/>
  <c r="H437" i="11" s="1"/>
  <c r="G437" i="11"/>
  <c r="G437" i="11" a="1"/>
  <c r="F437" i="11" a="1"/>
  <c r="F437" i="11" s="1"/>
  <c r="E437" i="11" a="1"/>
  <c r="E437" i="11" s="1"/>
  <c r="D437" i="11"/>
  <c r="D437" i="11" a="1"/>
  <c r="H436" i="11" a="1"/>
  <c r="H436" i="11" s="1"/>
  <c r="G436" i="11" a="1"/>
  <c r="G436" i="11" s="1"/>
  <c r="F436" i="11" a="1"/>
  <c r="F436" i="11" s="1"/>
  <c r="E436" i="11" a="1"/>
  <c r="E436" i="11" s="1"/>
  <c r="D436" i="11" a="1"/>
  <c r="D436" i="11" s="1"/>
  <c r="H435" i="11" a="1"/>
  <c r="H435" i="11" s="1"/>
  <c r="G435" i="11" a="1"/>
  <c r="G435" i="11" s="1"/>
  <c r="F435" i="11"/>
  <c r="F435" i="11" a="1"/>
  <c r="E435" i="11" a="1"/>
  <c r="E435" i="11" s="1"/>
  <c r="D435" i="11"/>
  <c r="D435" i="11" a="1"/>
  <c r="H434" i="11" a="1"/>
  <c r="H434" i="11" s="1"/>
  <c r="G434" i="11"/>
  <c r="G434" i="11" a="1"/>
  <c r="F434" i="11" a="1"/>
  <c r="F434" i="11" s="1"/>
  <c r="E434" i="11"/>
  <c r="E434" i="11" a="1"/>
  <c r="D434" i="11" a="1"/>
  <c r="D434" i="11" s="1"/>
  <c r="H433" i="11" a="1"/>
  <c r="H433" i="11" s="1"/>
  <c r="G433" i="11" a="1"/>
  <c r="G433" i="11" s="1"/>
  <c r="F433" i="11"/>
  <c r="F433" i="11" a="1"/>
  <c r="E433" i="11"/>
  <c r="E433" i="11" a="1"/>
  <c r="D433" i="11"/>
  <c r="D433" i="11" a="1"/>
  <c r="H432" i="11" a="1"/>
  <c r="H432" i="11" s="1"/>
  <c r="G432" i="11" a="1"/>
  <c r="G432" i="11" s="1"/>
  <c r="F432" i="11" a="1"/>
  <c r="F432" i="11" s="1"/>
  <c r="E432" i="11" a="1"/>
  <c r="E432" i="11" s="1"/>
  <c r="D432" i="11"/>
  <c r="D432" i="11" a="1"/>
  <c r="H431" i="11" a="1"/>
  <c r="H431" i="11" s="1"/>
  <c r="G431" i="11"/>
  <c r="G431" i="11" a="1"/>
  <c r="F431" i="11" a="1"/>
  <c r="F431" i="11" s="1"/>
  <c r="E431" i="11" a="1"/>
  <c r="E431" i="11" s="1"/>
  <c r="D431" i="11"/>
  <c r="D431" i="11" a="1"/>
  <c r="H430" i="11" a="1"/>
  <c r="H430" i="11" s="1"/>
  <c r="G430" i="11"/>
  <c r="G430" i="11" a="1"/>
  <c r="F430" i="11"/>
  <c r="F430" i="11" a="1"/>
  <c r="E430" i="11"/>
  <c r="E430" i="11" a="1"/>
  <c r="D430" i="11"/>
  <c r="D430" i="11" a="1"/>
  <c r="H429" i="11" a="1"/>
  <c r="H429" i="11" s="1"/>
  <c r="G429" i="11" a="1"/>
  <c r="G429" i="11" s="1"/>
  <c r="F429" i="11" a="1"/>
  <c r="F429" i="11" s="1"/>
  <c r="E429" i="11"/>
  <c r="E429" i="11" a="1"/>
  <c r="D429" i="11"/>
  <c r="D429" i="11" a="1"/>
  <c r="H428" i="11" a="1"/>
  <c r="H428" i="11" s="1"/>
  <c r="G428" i="11"/>
  <c r="G428" i="11" a="1"/>
  <c r="F428" i="11" a="1"/>
  <c r="F428" i="11" s="1"/>
  <c r="E428" i="11" a="1"/>
  <c r="E428" i="11" s="1"/>
  <c r="D428" i="11" a="1"/>
  <c r="D428" i="11" s="1"/>
  <c r="H427" i="11" a="1"/>
  <c r="H427" i="11" s="1"/>
  <c r="G427" i="11"/>
  <c r="G427" i="11" a="1"/>
  <c r="F427" i="11"/>
  <c r="F427" i="11" a="1"/>
  <c r="E427" i="11" a="1"/>
  <c r="E427" i="11" s="1"/>
  <c r="D427" i="11"/>
  <c r="D427" i="11" a="1"/>
  <c r="H426" i="11" a="1"/>
  <c r="H426" i="11" s="1"/>
  <c r="G426" i="11"/>
  <c r="G426" i="11" a="1"/>
  <c r="F426" i="11"/>
  <c r="F426" i="11" a="1"/>
  <c r="E426" i="11"/>
  <c r="E426" i="11" a="1"/>
  <c r="D426" i="11" a="1"/>
  <c r="D426" i="11" s="1"/>
  <c r="H425" i="11" a="1"/>
  <c r="H425" i="11" s="1"/>
  <c r="G425" i="11" a="1"/>
  <c r="G425" i="11" s="1"/>
  <c r="F425" i="11"/>
  <c r="F425" i="11" a="1"/>
  <c r="E425" i="11" a="1"/>
  <c r="E425" i="11" s="1"/>
  <c r="D425" i="11"/>
  <c r="D425" i="11" a="1"/>
  <c r="H424" i="11" a="1"/>
  <c r="H424" i="11" s="1"/>
  <c r="G424" i="11" a="1"/>
  <c r="G424" i="11" s="1"/>
  <c r="F424" i="11" a="1"/>
  <c r="F424" i="11" s="1"/>
  <c r="E424" i="11"/>
  <c r="E424" i="11" a="1"/>
  <c r="D424" i="11" a="1"/>
  <c r="D424" i="11" s="1"/>
  <c r="H423" i="11" a="1"/>
  <c r="H423" i="11" s="1"/>
  <c r="G423" i="11" a="1"/>
  <c r="G423" i="11" s="1"/>
  <c r="F423" i="11"/>
  <c r="F423" i="11" a="1"/>
  <c r="E423" i="11" a="1"/>
  <c r="E423" i="11" s="1"/>
  <c r="D423" i="11"/>
  <c r="D423" i="11" a="1"/>
  <c r="H422" i="11" a="1"/>
  <c r="H422" i="11" s="1"/>
  <c r="G422" i="11"/>
  <c r="G422" i="11" a="1"/>
  <c r="F422" i="11" a="1"/>
  <c r="F422" i="11" s="1"/>
  <c r="E422" i="11"/>
  <c r="E422" i="11" a="1"/>
  <c r="D422" i="11" a="1"/>
  <c r="D422" i="11" s="1"/>
  <c r="H421" i="11" a="1"/>
  <c r="H421" i="11" s="1"/>
  <c r="G421" i="11" a="1"/>
  <c r="G421" i="11" s="1"/>
  <c r="F421" i="11"/>
  <c r="F421" i="11" a="1"/>
  <c r="E421" i="11" a="1"/>
  <c r="E421" i="11" s="1"/>
  <c r="D421" i="11" a="1"/>
  <c r="D421" i="11" s="1"/>
  <c r="H420" i="11" a="1"/>
  <c r="H420" i="11" s="1"/>
  <c r="G420" i="11"/>
  <c r="G420" i="11" a="1"/>
  <c r="F420" i="11"/>
  <c r="F420" i="11" a="1"/>
  <c r="E420" i="11"/>
  <c r="E420" i="11" a="1"/>
  <c r="D420" i="11" a="1"/>
  <c r="D420" i="11" s="1"/>
  <c r="H419" i="11" a="1"/>
  <c r="H419" i="11" s="1"/>
  <c r="G419" i="11" a="1"/>
  <c r="G419" i="11" s="1"/>
  <c r="F419" i="11" a="1"/>
  <c r="F419" i="11" s="1"/>
  <c r="E419" i="11"/>
  <c r="E419" i="11" a="1"/>
  <c r="D419" i="11"/>
  <c r="D419" i="11" a="1"/>
  <c r="H418" i="11" a="1"/>
  <c r="H418" i="11" s="1"/>
  <c r="G418" i="11" a="1"/>
  <c r="G418" i="11" s="1"/>
  <c r="F418" i="11"/>
  <c r="F418" i="11" a="1"/>
  <c r="E418" i="11" a="1"/>
  <c r="E418" i="11" s="1"/>
  <c r="D418" i="11" a="1"/>
  <c r="D418" i="11" s="1"/>
  <c r="H417" i="11" a="1"/>
  <c r="H417" i="11" s="1"/>
  <c r="G417" i="11" a="1"/>
  <c r="G417" i="11" s="1"/>
  <c r="F417" i="11" a="1"/>
  <c r="F417" i="11" s="1"/>
  <c r="E417" i="11" a="1"/>
  <c r="E417" i="11" s="1"/>
  <c r="D417" i="11" a="1"/>
  <c r="D417" i="11" s="1"/>
  <c r="H416" i="11" a="1"/>
  <c r="H416" i="11" s="1"/>
  <c r="G416" i="11"/>
  <c r="G416" i="11" a="1"/>
  <c r="F416" i="11"/>
  <c r="F416" i="11" a="1"/>
  <c r="E416" i="11" a="1"/>
  <c r="E416" i="11" s="1"/>
  <c r="D416" i="11"/>
  <c r="D416" i="11" a="1"/>
  <c r="H415" i="11" a="1"/>
  <c r="H415" i="11" s="1"/>
  <c r="G415" i="11" a="1"/>
  <c r="G415" i="11" s="1"/>
  <c r="F415" i="11"/>
  <c r="F415" i="11" a="1"/>
  <c r="E415" i="11" a="1"/>
  <c r="E415" i="11" s="1"/>
  <c r="D415" i="11" a="1"/>
  <c r="D415" i="11" s="1"/>
  <c r="H414" i="11" a="1"/>
  <c r="H414" i="11" s="1"/>
  <c r="G414" i="11" a="1"/>
  <c r="G414" i="11" s="1"/>
  <c r="F414" i="11"/>
  <c r="F414" i="11" a="1"/>
  <c r="E414" i="11"/>
  <c r="E414" i="11" a="1"/>
  <c r="D414" i="11" a="1"/>
  <c r="D414" i="11" s="1"/>
  <c r="H413" i="11" a="1"/>
  <c r="H413" i="11" s="1"/>
  <c r="G413" i="11" a="1"/>
  <c r="G413" i="11" s="1"/>
  <c r="F413" i="11" a="1"/>
  <c r="F413" i="11" s="1"/>
  <c r="E413" i="11" a="1"/>
  <c r="E413" i="11" s="1"/>
  <c r="D413" i="11"/>
  <c r="D413" i="11" a="1"/>
  <c r="H412" i="11" a="1"/>
  <c r="H412" i="11" s="1"/>
  <c r="G412" i="11" a="1"/>
  <c r="G412" i="11" s="1"/>
  <c r="F412" i="11" a="1"/>
  <c r="F412" i="11" s="1"/>
  <c r="E412" i="11" a="1"/>
  <c r="E412" i="11" s="1"/>
  <c r="D412" i="11"/>
  <c r="D412" i="11" a="1"/>
  <c r="H411" i="11" a="1"/>
  <c r="H411" i="11" s="1"/>
  <c r="G411" i="11" a="1"/>
  <c r="G411" i="11" s="1"/>
  <c r="F411" i="11"/>
  <c r="F411" i="11" a="1"/>
  <c r="E411" i="11"/>
  <c r="E411" i="11" a="1"/>
  <c r="D411" i="11" a="1"/>
  <c r="D411" i="11" s="1"/>
  <c r="H410" i="11" a="1"/>
  <c r="H410" i="11" s="1"/>
  <c r="G410" i="11"/>
  <c r="G410" i="11" a="1"/>
  <c r="F410" i="11" a="1"/>
  <c r="F410" i="11" s="1"/>
  <c r="E410" i="11" a="1"/>
  <c r="E410" i="11" s="1"/>
  <c r="D410" i="11"/>
  <c r="D410" i="11" a="1"/>
  <c r="H409" i="11" a="1"/>
  <c r="H409" i="11" s="1"/>
  <c r="G409" i="11" a="1"/>
  <c r="G409" i="11" s="1"/>
  <c r="F409" i="11"/>
  <c r="F409" i="11" a="1"/>
  <c r="E409" i="11"/>
  <c r="E409" i="11" a="1"/>
  <c r="D409" i="11" a="1"/>
  <c r="D409" i="11" s="1"/>
  <c r="H408" i="11" a="1"/>
  <c r="H408" i="11" s="1"/>
  <c r="G408" i="11" a="1"/>
  <c r="G408" i="11" s="1"/>
  <c r="F408" i="11" a="1"/>
  <c r="F408" i="11" s="1"/>
  <c r="E408" i="11"/>
  <c r="E408" i="11" a="1"/>
  <c r="D408" i="11"/>
  <c r="D408" i="11" a="1"/>
  <c r="H407" i="11" a="1"/>
  <c r="H407" i="11" s="1"/>
  <c r="G407" i="11"/>
  <c r="G407" i="11" a="1"/>
  <c r="F407" i="11" a="1"/>
  <c r="F407" i="11" s="1"/>
  <c r="E407" i="11"/>
  <c r="E407" i="11" a="1"/>
  <c r="D407" i="11" a="1"/>
  <c r="D407" i="11" s="1"/>
  <c r="H406" i="11" a="1"/>
  <c r="H406" i="11" s="1"/>
  <c r="G406" i="11"/>
  <c r="G406" i="11" a="1"/>
  <c r="F406" i="11" a="1"/>
  <c r="F406" i="11" s="1"/>
  <c r="E406" i="11" a="1"/>
  <c r="E406" i="11" s="1"/>
  <c r="D406" i="11"/>
  <c r="D406" i="11" a="1"/>
  <c r="H405" i="11" a="1"/>
  <c r="H405" i="11" s="1"/>
  <c r="G405" i="11" a="1"/>
  <c r="G405" i="11" s="1"/>
  <c r="F405" i="11" a="1"/>
  <c r="F405" i="11" s="1"/>
  <c r="E405" i="11" a="1"/>
  <c r="E405" i="11" s="1"/>
  <c r="D405" i="11" a="1"/>
  <c r="D405" i="11" s="1"/>
  <c r="H404" i="11" a="1"/>
  <c r="H404" i="11" s="1"/>
  <c r="G404" i="11"/>
  <c r="G404" i="11" a="1"/>
  <c r="F404" i="11" a="1"/>
  <c r="F404" i="11" s="1"/>
  <c r="E404" i="11" a="1"/>
  <c r="E404" i="11" s="1"/>
  <c r="D404" i="11"/>
  <c r="D404" i="11" a="1"/>
  <c r="H403" i="11" a="1"/>
  <c r="H403" i="11" s="1"/>
  <c r="G403" i="11"/>
  <c r="G403" i="11" a="1"/>
  <c r="F403" i="11"/>
  <c r="F403" i="11" a="1"/>
  <c r="E403" i="11" a="1"/>
  <c r="E403" i="11" s="1"/>
  <c r="D403" i="11" a="1"/>
  <c r="D403" i="11" s="1"/>
  <c r="H402" i="11" a="1"/>
  <c r="H402" i="11" s="1"/>
  <c r="G402" i="11" a="1"/>
  <c r="G402" i="11" s="1"/>
  <c r="F402" i="11" a="1"/>
  <c r="F402" i="11" s="1"/>
  <c r="E402" i="11" a="1"/>
  <c r="E402" i="11" s="1"/>
  <c r="D402" i="11"/>
  <c r="D402" i="11" a="1"/>
  <c r="H401" i="11" a="1"/>
  <c r="H401" i="11" s="1"/>
  <c r="G401" i="11"/>
  <c r="G401" i="11" a="1"/>
  <c r="F401" i="11" a="1"/>
  <c r="F401" i="11" s="1"/>
  <c r="E401" i="11" a="1"/>
  <c r="E401" i="11" s="1"/>
  <c r="D401" i="11" a="1"/>
  <c r="D401" i="11" s="1"/>
  <c r="H400" i="11" a="1"/>
  <c r="H400" i="11" s="1"/>
  <c r="G400" i="11" a="1"/>
  <c r="G400" i="11" s="1"/>
  <c r="F400" i="11" a="1"/>
  <c r="F400" i="11" s="1"/>
  <c r="E400" i="11" a="1"/>
  <c r="E400" i="11" s="1"/>
  <c r="D400" i="11"/>
  <c r="D400" i="11" a="1"/>
  <c r="H399" i="11" a="1"/>
  <c r="H399" i="11" s="1"/>
  <c r="G399" i="11" a="1"/>
  <c r="G399" i="11" s="1"/>
  <c r="F399" i="11"/>
  <c r="F399" i="11" a="1"/>
  <c r="E399" i="11" a="1"/>
  <c r="E399" i="11" s="1"/>
  <c r="D399" i="11" a="1"/>
  <c r="D399" i="11" s="1"/>
  <c r="H398" i="11" a="1"/>
  <c r="H398" i="11" s="1"/>
  <c r="G398" i="11" a="1"/>
  <c r="G398" i="11" s="1"/>
  <c r="F398" i="11"/>
  <c r="F398" i="11" a="1"/>
  <c r="E398" i="11" a="1"/>
  <c r="E398" i="11" s="1"/>
  <c r="D398" i="11" a="1"/>
  <c r="D398" i="11" s="1"/>
  <c r="H397" i="11" a="1"/>
  <c r="H397" i="11" s="1"/>
  <c r="G397" i="11" a="1"/>
  <c r="G397" i="11" s="1"/>
  <c r="F397" i="11"/>
  <c r="F397" i="11" a="1"/>
  <c r="E397" i="11" a="1"/>
  <c r="E397" i="11" s="1"/>
  <c r="D397" i="11"/>
  <c r="D397" i="11" a="1"/>
  <c r="H396" i="11" a="1"/>
  <c r="H396" i="11" s="1"/>
  <c r="G396" i="11" a="1"/>
  <c r="G396" i="11" s="1"/>
  <c r="F396" i="11" a="1"/>
  <c r="F396" i="11" s="1"/>
  <c r="E396" i="11" a="1"/>
  <c r="E396" i="11" s="1"/>
  <c r="D396" i="11" a="1"/>
  <c r="D396" i="11" s="1"/>
  <c r="H395" i="11" a="1"/>
  <c r="H395" i="11" s="1"/>
  <c r="G395" i="11"/>
  <c r="G395" i="11" a="1"/>
  <c r="F395" i="11" a="1"/>
  <c r="F395" i="11" s="1"/>
  <c r="E395" i="11" a="1"/>
  <c r="E395" i="11" s="1"/>
  <c r="D395" i="11" a="1"/>
  <c r="D395" i="11" s="1"/>
  <c r="H394" i="11" a="1"/>
  <c r="H394" i="11" s="1"/>
  <c r="G394" i="11" a="1"/>
  <c r="G394" i="11" s="1"/>
  <c r="F394" i="11" a="1"/>
  <c r="F394" i="11" s="1"/>
  <c r="E394" i="11" a="1"/>
  <c r="E394" i="11" s="1"/>
  <c r="D394" i="11" a="1"/>
  <c r="D394" i="11" s="1"/>
  <c r="H393" i="11" a="1"/>
  <c r="H393" i="11" s="1"/>
  <c r="G393" i="11"/>
  <c r="G393" i="11" a="1"/>
  <c r="F393" i="11" a="1"/>
  <c r="F393" i="11" s="1"/>
  <c r="E393" i="11" a="1"/>
  <c r="E393" i="11" s="1"/>
  <c r="D393" i="11" a="1"/>
  <c r="D393" i="11" s="1"/>
  <c r="H392" i="11" a="1"/>
  <c r="H392" i="11" s="1"/>
  <c r="G392" i="11" a="1"/>
  <c r="G392" i="11" s="1"/>
  <c r="F392" i="11" a="1"/>
  <c r="F392" i="11" s="1"/>
  <c r="E392" i="11"/>
  <c r="E392" i="11" a="1"/>
  <c r="D392" i="11" a="1"/>
  <c r="D392" i="11" s="1"/>
  <c r="H391" i="11" a="1"/>
  <c r="H391" i="11" s="1"/>
  <c r="G391" i="11" a="1"/>
  <c r="G391" i="11" s="1"/>
  <c r="F391" i="11" a="1"/>
  <c r="F391" i="11" s="1"/>
  <c r="E391" i="11" a="1"/>
  <c r="E391" i="11" s="1"/>
  <c r="D391" i="11" a="1"/>
  <c r="D391" i="11" s="1"/>
  <c r="H390" i="11" a="1"/>
  <c r="H390" i="11" s="1"/>
  <c r="G390" i="11" a="1"/>
  <c r="G390" i="11" s="1"/>
  <c r="F390" i="11"/>
  <c r="F390" i="11" a="1"/>
  <c r="E390" i="11"/>
  <c r="E390" i="11" a="1"/>
  <c r="D390" i="11" a="1"/>
  <c r="D390" i="11" s="1"/>
  <c r="H389" i="11" a="1"/>
  <c r="H389" i="11" s="1"/>
  <c r="G389" i="11"/>
  <c r="G389" i="11" a="1"/>
  <c r="F389" i="11" a="1"/>
  <c r="F389" i="11" s="1"/>
  <c r="E389" i="11" a="1"/>
  <c r="E389" i="11" s="1"/>
  <c r="D389" i="11"/>
  <c r="D389" i="11" a="1"/>
  <c r="H388" i="11" a="1"/>
  <c r="H388" i="11" s="1"/>
  <c r="G388" i="11" a="1"/>
  <c r="G388" i="11" s="1"/>
  <c r="F388" i="11" a="1"/>
  <c r="F388" i="11" s="1"/>
  <c r="E388" i="11" a="1"/>
  <c r="E388" i="11" s="1"/>
  <c r="D388" i="11" a="1"/>
  <c r="D388" i="11" s="1"/>
  <c r="H387" i="11" a="1"/>
  <c r="H387" i="11" s="1"/>
  <c r="G387" i="11"/>
  <c r="G387" i="11" a="1"/>
  <c r="F387" i="11" a="1"/>
  <c r="F387" i="11" s="1"/>
  <c r="E387" i="11"/>
  <c r="E387" i="11" a="1"/>
  <c r="D387" i="11" a="1"/>
  <c r="D387" i="11" s="1"/>
  <c r="H386" i="11" a="1"/>
  <c r="H386" i="11" s="1"/>
  <c r="G386" i="11"/>
  <c r="G386" i="11" a="1"/>
  <c r="F386" i="11"/>
  <c r="F386" i="11" a="1"/>
  <c r="E386" i="11" a="1"/>
  <c r="E386" i="11" s="1"/>
  <c r="D386" i="11" a="1"/>
  <c r="D386" i="11" s="1"/>
  <c r="H385" i="11" a="1"/>
  <c r="H385" i="11" s="1"/>
  <c r="G385" i="11"/>
  <c r="G385" i="11" a="1"/>
  <c r="F385" i="11" a="1"/>
  <c r="F385" i="11" s="1"/>
  <c r="E385" i="11" a="1"/>
  <c r="E385" i="11" s="1"/>
  <c r="D385" i="11"/>
  <c r="D385" i="11" a="1"/>
  <c r="H384" i="11" a="1"/>
  <c r="H384" i="11" s="1"/>
  <c r="G384" i="11" a="1"/>
  <c r="G384" i="11" s="1"/>
  <c r="F384" i="11" a="1"/>
  <c r="F384" i="11" s="1"/>
  <c r="E384" i="11" a="1"/>
  <c r="E384" i="11" s="1"/>
  <c r="D384" i="11"/>
  <c r="D384" i="11" a="1"/>
  <c r="H383" i="11" a="1"/>
  <c r="H383" i="11" s="1"/>
  <c r="G383" i="11" a="1"/>
  <c r="G383" i="11" s="1"/>
  <c r="F383" i="11" a="1"/>
  <c r="F383" i="11" s="1"/>
  <c r="E383" i="11"/>
  <c r="E383" i="11" a="1"/>
  <c r="D383" i="11"/>
  <c r="D383" i="11" a="1"/>
  <c r="H382" i="11" a="1"/>
  <c r="H382" i="11" s="1"/>
  <c r="G382" i="11"/>
  <c r="G382" i="11" a="1"/>
  <c r="F382" i="11"/>
  <c r="F382" i="11" a="1"/>
  <c r="E382" i="11" a="1"/>
  <c r="E382" i="11" s="1"/>
  <c r="D382" i="11" a="1"/>
  <c r="D382" i="11" s="1"/>
  <c r="H381" i="11" a="1"/>
  <c r="H381" i="11" s="1"/>
  <c r="G381" i="11" a="1"/>
  <c r="G381" i="11" s="1"/>
  <c r="F381" i="11" a="1"/>
  <c r="F381" i="11" s="1"/>
  <c r="E381" i="11"/>
  <c r="E381" i="11" a="1"/>
  <c r="D381" i="11" a="1"/>
  <c r="D381" i="11" s="1"/>
  <c r="H380" i="11" a="1"/>
  <c r="H380" i="11" s="1"/>
  <c r="G380" i="11" a="1"/>
  <c r="G380" i="11" s="1"/>
  <c r="F380" i="11"/>
  <c r="F380" i="11" a="1"/>
  <c r="E380" i="11" a="1"/>
  <c r="E380" i="11" s="1"/>
  <c r="D380" i="11" a="1"/>
  <c r="D380" i="11" s="1"/>
  <c r="H379" i="11" a="1"/>
  <c r="H379" i="11" s="1"/>
  <c r="G379" i="11" a="1"/>
  <c r="G379" i="11" s="1"/>
  <c r="F379" i="11" a="1"/>
  <c r="F379" i="11" s="1"/>
  <c r="E379" i="11"/>
  <c r="E379" i="11" a="1"/>
  <c r="D379" i="11" a="1"/>
  <c r="D379" i="11" s="1"/>
  <c r="H378" i="11" a="1"/>
  <c r="H378" i="11" s="1"/>
  <c r="G378" i="11" a="1"/>
  <c r="G378" i="11" s="1"/>
  <c r="F378" i="11"/>
  <c r="F378" i="11" a="1"/>
  <c r="E378" i="11" a="1"/>
  <c r="E378" i="11" s="1"/>
  <c r="D378" i="11"/>
  <c r="D378" i="11" a="1"/>
  <c r="H377" i="11" a="1"/>
  <c r="H377" i="11" s="1"/>
  <c r="G377" i="11" a="1"/>
  <c r="G377" i="11" s="1"/>
  <c r="F377" i="11" a="1"/>
  <c r="F377" i="11" s="1"/>
  <c r="E377" i="11"/>
  <c r="E377" i="11" a="1"/>
  <c r="D377" i="11" a="1"/>
  <c r="D377" i="11" s="1"/>
  <c r="H376" i="11" a="1"/>
  <c r="H376" i="11" s="1"/>
  <c r="G376" i="11" a="1"/>
  <c r="G376" i="11" s="1"/>
  <c r="F376" i="11" a="1"/>
  <c r="F376" i="11" s="1"/>
  <c r="E376" i="11" a="1"/>
  <c r="E376" i="11" s="1"/>
  <c r="D376" i="11"/>
  <c r="D376" i="11" a="1"/>
  <c r="H375" i="11" a="1"/>
  <c r="H375" i="11" s="1"/>
  <c r="G375" i="11" a="1"/>
  <c r="G375" i="11" s="1"/>
  <c r="F375" i="11" a="1"/>
  <c r="F375" i="11" s="1"/>
  <c r="E375" i="11"/>
  <c r="E375" i="11" a="1"/>
  <c r="D375" i="11" a="1"/>
  <c r="D375" i="11" s="1"/>
  <c r="H374" i="11" a="1"/>
  <c r="H374" i="11" s="1"/>
  <c r="G374" i="11"/>
  <c r="G374" i="11" a="1"/>
  <c r="F374" i="11" a="1"/>
  <c r="F374" i="11" s="1"/>
  <c r="E374" i="11" a="1"/>
  <c r="E374" i="11" s="1"/>
  <c r="D374" i="11"/>
  <c r="D374" i="11" a="1"/>
  <c r="H373" i="11" a="1"/>
  <c r="H373" i="11" s="1"/>
  <c r="G373" i="11" a="1"/>
  <c r="G373" i="11" s="1"/>
  <c r="F373" i="11" a="1"/>
  <c r="F373" i="11" s="1"/>
  <c r="E373" i="11"/>
  <c r="E373" i="11" a="1"/>
  <c r="D373" i="11" a="1"/>
  <c r="D373" i="11" s="1"/>
  <c r="H372" i="11" a="1"/>
  <c r="H372" i="11" s="1"/>
  <c r="G372" i="11" a="1"/>
  <c r="G372" i="11" s="1"/>
  <c r="F372" i="11"/>
  <c r="F372" i="11" a="1"/>
  <c r="E372" i="11" a="1"/>
  <c r="E372" i="11" s="1"/>
  <c r="D372" i="11" a="1"/>
  <c r="D372" i="11" s="1"/>
  <c r="H371" i="11" a="1"/>
  <c r="H371" i="11" s="1"/>
  <c r="G371" i="11" a="1"/>
  <c r="G371" i="11" s="1"/>
  <c r="F371" i="11" a="1"/>
  <c r="F371" i="11" s="1"/>
  <c r="E371" i="11"/>
  <c r="E371" i="11" a="1"/>
  <c r="D371" i="11" a="1"/>
  <c r="D371" i="11" s="1"/>
  <c r="H370" i="11" a="1"/>
  <c r="H370" i="11" s="1"/>
  <c r="G370" i="11"/>
  <c r="G370" i="11" a="1"/>
  <c r="F370" i="11" a="1"/>
  <c r="F370" i="11" s="1"/>
  <c r="E370" i="11" a="1"/>
  <c r="E370" i="11" s="1"/>
  <c r="D370" i="11"/>
  <c r="D370" i="11" a="1"/>
  <c r="H369" i="11" a="1"/>
  <c r="H369" i="11" s="1"/>
  <c r="G369" i="11" a="1"/>
  <c r="G369" i="11" s="1"/>
  <c r="F369" i="11"/>
  <c r="F369" i="11" a="1"/>
  <c r="E369" i="11" a="1"/>
  <c r="E369" i="11" s="1"/>
  <c r="D369" i="11" a="1"/>
  <c r="D369" i="11" s="1"/>
  <c r="H368" i="11" a="1"/>
  <c r="H368" i="11" s="1"/>
  <c r="G368" i="11"/>
  <c r="G368" i="11" a="1"/>
  <c r="F368" i="11" a="1"/>
  <c r="F368" i="11" s="1"/>
  <c r="E368" i="11"/>
  <c r="E368" i="11" a="1"/>
  <c r="D368" i="11"/>
  <c r="D368" i="11" a="1"/>
  <c r="H367" i="11" a="1"/>
  <c r="H367" i="11" s="1"/>
  <c r="G367" i="11" a="1"/>
  <c r="G367" i="11" s="1"/>
  <c r="F367" i="11" a="1"/>
  <c r="F367" i="11" s="1"/>
  <c r="E367" i="11"/>
  <c r="E367" i="11" a="1"/>
  <c r="D367" i="11"/>
  <c r="D367" i="11" a="1"/>
  <c r="H366" i="11" a="1"/>
  <c r="H366" i="11" s="1"/>
  <c r="G366" i="11" a="1"/>
  <c r="G366" i="11" s="1"/>
  <c r="F366" i="11" a="1"/>
  <c r="F366" i="11" s="1"/>
  <c r="E366" i="11" a="1"/>
  <c r="E366" i="11" s="1"/>
  <c r="D366" i="11"/>
  <c r="D366" i="11" a="1"/>
  <c r="H365" i="11" a="1"/>
  <c r="H365" i="11" s="1"/>
  <c r="G365" i="11"/>
  <c r="G365" i="11" a="1"/>
  <c r="F365" i="11" a="1"/>
  <c r="F365" i="11" s="1"/>
  <c r="E365" i="11" a="1"/>
  <c r="E365" i="11" s="1"/>
  <c r="D365" i="11" a="1"/>
  <c r="D365" i="11" s="1"/>
  <c r="H364" i="11" a="1"/>
  <c r="H364" i="11" s="1"/>
  <c r="G364" i="11"/>
  <c r="G364" i="11" a="1"/>
  <c r="F364" i="11" a="1"/>
  <c r="F364" i="11" s="1"/>
  <c r="E364" i="11" a="1"/>
  <c r="E364" i="11" s="1"/>
  <c r="D364" i="11"/>
  <c r="D364" i="11" a="1"/>
  <c r="H363" i="11" a="1"/>
  <c r="H363" i="11" s="1"/>
  <c r="G363" i="11" a="1"/>
  <c r="G363" i="11" s="1"/>
  <c r="F363" i="11"/>
  <c r="F363" i="11" a="1"/>
  <c r="E363" i="11" a="1"/>
  <c r="E363" i="11" s="1"/>
  <c r="D363" i="11" a="1"/>
  <c r="D363" i="11" s="1"/>
  <c r="H362" i="11" a="1"/>
  <c r="H362" i="11" s="1"/>
  <c r="G362" i="11" a="1"/>
  <c r="G362" i="11" s="1"/>
  <c r="F362" i="11" a="1"/>
  <c r="F362" i="11" s="1"/>
  <c r="E362" i="11"/>
  <c r="E362" i="11" a="1"/>
  <c r="D362" i="11"/>
  <c r="D362" i="11" a="1"/>
  <c r="H361" i="11" a="1"/>
  <c r="H361" i="11" s="1"/>
  <c r="G361" i="11" a="1"/>
  <c r="G361" i="11" s="1"/>
  <c r="F361" i="11"/>
  <c r="F361" i="11" a="1"/>
  <c r="E361" i="11"/>
  <c r="E361" i="11" a="1"/>
  <c r="D361" i="11"/>
  <c r="D361" i="11" a="1"/>
  <c r="H360" i="11" a="1"/>
  <c r="H360" i="11" s="1"/>
  <c r="G360" i="11" a="1"/>
  <c r="G360" i="11" s="1"/>
  <c r="F360" i="11"/>
  <c r="F360" i="11" a="1"/>
  <c r="E360" i="11"/>
  <c r="E360" i="11" a="1"/>
  <c r="D360" i="11" a="1"/>
  <c r="D360" i="11" s="1"/>
  <c r="H359" i="11" a="1"/>
  <c r="H359" i="11" s="1"/>
  <c r="G359" i="11" a="1"/>
  <c r="G359" i="11" s="1"/>
  <c r="F359" i="11" a="1"/>
  <c r="F359" i="11" s="1"/>
  <c r="E359" i="11" a="1"/>
  <c r="E359" i="11" s="1"/>
  <c r="D359" i="11" a="1"/>
  <c r="D359" i="11" s="1"/>
  <c r="H358" i="11" a="1"/>
  <c r="H358" i="11" s="1"/>
  <c r="G358" i="11"/>
  <c r="G358" i="11" a="1"/>
  <c r="F358" i="11" a="1"/>
  <c r="F358" i="11" s="1"/>
  <c r="E358" i="11" a="1"/>
  <c r="E358" i="11" s="1"/>
  <c r="D358" i="11"/>
  <c r="D358" i="11" a="1"/>
  <c r="H357" i="11" a="1"/>
  <c r="H357" i="11" s="1"/>
  <c r="G357" i="11"/>
  <c r="G357" i="11" a="1"/>
  <c r="F357" i="11" a="1"/>
  <c r="F357" i="11" s="1"/>
  <c r="E357" i="11" a="1"/>
  <c r="E357" i="11" s="1"/>
  <c r="D357" i="11" a="1"/>
  <c r="D357" i="11" s="1"/>
  <c r="H356" i="11" a="1"/>
  <c r="H356" i="11" s="1"/>
  <c r="G356" i="11" a="1"/>
  <c r="G356" i="11" s="1"/>
  <c r="F356" i="11"/>
  <c r="F356" i="11" a="1"/>
  <c r="E356" i="11"/>
  <c r="E356" i="11" a="1"/>
  <c r="D356" i="11"/>
  <c r="D356" i="11" a="1"/>
  <c r="H355" i="11" a="1"/>
  <c r="H355" i="11" s="1"/>
  <c r="G355" i="11"/>
  <c r="G355" i="11" a="1"/>
  <c r="F355" i="11"/>
  <c r="F355" i="11" a="1"/>
  <c r="E355" i="11"/>
  <c r="E355" i="11" a="1"/>
  <c r="D355" i="11"/>
  <c r="D355" i="11" a="1"/>
  <c r="H354" i="11" a="1"/>
  <c r="H354" i="11" s="1"/>
  <c r="G354" i="11" a="1"/>
  <c r="G354" i="11" s="1"/>
  <c r="F354" i="11"/>
  <c r="F354" i="11" a="1"/>
  <c r="E354" i="11"/>
  <c r="E354" i="11" a="1"/>
  <c r="D354" i="11" a="1"/>
  <c r="D354" i="11" s="1"/>
  <c r="H353" i="11" a="1"/>
  <c r="H353" i="11" s="1"/>
  <c r="G353" i="11"/>
  <c r="G353" i="11" a="1"/>
  <c r="F353" i="11" a="1"/>
  <c r="F353" i="11" s="1"/>
  <c r="E353" i="11" a="1"/>
  <c r="E353" i="11" s="1"/>
  <c r="D353" i="11"/>
  <c r="D353" i="11" a="1"/>
  <c r="H352" i="11" a="1"/>
  <c r="H352" i="11" s="1"/>
  <c r="G352" i="11" a="1"/>
  <c r="G352" i="11" s="1"/>
  <c r="F352" i="11" a="1"/>
  <c r="F352" i="11" s="1"/>
  <c r="E352" i="11" a="1"/>
  <c r="E352" i="11" s="1"/>
  <c r="D352" i="11" a="1"/>
  <c r="D352" i="11" s="1"/>
  <c r="H351" i="11" a="1"/>
  <c r="H351" i="11" s="1"/>
  <c r="G351" i="11"/>
  <c r="G351" i="11" a="1"/>
  <c r="F351" i="11" a="1"/>
  <c r="F351" i="11" s="1"/>
  <c r="E351" i="11" a="1"/>
  <c r="E351" i="11" s="1"/>
  <c r="D351" i="11" a="1"/>
  <c r="D351" i="11" s="1"/>
  <c r="H350" i="11" a="1"/>
  <c r="H350" i="11" s="1"/>
  <c r="G350" i="11" a="1"/>
  <c r="G350" i="11" s="1"/>
  <c r="F350" i="11"/>
  <c r="F350" i="11" a="1"/>
  <c r="E350" i="11"/>
  <c r="E350" i="11" a="1"/>
  <c r="D350" i="11" a="1"/>
  <c r="D350" i="11" s="1"/>
  <c r="H349" i="11" a="1"/>
  <c r="H349" i="11" s="1"/>
  <c r="G349" i="11"/>
  <c r="G349" i="11" a="1"/>
  <c r="F349" i="11" a="1"/>
  <c r="F349" i="11" s="1"/>
  <c r="E349" i="11" a="1"/>
  <c r="E349" i="11" s="1"/>
  <c r="D349" i="11"/>
  <c r="D349" i="11" a="1"/>
  <c r="H348" i="11" a="1"/>
  <c r="H348" i="11" s="1"/>
  <c r="G348" i="11" a="1"/>
  <c r="G348" i="11" s="1"/>
  <c r="F348" i="11"/>
  <c r="F348" i="11" a="1"/>
  <c r="E348" i="11" a="1"/>
  <c r="E348" i="11" s="1"/>
  <c r="D348" i="11" a="1"/>
  <c r="D348" i="11" s="1"/>
  <c r="H347" i="11" a="1"/>
  <c r="H347" i="11" s="1"/>
  <c r="G347" i="11"/>
  <c r="G347" i="11" a="1"/>
  <c r="F347" i="11" a="1"/>
  <c r="F347" i="11" s="1"/>
  <c r="E347" i="11"/>
  <c r="E347" i="11" a="1"/>
  <c r="D347" i="11"/>
  <c r="D347" i="11" a="1"/>
  <c r="H346" i="11" a="1"/>
  <c r="H346" i="11" s="1"/>
  <c r="G346" i="11" a="1"/>
  <c r="G346" i="11" s="1"/>
  <c r="F346" i="11"/>
  <c r="F346" i="11" a="1"/>
  <c r="E346" i="11" a="1"/>
  <c r="E346" i="11" s="1"/>
  <c r="D346" i="11"/>
  <c r="D346" i="11" a="1"/>
  <c r="H345" i="11" a="1"/>
  <c r="H345" i="11" s="1"/>
  <c r="G345" i="11" a="1"/>
  <c r="G345" i="11" s="1"/>
  <c r="F345" i="11" a="1"/>
  <c r="F345" i="11" s="1"/>
  <c r="E345" i="11"/>
  <c r="E345" i="11" a="1"/>
  <c r="D345" i="11" a="1"/>
  <c r="D345" i="11" s="1"/>
  <c r="H344" i="11" a="1"/>
  <c r="H344" i="11" s="1"/>
  <c r="G344" i="11" a="1"/>
  <c r="G344" i="11" s="1"/>
  <c r="F344" i="11"/>
  <c r="F344" i="11" a="1"/>
  <c r="E344" i="11"/>
  <c r="E344" i="11" a="1"/>
  <c r="D344" i="11" a="1"/>
  <c r="D344" i="11" s="1"/>
  <c r="H343" i="11" a="1"/>
  <c r="H343" i="11" s="1"/>
  <c r="G343" i="11"/>
  <c r="G343" i="11" a="1"/>
  <c r="F343" i="11" a="1"/>
  <c r="F343" i="11" s="1"/>
  <c r="E343" i="11" a="1"/>
  <c r="E343" i="11" s="1"/>
  <c r="D343" i="11" a="1"/>
  <c r="D343" i="11" s="1"/>
  <c r="H342" i="11" a="1"/>
  <c r="H342" i="11" s="1"/>
  <c r="G342" i="11" a="1"/>
  <c r="G342" i="11" s="1"/>
  <c r="F342" i="11"/>
  <c r="F342" i="11" a="1"/>
  <c r="E342" i="11" a="1"/>
  <c r="E342" i="11" s="1"/>
  <c r="D342" i="11" a="1"/>
  <c r="D342" i="11" s="1"/>
  <c r="H341" i="11" a="1"/>
  <c r="H341" i="11" s="1"/>
  <c r="G341" i="11" a="1"/>
  <c r="G341" i="11" s="1"/>
  <c r="F341" i="11" a="1"/>
  <c r="F341" i="11" s="1"/>
  <c r="E341" i="11"/>
  <c r="E341" i="11" a="1"/>
  <c r="D341" i="11"/>
  <c r="D341" i="11" a="1"/>
  <c r="H340" i="11" a="1"/>
  <c r="H340" i="11" s="1"/>
  <c r="G340" i="11" a="1"/>
  <c r="G340" i="11" s="1"/>
  <c r="F340" i="11" a="1"/>
  <c r="F340" i="11" s="1"/>
  <c r="E340" i="11" a="1"/>
  <c r="E340" i="11" s="1"/>
  <c r="D340" i="11" a="1"/>
  <c r="D340" i="11" s="1"/>
  <c r="H339" i="11" a="1"/>
  <c r="H339" i="11" s="1"/>
  <c r="G339" i="11" a="1"/>
  <c r="G339" i="11" s="1"/>
  <c r="F339" i="11" a="1"/>
  <c r="F339" i="11" s="1"/>
  <c r="E339" i="11"/>
  <c r="E339" i="11" a="1"/>
  <c r="D339" i="11" a="1"/>
  <c r="D339" i="11" s="1"/>
  <c r="H338" i="11" a="1"/>
  <c r="H338" i="11" s="1"/>
  <c r="G338" i="11" a="1"/>
  <c r="G338" i="11" s="1"/>
  <c r="F338" i="11"/>
  <c r="F338" i="11" a="1"/>
  <c r="E338" i="11"/>
  <c r="E338" i="11" a="1"/>
  <c r="D338" i="11" a="1"/>
  <c r="D338" i="11" s="1"/>
  <c r="H337" i="11" a="1"/>
  <c r="H337" i="11" s="1"/>
  <c r="G337" i="11" a="1"/>
  <c r="G337" i="11" s="1"/>
  <c r="F337" i="11"/>
  <c r="F337" i="11" a="1"/>
  <c r="E337" i="11"/>
  <c r="E337" i="11" a="1"/>
  <c r="D337" i="11" a="1"/>
  <c r="D337" i="11" s="1"/>
  <c r="H336" i="11" a="1"/>
  <c r="H336" i="11" s="1"/>
  <c r="G336" i="11" a="1"/>
  <c r="G336" i="11" s="1"/>
  <c r="F336" i="11" a="1"/>
  <c r="F336" i="11" s="1"/>
  <c r="E336" i="11"/>
  <c r="E336" i="11" a="1"/>
  <c r="D336" i="11" a="1"/>
  <c r="D336" i="11" s="1"/>
  <c r="H335" i="11" a="1"/>
  <c r="H335" i="11" s="1"/>
  <c r="G335" i="11" a="1"/>
  <c r="G335" i="11" s="1"/>
  <c r="F335" i="11" a="1"/>
  <c r="F335" i="11" s="1"/>
  <c r="E335" i="11"/>
  <c r="E335" i="11" a="1"/>
  <c r="D335" i="11" a="1"/>
  <c r="D335" i="11" s="1"/>
  <c r="H334" i="11" a="1"/>
  <c r="H334" i="11" s="1"/>
  <c r="G334" i="11"/>
  <c r="G334" i="11" a="1"/>
  <c r="F334" i="11" a="1"/>
  <c r="F334" i="11" s="1"/>
  <c r="E334" i="11" a="1"/>
  <c r="E334" i="11" s="1"/>
  <c r="D334" i="11"/>
  <c r="D334" i="11" a="1"/>
  <c r="H333" i="11" a="1"/>
  <c r="H333" i="11" s="1"/>
  <c r="G333" i="11"/>
  <c r="G333" i="11" a="1"/>
  <c r="F333" i="11"/>
  <c r="F333" i="11" a="1"/>
  <c r="E333" i="11"/>
  <c r="E333" i="11" a="1"/>
  <c r="D333" i="11" a="1"/>
  <c r="D333" i="11" s="1"/>
  <c r="H332" i="11" a="1"/>
  <c r="H332" i="11" s="1"/>
  <c r="G332" i="11"/>
  <c r="G332" i="11" a="1"/>
  <c r="F332" i="11"/>
  <c r="F332" i="11" a="1"/>
  <c r="E332" i="11" a="1"/>
  <c r="E332" i="11" s="1"/>
  <c r="D332" i="11"/>
  <c r="D332" i="11" a="1"/>
  <c r="H331" i="11" a="1"/>
  <c r="H331" i="11" s="1"/>
  <c r="G331" i="11" a="1"/>
  <c r="G331" i="11" s="1"/>
  <c r="F331" i="11" a="1"/>
  <c r="F331" i="11" s="1"/>
  <c r="E331" i="11" a="1"/>
  <c r="E331" i="11" s="1"/>
  <c r="D331" i="11"/>
  <c r="D331" i="11" a="1"/>
  <c r="H330" i="11" a="1"/>
  <c r="H330" i="11" s="1"/>
  <c r="G330" i="11" a="1"/>
  <c r="G330" i="11" s="1"/>
  <c r="F330" i="11" a="1"/>
  <c r="F330" i="11" s="1"/>
  <c r="E330" i="11" a="1"/>
  <c r="E330" i="11" s="1"/>
  <c r="D330" i="11"/>
  <c r="D330" i="11" a="1"/>
  <c r="H329" i="11" a="1"/>
  <c r="H329" i="11" s="1"/>
  <c r="G329" i="11"/>
  <c r="G329" i="11" a="1"/>
  <c r="F329" i="11" a="1"/>
  <c r="F329" i="11" s="1"/>
  <c r="E329" i="11"/>
  <c r="E329" i="11" a="1"/>
  <c r="D329" i="11" a="1"/>
  <c r="D329" i="11" s="1"/>
  <c r="H328" i="11" a="1"/>
  <c r="H328" i="11" s="1"/>
  <c r="G328" i="11" a="1"/>
  <c r="G328" i="11" s="1"/>
  <c r="F328" i="11" a="1"/>
  <c r="F328" i="11" s="1"/>
  <c r="E328" i="11" a="1"/>
  <c r="E328" i="11" s="1"/>
  <c r="D328" i="11"/>
  <c r="D328" i="11" a="1"/>
  <c r="H327" i="11" a="1"/>
  <c r="H327" i="11" s="1"/>
  <c r="G327" i="11"/>
  <c r="G327" i="11" a="1"/>
  <c r="F327" i="11"/>
  <c r="F327" i="11" a="1"/>
  <c r="E327" i="11" a="1"/>
  <c r="E327" i="11" s="1"/>
  <c r="D327" i="11" a="1"/>
  <c r="D327" i="11" s="1"/>
  <c r="H326" i="11" a="1"/>
  <c r="H326" i="11" s="1"/>
  <c r="G326" i="11"/>
  <c r="G326" i="11" a="1"/>
  <c r="F326" i="11"/>
  <c r="F326" i="11" a="1"/>
  <c r="E326" i="11" a="1"/>
  <c r="E326" i="11" s="1"/>
  <c r="D326" i="11" a="1"/>
  <c r="D326" i="11" s="1"/>
  <c r="H325" i="11" a="1"/>
  <c r="H325" i="11" s="1"/>
  <c r="G325" i="11" a="1"/>
  <c r="G325" i="11" s="1"/>
  <c r="F325" i="11"/>
  <c r="F325" i="11" a="1"/>
  <c r="E325" i="11" a="1"/>
  <c r="E325" i="11" s="1"/>
  <c r="D325" i="11" a="1"/>
  <c r="D325" i="11" s="1"/>
  <c r="H324" i="11" a="1"/>
  <c r="H324" i="11" s="1"/>
  <c r="G324" i="11" a="1"/>
  <c r="G324" i="11" s="1"/>
  <c r="F324" i="11" a="1"/>
  <c r="F324" i="11" s="1"/>
  <c r="E324" i="11" a="1"/>
  <c r="E324" i="11" s="1"/>
  <c r="D324" i="11"/>
  <c r="D324" i="11" a="1"/>
  <c r="H323" i="11" a="1"/>
  <c r="H323" i="11" s="1"/>
  <c r="G323" i="11" a="1"/>
  <c r="G323" i="11" s="1"/>
  <c r="F323" i="11" a="1"/>
  <c r="F323" i="11" s="1"/>
  <c r="E323" i="11" a="1"/>
  <c r="E323" i="11" s="1"/>
  <c r="D323" i="11" a="1"/>
  <c r="D323" i="11" s="1"/>
  <c r="H322" i="11" a="1"/>
  <c r="H322" i="11" s="1"/>
  <c r="G322" i="11" a="1"/>
  <c r="G322" i="11" s="1"/>
  <c r="F322" i="11"/>
  <c r="F322" i="11" a="1"/>
  <c r="E322" i="11" a="1"/>
  <c r="E322" i="11" s="1"/>
  <c r="D322" i="11" a="1"/>
  <c r="D322" i="11" s="1"/>
  <c r="H321" i="11" a="1"/>
  <c r="H321" i="11" s="1"/>
  <c r="G321" i="11" a="1"/>
  <c r="G321" i="11" s="1"/>
  <c r="F321" i="11"/>
  <c r="F321" i="11" a="1"/>
  <c r="E321" i="11"/>
  <c r="E321" i="11" a="1"/>
  <c r="D321" i="11" a="1"/>
  <c r="D321" i="11" s="1"/>
  <c r="H320" i="11" a="1"/>
  <c r="H320" i="11" s="1"/>
  <c r="G320" i="11"/>
  <c r="G320" i="11" a="1"/>
  <c r="F320" i="11" a="1"/>
  <c r="F320" i="11" s="1"/>
  <c r="E320" i="11"/>
  <c r="E320" i="11" a="1"/>
  <c r="D320" i="11" a="1"/>
  <c r="D320" i="11" s="1"/>
  <c r="H319" i="11" a="1"/>
  <c r="H319" i="11" s="1"/>
  <c r="G319" i="11"/>
  <c r="G319" i="11" a="1"/>
  <c r="F319" i="11" a="1"/>
  <c r="F319" i="11" s="1"/>
  <c r="E319" i="11" a="1"/>
  <c r="E319" i="11" s="1"/>
  <c r="D319" i="11" a="1"/>
  <c r="D319" i="11" s="1"/>
  <c r="H318" i="11" a="1"/>
  <c r="H318" i="11" s="1"/>
  <c r="G318" i="11" a="1"/>
  <c r="G318" i="11" s="1"/>
  <c r="F318" i="11" a="1"/>
  <c r="F318" i="11" s="1"/>
  <c r="E318" i="11"/>
  <c r="E318" i="11" a="1"/>
  <c r="D318" i="11" a="1"/>
  <c r="D318" i="11" s="1"/>
  <c r="H317" i="11" a="1"/>
  <c r="H317" i="11" s="1"/>
  <c r="G317" i="11"/>
  <c r="G317" i="11" a="1"/>
  <c r="F317" i="11" a="1"/>
  <c r="F317" i="11" s="1"/>
  <c r="E317" i="11" a="1"/>
  <c r="E317" i="11" s="1"/>
  <c r="D317" i="11"/>
  <c r="D317" i="11" a="1"/>
  <c r="H316" i="11" a="1"/>
  <c r="H316" i="11" s="1"/>
  <c r="G316" i="11"/>
  <c r="G316" i="11" a="1"/>
  <c r="F316" i="11"/>
  <c r="F316" i="11" a="1"/>
  <c r="E316" i="11" a="1"/>
  <c r="E316" i="11" s="1"/>
  <c r="D316" i="11" a="1"/>
  <c r="D316" i="11" s="1"/>
  <c r="H315" i="11" a="1"/>
  <c r="H315" i="11" s="1"/>
  <c r="G315" i="11"/>
  <c r="G315" i="11" a="1"/>
  <c r="F315" i="11" a="1"/>
  <c r="F315" i="11" s="1"/>
  <c r="E315" i="11"/>
  <c r="E315" i="11" a="1"/>
  <c r="D315" i="11" a="1"/>
  <c r="D315" i="11" s="1"/>
  <c r="H314" i="11" a="1"/>
  <c r="H314" i="11" s="1"/>
  <c r="G314" i="11"/>
  <c r="G314" i="11" a="1"/>
  <c r="F314" i="11"/>
  <c r="F314" i="11" a="1"/>
  <c r="E314" i="11"/>
  <c r="E314" i="11" a="1"/>
  <c r="D314" i="11" a="1"/>
  <c r="D314" i="11" s="1"/>
  <c r="H313" i="11" a="1"/>
  <c r="H313" i="11" s="1"/>
  <c r="G313" i="11" a="1"/>
  <c r="G313" i="11" s="1"/>
  <c r="F313" i="11"/>
  <c r="F313" i="11" a="1"/>
  <c r="E313" i="11" a="1"/>
  <c r="E313" i="11" s="1"/>
  <c r="D313" i="11"/>
  <c r="D313" i="11" a="1"/>
  <c r="H312" i="11" a="1"/>
  <c r="H312" i="11" s="1"/>
  <c r="G312" i="11" a="1"/>
  <c r="G312" i="11" s="1"/>
  <c r="F312" i="11" a="1"/>
  <c r="F312" i="11" s="1"/>
  <c r="E312" i="11"/>
  <c r="E312" i="11" a="1"/>
  <c r="D312" i="11" a="1"/>
  <c r="D312" i="11" s="1"/>
  <c r="H311" i="11" a="1"/>
  <c r="H311" i="11" s="1"/>
  <c r="G311" i="11"/>
  <c r="G311" i="11" a="1"/>
  <c r="F311" i="11" a="1"/>
  <c r="F311" i="11" s="1"/>
  <c r="E311" i="11"/>
  <c r="E311" i="11" a="1"/>
  <c r="D311" i="11"/>
  <c r="D311" i="11" a="1"/>
  <c r="H310" i="11" a="1"/>
  <c r="H310" i="11" s="1"/>
  <c r="G310" i="11" a="1"/>
  <c r="G310" i="11" s="1"/>
  <c r="F310" i="11"/>
  <c r="F310" i="11" a="1"/>
  <c r="E310" i="11" a="1"/>
  <c r="E310" i="11" s="1"/>
  <c r="D310" i="11"/>
  <c r="D310" i="11" a="1"/>
  <c r="H309" i="11" a="1"/>
  <c r="H309" i="11" s="1"/>
  <c r="G309" i="11" a="1"/>
  <c r="G309" i="11" s="1"/>
  <c r="F309" i="11" a="1"/>
  <c r="F309" i="11" s="1"/>
  <c r="E309" i="11"/>
  <c r="E309" i="11" a="1"/>
  <c r="D309" i="11" a="1"/>
  <c r="D309" i="11" s="1"/>
  <c r="H308" i="11" a="1"/>
  <c r="H308" i="11" s="1"/>
  <c r="G308" i="11"/>
  <c r="G308" i="11" a="1"/>
  <c r="F308" i="11" a="1"/>
  <c r="F308" i="11" s="1"/>
  <c r="E308" i="11" a="1"/>
  <c r="E308" i="11" s="1"/>
  <c r="D308" i="11"/>
  <c r="D308" i="11" a="1"/>
  <c r="H307" i="11" a="1"/>
  <c r="H307" i="11" s="1"/>
  <c r="G307" i="11"/>
  <c r="G307" i="11" a="1"/>
  <c r="F307" i="11"/>
  <c r="F307" i="11" a="1"/>
  <c r="E307" i="11" a="1"/>
  <c r="E307" i="11" s="1"/>
  <c r="D307" i="11" a="1"/>
  <c r="D307" i="11" s="1"/>
  <c r="H306" i="11" a="1"/>
  <c r="H306" i="11" s="1"/>
  <c r="G306" i="11" a="1"/>
  <c r="G306" i="11" s="1"/>
  <c r="F306" i="11"/>
  <c r="F306" i="11" a="1"/>
  <c r="E306" i="11"/>
  <c r="E306" i="11" a="1"/>
  <c r="D306" i="11"/>
  <c r="D306" i="11" a="1"/>
  <c r="H305" i="11" a="1"/>
  <c r="H305" i="11" s="1"/>
  <c r="G305" i="11" a="1"/>
  <c r="G305" i="11" s="1"/>
  <c r="F305" i="11" a="1"/>
  <c r="F305" i="11" s="1"/>
  <c r="E305" i="11" a="1"/>
  <c r="E305" i="11" s="1"/>
  <c r="D305" i="11"/>
  <c r="D305" i="11" a="1"/>
  <c r="H304" i="11" a="1"/>
  <c r="H304" i="11" s="1"/>
  <c r="G304" i="11" a="1"/>
  <c r="G304" i="11" s="1"/>
  <c r="F304" i="11" a="1"/>
  <c r="F304" i="11" s="1"/>
  <c r="E304" i="11" a="1"/>
  <c r="E304" i="11" s="1"/>
  <c r="D304" i="11" a="1"/>
  <c r="D304" i="11" s="1"/>
  <c r="H303" i="11" a="1"/>
  <c r="H303" i="11" s="1"/>
  <c r="G303" i="11" a="1"/>
  <c r="G303" i="11" s="1"/>
  <c r="F303" i="11"/>
  <c r="F303" i="11" a="1"/>
  <c r="E303" i="11" a="1"/>
  <c r="E303" i="11" s="1"/>
  <c r="D303" i="11" a="1"/>
  <c r="D303" i="11" s="1"/>
  <c r="H302" i="11" a="1"/>
  <c r="H302" i="11" s="1"/>
  <c r="G302" i="11"/>
  <c r="G302" i="11" a="1"/>
  <c r="F302" i="11"/>
  <c r="F302" i="11" a="1"/>
  <c r="E302" i="11"/>
  <c r="E302" i="11" a="1"/>
  <c r="D302" i="11" a="1"/>
  <c r="D302" i="11" s="1"/>
  <c r="H301" i="11" a="1"/>
  <c r="H301" i="11" s="1"/>
  <c r="G301" i="11" a="1"/>
  <c r="G301" i="11" s="1"/>
  <c r="F301" i="11"/>
  <c r="F301" i="11" a="1"/>
  <c r="E301" i="11"/>
  <c r="E301" i="11" a="1"/>
  <c r="D301" i="11" a="1"/>
  <c r="D301" i="11" s="1"/>
  <c r="H300" i="11" a="1"/>
  <c r="H300" i="11" s="1"/>
  <c r="G300" i="11" a="1"/>
  <c r="G300" i="11" s="1"/>
  <c r="F300" i="11" a="1"/>
  <c r="F300" i="11" s="1"/>
  <c r="E300" i="11"/>
  <c r="E300" i="11" a="1"/>
  <c r="D300" i="11"/>
  <c r="D300" i="11" a="1"/>
  <c r="H299" i="11" a="1"/>
  <c r="H299" i="11" s="1"/>
  <c r="G299" i="11" a="1"/>
  <c r="G299" i="11" s="1"/>
  <c r="F299" i="11" a="1"/>
  <c r="F299" i="11" s="1"/>
  <c r="E299" i="11" a="1"/>
  <c r="E299" i="11" s="1"/>
  <c r="D299" i="11"/>
  <c r="D299" i="11" a="1"/>
  <c r="H298" i="11" a="1"/>
  <c r="H298" i="11" s="1"/>
  <c r="G298" i="11"/>
  <c r="G298" i="11" a="1"/>
  <c r="F298" i="11" a="1"/>
  <c r="F298" i="11" s="1"/>
  <c r="E298" i="11" a="1"/>
  <c r="E298" i="11" s="1"/>
  <c r="D298" i="11" a="1"/>
  <c r="D298" i="11" s="1"/>
  <c r="H297" i="11" a="1"/>
  <c r="H297" i="11" s="1"/>
  <c r="G297" i="11" a="1"/>
  <c r="G297" i="11" s="1"/>
  <c r="F297" i="11"/>
  <c r="F297" i="11" a="1"/>
  <c r="E297" i="11"/>
  <c r="E297" i="11" a="1"/>
  <c r="D297" i="11" a="1"/>
  <c r="D297" i="11" s="1"/>
  <c r="H296" i="11" a="1"/>
  <c r="H296" i="11" s="1"/>
  <c r="G296" i="11"/>
  <c r="G296" i="11" a="1"/>
  <c r="F296" i="11" a="1"/>
  <c r="F296" i="11" s="1"/>
  <c r="E296" i="11" a="1"/>
  <c r="E296" i="11" s="1"/>
  <c r="D296" i="11"/>
  <c r="D296" i="11" a="1"/>
  <c r="H295" i="11" a="1"/>
  <c r="H295" i="11" s="1"/>
  <c r="G295" i="11"/>
  <c r="G295" i="11" a="1"/>
  <c r="F295" i="11"/>
  <c r="F295" i="11" a="1"/>
  <c r="E295" i="11" a="1"/>
  <c r="E295" i="11" s="1"/>
  <c r="D295" i="11" a="1"/>
  <c r="D295" i="11" s="1"/>
  <c r="H294" i="11" a="1"/>
  <c r="H294" i="11" s="1"/>
  <c r="G294" i="11" a="1"/>
  <c r="G294" i="11" s="1"/>
  <c r="F294" i="11" a="1"/>
  <c r="F294" i="11" s="1"/>
  <c r="E294" i="11"/>
  <c r="E294" i="11" a="1"/>
  <c r="D294" i="11" a="1"/>
  <c r="D294" i="11" s="1"/>
  <c r="H293" i="11" a="1"/>
  <c r="H293" i="11" s="1"/>
  <c r="G293" i="11"/>
  <c r="G293" i="11" a="1"/>
  <c r="F293" i="11" a="1"/>
  <c r="F293" i="11" s="1"/>
  <c r="E293" i="11"/>
  <c r="E293" i="11" a="1"/>
  <c r="D293" i="11"/>
  <c r="D293" i="11" a="1"/>
  <c r="H292" i="11" a="1"/>
  <c r="H292" i="11" s="1"/>
  <c r="G292" i="11" a="1"/>
  <c r="G292" i="11" s="1"/>
  <c r="F292" i="11" a="1"/>
  <c r="F292" i="11" s="1"/>
  <c r="E292" i="11" a="1"/>
  <c r="E292" i="11" s="1"/>
  <c r="D292" i="11"/>
  <c r="D292" i="11" a="1"/>
  <c r="H291" i="11" a="1"/>
  <c r="H291" i="11" s="1"/>
  <c r="G291" i="11"/>
  <c r="G291" i="11" a="1"/>
  <c r="F291" i="11" a="1"/>
  <c r="F291" i="11" s="1"/>
  <c r="E291" i="11" a="1"/>
  <c r="E291" i="11" s="1"/>
  <c r="D291" i="11" a="1"/>
  <c r="D291" i="11" s="1"/>
  <c r="H290" i="11" a="1"/>
  <c r="H290" i="11" s="1"/>
  <c r="G290" i="11"/>
  <c r="G290" i="11" a="1"/>
  <c r="F290" i="11"/>
  <c r="F290" i="11" a="1"/>
  <c r="E290" i="11" a="1"/>
  <c r="E290" i="11" s="1"/>
  <c r="D290" i="11" a="1"/>
  <c r="D290" i="11" s="1"/>
  <c r="H289" i="11" a="1"/>
  <c r="H289" i="11" s="1"/>
  <c r="G289" i="11" a="1"/>
  <c r="G289" i="11" s="1"/>
  <c r="F289" i="11"/>
  <c r="F289" i="11" a="1"/>
  <c r="E289" i="11" a="1"/>
  <c r="E289" i="11" s="1"/>
  <c r="D289" i="11"/>
  <c r="D289" i="11" a="1"/>
  <c r="H288" i="11" a="1"/>
  <c r="H288" i="11" s="1"/>
  <c r="G288" i="11" a="1"/>
  <c r="G288" i="11" s="1"/>
  <c r="F288" i="11" a="1"/>
  <c r="F288" i="11" s="1"/>
  <c r="E288" i="11"/>
  <c r="E288" i="11" a="1"/>
  <c r="D288" i="11"/>
  <c r="D288" i="11" a="1"/>
  <c r="H287" i="11" a="1"/>
  <c r="H287" i="11" s="1"/>
  <c r="G287" i="11" a="1"/>
  <c r="G287" i="11" s="1"/>
  <c r="F287" i="11" a="1"/>
  <c r="F287" i="11" s="1"/>
  <c r="E287" i="11" a="1"/>
  <c r="E287" i="11" s="1"/>
  <c r="D287" i="11"/>
  <c r="D287" i="11" a="1"/>
  <c r="H286" i="11" a="1"/>
  <c r="H286" i="11" s="1"/>
  <c r="G286" i="11" a="1"/>
  <c r="G286" i="11" s="1"/>
  <c r="F286" i="11"/>
  <c r="F286" i="11" a="1"/>
  <c r="E286" i="11" a="1"/>
  <c r="E286" i="11" s="1"/>
  <c r="D286" i="11" a="1"/>
  <c r="D286" i="11" s="1"/>
  <c r="H285" i="11" a="1"/>
  <c r="H285" i="11" s="1"/>
  <c r="G285" i="11"/>
  <c r="G285" i="11" a="1"/>
  <c r="F285" i="11"/>
  <c r="F285" i="11" a="1"/>
  <c r="E285" i="11" a="1"/>
  <c r="E285" i="11" s="1"/>
  <c r="D285" i="11" a="1"/>
  <c r="D285" i="11" s="1"/>
  <c r="H284" i="11" a="1"/>
  <c r="H284" i="11" s="1"/>
  <c r="G284" i="11"/>
  <c r="G284" i="11" a="1"/>
  <c r="F284" i="11" a="1"/>
  <c r="F284" i="11" s="1"/>
  <c r="E284" i="11"/>
  <c r="E284" i="11" a="1"/>
  <c r="D284" i="11" a="1"/>
  <c r="D284" i="11" s="1"/>
  <c r="H283" i="11" a="1"/>
  <c r="H283" i="11" s="1"/>
  <c r="G283" i="11" a="1"/>
  <c r="G283" i="11" s="1"/>
  <c r="F283" i="11"/>
  <c r="F283" i="11" a="1"/>
  <c r="E283" i="11" a="1"/>
  <c r="E283" i="11" s="1"/>
  <c r="D283" i="11"/>
  <c r="D283" i="11" a="1"/>
  <c r="H282" i="11" a="1"/>
  <c r="H282" i="11" s="1"/>
  <c r="G282" i="11" a="1"/>
  <c r="G282" i="11" s="1"/>
  <c r="F282" i="11"/>
  <c r="F282" i="11" a="1"/>
  <c r="E282" i="11"/>
  <c r="E282" i="11" a="1"/>
  <c r="D282" i="11" a="1"/>
  <c r="D282" i="11" s="1"/>
  <c r="H281" i="11" a="1"/>
  <c r="H281" i="11" s="1"/>
  <c r="G281" i="11"/>
  <c r="G281" i="11" a="1"/>
  <c r="F281" i="11" a="1"/>
  <c r="F281" i="11" s="1"/>
  <c r="E281" i="11"/>
  <c r="E281" i="11" a="1"/>
  <c r="D281" i="11"/>
  <c r="D281" i="11" a="1"/>
  <c r="H280" i="11" a="1"/>
  <c r="H280" i="11" s="1"/>
  <c r="G280" i="11" a="1"/>
  <c r="G280" i="11" s="1"/>
  <c r="F280" i="11"/>
  <c r="F280" i="11" a="1"/>
  <c r="E280" i="11" a="1"/>
  <c r="E280" i="11" s="1"/>
  <c r="D280" i="11" a="1"/>
  <c r="D280" i="11" s="1"/>
  <c r="H279" i="11" a="1"/>
  <c r="H279" i="11" s="1"/>
  <c r="G279" i="11" a="1"/>
  <c r="G279" i="11" s="1"/>
  <c r="F279" i="11" a="1"/>
  <c r="F279" i="11" s="1"/>
  <c r="E279" i="11"/>
  <c r="E279" i="11" a="1"/>
  <c r="D279" i="11" a="1"/>
  <c r="D279" i="11" s="1"/>
  <c r="H278" i="11" a="1"/>
  <c r="H278" i="11" s="1"/>
  <c r="G278" i="11"/>
  <c r="G278" i="11" a="1"/>
  <c r="F278" i="11" a="1"/>
  <c r="F278" i="11" s="1"/>
  <c r="E278" i="11" a="1"/>
  <c r="E278" i="11" s="1"/>
  <c r="D278" i="11" a="1"/>
  <c r="D278" i="11" s="1"/>
  <c r="H277" i="11" a="1"/>
  <c r="H277" i="11" s="1"/>
  <c r="G277" i="11"/>
  <c r="G277" i="11" a="1"/>
  <c r="F277" i="11"/>
  <c r="F277" i="11" a="1"/>
  <c r="E277" i="11"/>
  <c r="E277" i="11" a="1"/>
  <c r="D277" i="11" a="1"/>
  <c r="D277" i="11" s="1"/>
  <c r="H276" i="11" a="1"/>
  <c r="H276" i="11" s="1"/>
  <c r="G276" i="11" a="1"/>
  <c r="G276" i="11" s="1"/>
  <c r="F276" i="11" a="1"/>
  <c r="F276" i="11" s="1"/>
  <c r="E276" i="11"/>
  <c r="E276" i="11" a="1"/>
  <c r="D276" i="11"/>
  <c r="D276" i="11" a="1"/>
  <c r="H275" i="11" a="1"/>
  <c r="H275" i="11" s="1"/>
  <c r="G275" i="11" a="1"/>
  <c r="G275" i="11" s="1"/>
  <c r="F275" i="11" a="1"/>
  <c r="F275" i="11" s="1"/>
  <c r="E275" i="11" a="1"/>
  <c r="E275" i="11" s="1"/>
  <c r="D275" i="11"/>
  <c r="D275" i="11" a="1"/>
  <c r="H274" i="11" a="1"/>
  <c r="H274" i="11" s="1"/>
  <c r="G274" i="11"/>
  <c r="G274" i="11" a="1"/>
  <c r="F274" i="11" a="1"/>
  <c r="F274" i="11" s="1"/>
  <c r="E274" i="11" a="1"/>
  <c r="E274" i="11" s="1"/>
  <c r="D274" i="11" a="1"/>
  <c r="D274" i="11" s="1"/>
  <c r="H273" i="11" a="1"/>
  <c r="H273" i="11" s="1"/>
  <c r="G273" i="11"/>
  <c r="G273" i="11" a="1"/>
  <c r="F273" i="11"/>
  <c r="F273" i="11" a="1"/>
  <c r="E273" i="11" a="1"/>
  <c r="E273" i="11" s="1"/>
  <c r="D273" i="11" a="1"/>
  <c r="D273" i="11" s="1"/>
  <c r="H272" i="11" a="1"/>
  <c r="H272" i="11" s="1"/>
  <c r="G272" i="11"/>
  <c r="G272" i="11" a="1"/>
  <c r="F272" i="11" a="1"/>
  <c r="F272" i="11" s="1"/>
  <c r="E272" i="11" a="1"/>
  <c r="E272" i="11" s="1"/>
  <c r="D272" i="11"/>
  <c r="D272" i="11" a="1"/>
  <c r="H271" i="11" a="1"/>
  <c r="H271" i="11" s="1"/>
  <c r="G271" i="11" a="1"/>
  <c r="G271" i="11" s="1"/>
  <c r="F271" i="11"/>
  <c r="F271" i="11" a="1"/>
  <c r="E271" i="11"/>
  <c r="E271" i="11" a="1"/>
  <c r="D271" i="11"/>
  <c r="D271" i="11" a="1"/>
  <c r="H270" i="11" a="1"/>
  <c r="H270" i="11" s="1"/>
  <c r="G270" i="11" a="1"/>
  <c r="G270" i="11" s="1"/>
  <c r="F270" i="11" a="1"/>
  <c r="F270" i="11" s="1"/>
  <c r="E270" i="11"/>
  <c r="E270" i="11" a="1"/>
  <c r="D270" i="11" a="1"/>
  <c r="D270" i="11" s="1"/>
  <c r="H269" i="11" a="1"/>
  <c r="H269" i="11" s="1"/>
  <c r="G269" i="11" a="1"/>
  <c r="G269" i="11" s="1"/>
  <c r="F269" i="11" a="1"/>
  <c r="F269" i="11" s="1"/>
  <c r="E269" i="11" a="1"/>
  <c r="E269" i="11" s="1"/>
  <c r="D269" i="11" a="1"/>
  <c r="D269" i="11" s="1"/>
  <c r="H268" i="11" a="1"/>
  <c r="H268" i="11" s="1"/>
  <c r="G268" i="11"/>
  <c r="G268" i="11" a="1"/>
  <c r="F268" i="11"/>
  <c r="F268" i="11" a="1"/>
  <c r="E268" i="11" a="1"/>
  <c r="E268" i="11" s="1"/>
  <c r="D268" i="11"/>
  <c r="D268" i="11" a="1"/>
  <c r="H267" i="11" a="1"/>
  <c r="H267" i="11" s="1"/>
  <c r="G267" i="11" a="1"/>
  <c r="G267" i="11" s="1"/>
  <c r="F267" i="11" a="1"/>
  <c r="F267" i="11" s="1"/>
  <c r="E267" i="11" a="1"/>
  <c r="E267" i="11" s="1"/>
  <c r="D267" i="11" a="1"/>
  <c r="D267" i="11" s="1"/>
  <c r="H266" i="11" a="1"/>
  <c r="H266" i="11" s="1"/>
  <c r="G266" i="11" a="1"/>
  <c r="G266" i="11" s="1"/>
  <c r="F266" i="11" a="1"/>
  <c r="F266" i="11" s="1"/>
  <c r="E266" i="11" a="1"/>
  <c r="E266" i="11" s="1"/>
  <c r="D266" i="11" a="1"/>
  <c r="D266" i="11" s="1"/>
  <c r="H265" i="11" a="1"/>
  <c r="H265" i="11" s="1"/>
  <c r="G265" i="11" a="1"/>
  <c r="G265" i="11" s="1"/>
  <c r="F265" i="11"/>
  <c r="F265" i="11" a="1"/>
  <c r="E265" i="11" a="1"/>
  <c r="E265" i="11" s="1"/>
  <c r="D265" i="11" a="1"/>
  <c r="D265" i="11" s="1"/>
  <c r="H264" i="11" a="1"/>
  <c r="H264" i="11" s="1"/>
  <c r="G264" i="11" a="1"/>
  <c r="G264" i="11" s="1"/>
  <c r="F264" i="11"/>
  <c r="F264" i="11" a="1"/>
  <c r="E264" i="11" a="1"/>
  <c r="E264" i="11" s="1"/>
  <c r="D264" i="11" a="1"/>
  <c r="D264" i="11" s="1"/>
  <c r="H263" i="11" a="1"/>
  <c r="H263" i="11" s="1"/>
  <c r="G263" i="11" a="1"/>
  <c r="G263" i="11" s="1"/>
  <c r="F263" i="11" a="1"/>
  <c r="F263" i="11" s="1"/>
  <c r="E263" i="11" a="1"/>
  <c r="E263" i="11" s="1"/>
  <c r="D263" i="11" a="1"/>
  <c r="D263" i="11" s="1"/>
  <c r="H262" i="11" a="1"/>
  <c r="H262" i="11" s="1"/>
  <c r="G262" i="11" a="1"/>
  <c r="G262" i="11" s="1"/>
  <c r="F262" i="11" a="1"/>
  <c r="F262" i="11" s="1"/>
  <c r="E262" i="11" a="1"/>
  <c r="E262" i="11" s="1"/>
  <c r="D262" i="11"/>
  <c r="D262" i="11" a="1"/>
  <c r="H261" i="11" a="1"/>
  <c r="H261" i="11" s="1"/>
  <c r="G261" i="11" a="1"/>
  <c r="G261" i="11" s="1"/>
  <c r="F261" i="11" a="1"/>
  <c r="F261" i="11" s="1"/>
  <c r="E261" i="11" a="1"/>
  <c r="E261" i="11" s="1"/>
  <c r="D261" i="11" a="1"/>
  <c r="D261" i="11" s="1"/>
  <c r="H260" i="11" a="1"/>
  <c r="H260" i="11" s="1"/>
  <c r="G260" i="11"/>
  <c r="G260" i="11" a="1"/>
  <c r="F260" i="11" a="1"/>
  <c r="F260" i="11" s="1"/>
  <c r="E260" i="11" a="1"/>
  <c r="E260" i="11" s="1"/>
  <c r="D260" i="11" a="1"/>
  <c r="D260" i="11" s="1"/>
  <c r="H259" i="11" a="1"/>
  <c r="H259" i="11" s="1"/>
  <c r="G259" i="11"/>
  <c r="G259" i="11" a="1"/>
  <c r="F259" i="11"/>
  <c r="F259" i="11" a="1"/>
  <c r="E259" i="11" a="1"/>
  <c r="E259" i="11" s="1"/>
  <c r="D259" i="11" a="1"/>
  <c r="D259" i="11" s="1"/>
  <c r="H258" i="11" a="1"/>
  <c r="H258" i="11" s="1"/>
  <c r="G258" i="11" a="1"/>
  <c r="G258" i="11" s="1"/>
  <c r="F258" i="11"/>
  <c r="F258" i="11" a="1"/>
  <c r="E258" i="11"/>
  <c r="E258" i="11" a="1"/>
  <c r="D258" i="11"/>
  <c r="D258" i="11" a="1"/>
  <c r="H257" i="11" a="1"/>
  <c r="H257" i="11" s="1"/>
  <c r="G257" i="11" a="1"/>
  <c r="G257" i="11" s="1"/>
  <c r="F257" i="11" a="1"/>
  <c r="F257" i="11" s="1"/>
  <c r="E257" i="11"/>
  <c r="E257" i="11" a="1"/>
  <c r="D257" i="11"/>
  <c r="D257" i="11" a="1"/>
  <c r="H256" i="11" a="1"/>
  <c r="H256" i="11" s="1"/>
  <c r="G256" i="11" a="1"/>
  <c r="G256" i="11" s="1"/>
  <c r="F256" i="11" a="1"/>
  <c r="F256" i="11" s="1"/>
  <c r="E256" i="11" a="1"/>
  <c r="E256" i="11" s="1"/>
  <c r="D256" i="11" a="1"/>
  <c r="D256" i="11" s="1"/>
  <c r="H255" i="11" a="1"/>
  <c r="H255" i="11" s="1"/>
  <c r="G255" i="11" a="1"/>
  <c r="G255" i="11" s="1"/>
  <c r="F255" i="11" a="1"/>
  <c r="F255" i="11" s="1"/>
  <c r="E255" i="11" a="1"/>
  <c r="E255" i="11" s="1"/>
  <c r="D255" i="11" a="1"/>
  <c r="D255" i="11" s="1"/>
  <c r="H254" i="11" a="1"/>
  <c r="H254" i="11" s="1"/>
  <c r="G254" i="11"/>
  <c r="G254" i="11" a="1"/>
  <c r="F254" i="11" a="1"/>
  <c r="F254" i="11" s="1"/>
  <c r="E254" i="11" a="1"/>
  <c r="E254" i="11" s="1"/>
  <c r="D254" i="11" a="1"/>
  <c r="D254" i="11" s="1"/>
  <c r="H253" i="11" a="1"/>
  <c r="H253" i="11" s="1"/>
  <c r="G253" i="11"/>
  <c r="G253" i="11" a="1"/>
  <c r="F253" i="11"/>
  <c r="F253" i="11" a="1"/>
  <c r="E253" i="11"/>
  <c r="E253" i="11" a="1"/>
  <c r="D253" i="11" a="1"/>
  <c r="D253" i="11" s="1"/>
  <c r="H252" i="11" a="1"/>
  <c r="H252" i="11" s="1"/>
  <c r="G252" i="11" a="1"/>
  <c r="G252" i="11" s="1"/>
  <c r="F252" i="11"/>
  <c r="F252" i="11" a="1"/>
  <c r="E252" i="11"/>
  <c r="E252" i="11" a="1"/>
  <c r="D252" i="11" a="1"/>
  <c r="D252" i="11" s="1"/>
  <c r="H251" i="11" a="1"/>
  <c r="H251" i="11" s="1"/>
  <c r="G251" i="11" a="1"/>
  <c r="G251" i="11" s="1"/>
  <c r="F251" i="11" a="1"/>
  <c r="F251" i="11" s="1"/>
  <c r="E251" i="11" a="1"/>
  <c r="E251" i="11" s="1"/>
  <c r="D251" i="11"/>
  <c r="D251" i="11" a="1"/>
  <c r="H250" i="11" a="1"/>
  <c r="H250" i="11" s="1"/>
  <c r="G250" i="11" a="1"/>
  <c r="G250" i="11" s="1"/>
  <c r="F250" i="11" a="1"/>
  <c r="F250" i="11" s="1"/>
  <c r="E250" i="11" a="1"/>
  <c r="E250" i="11" s="1"/>
  <c r="D250" i="11"/>
  <c r="D250" i="11" a="1"/>
  <c r="H249" i="11" a="1"/>
  <c r="H249" i="11" s="1"/>
  <c r="G249" i="11" a="1"/>
  <c r="G249" i="11" s="1"/>
  <c r="F249" i="11" a="1"/>
  <c r="F249" i="11" s="1"/>
  <c r="E249" i="11" a="1"/>
  <c r="E249" i="11" s="1"/>
  <c r="D249" i="11" a="1"/>
  <c r="D249" i="11" s="1"/>
  <c r="H248" i="11" a="1"/>
  <c r="H248" i="11" s="1"/>
  <c r="G248" i="11"/>
  <c r="G248" i="11" a="1"/>
  <c r="F248" i="11"/>
  <c r="F248" i="11" a="1"/>
  <c r="E248" i="11" a="1"/>
  <c r="E248" i="11" s="1"/>
  <c r="D248" i="11" a="1"/>
  <c r="D248" i="11" s="1"/>
  <c r="H247" i="11" a="1"/>
  <c r="H247" i="11" s="1"/>
  <c r="G247" i="11"/>
  <c r="G247" i="11" a="1"/>
  <c r="F247" i="11"/>
  <c r="F247" i="11" a="1"/>
  <c r="E247" i="11" a="1"/>
  <c r="E247" i="11" s="1"/>
  <c r="D247" i="11" a="1"/>
  <c r="D247" i="11" s="1"/>
  <c r="H246" i="11" a="1"/>
  <c r="H246" i="11" s="1"/>
  <c r="G246" i="11" a="1"/>
  <c r="G246" i="11" s="1"/>
  <c r="F246" i="11" a="1"/>
  <c r="F246" i="11" s="1"/>
  <c r="E246" i="11"/>
  <c r="E246" i="11" a="1"/>
  <c r="D246" i="11" a="1"/>
  <c r="D246" i="11" s="1"/>
  <c r="H245" i="11" a="1"/>
  <c r="H245" i="11" s="1"/>
  <c r="G245" i="11" a="1"/>
  <c r="G245" i="11" s="1"/>
  <c r="F245" i="11" a="1"/>
  <c r="F245" i="11" s="1"/>
  <c r="E245" i="11"/>
  <c r="E245" i="11" a="1"/>
  <c r="D245" i="11"/>
  <c r="D245" i="11" a="1"/>
  <c r="H244" i="11" a="1"/>
  <c r="H244" i="11" s="1"/>
  <c r="G244" i="11" a="1"/>
  <c r="G244" i="11" s="1"/>
  <c r="F244" i="11" a="1"/>
  <c r="F244" i="11" s="1"/>
  <c r="E244" i="11" a="1"/>
  <c r="E244" i="11" s="1"/>
  <c r="D244" i="11"/>
  <c r="D244" i="11" a="1"/>
  <c r="H243" i="11" a="1"/>
  <c r="H243" i="11" s="1"/>
  <c r="G243" i="11"/>
  <c r="G243" i="11" a="1"/>
  <c r="F243" i="11" a="1"/>
  <c r="F243" i="11" s="1"/>
  <c r="E243" i="11" a="1"/>
  <c r="E243" i="11" s="1"/>
  <c r="D243" i="11" a="1"/>
  <c r="D243" i="11" s="1"/>
  <c r="H242" i="11" a="1"/>
  <c r="H242" i="11" s="1"/>
  <c r="G242" i="11"/>
  <c r="G242" i="11" a="1"/>
  <c r="F242" i="11" a="1"/>
  <c r="F242" i="11" s="1"/>
  <c r="E242" i="11" a="1"/>
  <c r="E242" i="11" s="1"/>
  <c r="D242" i="11" a="1"/>
  <c r="D242" i="11" s="1"/>
  <c r="H241" i="11" a="1"/>
  <c r="H241" i="11" s="1"/>
  <c r="G241" i="11" a="1"/>
  <c r="G241" i="11" s="1"/>
  <c r="F241" i="11" a="1"/>
  <c r="F241" i="11" s="1"/>
  <c r="E241" i="11" a="1"/>
  <c r="E241" i="11" s="1"/>
  <c r="D241" i="11" a="1"/>
  <c r="D241" i="11" s="1"/>
  <c r="H240" i="11" a="1"/>
  <c r="H240" i="11" s="1"/>
  <c r="G240" i="11" a="1"/>
  <c r="G240" i="11" s="1"/>
  <c r="F240" i="11"/>
  <c r="F240" i="11" a="1"/>
  <c r="E240" i="11"/>
  <c r="E240" i="11" a="1"/>
  <c r="D240" i="11" a="1"/>
  <c r="D240" i="11" s="1"/>
  <c r="H239" i="11" a="1"/>
  <c r="H239" i="11" s="1"/>
  <c r="G239" i="11" a="1"/>
  <c r="G239" i="11" s="1"/>
  <c r="F239" i="11" a="1"/>
  <c r="F239" i="11" s="1"/>
  <c r="E239" i="11"/>
  <c r="E239" i="11" a="1"/>
  <c r="D239" i="11" a="1"/>
  <c r="D239" i="11" s="1"/>
  <c r="H238" i="11" a="1"/>
  <c r="H238" i="11" s="1"/>
  <c r="G238" i="11" a="1"/>
  <c r="G238" i="11" s="1"/>
  <c r="F238" i="11" a="1"/>
  <c r="F238" i="11" s="1"/>
  <c r="E238" i="11" a="1"/>
  <c r="E238" i="11" s="1"/>
  <c r="D238" i="11"/>
  <c r="D238" i="11" a="1"/>
  <c r="H237" i="11" a="1"/>
  <c r="H237" i="11" s="1"/>
  <c r="G237" i="11" a="1"/>
  <c r="G237" i="11" s="1"/>
  <c r="F237" i="11" a="1"/>
  <c r="F237" i="11" s="1"/>
  <c r="E237" i="11" a="1"/>
  <c r="E237" i="11" s="1"/>
  <c r="D237" i="11" a="1"/>
  <c r="D237" i="11" s="1"/>
  <c r="H236" i="11" a="1"/>
  <c r="H236" i="11" s="1"/>
  <c r="G236" i="11" a="1"/>
  <c r="G236" i="11" s="1"/>
  <c r="F236" i="11" a="1"/>
  <c r="F236" i="11" s="1"/>
  <c r="E236" i="11" a="1"/>
  <c r="E236" i="11" s="1"/>
  <c r="D236" i="11" a="1"/>
  <c r="D236" i="11" s="1"/>
  <c r="H235" i="11" a="1"/>
  <c r="H235" i="11" s="1"/>
  <c r="G235" i="11"/>
  <c r="G235" i="11" a="1"/>
  <c r="F235" i="11"/>
  <c r="F235" i="11" a="1"/>
  <c r="E235" i="11" a="1"/>
  <c r="E235" i="11" s="1"/>
  <c r="D235" i="11" a="1"/>
  <c r="D235" i="11" s="1"/>
  <c r="H234" i="11" a="1"/>
  <c r="H234" i="11" s="1"/>
  <c r="G234" i="11" a="1"/>
  <c r="G234" i="11" s="1"/>
  <c r="F234" i="11"/>
  <c r="F234" i="11" a="1"/>
  <c r="E234" i="11" a="1"/>
  <c r="E234" i="11" s="1"/>
  <c r="D234" i="11"/>
  <c r="D234" i="11" a="1"/>
  <c r="H233" i="11" a="1"/>
  <c r="H233" i="11" s="1"/>
  <c r="G233" i="11" a="1"/>
  <c r="G233" i="11" s="1"/>
  <c r="F233" i="11" a="1"/>
  <c r="F233" i="11" s="1"/>
  <c r="E233" i="11"/>
  <c r="E233" i="11" a="1"/>
  <c r="D233" i="11"/>
  <c r="D233" i="11" a="1"/>
  <c r="H232" i="11" a="1"/>
  <c r="H232" i="11" s="1"/>
  <c r="G232" i="11" a="1"/>
  <c r="G232" i="11" s="1"/>
  <c r="F232" i="11" a="1"/>
  <c r="F232" i="11" s="1"/>
  <c r="E232" i="11" a="1"/>
  <c r="E232" i="11" s="1"/>
  <c r="D232" i="11" a="1"/>
  <c r="D232" i="11" s="1"/>
  <c r="H231" i="11" a="1"/>
  <c r="H231" i="11" s="1"/>
  <c r="G231" i="11" a="1"/>
  <c r="G231" i="11" s="1"/>
  <c r="F231" i="11" a="1"/>
  <c r="F231" i="11" s="1"/>
  <c r="E231" i="11" a="1"/>
  <c r="E231" i="11" s="1"/>
  <c r="D231" i="11" a="1"/>
  <c r="D231" i="11" s="1"/>
  <c r="H230" i="11" a="1"/>
  <c r="H230" i="11" s="1"/>
  <c r="G230" i="11"/>
  <c r="G230" i="11" a="1"/>
  <c r="F230" i="11" a="1"/>
  <c r="F230" i="11" s="1"/>
  <c r="E230" i="11" a="1"/>
  <c r="E230" i="11" s="1"/>
  <c r="D230" i="11" a="1"/>
  <c r="D230" i="11" s="1"/>
  <c r="H229" i="11" a="1"/>
  <c r="H229" i="11" s="1"/>
  <c r="G229" i="11"/>
  <c r="G229" i="11" a="1"/>
  <c r="F229" i="11" a="1"/>
  <c r="F229" i="11" s="1"/>
  <c r="E229" i="11"/>
  <c r="E229" i="11" a="1"/>
  <c r="D229" i="11" a="1"/>
  <c r="D229" i="11" s="1"/>
  <c r="H228" i="11" a="1"/>
  <c r="H228" i="11" s="1"/>
  <c r="G228" i="11" a="1"/>
  <c r="G228" i="11" s="1"/>
  <c r="F228" i="11"/>
  <c r="F228" i="11" a="1"/>
  <c r="E228" i="11"/>
  <c r="E228" i="11" a="1"/>
  <c r="D228" i="11" a="1"/>
  <c r="D228" i="11" s="1"/>
  <c r="H227" i="11" a="1"/>
  <c r="H227" i="11" s="1"/>
  <c r="G227" i="11" a="1"/>
  <c r="G227" i="11" s="1"/>
  <c r="F227" i="11" a="1"/>
  <c r="F227" i="11" s="1"/>
  <c r="E227" i="11" a="1"/>
  <c r="E227" i="11" s="1"/>
  <c r="D227" i="11" a="1"/>
  <c r="D227" i="11" s="1"/>
  <c r="H226" i="11" a="1"/>
  <c r="H226" i="11" s="1"/>
  <c r="G226" i="11" a="1"/>
  <c r="G226" i="11" s="1"/>
  <c r="F226" i="11" a="1"/>
  <c r="F226" i="11" s="1"/>
  <c r="E226" i="11" a="1"/>
  <c r="E226" i="11" s="1"/>
  <c r="D226" i="11"/>
  <c r="D226" i="11" a="1"/>
  <c r="H225" i="11" a="1"/>
  <c r="H225" i="11" s="1"/>
  <c r="G225" i="11" a="1"/>
  <c r="G225" i="11" s="1"/>
  <c r="F225" i="11" a="1"/>
  <c r="F225" i="11" s="1"/>
  <c r="E225" i="11" a="1"/>
  <c r="E225" i="11" s="1"/>
  <c r="D225" i="11" a="1"/>
  <c r="D225" i="11" s="1"/>
  <c r="H224" i="11" a="1"/>
  <c r="H224" i="11" s="1"/>
  <c r="G224" i="11" a="1"/>
  <c r="G224" i="11" s="1"/>
  <c r="F224" i="11"/>
  <c r="F224" i="11" a="1"/>
  <c r="E224" i="11" a="1"/>
  <c r="E224" i="11" s="1"/>
  <c r="D224" i="11" a="1"/>
  <c r="D224" i="11" s="1"/>
  <c r="H223" i="11" a="1"/>
  <c r="H223" i="11" s="1"/>
  <c r="G223" i="11"/>
  <c r="G223" i="11" a="1"/>
  <c r="F223" i="11"/>
  <c r="F223" i="11" a="1"/>
  <c r="E223" i="11" a="1"/>
  <c r="E223" i="11" s="1"/>
  <c r="D223" i="11" a="1"/>
  <c r="D223" i="11" s="1"/>
  <c r="H222" i="11" a="1"/>
  <c r="H222" i="11" s="1"/>
  <c r="G222" i="11" a="1"/>
  <c r="G222" i="11" s="1"/>
  <c r="F222" i="11" a="1"/>
  <c r="F222" i="11" s="1"/>
  <c r="E222" i="11" a="1"/>
  <c r="E222" i="11" s="1"/>
  <c r="D222" i="11" a="1"/>
  <c r="D222" i="11" s="1"/>
  <c r="H221" i="11" a="1"/>
  <c r="H221" i="11" s="1"/>
  <c r="G221" i="11" a="1"/>
  <c r="G221" i="11" s="1"/>
  <c r="F221" i="11" a="1"/>
  <c r="F221" i="11" s="1"/>
  <c r="E221" i="11"/>
  <c r="E221" i="11" a="1"/>
  <c r="D221" i="11"/>
  <c r="D221" i="11" a="1"/>
  <c r="H220" i="11" a="1"/>
  <c r="H220" i="11" s="1"/>
  <c r="G220" i="11" a="1"/>
  <c r="G220" i="11" s="1"/>
  <c r="F220" i="11" a="1"/>
  <c r="F220" i="11" s="1"/>
  <c r="E220" i="11" a="1"/>
  <c r="E220" i="11" s="1"/>
  <c r="D220" i="11"/>
  <c r="D220" i="11" a="1"/>
  <c r="H219" i="11" a="1"/>
  <c r="H219" i="11" s="1"/>
  <c r="G219" i="11"/>
  <c r="G219" i="11" a="1"/>
  <c r="F219" i="11" a="1"/>
  <c r="F219" i="11" s="1"/>
  <c r="E219" i="11" a="1"/>
  <c r="E219" i="11" s="1"/>
  <c r="D219" i="11" a="1"/>
  <c r="D219" i="11" s="1"/>
  <c r="H218" i="11" a="1"/>
  <c r="H218" i="11" s="1"/>
  <c r="G218" i="11"/>
  <c r="G218" i="11" a="1"/>
  <c r="F218" i="11" a="1"/>
  <c r="F218" i="11" s="1"/>
  <c r="E218" i="11" a="1"/>
  <c r="E218" i="11" s="1"/>
  <c r="D218" i="11" a="1"/>
  <c r="D218" i="11" s="1"/>
  <c r="H217" i="11" a="1"/>
  <c r="H217" i="11" s="1"/>
  <c r="G217" i="11" a="1"/>
  <c r="G217" i="11" s="1"/>
  <c r="F217" i="11" a="1"/>
  <c r="F217" i="11" s="1"/>
  <c r="E217" i="11" a="1"/>
  <c r="E217" i="11" s="1"/>
  <c r="D217" i="11" a="1"/>
  <c r="D217" i="11" s="1"/>
  <c r="H216" i="11" a="1"/>
  <c r="H216" i="11" s="1"/>
  <c r="G216" i="11" a="1"/>
  <c r="G216" i="11" s="1"/>
  <c r="F216" i="11"/>
  <c r="F216" i="11" a="1"/>
  <c r="E216" i="11"/>
  <c r="E216" i="11" a="1"/>
  <c r="D216" i="11" a="1"/>
  <c r="D216" i="11" s="1"/>
  <c r="H215" i="11" a="1"/>
  <c r="H215" i="11" s="1"/>
  <c r="G215" i="11" a="1"/>
  <c r="G215" i="11" s="1"/>
  <c r="F215" i="11" a="1"/>
  <c r="F215" i="11" s="1"/>
  <c r="E215" i="11"/>
  <c r="E215" i="11" a="1"/>
  <c r="D215" i="11" a="1"/>
  <c r="D215" i="11" s="1"/>
  <c r="H214" i="11" a="1"/>
  <c r="H214" i="11" s="1"/>
  <c r="G214" i="11" a="1"/>
  <c r="G214" i="11" s="1"/>
  <c r="F214" i="11" a="1"/>
  <c r="F214" i="11" s="1"/>
  <c r="E214" i="11" a="1"/>
  <c r="E214" i="11" s="1"/>
  <c r="D214" i="11"/>
  <c r="D214" i="11" a="1"/>
  <c r="H213" i="11" a="1"/>
  <c r="H213" i="11" s="1"/>
  <c r="G213" i="11" a="1"/>
  <c r="G213" i="11" s="1"/>
  <c r="F213" i="11" a="1"/>
  <c r="F213" i="11" s="1"/>
  <c r="E213" i="11" a="1"/>
  <c r="E213" i="11" s="1"/>
  <c r="D213" i="11" a="1"/>
  <c r="D213" i="11" s="1"/>
  <c r="H212" i="11" a="1"/>
  <c r="H212" i="11" s="1"/>
  <c r="G212" i="11" a="1"/>
  <c r="G212" i="11" s="1"/>
  <c r="F212" i="11" a="1"/>
  <c r="F212" i="11" s="1"/>
  <c r="E212" i="11" a="1"/>
  <c r="E212" i="11" s="1"/>
  <c r="D212" i="11" a="1"/>
  <c r="D212" i="11" s="1"/>
  <c r="H211" i="11" a="1"/>
  <c r="H211" i="11" s="1"/>
  <c r="G211" i="11"/>
  <c r="G211" i="11" a="1"/>
  <c r="F211" i="11"/>
  <c r="F211" i="11" a="1"/>
  <c r="E211" i="11" a="1"/>
  <c r="E211" i="11" s="1"/>
  <c r="D211" i="11" a="1"/>
  <c r="D211" i="11" s="1"/>
  <c r="H210" i="11" a="1"/>
  <c r="H210" i="11" s="1"/>
  <c r="G210" i="11" a="1"/>
  <c r="G210" i="11" s="1"/>
  <c r="F210" i="11"/>
  <c r="F210" i="11" a="1"/>
  <c r="E210" i="11" a="1"/>
  <c r="E210" i="11" s="1"/>
  <c r="D210" i="11"/>
  <c r="D210" i="11" a="1"/>
  <c r="H209" i="11" a="1"/>
  <c r="H209" i="11" s="1"/>
  <c r="G209" i="11" a="1"/>
  <c r="G209" i="11" s="1"/>
  <c r="F209" i="11" a="1"/>
  <c r="F209" i="11" s="1"/>
  <c r="E209" i="11"/>
  <c r="E209" i="11" a="1"/>
  <c r="D209" i="11"/>
  <c r="D209" i="11" a="1"/>
  <c r="H208" i="11" a="1"/>
  <c r="H208" i="11" s="1"/>
  <c r="G208" i="11" a="1"/>
  <c r="G208" i="11" s="1"/>
  <c r="F208" i="11" a="1"/>
  <c r="F208" i="11" s="1"/>
  <c r="E208" i="11" a="1"/>
  <c r="E208" i="11" s="1"/>
  <c r="D208" i="11" a="1"/>
  <c r="D208" i="11" s="1"/>
  <c r="H207" i="11" a="1"/>
  <c r="H207" i="11" s="1"/>
  <c r="G207" i="11" a="1"/>
  <c r="G207" i="11" s="1"/>
  <c r="F207" i="11" a="1"/>
  <c r="F207" i="11" s="1"/>
  <c r="E207" i="11" a="1"/>
  <c r="E207" i="11" s="1"/>
  <c r="D207" i="11" a="1"/>
  <c r="D207" i="11" s="1"/>
  <c r="H206" i="11" a="1"/>
  <c r="H206" i="11" s="1"/>
  <c r="G206" i="11"/>
  <c r="G206" i="11" a="1"/>
  <c r="F206" i="11" a="1"/>
  <c r="F206" i="11" s="1"/>
  <c r="E206" i="11" a="1"/>
  <c r="E206" i="11" s="1"/>
  <c r="D206" i="11" a="1"/>
  <c r="D206" i="11" s="1"/>
  <c r="H205" i="11" a="1"/>
  <c r="H205" i="11" s="1"/>
  <c r="G205" i="11"/>
  <c r="G205" i="11" a="1"/>
  <c r="F205" i="11" a="1"/>
  <c r="F205" i="11" s="1"/>
  <c r="E205" i="11"/>
  <c r="E205" i="11" a="1"/>
  <c r="D205" i="11" a="1"/>
  <c r="D205" i="11" s="1"/>
  <c r="H204" i="11" a="1"/>
  <c r="H204" i="11" s="1"/>
  <c r="G204" i="11" a="1"/>
  <c r="G204" i="11" s="1"/>
  <c r="F204" i="11"/>
  <c r="F204" i="11" a="1"/>
  <c r="E204" i="11"/>
  <c r="E204" i="11" a="1"/>
  <c r="D204" i="11" a="1"/>
  <c r="D204" i="11" s="1"/>
  <c r="H203" i="11" a="1"/>
  <c r="H203" i="11" s="1"/>
  <c r="G203" i="11" a="1"/>
  <c r="G203" i="11" s="1"/>
  <c r="F203" i="11" a="1"/>
  <c r="F203" i="11" s="1"/>
  <c r="E203" i="11" a="1"/>
  <c r="E203" i="11" s="1"/>
  <c r="D203" i="11" a="1"/>
  <c r="D203" i="11" s="1"/>
  <c r="H202" i="11" a="1"/>
  <c r="H202" i="11" s="1"/>
  <c r="G202" i="11" a="1"/>
  <c r="G202" i="11" s="1"/>
  <c r="F202" i="11" a="1"/>
  <c r="F202" i="11" s="1"/>
  <c r="E202" i="11" a="1"/>
  <c r="E202" i="11" s="1"/>
  <c r="D202" i="11"/>
  <c r="D202" i="11" a="1"/>
  <c r="H201" i="11" a="1"/>
  <c r="H201" i="11" s="1"/>
  <c r="G201" i="11" a="1"/>
  <c r="G201" i="11" s="1"/>
  <c r="F201" i="11" a="1"/>
  <c r="F201" i="11" s="1"/>
  <c r="E201" i="11" a="1"/>
  <c r="E201" i="11" s="1"/>
  <c r="D201" i="11" a="1"/>
  <c r="D201" i="11" s="1"/>
  <c r="H200" i="11" a="1"/>
  <c r="H200" i="11" s="1"/>
  <c r="G200" i="11" a="1"/>
  <c r="G200" i="11" s="1"/>
  <c r="F200" i="11"/>
  <c r="F200" i="11" a="1"/>
  <c r="E200" i="11" a="1"/>
  <c r="E200" i="11" s="1"/>
  <c r="D200" i="11" a="1"/>
  <c r="D200" i="11" s="1"/>
  <c r="H199" i="11" a="1"/>
  <c r="H199" i="11" s="1"/>
  <c r="G199" i="11"/>
  <c r="G199" i="11" a="1"/>
  <c r="F199" i="11"/>
  <c r="F199" i="11" a="1"/>
  <c r="E199" i="11" a="1"/>
  <c r="E199" i="11" s="1"/>
  <c r="D199" i="11" a="1"/>
  <c r="D199" i="11" s="1"/>
  <c r="H198" i="11" a="1"/>
  <c r="H198" i="11" s="1"/>
  <c r="G198" i="11" a="1"/>
  <c r="G198" i="11" s="1"/>
  <c r="F198" i="11" a="1"/>
  <c r="F198" i="11" s="1"/>
  <c r="E198" i="11" a="1"/>
  <c r="E198" i="11" s="1"/>
  <c r="D198" i="11" a="1"/>
  <c r="D198" i="11" s="1"/>
  <c r="H197" i="11" a="1"/>
  <c r="H197" i="11" s="1"/>
  <c r="G197" i="11" a="1"/>
  <c r="G197" i="11" s="1"/>
  <c r="F197" i="11" a="1"/>
  <c r="F197" i="11" s="1"/>
  <c r="E197" i="11"/>
  <c r="E197" i="11" a="1"/>
  <c r="D197" i="11"/>
  <c r="D197" i="11" a="1"/>
  <c r="H196" i="11" a="1"/>
  <c r="H196" i="11" s="1"/>
  <c r="G196" i="11" a="1"/>
  <c r="G196" i="11" s="1"/>
  <c r="F196" i="11" a="1"/>
  <c r="F196" i="11" s="1"/>
  <c r="E196" i="11" a="1"/>
  <c r="E196" i="11" s="1"/>
  <c r="D196" i="11"/>
  <c r="D196" i="11" a="1"/>
  <c r="H195" i="11" a="1"/>
  <c r="H195" i="11" s="1"/>
  <c r="G195" i="11"/>
  <c r="G195" i="11" a="1"/>
  <c r="F195" i="11" a="1"/>
  <c r="F195" i="11" s="1"/>
  <c r="E195" i="11" a="1"/>
  <c r="E195" i="11" s="1"/>
  <c r="D195" i="11" a="1"/>
  <c r="D195" i="11" s="1"/>
  <c r="H194" i="11" a="1"/>
  <c r="H194" i="11" s="1"/>
  <c r="G194" i="11"/>
  <c r="G194" i="11" a="1"/>
  <c r="F194" i="11" a="1"/>
  <c r="F194" i="11" s="1"/>
  <c r="E194" i="11" a="1"/>
  <c r="E194" i="11" s="1"/>
  <c r="D194" i="11" a="1"/>
  <c r="D194" i="11" s="1"/>
  <c r="H193" i="11" a="1"/>
  <c r="H193" i="11" s="1"/>
  <c r="G193" i="11" a="1"/>
  <c r="G193" i="11" s="1"/>
  <c r="F193" i="11" a="1"/>
  <c r="F193" i="11" s="1"/>
  <c r="E193" i="11" a="1"/>
  <c r="E193" i="11" s="1"/>
  <c r="D193" i="11" a="1"/>
  <c r="D193" i="11" s="1"/>
  <c r="H192" i="11" a="1"/>
  <c r="H192" i="11" s="1"/>
  <c r="G192" i="11" a="1"/>
  <c r="G192" i="11" s="1"/>
  <c r="F192" i="11"/>
  <c r="F192" i="11" a="1"/>
  <c r="E192" i="11"/>
  <c r="E192" i="11" a="1"/>
  <c r="D192" i="11" a="1"/>
  <c r="D192" i="11" s="1"/>
  <c r="H191" i="11" a="1"/>
  <c r="H191" i="11" s="1"/>
  <c r="G191" i="11" a="1"/>
  <c r="G191" i="11" s="1"/>
  <c r="F191" i="11" a="1"/>
  <c r="F191" i="11" s="1"/>
  <c r="E191" i="11"/>
  <c r="E191" i="11" a="1"/>
  <c r="D191" i="11" a="1"/>
  <c r="D191" i="11" s="1"/>
  <c r="H190" i="11" a="1"/>
  <c r="H190" i="11" s="1"/>
  <c r="G190" i="11" a="1"/>
  <c r="G190" i="11" s="1"/>
  <c r="F190" i="11" a="1"/>
  <c r="F190" i="11" s="1"/>
  <c r="E190" i="11" a="1"/>
  <c r="E190" i="11" s="1"/>
  <c r="D190" i="11"/>
  <c r="D190" i="11" a="1"/>
  <c r="H189" i="11" a="1"/>
  <c r="H189" i="11" s="1"/>
  <c r="G189" i="11" a="1"/>
  <c r="G189" i="11" s="1"/>
  <c r="F189" i="11" a="1"/>
  <c r="F189" i="11" s="1"/>
  <c r="E189" i="11" a="1"/>
  <c r="E189" i="11" s="1"/>
  <c r="D189" i="11" a="1"/>
  <c r="D189" i="11" s="1"/>
  <c r="H188" i="11" a="1"/>
  <c r="H188" i="11" s="1"/>
  <c r="G188" i="11" a="1"/>
  <c r="G188" i="11" s="1"/>
  <c r="F188" i="11" a="1"/>
  <c r="F188" i="11" s="1"/>
  <c r="E188" i="11" a="1"/>
  <c r="E188" i="11" s="1"/>
  <c r="D188" i="11" a="1"/>
  <c r="D188" i="11" s="1"/>
  <c r="H187" i="11" a="1"/>
  <c r="H187" i="11" s="1"/>
  <c r="G187" i="11"/>
  <c r="G187" i="11" a="1"/>
  <c r="F187" i="11"/>
  <c r="F187" i="11" a="1"/>
  <c r="E187" i="11" a="1"/>
  <c r="E187" i="11" s="1"/>
  <c r="D187" i="11" a="1"/>
  <c r="D187" i="11" s="1"/>
  <c r="H186" i="11" a="1"/>
  <c r="H186" i="11" s="1"/>
  <c r="G186" i="11" a="1"/>
  <c r="G186" i="11" s="1"/>
  <c r="F186" i="11"/>
  <c r="F186" i="11" a="1"/>
  <c r="E186" i="11" a="1"/>
  <c r="E186" i="11" s="1"/>
  <c r="D186" i="11"/>
  <c r="D186" i="11" a="1"/>
  <c r="H185" i="11" a="1"/>
  <c r="H185" i="11" s="1"/>
  <c r="G185" i="11" a="1"/>
  <c r="G185" i="11" s="1"/>
  <c r="F185" i="11" a="1"/>
  <c r="F185" i="11" s="1"/>
  <c r="E185" i="11"/>
  <c r="E185" i="11" a="1"/>
  <c r="D185" i="11"/>
  <c r="D185" i="11" a="1"/>
  <c r="H184" i="11" a="1"/>
  <c r="H184" i="11" s="1"/>
  <c r="G184" i="11" a="1"/>
  <c r="G184" i="11" s="1"/>
  <c r="F184" i="11" a="1"/>
  <c r="F184" i="11" s="1"/>
  <c r="E184" i="11" a="1"/>
  <c r="E184" i="11" s="1"/>
  <c r="D184" i="11" a="1"/>
  <c r="D184" i="11" s="1"/>
  <c r="H183" i="11" a="1"/>
  <c r="H183" i="11" s="1"/>
  <c r="G183" i="11" a="1"/>
  <c r="G183" i="11" s="1"/>
  <c r="F183" i="11" a="1"/>
  <c r="F183" i="11" s="1"/>
  <c r="E183" i="11" a="1"/>
  <c r="E183" i="11" s="1"/>
  <c r="D183" i="11" a="1"/>
  <c r="D183" i="11" s="1"/>
  <c r="H182" i="11" a="1"/>
  <c r="H182" i="11" s="1"/>
  <c r="G182" i="11"/>
  <c r="G182" i="11" a="1"/>
  <c r="F182" i="11" a="1"/>
  <c r="F182" i="11" s="1"/>
  <c r="E182" i="11" a="1"/>
  <c r="E182" i="11" s="1"/>
  <c r="D182" i="11" a="1"/>
  <c r="D182" i="11" s="1"/>
  <c r="H181" i="11" a="1"/>
  <c r="H181" i="11" s="1"/>
  <c r="G181" i="11"/>
  <c r="G181" i="11" a="1"/>
  <c r="F181" i="11" a="1"/>
  <c r="F181" i="11" s="1"/>
  <c r="E181" i="11"/>
  <c r="E181" i="11" a="1"/>
  <c r="D181" i="11" a="1"/>
  <c r="D181" i="11" s="1"/>
  <c r="H180" i="11" a="1"/>
  <c r="H180" i="11" s="1"/>
  <c r="G180" i="11" a="1"/>
  <c r="G180" i="11" s="1"/>
  <c r="F180" i="11"/>
  <c r="F180" i="11" a="1"/>
  <c r="E180" i="11"/>
  <c r="E180" i="11" a="1"/>
  <c r="D180" i="11" a="1"/>
  <c r="D180" i="11" s="1"/>
  <c r="H179" i="11" a="1"/>
  <c r="H179" i="11" s="1"/>
  <c r="G179" i="11" a="1"/>
  <c r="G179" i="11" s="1"/>
  <c r="F179" i="11" a="1"/>
  <c r="F179" i="11" s="1"/>
  <c r="E179" i="11" a="1"/>
  <c r="E179" i="11" s="1"/>
  <c r="D179" i="11" a="1"/>
  <c r="D179" i="11" s="1"/>
  <c r="H178" i="11" a="1"/>
  <c r="H178" i="11" s="1"/>
  <c r="G178" i="11" a="1"/>
  <c r="G178" i="11" s="1"/>
  <c r="F178" i="11" a="1"/>
  <c r="F178" i="11" s="1"/>
  <c r="E178" i="11" a="1"/>
  <c r="E178" i="11" s="1"/>
  <c r="D178" i="11"/>
  <c r="D178" i="11" a="1"/>
  <c r="H177" i="11" a="1"/>
  <c r="H177" i="11" s="1"/>
  <c r="G177" i="11" a="1"/>
  <c r="G177" i="11" s="1"/>
  <c r="F177" i="11" a="1"/>
  <c r="F177" i="11" s="1"/>
  <c r="E177" i="11" a="1"/>
  <c r="E177" i="11" s="1"/>
  <c r="D177" i="11" a="1"/>
  <c r="D177" i="11" s="1"/>
  <c r="H176" i="11" a="1"/>
  <c r="H176" i="11" s="1"/>
  <c r="G176" i="11" a="1"/>
  <c r="G176" i="11" s="1"/>
  <c r="F176" i="11"/>
  <c r="F176" i="11" a="1"/>
  <c r="E176" i="11" a="1"/>
  <c r="E176" i="11" s="1"/>
  <c r="D176" i="11" a="1"/>
  <c r="D176" i="11" s="1"/>
  <c r="H175" i="11" a="1"/>
  <c r="H175" i="11" s="1"/>
  <c r="G175" i="11"/>
  <c r="G175" i="11" a="1"/>
  <c r="F175" i="11"/>
  <c r="F175" i="11" a="1"/>
  <c r="E175" i="11" a="1"/>
  <c r="E175" i="11" s="1"/>
  <c r="D175" i="11" a="1"/>
  <c r="D175" i="11" s="1"/>
  <c r="H174" i="11" a="1"/>
  <c r="H174" i="11" s="1"/>
  <c r="G174" i="11" a="1"/>
  <c r="G174" i="11" s="1"/>
  <c r="F174" i="11" a="1"/>
  <c r="F174" i="11" s="1"/>
  <c r="E174" i="11" a="1"/>
  <c r="E174" i="11" s="1"/>
  <c r="D174" i="11" a="1"/>
  <c r="D174" i="11" s="1"/>
  <c r="H173" i="11" a="1"/>
  <c r="H173" i="11" s="1"/>
  <c r="G173" i="11" a="1"/>
  <c r="G173" i="11" s="1"/>
  <c r="F173" i="11" a="1"/>
  <c r="F173" i="11" s="1"/>
  <c r="E173" i="11"/>
  <c r="E173" i="11" a="1"/>
  <c r="D173" i="11"/>
  <c r="D173" i="11" a="1"/>
  <c r="H172" i="11" a="1"/>
  <c r="H172" i="11" s="1"/>
  <c r="G172" i="11" a="1"/>
  <c r="G172" i="11" s="1"/>
  <c r="F172" i="11" a="1"/>
  <c r="F172" i="11" s="1"/>
  <c r="E172" i="11" a="1"/>
  <c r="E172" i="11" s="1"/>
  <c r="D172" i="11"/>
  <c r="D172" i="11" a="1"/>
  <c r="H171" i="11" a="1"/>
  <c r="H171" i="11" s="1"/>
  <c r="G171" i="11"/>
  <c r="G171" i="11" a="1"/>
  <c r="F171" i="11" a="1"/>
  <c r="F171" i="11" s="1"/>
  <c r="E171" i="11" a="1"/>
  <c r="E171" i="11" s="1"/>
  <c r="D171" i="11" a="1"/>
  <c r="D171" i="11" s="1"/>
  <c r="H170" i="11" a="1"/>
  <c r="H170" i="11" s="1"/>
  <c r="G170" i="11"/>
  <c r="G170" i="11" a="1"/>
  <c r="F170" i="11" a="1"/>
  <c r="F170" i="11" s="1"/>
  <c r="E170" i="11" a="1"/>
  <c r="E170" i="11" s="1"/>
  <c r="D170" i="11" a="1"/>
  <c r="D170" i="11" s="1"/>
  <c r="H169" i="11" a="1"/>
  <c r="H169" i="11" s="1"/>
  <c r="G169" i="11" a="1"/>
  <c r="G169" i="11" s="1"/>
  <c r="F169" i="11" a="1"/>
  <c r="F169" i="11" s="1"/>
  <c r="E169" i="11" a="1"/>
  <c r="E169" i="11" s="1"/>
  <c r="D169" i="11" a="1"/>
  <c r="D169" i="11" s="1"/>
  <c r="H168" i="11" a="1"/>
  <c r="H168" i="11" s="1"/>
  <c r="G168" i="11" a="1"/>
  <c r="G168" i="11" s="1"/>
  <c r="F168" i="11"/>
  <c r="F168" i="11" a="1"/>
  <c r="E168" i="11"/>
  <c r="E168" i="11" a="1"/>
  <c r="D168" i="11" a="1"/>
  <c r="D168" i="11" s="1"/>
  <c r="H167" i="11" a="1"/>
  <c r="H167" i="11" s="1"/>
  <c r="G167" i="11" a="1"/>
  <c r="G167" i="11" s="1"/>
  <c r="F167" i="11" a="1"/>
  <c r="F167" i="11" s="1"/>
  <c r="E167" i="11"/>
  <c r="E167" i="11" a="1"/>
  <c r="D167" i="11" a="1"/>
  <c r="D167" i="11" s="1"/>
  <c r="H166" i="11" a="1"/>
  <c r="H166" i="11" s="1"/>
  <c r="G166" i="11" a="1"/>
  <c r="G166" i="11" s="1"/>
  <c r="F166" i="11" a="1"/>
  <c r="F166" i="11" s="1"/>
  <c r="E166" i="11" a="1"/>
  <c r="E166" i="11" s="1"/>
  <c r="D166" i="11"/>
  <c r="D166" i="11" a="1"/>
  <c r="H165" i="11" a="1"/>
  <c r="H165" i="11" s="1"/>
  <c r="G165" i="11" a="1"/>
  <c r="G165" i="11" s="1"/>
  <c r="F165" i="11" a="1"/>
  <c r="F165" i="11" s="1"/>
  <c r="E165" i="11" a="1"/>
  <c r="E165" i="11" s="1"/>
  <c r="D165" i="11" a="1"/>
  <c r="D165" i="11" s="1"/>
  <c r="H164" i="11" a="1"/>
  <c r="H164" i="11" s="1"/>
  <c r="G164" i="11" a="1"/>
  <c r="G164" i="11" s="1"/>
  <c r="F164" i="11" a="1"/>
  <c r="F164" i="11" s="1"/>
  <c r="E164" i="11" a="1"/>
  <c r="E164" i="11" s="1"/>
  <c r="D164" i="11" a="1"/>
  <c r="D164" i="11" s="1"/>
  <c r="H163" i="11" a="1"/>
  <c r="H163" i="11" s="1"/>
  <c r="G163" i="11"/>
  <c r="G163" i="11" a="1"/>
  <c r="F163" i="11"/>
  <c r="F163" i="11" a="1"/>
  <c r="E163" i="11" a="1"/>
  <c r="E163" i="11" s="1"/>
  <c r="D163" i="11" a="1"/>
  <c r="D163" i="11" s="1"/>
  <c r="H162" i="11" a="1"/>
  <c r="H162" i="11" s="1"/>
  <c r="G162" i="11" a="1"/>
  <c r="G162" i="11" s="1"/>
  <c r="F162" i="11"/>
  <c r="F162" i="11" a="1"/>
  <c r="E162" i="11" a="1"/>
  <c r="E162" i="11" s="1"/>
  <c r="D162" i="11"/>
  <c r="D162" i="11" a="1"/>
  <c r="H161" i="11" a="1"/>
  <c r="H161" i="11" s="1"/>
  <c r="G161" i="11" a="1"/>
  <c r="G161" i="11" s="1"/>
  <c r="F161" i="11" a="1"/>
  <c r="F161" i="11" s="1"/>
  <c r="E161" i="11"/>
  <c r="E161" i="11" a="1"/>
  <c r="D161" i="11"/>
  <c r="D161" i="11" a="1"/>
  <c r="H160" i="11" a="1"/>
  <c r="H160" i="11" s="1"/>
  <c r="G160" i="11" a="1"/>
  <c r="G160" i="11" s="1"/>
  <c r="F160" i="11" a="1"/>
  <c r="F160" i="11" s="1"/>
  <c r="E160" i="11" a="1"/>
  <c r="E160" i="11" s="1"/>
  <c r="D160" i="11" a="1"/>
  <c r="D160" i="11" s="1"/>
  <c r="H159" i="11" a="1"/>
  <c r="H159" i="11" s="1"/>
  <c r="G159" i="11" a="1"/>
  <c r="G159" i="11" s="1"/>
  <c r="F159" i="11" a="1"/>
  <c r="F159" i="11" s="1"/>
  <c r="E159" i="11" a="1"/>
  <c r="E159" i="11" s="1"/>
  <c r="D159" i="11" a="1"/>
  <c r="D159" i="11" s="1"/>
  <c r="H158" i="11" a="1"/>
  <c r="H158" i="11" s="1"/>
  <c r="G158" i="11"/>
  <c r="G158" i="11" a="1"/>
  <c r="F158" i="11" a="1"/>
  <c r="F158" i="11" s="1"/>
  <c r="E158" i="11" a="1"/>
  <c r="E158" i="11" s="1"/>
  <c r="D158" i="11" a="1"/>
  <c r="D158" i="11" s="1"/>
  <c r="H157" i="11" a="1"/>
  <c r="H157" i="11" s="1"/>
  <c r="G157" i="11"/>
  <c r="G157" i="11" a="1"/>
  <c r="F157" i="11" a="1"/>
  <c r="F157" i="11" s="1"/>
  <c r="E157" i="11"/>
  <c r="E157" i="11" a="1"/>
  <c r="D157" i="11" a="1"/>
  <c r="D157" i="11" s="1"/>
  <c r="H156" i="11" a="1"/>
  <c r="H156" i="11" s="1"/>
  <c r="G156" i="11" a="1"/>
  <c r="G156" i="11" s="1"/>
  <c r="F156" i="11"/>
  <c r="F156" i="11" a="1"/>
  <c r="E156" i="11"/>
  <c r="E156" i="11" a="1"/>
  <c r="D156" i="11" a="1"/>
  <c r="D156" i="11" s="1"/>
  <c r="H155" i="11" a="1"/>
  <c r="H155" i="11" s="1"/>
  <c r="G155" i="11" a="1"/>
  <c r="G155" i="11" s="1"/>
  <c r="F155" i="11" a="1"/>
  <c r="F155" i="11" s="1"/>
  <c r="E155" i="11" a="1"/>
  <c r="E155" i="11" s="1"/>
  <c r="D155" i="11" a="1"/>
  <c r="D155" i="11" s="1"/>
  <c r="H154" i="11" a="1"/>
  <c r="H154" i="11" s="1"/>
  <c r="G154" i="11" a="1"/>
  <c r="G154" i="11" s="1"/>
  <c r="F154" i="11" a="1"/>
  <c r="F154" i="11" s="1"/>
  <c r="E154" i="11" a="1"/>
  <c r="E154" i="11" s="1"/>
  <c r="D154" i="11"/>
  <c r="D154" i="11" a="1"/>
  <c r="H153" i="11" a="1"/>
  <c r="H153" i="11" s="1"/>
  <c r="G153" i="11" a="1"/>
  <c r="G153" i="11" s="1"/>
  <c r="F153" i="11" a="1"/>
  <c r="F153" i="11" s="1"/>
  <c r="E153" i="11" a="1"/>
  <c r="E153" i="11" s="1"/>
  <c r="D153" i="11" a="1"/>
  <c r="D153" i="11" s="1"/>
  <c r="H152" i="11" a="1"/>
  <c r="H152" i="11" s="1"/>
  <c r="G152" i="11" a="1"/>
  <c r="G152" i="11" s="1"/>
  <c r="F152" i="11"/>
  <c r="F152" i="11" a="1"/>
  <c r="E152" i="11" a="1"/>
  <c r="E152" i="11" s="1"/>
  <c r="D152" i="11" a="1"/>
  <c r="D152" i="11" s="1"/>
  <c r="H151" i="11" a="1"/>
  <c r="H151" i="11" s="1"/>
  <c r="G151" i="11"/>
  <c r="G151" i="11" a="1"/>
  <c r="F151" i="11"/>
  <c r="F151" i="11" a="1"/>
  <c r="E151" i="11" a="1"/>
  <c r="E151" i="11" s="1"/>
  <c r="D151" i="11" a="1"/>
  <c r="D151" i="11" s="1"/>
  <c r="H150" i="11" a="1"/>
  <c r="H150" i="11" s="1"/>
  <c r="G150" i="11" a="1"/>
  <c r="G150" i="11" s="1"/>
  <c r="F150" i="11" a="1"/>
  <c r="F150" i="11" s="1"/>
  <c r="E150" i="11" a="1"/>
  <c r="E150" i="11" s="1"/>
  <c r="D150" i="11" a="1"/>
  <c r="D150" i="11" s="1"/>
  <c r="H149" i="11" a="1"/>
  <c r="H149" i="11" s="1"/>
  <c r="G149" i="11" a="1"/>
  <c r="G149" i="11" s="1"/>
  <c r="F149" i="11" a="1"/>
  <c r="F149" i="11" s="1"/>
  <c r="E149" i="11"/>
  <c r="E149" i="11" a="1"/>
  <c r="D149" i="11"/>
  <c r="D149" i="11" a="1"/>
  <c r="H148" i="11" a="1"/>
  <c r="H148" i="11" s="1"/>
  <c r="G148" i="11" a="1"/>
  <c r="G148" i="11" s="1"/>
  <c r="F148" i="11" a="1"/>
  <c r="F148" i="11" s="1"/>
  <c r="E148" i="11" a="1"/>
  <c r="E148" i="11" s="1"/>
  <c r="D148" i="11"/>
  <c r="D148" i="11" a="1"/>
  <c r="H147" i="11" a="1"/>
  <c r="H147" i="11" s="1"/>
  <c r="G147" i="11"/>
  <c r="G147" i="11" a="1"/>
  <c r="F147" i="11" a="1"/>
  <c r="F147" i="11" s="1"/>
  <c r="E147" i="11" a="1"/>
  <c r="E147" i="11" s="1"/>
  <c r="D147" i="11" a="1"/>
  <c r="D147" i="11" s="1"/>
  <c r="H146" i="11" a="1"/>
  <c r="H146" i="11" s="1"/>
  <c r="G146" i="11"/>
  <c r="G146" i="11" a="1"/>
  <c r="F146" i="11" a="1"/>
  <c r="F146" i="11" s="1"/>
  <c r="E146" i="11" a="1"/>
  <c r="E146" i="11" s="1"/>
  <c r="D146" i="11" a="1"/>
  <c r="D146" i="11" s="1"/>
  <c r="H145" i="11" a="1"/>
  <c r="H145" i="11" s="1"/>
  <c r="G145" i="11" a="1"/>
  <c r="G145" i="11" s="1"/>
  <c r="F145" i="11" a="1"/>
  <c r="F145" i="11" s="1"/>
  <c r="E145" i="11"/>
  <c r="E145" i="11" a="1"/>
  <c r="D145" i="11" a="1"/>
  <c r="D145" i="11" s="1"/>
  <c r="H144" i="11" a="1"/>
  <c r="H144" i="11" s="1"/>
  <c r="G144" i="11"/>
  <c r="G144" i="11" a="1"/>
  <c r="F144" i="11" a="1"/>
  <c r="F144" i="11" s="1"/>
  <c r="E144" i="11" a="1"/>
  <c r="E144" i="11" s="1"/>
  <c r="D144" i="11" a="1"/>
  <c r="D144" i="11" s="1"/>
  <c r="H143" i="11" a="1"/>
  <c r="H143" i="11" s="1"/>
  <c r="G143" i="11" a="1"/>
  <c r="G143" i="11" s="1"/>
  <c r="F143" i="11" a="1"/>
  <c r="F143" i="11" s="1"/>
  <c r="E143" i="11"/>
  <c r="E143" i="11" a="1"/>
  <c r="D143" i="11" a="1"/>
  <c r="D143" i="11" s="1"/>
  <c r="H142" i="11" a="1"/>
  <c r="H142" i="11" s="1"/>
  <c r="G142" i="11" a="1"/>
  <c r="G142" i="11" s="1"/>
  <c r="F142" i="11" a="1"/>
  <c r="F142" i="11" s="1"/>
  <c r="E142" i="11"/>
  <c r="E142" i="11" a="1"/>
  <c r="D142" i="11" a="1"/>
  <c r="D142" i="11" s="1"/>
  <c r="H141" i="11" a="1"/>
  <c r="H141" i="11" s="1"/>
  <c r="G141" i="11" a="1"/>
  <c r="G141" i="11" s="1"/>
  <c r="F141" i="11" a="1"/>
  <c r="F141" i="11" s="1"/>
  <c r="E141" i="11" a="1"/>
  <c r="E141" i="11" s="1"/>
  <c r="D141" i="11" a="1"/>
  <c r="D141" i="11" s="1"/>
  <c r="H140" i="11" a="1"/>
  <c r="H140" i="11" s="1"/>
  <c r="G140" i="11" a="1"/>
  <c r="G140" i="11" s="1"/>
  <c r="F140" i="11"/>
  <c r="F140" i="11" a="1"/>
  <c r="E140" i="11" a="1"/>
  <c r="E140" i="11" s="1"/>
  <c r="D140" i="11" a="1"/>
  <c r="D140" i="11" s="1"/>
  <c r="H139" i="11" a="1"/>
  <c r="H139" i="11" s="1"/>
  <c r="G139" i="11" a="1"/>
  <c r="G139" i="11" s="1"/>
  <c r="F139" i="11"/>
  <c r="F139" i="11" a="1"/>
  <c r="E139" i="11" a="1"/>
  <c r="E139" i="11" s="1"/>
  <c r="D139" i="11" a="1"/>
  <c r="D139" i="11" s="1"/>
  <c r="H138" i="11" a="1"/>
  <c r="H138" i="11" s="1"/>
  <c r="G138" i="11" a="1"/>
  <c r="G138" i="11" s="1"/>
  <c r="F138" i="11" a="1"/>
  <c r="F138" i="11" s="1"/>
  <c r="E138" i="11" a="1"/>
  <c r="E138" i="11" s="1"/>
  <c r="D138" i="11"/>
  <c r="D138" i="11" a="1"/>
  <c r="H137" i="11" a="1"/>
  <c r="H137" i="11" s="1"/>
  <c r="G137" i="11" a="1"/>
  <c r="G137" i="11" s="1"/>
  <c r="F137" i="11"/>
  <c r="F137" i="11" a="1"/>
  <c r="E137" i="11" a="1"/>
  <c r="E137" i="11" s="1"/>
  <c r="D137" i="11" a="1"/>
  <c r="D137" i="11" s="1"/>
  <c r="H136" i="11" a="1"/>
  <c r="H136" i="11" s="1"/>
  <c r="G136" i="11" a="1"/>
  <c r="G136" i="11" s="1"/>
  <c r="F136" i="11" a="1"/>
  <c r="F136" i="11" s="1"/>
  <c r="E136" i="11" a="1"/>
  <c r="E136" i="11" s="1"/>
  <c r="D136" i="11"/>
  <c r="D136" i="11" a="1"/>
  <c r="H135" i="11" a="1"/>
  <c r="H135" i="11" s="1"/>
  <c r="G135" i="11" a="1"/>
  <c r="G135" i="11" s="1"/>
  <c r="F135" i="11" a="1"/>
  <c r="F135" i="11" s="1"/>
  <c r="E135" i="11" a="1"/>
  <c r="E135" i="11" s="1"/>
  <c r="D135" i="11"/>
  <c r="D135" i="11" a="1"/>
  <c r="H134" i="11" a="1"/>
  <c r="H134" i="11" s="1"/>
  <c r="G134" i="11"/>
  <c r="G134" i="11" a="1"/>
  <c r="F134" i="11" a="1"/>
  <c r="F134" i="11" s="1"/>
  <c r="E134" i="11" a="1"/>
  <c r="E134" i="11" s="1"/>
  <c r="D134" i="11" a="1"/>
  <c r="D134" i="11" s="1"/>
  <c r="H133" i="11" a="1"/>
  <c r="H133" i="11" s="1"/>
  <c r="G133" i="11"/>
  <c r="G133" i="11" a="1"/>
  <c r="F133" i="11" a="1"/>
  <c r="F133" i="11" s="1"/>
  <c r="E133" i="11"/>
  <c r="E133" i="11" a="1"/>
  <c r="D133" i="11" a="1"/>
  <c r="D133" i="11" s="1"/>
  <c r="H132" i="11" a="1"/>
  <c r="H132" i="11" s="1"/>
  <c r="G132" i="11" a="1"/>
  <c r="G132" i="11" s="1"/>
  <c r="F132" i="11" a="1"/>
  <c r="F132" i="11" s="1"/>
  <c r="E132" i="11"/>
  <c r="E132" i="11" a="1"/>
  <c r="D132" i="11" a="1"/>
  <c r="D132" i="11" s="1"/>
  <c r="H131" i="11" a="1"/>
  <c r="H131" i="11" s="1"/>
  <c r="G131" i="11" a="1"/>
  <c r="G131" i="11" s="1"/>
  <c r="F131" i="11" a="1"/>
  <c r="F131" i="11" s="1"/>
  <c r="E131" i="11" a="1"/>
  <c r="E131" i="11" s="1"/>
  <c r="D131" i="11" a="1"/>
  <c r="D131" i="11" s="1"/>
  <c r="H130" i="11" a="1"/>
  <c r="H130" i="11" s="1"/>
  <c r="G130" i="11" a="1"/>
  <c r="G130" i="11" s="1"/>
  <c r="F130" i="11" a="1"/>
  <c r="F130" i="11" s="1"/>
  <c r="E130" i="11"/>
  <c r="E130" i="11" a="1"/>
  <c r="D130" i="11" a="1"/>
  <c r="D130" i="11" s="1"/>
  <c r="H129" i="11" a="1"/>
  <c r="H129" i="11" s="1"/>
  <c r="G129" i="11" a="1"/>
  <c r="G129" i="11" s="1"/>
  <c r="F129" i="11" a="1"/>
  <c r="F129" i="11" s="1"/>
  <c r="E129" i="11" a="1"/>
  <c r="E129" i="11" s="1"/>
  <c r="D129" i="11" a="1"/>
  <c r="D129" i="11" s="1"/>
  <c r="H128" i="11" a="1"/>
  <c r="H128" i="11" s="1"/>
  <c r="G128" i="11" a="1"/>
  <c r="G128" i="11" s="1"/>
  <c r="F128" i="11" a="1"/>
  <c r="F128" i="11" s="1"/>
  <c r="E128" i="11" a="1"/>
  <c r="E128" i="11" s="1"/>
  <c r="D128" i="11" a="1"/>
  <c r="D128" i="11" s="1"/>
  <c r="H127" i="11" a="1"/>
  <c r="H127" i="11" s="1"/>
  <c r="G127" i="11" a="1"/>
  <c r="G127" i="11" s="1"/>
  <c r="F127" i="11"/>
  <c r="F127" i="11" a="1"/>
  <c r="E127" i="11" a="1"/>
  <c r="E127" i="11" s="1"/>
  <c r="D127" i="11" a="1"/>
  <c r="D127" i="11" s="1"/>
  <c r="H126" i="11" a="1"/>
  <c r="H126" i="11" s="1"/>
  <c r="G126" i="11" a="1"/>
  <c r="G126" i="11" s="1"/>
  <c r="F126" i="11"/>
  <c r="F126" i="11" a="1"/>
  <c r="E126" i="11" a="1"/>
  <c r="E126" i="11" s="1"/>
  <c r="D126" i="11"/>
  <c r="D126" i="11" a="1"/>
  <c r="H125" i="11" a="1"/>
  <c r="H125" i="11" s="1"/>
  <c r="G125" i="11" a="1"/>
  <c r="G125" i="11" s="1"/>
  <c r="F125" i="11" a="1"/>
  <c r="F125" i="11" s="1"/>
  <c r="E125" i="11" a="1"/>
  <c r="E125" i="11" s="1"/>
  <c r="D125" i="11"/>
  <c r="D125" i="11" a="1"/>
  <c r="H124" i="11" a="1"/>
  <c r="H124" i="11" s="1"/>
  <c r="G124" i="11" a="1"/>
  <c r="G124" i="11" s="1"/>
  <c r="F124" i="11" a="1"/>
  <c r="F124" i="11" s="1"/>
  <c r="E124" i="11" a="1"/>
  <c r="E124" i="11" s="1"/>
  <c r="D124" i="11" a="1"/>
  <c r="D124" i="11" s="1"/>
  <c r="H123" i="11" a="1"/>
  <c r="H123" i="11" s="1"/>
  <c r="G123" i="11"/>
  <c r="G123" i="11" a="1"/>
  <c r="F123" i="11" a="1"/>
  <c r="F123" i="11" s="1"/>
  <c r="E123" i="11" a="1"/>
  <c r="E123" i="11" s="1"/>
  <c r="D123" i="11"/>
  <c r="D123" i="11" a="1"/>
  <c r="H122" i="11" a="1"/>
  <c r="H122" i="11" s="1"/>
  <c r="G122" i="11" a="1"/>
  <c r="G122" i="11" s="1"/>
  <c r="F122" i="11" a="1"/>
  <c r="F122" i="11" s="1"/>
  <c r="E122" i="11" a="1"/>
  <c r="E122" i="11" s="1"/>
  <c r="D122" i="11" a="1"/>
  <c r="D122" i="11" s="1"/>
  <c r="H121" i="11" a="1"/>
  <c r="H121" i="11" s="1"/>
  <c r="G121" i="11"/>
  <c r="G121" i="11" a="1"/>
  <c r="F121" i="11" a="1"/>
  <c r="F121" i="11" s="1"/>
  <c r="E121" i="11" a="1"/>
  <c r="E121" i="11" s="1"/>
  <c r="D121" i="11" a="1"/>
  <c r="D121" i="11" s="1"/>
  <c r="H120" i="11" a="1"/>
  <c r="H120" i="11" s="1"/>
  <c r="G120" i="11"/>
  <c r="G120" i="11" a="1"/>
  <c r="F120" i="11" a="1"/>
  <c r="F120" i="11" s="1"/>
  <c r="E120" i="11"/>
  <c r="E120" i="11" a="1"/>
  <c r="D120" i="11" a="1"/>
  <c r="D120" i="11" s="1"/>
  <c r="H119" i="11" a="1"/>
  <c r="H119" i="11" s="1"/>
  <c r="G119" i="11" a="1"/>
  <c r="G119" i="11" s="1"/>
  <c r="F119" i="11" a="1"/>
  <c r="F119" i="11" s="1"/>
  <c r="E119" i="11"/>
  <c r="E119" i="11" a="1"/>
  <c r="D119" i="11" a="1"/>
  <c r="D119" i="11" s="1"/>
  <c r="H118" i="11" a="1"/>
  <c r="H118" i="11" s="1"/>
  <c r="G118" i="11" a="1"/>
  <c r="G118" i="11" s="1"/>
  <c r="F118" i="11" a="1"/>
  <c r="F118" i="11" s="1"/>
  <c r="E118" i="11" a="1"/>
  <c r="E118" i="11" s="1"/>
  <c r="D118" i="11" a="1"/>
  <c r="D118" i="11" s="1"/>
  <c r="H117" i="11" a="1"/>
  <c r="H117" i="11" s="1"/>
  <c r="G117" i="11" a="1"/>
  <c r="G117" i="11" s="1"/>
  <c r="F117" i="11" a="1"/>
  <c r="F117" i="11" s="1"/>
  <c r="E117" i="11" a="1"/>
  <c r="E117" i="11" s="1"/>
  <c r="D117" i="11" a="1"/>
  <c r="D117" i="11" s="1"/>
  <c r="H116" i="11" a="1"/>
  <c r="H116" i="11" s="1"/>
  <c r="G116" i="11" a="1"/>
  <c r="G116" i="11" s="1"/>
  <c r="F116" i="11"/>
  <c r="F116" i="11" a="1"/>
  <c r="E116" i="11" a="1"/>
  <c r="E116" i="11" s="1"/>
  <c r="D116" i="11" a="1"/>
  <c r="D116" i="11" s="1"/>
  <c r="H115" i="11" a="1"/>
  <c r="H115" i="11" s="1"/>
  <c r="G115" i="11" a="1"/>
  <c r="G115" i="11" s="1"/>
  <c r="F115" i="11" a="1"/>
  <c r="F115" i="11" s="1"/>
  <c r="E115" i="11" a="1"/>
  <c r="E115" i="11" s="1"/>
  <c r="D115" i="11" a="1"/>
  <c r="D115" i="11" s="1"/>
  <c r="H114" i="11" a="1"/>
  <c r="H114" i="11" s="1"/>
  <c r="G114" i="11" a="1"/>
  <c r="G114" i="11" s="1"/>
  <c r="F114" i="11"/>
  <c r="F114" i="11" a="1"/>
  <c r="E114" i="11" a="1"/>
  <c r="E114" i="11" s="1"/>
  <c r="D114" i="11" a="1"/>
  <c r="D114" i="11" s="1"/>
  <c r="H113" i="11" a="1"/>
  <c r="H113" i="11" s="1"/>
  <c r="G113" i="11" a="1"/>
  <c r="G113" i="11" s="1"/>
  <c r="F113" i="11"/>
  <c r="F113" i="11" a="1"/>
  <c r="E113" i="11" a="1"/>
  <c r="E113" i="11" s="1"/>
  <c r="D113" i="11"/>
  <c r="D113" i="11" a="1"/>
  <c r="H112" i="11" a="1"/>
  <c r="H112" i="11" s="1"/>
  <c r="G112" i="11" a="1"/>
  <c r="G112" i="11" s="1"/>
  <c r="F112" i="11" a="1"/>
  <c r="F112" i="11" s="1"/>
  <c r="E112" i="11" a="1"/>
  <c r="E112" i="11" s="1"/>
  <c r="D112" i="11"/>
  <c r="D112" i="11" a="1"/>
  <c r="H111" i="11" a="1"/>
  <c r="H111" i="11" s="1"/>
  <c r="G111" i="11"/>
  <c r="G111" i="11" a="1"/>
  <c r="F111" i="11" a="1"/>
  <c r="F111" i="11" s="1"/>
  <c r="E111" i="11" a="1"/>
  <c r="E111" i="11" s="1"/>
  <c r="D111" i="11" a="1"/>
  <c r="D111" i="11" s="1"/>
  <c r="H110" i="11" a="1"/>
  <c r="H110" i="11" s="1"/>
  <c r="G110" i="11"/>
  <c r="G110" i="11" a="1"/>
  <c r="F110" i="11" a="1"/>
  <c r="F110" i="11" s="1"/>
  <c r="E110" i="11" a="1"/>
  <c r="E110" i="11" s="1"/>
  <c r="D110" i="11" a="1"/>
  <c r="D110" i="11" s="1"/>
  <c r="H109" i="11" a="1"/>
  <c r="H109" i="11" s="1"/>
  <c r="G109" i="11" a="1"/>
  <c r="G109" i="11" s="1"/>
  <c r="F109" i="11" a="1"/>
  <c r="F109" i="11" s="1"/>
  <c r="E109" i="11"/>
  <c r="E109" i="11" a="1"/>
  <c r="D109" i="11" a="1"/>
  <c r="D109" i="11" s="1"/>
  <c r="H108" i="11" a="1"/>
  <c r="H108" i="11" s="1"/>
  <c r="G108" i="11"/>
  <c r="G108" i="11" a="1"/>
  <c r="F108" i="11" a="1"/>
  <c r="F108" i="11" s="1"/>
  <c r="E108" i="11" a="1"/>
  <c r="E108" i="11" s="1"/>
  <c r="D108" i="11" a="1"/>
  <c r="D108" i="11" s="1"/>
  <c r="H107" i="11" a="1"/>
  <c r="H107" i="11" s="1"/>
  <c r="G107" i="11" a="1"/>
  <c r="G107" i="11" s="1"/>
  <c r="F107" i="11" a="1"/>
  <c r="F107" i="11" s="1"/>
  <c r="E107" i="11"/>
  <c r="E107" i="11" a="1"/>
  <c r="D107" i="11" a="1"/>
  <c r="D107" i="11" s="1"/>
  <c r="H106" i="11" a="1"/>
  <c r="H106" i="11" s="1"/>
  <c r="G106" i="11" a="1"/>
  <c r="G106" i="11" s="1"/>
  <c r="F106" i="11" a="1"/>
  <c r="F106" i="11" s="1"/>
  <c r="E106" i="11"/>
  <c r="E106" i="11" a="1"/>
  <c r="D106" i="11" a="1"/>
  <c r="D106" i="11" s="1"/>
  <c r="H105" i="11" a="1"/>
  <c r="H105" i="11" s="1"/>
  <c r="G105" i="11" a="1"/>
  <c r="G105" i="11" s="1"/>
  <c r="F105" i="11" a="1"/>
  <c r="F105" i="11" s="1"/>
  <c r="E105" i="11" a="1"/>
  <c r="E105" i="11" s="1"/>
  <c r="D105" i="11" a="1"/>
  <c r="D105" i="11" s="1"/>
  <c r="H104" i="11" a="1"/>
  <c r="H104" i="11" s="1"/>
  <c r="G104" i="11" a="1"/>
  <c r="G104" i="11" s="1"/>
  <c r="F104" i="11"/>
  <c r="F104" i="11" a="1"/>
  <c r="E104" i="11" a="1"/>
  <c r="E104" i="11" s="1"/>
  <c r="D104" i="11" a="1"/>
  <c r="D104" i="11" s="1"/>
  <c r="H103" i="11" a="1"/>
  <c r="H103" i="11" s="1"/>
  <c r="G103" i="11" a="1"/>
  <c r="G103" i="11" s="1"/>
  <c r="F103" i="11"/>
  <c r="F103" i="11" a="1"/>
  <c r="E103" i="11" a="1"/>
  <c r="E103" i="11" s="1"/>
  <c r="D103" i="11" a="1"/>
  <c r="D103" i="11" s="1"/>
  <c r="H102" i="11" a="1"/>
  <c r="H102" i="11" s="1"/>
  <c r="G102" i="11" a="1"/>
  <c r="G102" i="11" s="1"/>
  <c r="F102" i="11" a="1"/>
  <c r="F102" i="11" s="1"/>
  <c r="E102" i="11" a="1"/>
  <c r="E102" i="11" s="1"/>
  <c r="D102" i="11"/>
  <c r="D102" i="11" a="1"/>
  <c r="H101" i="11" a="1"/>
  <c r="H101" i="11" s="1"/>
  <c r="G101" i="11" a="1"/>
  <c r="G101" i="11" s="1"/>
  <c r="F101" i="11"/>
  <c r="F101" i="11" a="1"/>
  <c r="E101" i="11" a="1"/>
  <c r="E101" i="11" s="1"/>
  <c r="D101" i="11" a="1"/>
  <c r="D101" i="11" s="1"/>
  <c r="H100" i="11" a="1"/>
  <c r="H100" i="11" s="1"/>
  <c r="G100" i="11" a="1"/>
  <c r="G100" i="11" s="1"/>
  <c r="F100" i="11" a="1"/>
  <c r="F100" i="11" s="1"/>
  <c r="E100" i="11" a="1"/>
  <c r="E100" i="11" s="1"/>
  <c r="D100" i="11"/>
  <c r="D100" i="11" a="1"/>
  <c r="H99" i="11" a="1"/>
  <c r="H99" i="11" s="1"/>
  <c r="G99" i="11" a="1"/>
  <c r="G99" i="11" s="1"/>
  <c r="F99" i="11" a="1"/>
  <c r="F99" i="11" s="1"/>
  <c r="E99" i="11" a="1"/>
  <c r="E99" i="11" s="1"/>
  <c r="D99" i="11"/>
  <c r="D99" i="11" a="1"/>
  <c r="H98" i="11" a="1"/>
  <c r="H98" i="11" s="1"/>
  <c r="G98" i="11"/>
  <c r="G98" i="11" a="1"/>
  <c r="F98" i="11" a="1"/>
  <c r="F98" i="11" s="1"/>
  <c r="E98" i="11" a="1"/>
  <c r="E98" i="11" s="1"/>
  <c r="D98" i="11" a="1"/>
  <c r="D98" i="11" s="1"/>
  <c r="H97" i="11" a="1"/>
  <c r="H97" i="11" s="1"/>
  <c r="G97" i="11" a="1"/>
  <c r="G97" i="11" s="1"/>
  <c r="F97" i="11" a="1"/>
  <c r="F97" i="11" s="1"/>
  <c r="E97" i="11"/>
  <c r="E97" i="11" a="1"/>
  <c r="D97" i="11" a="1"/>
  <c r="D97" i="11" s="1"/>
  <c r="H96" i="11" a="1"/>
  <c r="H96" i="11" s="1"/>
  <c r="G96" i="11" a="1"/>
  <c r="G96" i="11" s="1"/>
  <c r="F96" i="11" a="1"/>
  <c r="F96" i="11" s="1"/>
  <c r="E96" i="11" a="1"/>
  <c r="E96" i="11" s="1"/>
  <c r="D96" i="11" a="1"/>
  <c r="D96" i="11" s="1"/>
  <c r="H95" i="11" a="1"/>
  <c r="H95" i="11" s="1"/>
  <c r="G95" i="11"/>
  <c r="G95" i="11" a="1"/>
  <c r="F95" i="11" a="1"/>
  <c r="F95" i="11" s="1"/>
  <c r="E95" i="11"/>
  <c r="E95" i="11" a="1"/>
  <c r="D95" i="11"/>
  <c r="D95" i="11" a="1"/>
  <c r="H94" i="11" a="1"/>
  <c r="H94" i="11" s="1"/>
  <c r="G94" i="11" a="1"/>
  <c r="G94" i="11" s="1"/>
  <c r="F94" i="11"/>
  <c r="F94" i="11" a="1"/>
  <c r="E94" i="11" a="1"/>
  <c r="E94" i="11" s="1"/>
  <c r="D94" i="11" a="1"/>
  <c r="D94" i="11" s="1"/>
  <c r="H93" i="11" a="1"/>
  <c r="H93" i="11" s="1"/>
  <c r="G93" i="11" a="1"/>
  <c r="G93" i="11" s="1"/>
  <c r="F93" i="11" a="1"/>
  <c r="F93" i="11" s="1"/>
  <c r="E93" i="11"/>
  <c r="E93" i="11" a="1"/>
  <c r="D93" i="11"/>
  <c r="D93" i="11" a="1"/>
  <c r="H92" i="11" a="1"/>
  <c r="H92" i="11" s="1"/>
  <c r="G92" i="11"/>
  <c r="G92" i="11" a="1"/>
  <c r="F92" i="11"/>
  <c r="F92" i="11" a="1"/>
  <c r="E92" i="11" a="1"/>
  <c r="E92" i="11" s="1"/>
  <c r="D92" i="11" a="1"/>
  <c r="D92" i="11" s="1"/>
  <c r="H91" i="11" a="1"/>
  <c r="H91" i="11" s="1"/>
  <c r="G91" i="11" a="1"/>
  <c r="G91" i="11" s="1"/>
  <c r="F91" i="11" a="1"/>
  <c r="F91" i="11" s="1"/>
  <c r="E91" i="11" a="1"/>
  <c r="E91" i="11" s="1"/>
  <c r="D91" i="11" a="1"/>
  <c r="D91" i="11" s="1"/>
  <c r="H90" i="11" a="1"/>
  <c r="H90" i="11" s="1"/>
  <c r="G90" i="11"/>
  <c r="G90" i="11" a="1"/>
  <c r="F90" i="11"/>
  <c r="F90" i="11" a="1"/>
  <c r="E90" i="11" a="1"/>
  <c r="E90" i="11" s="1"/>
  <c r="D90" i="11"/>
  <c r="D90" i="11" a="1"/>
  <c r="H89" i="11" a="1"/>
  <c r="H89" i="11" s="1"/>
  <c r="G89" i="11" a="1"/>
  <c r="G89" i="11" s="1"/>
  <c r="F89" i="11" a="1"/>
  <c r="F89" i="11" s="1"/>
  <c r="E89" i="11"/>
  <c r="E89" i="11" a="1"/>
  <c r="D89" i="11" a="1"/>
  <c r="D89" i="11" s="1"/>
  <c r="H88" i="11" a="1"/>
  <c r="H88" i="11" s="1"/>
  <c r="G88" i="11" a="1"/>
  <c r="G88" i="11" s="1"/>
  <c r="F88" i="11"/>
  <c r="F88" i="11" a="1"/>
  <c r="E88" i="11" a="1"/>
  <c r="E88" i="11" s="1"/>
  <c r="D88" i="11"/>
  <c r="D88" i="11" a="1"/>
  <c r="H87" i="11" a="1"/>
  <c r="H87" i="11" s="1"/>
  <c r="G87" i="11" a="1"/>
  <c r="G87" i="11" s="1"/>
  <c r="F87" i="11" a="1"/>
  <c r="F87" i="11" s="1"/>
  <c r="E87" i="11" a="1"/>
  <c r="E87" i="11" s="1"/>
  <c r="D87" i="11" a="1"/>
  <c r="D87" i="11" s="1"/>
  <c r="H86" i="11" a="1"/>
  <c r="H86" i="11" s="1"/>
  <c r="G86" i="11"/>
  <c r="G86" i="11" a="1"/>
  <c r="F86" i="11" a="1"/>
  <c r="F86" i="11" s="1"/>
  <c r="E86" i="11" a="1"/>
  <c r="E86" i="11" s="1"/>
  <c r="D86" i="11"/>
  <c r="D86" i="11" a="1"/>
  <c r="H85" i="11" a="1"/>
  <c r="H85" i="11" s="1"/>
  <c r="G85" i="11" a="1"/>
  <c r="G85" i="11" s="1"/>
  <c r="F85" i="11"/>
  <c r="F85" i="11" a="1"/>
  <c r="E85" i="11"/>
  <c r="E85" i="11" a="1"/>
  <c r="D85" i="11" a="1"/>
  <c r="D85" i="11" s="1"/>
  <c r="H84" i="11" a="1"/>
  <c r="H84" i="11" s="1"/>
  <c r="G84" i="11" a="1"/>
  <c r="G84" i="11" s="1"/>
  <c r="F84" i="11" a="1"/>
  <c r="F84" i="11" s="1"/>
  <c r="E84" i="11" a="1"/>
  <c r="E84" i="11" s="1"/>
  <c r="D84" i="11"/>
  <c r="D84" i="11" a="1"/>
  <c r="H83" i="11" a="1"/>
  <c r="H83" i="11" s="1"/>
  <c r="G83" i="11" a="1"/>
  <c r="G83" i="11" s="1"/>
  <c r="F83" i="11"/>
  <c r="F83" i="11" a="1"/>
  <c r="E83" i="11"/>
  <c r="E83" i="11" a="1"/>
  <c r="D83" i="11" a="1"/>
  <c r="D83" i="11" s="1"/>
  <c r="H82" i="11" a="1"/>
  <c r="H82" i="11" s="1"/>
  <c r="G82" i="11" a="1"/>
  <c r="G82" i="11" s="1"/>
  <c r="F82" i="11" a="1"/>
  <c r="F82" i="11" s="1"/>
  <c r="E82" i="11" a="1"/>
  <c r="E82" i="11" s="1"/>
  <c r="D82" i="11" a="1"/>
  <c r="D82" i="11" s="1"/>
  <c r="H81" i="11" a="1"/>
  <c r="H81" i="11" s="1"/>
  <c r="G81" i="11" a="1"/>
  <c r="G81" i="11" s="1"/>
  <c r="F81" i="11" a="1"/>
  <c r="F81" i="11" s="1"/>
  <c r="E81" i="11"/>
  <c r="E81" i="11" a="1"/>
  <c r="D81" i="11" a="1"/>
  <c r="D81" i="11" s="1"/>
  <c r="H80" i="11" a="1"/>
  <c r="H80" i="11" s="1"/>
  <c r="G80" i="11"/>
  <c r="G80" i="11" a="1"/>
  <c r="F80" i="11" a="1"/>
  <c r="F80" i="11" s="1"/>
  <c r="E80" i="11" a="1"/>
  <c r="E80" i="11" s="1"/>
  <c r="D80" i="11"/>
  <c r="D80" i="11" a="1"/>
  <c r="H79" i="11" a="1"/>
  <c r="H79" i="11" s="1"/>
  <c r="G79" i="11" a="1"/>
  <c r="G79" i="11" s="1"/>
  <c r="F79" i="11" a="1"/>
  <c r="F79" i="11" s="1"/>
  <c r="E79" i="11" a="1"/>
  <c r="E79" i="11" s="1"/>
  <c r="D79" i="11" a="1"/>
  <c r="D79" i="11" s="1"/>
  <c r="H78" i="11" a="1"/>
  <c r="H78" i="11" s="1"/>
  <c r="G78" i="11"/>
  <c r="G78" i="11" a="1"/>
  <c r="F78" i="11" a="1"/>
  <c r="F78" i="11" s="1"/>
  <c r="E78" i="11"/>
  <c r="E78" i="11" a="1"/>
  <c r="D78" i="11"/>
  <c r="D78" i="11" a="1"/>
  <c r="H77" i="11" a="1"/>
  <c r="H77" i="11" s="1"/>
  <c r="G77" i="11" a="1"/>
  <c r="G77" i="11" s="1"/>
  <c r="F77" i="11"/>
  <c r="F77" i="11" a="1"/>
  <c r="E77" i="11" a="1"/>
  <c r="E77" i="11" s="1"/>
  <c r="D77" i="11" a="1"/>
  <c r="D77" i="11" s="1"/>
  <c r="H76" i="11" a="1"/>
  <c r="H76" i="11" s="1"/>
  <c r="G76" i="11" a="1"/>
  <c r="G76" i="11" s="1"/>
  <c r="F76" i="11" a="1"/>
  <c r="F76" i="11" s="1"/>
  <c r="E76" i="11"/>
  <c r="E76" i="11" a="1"/>
  <c r="D76" i="11"/>
  <c r="D76" i="11" a="1"/>
  <c r="H75" i="11" a="1"/>
  <c r="H75" i="11" s="1"/>
  <c r="G75" i="11"/>
  <c r="G75" i="11" a="1"/>
  <c r="F75" i="11" a="1"/>
  <c r="F75" i="11" s="1"/>
  <c r="E75" i="11" a="1"/>
  <c r="E75" i="11" s="1"/>
  <c r="D75" i="11" a="1"/>
  <c r="D75" i="11" s="1"/>
  <c r="H74" i="11" a="1"/>
  <c r="H74" i="11" s="1"/>
  <c r="G74" i="11" a="1"/>
  <c r="G74" i="11" s="1"/>
  <c r="F74" i="11" a="1"/>
  <c r="F74" i="11" s="1"/>
  <c r="E74" i="11" a="1"/>
  <c r="E74" i="11" s="1"/>
  <c r="D74" i="11"/>
  <c r="D74" i="11" a="1"/>
  <c r="H73" i="11" a="1"/>
  <c r="H73" i="11" s="1"/>
  <c r="G73" i="11"/>
  <c r="G73" i="11" a="1"/>
  <c r="F73" i="11"/>
  <c r="F73" i="11" a="1"/>
  <c r="E73" i="11" a="1"/>
  <c r="E73" i="11" s="1"/>
  <c r="D73" i="11" a="1"/>
  <c r="D73" i="11" s="1"/>
  <c r="H72" i="11" a="1"/>
  <c r="H72" i="11" s="1"/>
  <c r="G72" i="11" a="1"/>
  <c r="G72" i="11" s="1"/>
  <c r="F72" i="11" a="1"/>
  <c r="F72" i="11" s="1"/>
  <c r="E72" i="11"/>
  <c r="E72" i="11" a="1"/>
  <c r="D72" i="11" a="1"/>
  <c r="D72" i="11" s="1"/>
  <c r="H71" i="11" a="1"/>
  <c r="H71" i="11" s="1"/>
  <c r="G71" i="11"/>
  <c r="G71" i="11" a="1"/>
  <c r="F71" i="11"/>
  <c r="F71" i="11" a="1"/>
  <c r="E71" i="11" a="1"/>
  <c r="E71" i="11" s="1"/>
  <c r="D71" i="11"/>
  <c r="D71" i="11" a="1"/>
  <c r="H70" i="11" a="1"/>
  <c r="H70" i="11" s="1"/>
  <c r="G70" i="11" a="1"/>
  <c r="G70" i="11" s="1"/>
  <c r="F70" i="11" a="1"/>
  <c r="F70" i="11" s="1"/>
  <c r="E70" i="11" a="1"/>
  <c r="E70" i="11" s="1"/>
  <c r="D70" i="11" a="1"/>
  <c r="D70" i="11" s="1"/>
  <c r="H69" i="11" a="1"/>
  <c r="H69" i="11" s="1"/>
  <c r="G69" i="11"/>
  <c r="G69" i="11" a="1"/>
  <c r="F69" i="11" a="1"/>
  <c r="F69" i="11" s="1"/>
  <c r="E69" i="11" a="1"/>
  <c r="E69" i="11" s="1"/>
  <c r="D69" i="11"/>
  <c r="D69" i="11" a="1"/>
  <c r="H68" i="11" a="1"/>
  <c r="H68" i="11" s="1"/>
  <c r="G68" i="11" a="1"/>
  <c r="G68" i="11" s="1"/>
  <c r="F68" i="11"/>
  <c r="F68" i="11" a="1"/>
  <c r="E68" i="11" a="1"/>
  <c r="E68" i="11" s="1"/>
  <c r="D68" i="11" a="1"/>
  <c r="D68" i="11" s="1"/>
  <c r="H67" i="11" a="1"/>
  <c r="H67" i="11" s="1"/>
  <c r="G67" i="11" a="1"/>
  <c r="G67" i="11" s="1"/>
  <c r="F67" i="11" a="1"/>
  <c r="F67" i="11" s="1"/>
  <c r="E67" i="11" a="1"/>
  <c r="E67" i="11" s="1"/>
  <c r="D67" i="11" a="1"/>
  <c r="D67" i="11" s="1"/>
  <c r="H66" i="11" a="1"/>
  <c r="H66" i="11" s="1"/>
  <c r="G66" i="11" a="1"/>
  <c r="G66" i="11" s="1"/>
  <c r="F66" i="11"/>
  <c r="F66" i="11" a="1"/>
  <c r="E66" i="11"/>
  <c r="E66" i="11" a="1"/>
  <c r="D66" i="11" a="1"/>
  <c r="D66" i="11" s="1"/>
  <c r="H65" i="11" a="1"/>
  <c r="H65" i="11" s="1"/>
  <c r="G65" i="11"/>
  <c r="G65" i="11" a="1"/>
  <c r="F65" i="11" a="1"/>
  <c r="F65" i="11" s="1"/>
  <c r="E65" i="11" a="1"/>
  <c r="E65" i="11" s="1"/>
  <c r="D65" i="11" a="1"/>
  <c r="D65" i="11" s="1"/>
  <c r="H64" i="11" a="1"/>
  <c r="H64" i="11" s="1"/>
  <c r="G64" i="11" a="1"/>
  <c r="G64" i="11" s="1"/>
  <c r="F64" i="11"/>
  <c r="F64" i="11" a="1"/>
  <c r="E64" i="11"/>
  <c r="E64" i="11" a="1"/>
  <c r="D64" i="11" a="1"/>
  <c r="D64" i="11" s="1"/>
  <c r="H63" i="11" a="1"/>
  <c r="H63" i="11" s="1"/>
  <c r="G63" i="11"/>
  <c r="G63" i="11" a="1"/>
  <c r="F63" i="11" a="1"/>
  <c r="F63" i="11" s="1"/>
  <c r="E63" i="11" a="1"/>
  <c r="E63" i="11" s="1"/>
  <c r="D63" i="11"/>
  <c r="D63" i="11" a="1"/>
  <c r="H62" i="11" a="1"/>
  <c r="H62" i="11" s="1"/>
  <c r="G62" i="11" a="1"/>
  <c r="G62" i="11" s="1"/>
  <c r="F62" i="11" a="1"/>
  <c r="F62" i="11" s="1"/>
  <c r="E62" i="11" a="1"/>
  <c r="E62" i="11" s="1"/>
  <c r="D62" i="11" a="1"/>
  <c r="D62" i="11" s="1"/>
  <c r="H61" i="11" a="1"/>
  <c r="H61" i="11" s="1"/>
  <c r="G61" i="11"/>
  <c r="G61" i="11" a="1"/>
  <c r="F61" i="11" a="1"/>
  <c r="F61" i="11" s="1"/>
  <c r="E61" i="11"/>
  <c r="E61" i="11" a="1"/>
  <c r="D61" i="11" a="1"/>
  <c r="D61" i="11" s="1"/>
  <c r="H60" i="11" a="1"/>
  <c r="H60" i="11" s="1"/>
  <c r="G60" i="11" a="1"/>
  <c r="G60" i="11" s="1"/>
  <c r="F60" i="11"/>
  <c r="F60" i="11" a="1"/>
  <c r="E60" i="11" a="1"/>
  <c r="E60" i="11" s="1"/>
  <c r="D60" i="11" a="1"/>
  <c r="D60" i="11" s="1"/>
  <c r="H59" i="11" a="1"/>
  <c r="H59" i="11" s="1"/>
  <c r="G59" i="11"/>
  <c r="G59" i="11" a="1"/>
  <c r="F59" i="11" a="1"/>
  <c r="F59" i="11" s="1"/>
  <c r="E59" i="11"/>
  <c r="E59" i="11" a="1"/>
  <c r="D59" i="11"/>
  <c r="D59" i="11" a="1"/>
  <c r="H58" i="11" a="1"/>
  <c r="H58" i="11" s="1"/>
  <c r="G58" i="11" a="1"/>
  <c r="G58" i="11" s="1"/>
  <c r="F58" i="11" a="1"/>
  <c r="F58" i="11" s="1"/>
  <c r="E58" i="11" a="1"/>
  <c r="E58" i="11" s="1"/>
  <c r="D58" i="11" a="1"/>
  <c r="D58" i="11" s="1"/>
  <c r="H57" i="11" a="1"/>
  <c r="H57" i="11" s="1"/>
  <c r="G57" i="11" a="1"/>
  <c r="G57" i="11" s="1"/>
  <c r="F57" i="11" a="1"/>
  <c r="F57" i="11" s="1"/>
  <c r="E57" i="11"/>
  <c r="E57" i="11" a="1"/>
  <c r="D57" i="11"/>
  <c r="D57" i="11" a="1"/>
  <c r="H56" i="11" a="1"/>
  <c r="H56" i="11" s="1"/>
  <c r="G56" i="11"/>
  <c r="G56" i="11" a="1"/>
  <c r="F56" i="11"/>
  <c r="F56" i="11" a="1"/>
  <c r="E56" i="11" a="1"/>
  <c r="E56" i="11" s="1"/>
  <c r="D56" i="11" a="1"/>
  <c r="D56" i="11" s="1"/>
  <c r="H55" i="11" a="1"/>
  <c r="H55" i="11" s="1"/>
  <c r="G55" i="11" a="1"/>
  <c r="G55" i="11" s="1"/>
  <c r="F55" i="11" a="1"/>
  <c r="F55" i="11" s="1"/>
  <c r="E55" i="11"/>
  <c r="E55" i="11" a="1"/>
  <c r="D55" i="11" a="1"/>
  <c r="D55" i="11" s="1"/>
  <c r="H54" i="11" a="1"/>
  <c r="H54" i="11" s="1"/>
  <c r="G54" i="11"/>
  <c r="G54" i="11" a="1"/>
  <c r="F54" i="11"/>
  <c r="F54" i="11" a="1"/>
  <c r="E54" i="11" a="1"/>
  <c r="E54" i="11" s="1"/>
  <c r="D54" i="11"/>
  <c r="D54" i="11" a="1"/>
  <c r="H53" i="11" a="1"/>
  <c r="H53" i="11" s="1"/>
  <c r="G53" i="11" a="1"/>
  <c r="G53" i="11" s="1"/>
  <c r="F53" i="11" a="1"/>
  <c r="F53" i="11" s="1"/>
  <c r="E53" i="11" a="1"/>
  <c r="E53" i="11" s="1"/>
  <c r="D53" i="11" a="1"/>
  <c r="D53" i="11" s="1"/>
  <c r="H52" i="11" a="1"/>
  <c r="H52" i="11" s="1"/>
  <c r="G52" i="11" a="1"/>
  <c r="G52" i="11" s="1"/>
  <c r="F52" i="11"/>
  <c r="F52" i="11" a="1"/>
  <c r="E52" i="11" a="1"/>
  <c r="E52" i="11" s="1"/>
  <c r="D52" i="11"/>
  <c r="D52" i="11" a="1"/>
  <c r="H51" i="11" a="1"/>
  <c r="H51" i="11" s="1"/>
  <c r="G51" i="11" a="1"/>
  <c r="G51" i="11" s="1"/>
  <c r="F51" i="11" a="1"/>
  <c r="F51" i="11" s="1"/>
  <c r="E51" i="11"/>
  <c r="E51" i="11" a="1"/>
  <c r="D51" i="11" a="1"/>
  <c r="D51" i="11" s="1"/>
  <c r="H50" i="11" a="1"/>
  <c r="H50" i="11" s="1"/>
  <c r="G50" i="11" a="1"/>
  <c r="G50" i="11" s="1"/>
  <c r="F50" i="11" a="1"/>
  <c r="F50" i="11" s="1"/>
  <c r="E50" i="11" a="1"/>
  <c r="E50" i="11" s="1"/>
  <c r="D50" i="11"/>
  <c r="D50" i="11" a="1"/>
  <c r="H49" i="11" a="1"/>
  <c r="H49" i="11" s="1"/>
  <c r="G49" i="11" a="1"/>
  <c r="G49" i="11" s="1"/>
  <c r="F49" i="11"/>
  <c r="F49" i="11" a="1"/>
  <c r="E49" i="11"/>
  <c r="E49" i="11" a="1"/>
  <c r="D49" i="11" a="1"/>
  <c r="D49" i="11" s="1"/>
  <c r="H48" i="11" a="1"/>
  <c r="H48" i="11" s="1"/>
  <c r="G48" i="11"/>
  <c r="G48" i="11" a="1"/>
  <c r="F48" i="11" a="1"/>
  <c r="F48" i="11" s="1"/>
  <c r="E48" i="11" a="1"/>
  <c r="E48" i="11" s="1"/>
  <c r="D48" i="11" a="1"/>
  <c r="D48" i="11" s="1"/>
  <c r="H47" i="11" a="1"/>
  <c r="H47" i="11" s="1"/>
  <c r="G47" i="11" a="1"/>
  <c r="G47" i="11" s="1"/>
  <c r="F47" i="11"/>
  <c r="F47" i="11" a="1"/>
  <c r="E47" i="11"/>
  <c r="E47" i="11" a="1"/>
  <c r="D47" i="11" a="1"/>
  <c r="D47" i="11" s="1"/>
  <c r="H46" i="11" a="1"/>
  <c r="H46" i="11" s="1"/>
  <c r="G46" i="11" a="1"/>
  <c r="G46" i="11" s="1"/>
  <c r="F46" i="11" a="1"/>
  <c r="F46" i="11" s="1"/>
  <c r="E46" i="11" a="1"/>
  <c r="E46" i="11" s="1"/>
  <c r="D46" i="11"/>
  <c r="D46" i="11" a="1"/>
  <c r="H45" i="11" a="1"/>
  <c r="H45" i="11" s="1"/>
  <c r="G45" i="11" a="1"/>
  <c r="G45" i="11" s="1"/>
  <c r="F45" i="11" a="1"/>
  <c r="F45" i="11" s="1"/>
  <c r="E45" i="11"/>
  <c r="E45" i="11" a="1"/>
  <c r="D45" i="11" a="1"/>
  <c r="D45" i="11" s="1"/>
  <c r="H44" i="11" a="1"/>
  <c r="H44" i="11" s="1"/>
  <c r="G44" i="11"/>
  <c r="G44" i="11" a="1"/>
  <c r="F44" i="11" a="1"/>
  <c r="F44" i="11" s="1"/>
  <c r="E44" i="11" a="1"/>
  <c r="E44" i="11" s="1"/>
  <c r="D44" i="11" a="1"/>
  <c r="D44" i="11" s="1"/>
  <c r="H43" i="11" a="1"/>
  <c r="H43" i="11" s="1"/>
  <c r="G43" i="11" a="1"/>
  <c r="G43" i="11" s="1"/>
  <c r="F43" i="11"/>
  <c r="F43" i="11" a="1"/>
  <c r="E43" i="11" a="1"/>
  <c r="E43" i="11" s="1"/>
  <c r="D43" i="11" a="1"/>
  <c r="D43" i="11" s="1"/>
  <c r="H42" i="11" a="1"/>
  <c r="H42" i="11" s="1"/>
  <c r="G42" i="11"/>
  <c r="G42" i="11" a="1"/>
  <c r="F42" i="11" a="1"/>
  <c r="F42" i="11" s="1"/>
  <c r="E42" i="11"/>
  <c r="E42" i="11" a="1"/>
  <c r="D42" i="11"/>
  <c r="D42" i="11" a="1"/>
  <c r="H41" i="11" a="1"/>
  <c r="H41" i="11" s="1"/>
  <c r="G41" i="11" a="1"/>
  <c r="G41" i="11" s="1"/>
  <c r="F41" i="11" a="1"/>
  <c r="F41" i="11" s="1"/>
  <c r="E41" i="11" a="1"/>
  <c r="E41" i="11" s="1"/>
  <c r="D41" i="11" a="1"/>
  <c r="D41" i="11" s="1"/>
  <c r="H40" i="11" a="1"/>
  <c r="H40" i="11" s="1"/>
  <c r="G40" i="11" a="1"/>
  <c r="G40" i="11" s="1"/>
  <c r="F40" i="11" a="1"/>
  <c r="F40" i="11" s="1"/>
  <c r="E40" i="11"/>
  <c r="E40" i="11" a="1"/>
  <c r="D40" i="11"/>
  <c r="D40" i="11" a="1"/>
  <c r="H39" i="11" a="1"/>
  <c r="H39" i="11" s="1"/>
  <c r="G39" i="11"/>
  <c r="G39" i="11" a="1"/>
  <c r="F39" i="11" a="1"/>
  <c r="F39" i="11" s="1"/>
  <c r="E39" i="11" a="1"/>
  <c r="E39" i="11" s="1"/>
  <c r="D39" i="11" a="1"/>
  <c r="D39" i="11" s="1"/>
  <c r="H38" i="11" a="1"/>
  <c r="H38" i="11" s="1"/>
  <c r="G38" i="11" a="1"/>
  <c r="G38" i="11" s="1"/>
  <c r="F38" i="11" a="1"/>
  <c r="F38" i="11" s="1"/>
  <c r="E38" i="11" a="1"/>
  <c r="E38" i="11" s="1"/>
  <c r="D38" i="11"/>
  <c r="D38" i="11" a="1"/>
  <c r="H37" i="11" a="1"/>
  <c r="H37" i="11" s="1"/>
  <c r="G37" i="11"/>
  <c r="G37" i="11" a="1"/>
  <c r="F37" i="11"/>
  <c r="F37" i="11" a="1"/>
  <c r="E37" i="11" a="1"/>
  <c r="E37" i="11" s="1"/>
  <c r="D37" i="11" a="1"/>
  <c r="D37" i="11" s="1"/>
  <c r="H36" i="11" a="1"/>
  <c r="H36" i="11" s="1"/>
  <c r="G36" i="11" a="1"/>
  <c r="G36" i="11" s="1"/>
  <c r="F36" i="11" a="1"/>
  <c r="F36" i="11" s="1"/>
  <c r="E36" i="11" a="1"/>
  <c r="E36" i="11" s="1"/>
  <c r="D36" i="11" a="1"/>
  <c r="D36" i="11" s="1"/>
  <c r="H35" i="11" a="1"/>
  <c r="H35" i="11" s="1"/>
  <c r="G35" i="11"/>
  <c r="G35" i="11" a="1"/>
  <c r="F35" i="11"/>
  <c r="F35" i="11" a="1"/>
  <c r="E35" i="11" a="1"/>
  <c r="E35" i="11" s="1"/>
  <c r="D35" i="11"/>
  <c r="D35" i="11" a="1"/>
  <c r="H34" i="11" a="1"/>
  <c r="H34" i="11" s="1"/>
  <c r="G34" i="11" a="1"/>
  <c r="G34" i="11" s="1"/>
  <c r="F34" i="11" a="1"/>
  <c r="F34" i="11" s="1"/>
  <c r="E34" i="11"/>
  <c r="E34" i="11" a="1"/>
  <c r="D34" i="11" a="1"/>
  <c r="D34" i="11" s="1"/>
  <c r="H33" i="11" a="1"/>
  <c r="H33" i="11" s="1"/>
  <c r="G33" i="11" a="1"/>
  <c r="G33" i="11" s="1"/>
  <c r="F33" i="11" a="1"/>
  <c r="F33" i="11" s="1"/>
  <c r="E33" i="11" a="1"/>
  <c r="E33" i="11" s="1"/>
  <c r="D33" i="11"/>
  <c r="D33" i="11" a="1"/>
  <c r="H32" i="11" a="1"/>
  <c r="H32" i="11" s="1"/>
  <c r="G32" i="11" a="1"/>
  <c r="G32" i="11" s="1"/>
  <c r="F32" i="11"/>
  <c r="F32" i="11" a="1"/>
  <c r="E32" i="11" a="1"/>
  <c r="E32" i="11" s="1"/>
  <c r="D32" i="11" a="1"/>
  <c r="D32" i="11" s="1"/>
  <c r="H31" i="11" a="1"/>
  <c r="H31" i="11" s="1"/>
  <c r="G31" i="11"/>
  <c r="G31" i="11" a="1"/>
  <c r="F31" i="11" a="1"/>
  <c r="F31" i="11" s="1"/>
  <c r="E31" i="11" a="1"/>
  <c r="E31" i="11" s="1"/>
  <c r="D31" i="11" a="1"/>
  <c r="D31" i="11" s="1"/>
  <c r="H30" i="11" a="1"/>
  <c r="H30" i="11" s="1"/>
  <c r="G30" i="11" a="1"/>
  <c r="G30" i="11" s="1"/>
  <c r="F30" i="11"/>
  <c r="F30" i="11" a="1"/>
  <c r="E30" i="11"/>
  <c r="E30" i="11" a="1"/>
  <c r="D30" i="11" a="1"/>
  <c r="D30" i="11" s="1"/>
  <c r="H29" i="11" a="1"/>
  <c r="H29" i="11" s="1"/>
  <c r="G29" i="11" a="1"/>
  <c r="G29" i="11" s="1"/>
  <c r="F29" i="11" a="1"/>
  <c r="F29" i="11" s="1"/>
  <c r="E29" i="11" a="1"/>
  <c r="E29" i="11" s="1"/>
  <c r="D29" i="11"/>
  <c r="D29" i="11" a="1"/>
  <c r="H28" i="11" a="1"/>
  <c r="H28" i="11" s="1"/>
  <c r="G28" i="11" a="1"/>
  <c r="G28" i="11" s="1"/>
  <c r="F28" i="11"/>
  <c r="F28" i="11" a="1"/>
  <c r="E28" i="11"/>
  <c r="E28" i="11" a="1"/>
  <c r="D28" i="11" a="1"/>
  <c r="D28" i="11" s="1"/>
  <c r="H27" i="11" a="1"/>
  <c r="H27" i="11" s="1"/>
  <c r="G27" i="11"/>
  <c r="G27" i="11" a="1"/>
  <c r="F27" i="11" a="1"/>
  <c r="F27" i="11" s="1"/>
  <c r="E27" i="11" a="1"/>
  <c r="E27" i="11" s="1"/>
  <c r="D27" i="11" a="1"/>
  <c r="D27" i="11" s="1"/>
  <c r="H26" i="11" a="1"/>
  <c r="H26" i="11" s="1"/>
  <c r="G26" i="11" a="1"/>
  <c r="G26" i="11" s="1"/>
  <c r="F26" i="11"/>
  <c r="F26" i="11" a="1"/>
  <c r="E26" i="11" a="1"/>
  <c r="E26" i="11" s="1"/>
  <c r="D26" i="11" a="1"/>
  <c r="D26" i="11" s="1"/>
  <c r="H25" i="11" a="1"/>
  <c r="H25" i="11" s="1"/>
  <c r="G25" i="11"/>
  <c r="G25" i="11" a="1"/>
  <c r="F25" i="11" a="1"/>
  <c r="F25" i="11" s="1"/>
  <c r="E25" i="11"/>
  <c r="E25" i="11" a="1"/>
  <c r="D25" i="11" a="1"/>
  <c r="D25" i="11" s="1"/>
  <c r="H24" i="11" a="1"/>
  <c r="H24" i="11" s="1"/>
  <c r="G24" i="11" a="1"/>
  <c r="G24" i="11" s="1"/>
  <c r="F24" i="11" a="1"/>
  <c r="F24" i="11" s="1"/>
  <c r="E24" i="11" a="1"/>
  <c r="E24" i="11" s="1"/>
  <c r="D24" i="11" a="1"/>
  <c r="D24" i="11" s="1"/>
  <c r="H23" i="11" a="1"/>
  <c r="H23" i="11" s="1"/>
  <c r="G23" i="11"/>
  <c r="G23" i="11" a="1"/>
  <c r="F23" i="11" a="1"/>
  <c r="F23" i="11" s="1"/>
  <c r="E23" i="11"/>
  <c r="E23" i="11" a="1"/>
  <c r="D23" i="11"/>
  <c r="D23" i="11" a="1"/>
  <c r="H22" i="11" a="1"/>
  <c r="H22" i="11" s="1"/>
  <c r="G22" i="11" a="1"/>
  <c r="G22" i="11" s="1"/>
  <c r="F22" i="11"/>
  <c r="F22" i="11" a="1"/>
  <c r="E22" i="11" a="1"/>
  <c r="E22" i="11" s="1"/>
  <c r="D22" i="11" a="1"/>
  <c r="D22" i="11" s="1"/>
  <c r="H21" i="11" a="1"/>
  <c r="H21" i="11" s="1"/>
  <c r="G21" i="11" a="1"/>
  <c r="G21" i="11" s="1"/>
  <c r="F21" i="11" a="1"/>
  <c r="F21" i="11" s="1"/>
  <c r="E21" i="11"/>
  <c r="E21" i="11" a="1"/>
  <c r="D21" i="11"/>
  <c r="D21" i="11" a="1"/>
  <c r="H20" i="11" a="1"/>
  <c r="H20" i="11" s="1"/>
  <c r="G20" i="11"/>
  <c r="G20" i="11" a="1"/>
  <c r="F20" i="11"/>
  <c r="F20" i="11" a="1"/>
  <c r="E20" i="11" a="1"/>
  <c r="E20" i="11" s="1"/>
  <c r="D20" i="11" a="1"/>
  <c r="D20" i="11" s="1"/>
  <c r="H19" i="11" a="1"/>
  <c r="H19" i="11" s="1"/>
  <c r="G19" i="11" a="1"/>
  <c r="G19" i="11" s="1"/>
  <c r="F19" i="11" a="1"/>
  <c r="F19" i="11" s="1"/>
  <c r="E19" i="11" a="1"/>
  <c r="E19" i="11" s="1"/>
  <c r="D19" i="11" a="1"/>
  <c r="D19" i="11" s="1"/>
  <c r="H18" i="11" a="1"/>
  <c r="H18" i="11" s="1"/>
  <c r="G18" i="11"/>
  <c r="G18" i="11" a="1"/>
  <c r="F18" i="11"/>
  <c r="F18" i="11" a="1"/>
  <c r="E18" i="11" a="1"/>
  <c r="E18" i="11" s="1"/>
  <c r="D18" i="11"/>
  <c r="D18" i="11" a="1"/>
  <c r="H17" i="11" a="1"/>
  <c r="H17" i="11" s="1"/>
  <c r="G17" i="11" a="1"/>
  <c r="G17" i="11" s="1"/>
  <c r="F17" i="11" a="1"/>
  <c r="F17" i="11" s="1"/>
  <c r="E17" i="11"/>
  <c r="E17" i="11" a="1"/>
  <c r="D17" i="11" a="1"/>
  <c r="D17" i="11" s="1"/>
  <c r="H16" i="11" a="1"/>
  <c r="H16" i="11" s="1"/>
  <c r="G16" i="11" a="1"/>
  <c r="G16" i="11" s="1"/>
  <c r="F16" i="11"/>
  <c r="F16" i="11" a="1"/>
  <c r="E16" i="11" a="1"/>
  <c r="E16" i="11" s="1"/>
  <c r="D16" i="11"/>
  <c r="D16" i="11" a="1"/>
  <c r="H15" i="11" a="1"/>
  <c r="H15" i="11" s="1"/>
  <c r="G15" i="11" a="1"/>
  <c r="G15" i="11" s="1"/>
  <c r="F15" i="11" a="1"/>
  <c r="F15" i="11" s="1"/>
  <c r="E15" i="11" a="1"/>
  <c r="E15" i="11" s="1"/>
  <c r="D15" i="11" a="1"/>
  <c r="D15" i="11" s="1"/>
  <c r="H14" i="11" a="1"/>
  <c r="H14" i="11" s="1"/>
  <c r="G14" i="11"/>
  <c r="G14" i="11" a="1"/>
  <c r="F14" i="11" a="1"/>
  <c r="F14" i="11" s="1"/>
  <c r="E14" i="11" a="1"/>
  <c r="E14" i="11" s="1"/>
  <c r="D14" i="11"/>
  <c r="D14" i="11" a="1"/>
  <c r="H13" i="11" a="1"/>
  <c r="H13" i="11" s="1"/>
  <c r="G13" i="11" a="1"/>
  <c r="G13" i="11" s="1"/>
  <c r="F13" i="11"/>
  <c r="F13" i="11" a="1"/>
  <c r="E13" i="11"/>
  <c r="E13" i="11" a="1"/>
  <c r="D13" i="11" a="1"/>
  <c r="D13" i="11" s="1"/>
  <c r="H12" i="11" a="1"/>
  <c r="H12" i="11" s="1"/>
  <c r="G12" i="11" a="1"/>
  <c r="G12" i="11" s="1"/>
  <c r="F12" i="11" a="1"/>
  <c r="F12" i="11" s="1"/>
  <c r="E12" i="11" a="1"/>
  <c r="E12" i="11" s="1"/>
  <c r="D12" i="11"/>
  <c r="D12" i="11" a="1"/>
  <c r="H11" i="11" a="1"/>
  <c r="H11" i="11" s="1"/>
  <c r="G11" i="11" a="1"/>
  <c r="G11" i="11" s="1"/>
  <c r="F11" i="11"/>
  <c r="F11" i="11" a="1"/>
  <c r="E11" i="11"/>
  <c r="E11" i="11" a="1"/>
  <c r="D11" i="11" a="1"/>
  <c r="D11" i="11" s="1"/>
  <c r="H10" i="11" a="1"/>
  <c r="H10" i="11" s="1"/>
  <c r="G10" i="11" a="1"/>
  <c r="G10" i="11" s="1"/>
  <c r="F10" i="11" a="1"/>
  <c r="F10" i="11" s="1"/>
  <c r="E10" i="11" a="1"/>
  <c r="E10" i="11" s="1"/>
  <c r="D10" i="11" a="1"/>
  <c r="D10" i="11" s="1"/>
  <c r="H9" i="11" a="1"/>
  <c r="H9" i="11" s="1"/>
  <c r="G9" i="11" a="1"/>
  <c r="G9" i="11" s="1"/>
  <c r="F9" i="11" a="1"/>
  <c r="F9" i="11" s="1"/>
  <c r="E9" i="11"/>
  <c r="E9" i="11" a="1"/>
  <c r="D9" i="11" a="1"/>
  <c r="D9" i="11" s="1"/>
  <c r="H8" i="11" a="1"/>
  <c r="H8" i="11" s="1"/>
  <c r="G8" i="11"/>
  <c r="G8" i="11" a="1"/>
  <c r="F8" i="11" a="1"/>
  <c r="F8" i="11" s="1"/>
  <c r="E8" i="11" a="1"/>
  <c r="E8" i="11" s="1"/>
  <c r="D8" i="11"/>
  <c r="D8" i="11" a="1"/>
  <c r="H7" i="11" a="1"/>
  <c r="H7" i="11" s="1"/>
  <c r="G7" i="11" a="1"/>
  <c r="G7" i="11" s="1"/>
  <c r="F7" i="11" a="1"/>
  <c r="F7" i="11" s="1"/>
  <c r="E7" i="11" a="1"/>
  <c r="E7" i="11" s="1"/>
  <c r="D7" i="11" a="1"/>
  <c r="D7" i="11" s="1"/>
  <c r="H6" i="11" a="1"/>
  <c r="H6" i="11" s="1"/>
  <c r="G6" i="11"/>
  <c r="G6" i="11" a="1"/>
  <c r="F6" i="11" a="1"/>
  <c r="F6" i="11" s="1"/>
  <c r="E6" i="11"/>
  <c r="E6" i="11" a="1"/>
  <c r="D6" i="11"/>
  <c r="D6" i="11" a="1"/>
  <c r="H5" i="11" a="1"/>
  <c r="H5" i="11" s="1"/>
  <c r="G5" i="11" a="1"/>
  <c r="G5" i="11" s="1"/>
  <c r="F5" i="11"/>
  <c r="F5" i="11" a="1"/>
  <c r="E5" i="11" a="1"/>
  <c r="E5" i="11" s="1"/>
  <c r="D5" i="11" a="1"/>
  <c r="D5" i="11" s="1"/>
  <c r="H4" i="11" a="1"/>
  <c r="H4" i="11" s="1"/>
  <c r="G4" i="11" a="1"/>
  <c r="G4" i="11" s="1"/>
  <c r="F4" i="11" a="1"/>
  <c r="F4" i="11" s="1"/>
  <c r="E4" i="11"/>
  <c r="E4" i="11" a="1"/>
  <c r="D4" i="11"/>
  <c r="D4" i="11" a="1"/>
  <c r="H3" i="11" a="1"/>
  <c r="H3" i="11" s="1"/>
  <c r="H786" i="17" a="1"/>
  <c r="H786" i="17" s="1"/>
  <c r="G786" i="17"/>
  <c r="G786" i="17" a="1"/>
  <c r="F786" i="17"/>
  <c r="F786" i="17" a="1"/>
  <c r="E786" i="17" a="1"/>
  <c r="E786" i="17" s="1"/>
  <c r="D786" i="17" a="1"/>
  <c r="D786" i="17" s="1"/>
  <c r="H785" i="17" a="1"/>
  <c r="H785" i="17" s="1"/>
  <c r="G785" i="17" a="1"/>
  <c r="G785" i="17" s="1"/>
  <c r="F785" i="17" a="1"/>
  <c r="F785" i="17" s="1"/>
  <c r="E785" i="17" a="1"/>
  <c r="E785" i="17" s="1"/>
  <c r="D785" i="17"/>
  <c r="D785" i="17" a="1"/>
  <c r="H784" i="17" a="1"/>
  <c r="H784" i="17" s="1"/>
  <c r="G784" i="17" a="1"/>
  <c r="G784" i="17" s="1"/>
  <c r="F784" i="17" a="1"/>
  <c r="F784" i="17" s="1"/>
  <c r="E784" i="17"/>
  <c r="E784" i="17" a="1"/>
  <c r="D784" i="17" a="1"/>
  <c r="D784" i="17" s="1"/>
  <c r="H783" i="17" a="1"/>
  <c r="H783" i="17" s="1"/>
  <c r="G783" i="17" a="1"/>
  <c r="G783" i="17" s="1"/>
  <c r="F783" i="17" a="1"/>
  <c r="F783" i="17" s="1"/>
  <c r="E783" i="17" a="1"/>
  <c r="E783" i="17" s="1"/>
  <c r="D783" i="17"/>
  <c r="D783" i="17" a="1"/>
  <c r="H782" i="17" a="1"/>
  <c r="H782" i="17" s="1"/>
  <c r="G782" i="17" a="1"/>
  <c r="G782" i="17" s="1"/>
  <c r="F782" i="17"/>
  <c r="F782" i="17" a="1"/>
  <c r="E782" i="17" a="1"/>
  <c r="E782" i="17" s="1"/>
  <c r="D782" i="17" a="1"/>
  <c r="D782" i="17" s="1"/>
  <c r="H781" i="17" a="1"/>
  <c r="H781" i="17" s="1"/>
  <c r="G781" i="17"/>
  <c r="G781" i="17" a="1"/>
  <c r="F781" i="17" a="1"/>
  <c r="F781" i="17" s="1"/>
  <c r="E781" i="17" a="1"/>
  <c r="E781" i="17" s="1"/>
  <c r="D781" i="17"/>
  <c r="D781" i="17" a="1"/>
  <c r="H780" i="17" a="1"/>
  <c r="H780" i="17" s="1"/>
  <c r="G780" i="17" a="1"/>
  <c r="G780" i="17" s="1"/>
  <c r="F780" i="17"/>
  <c r="F780" i="17" a="1"/>
  <c r="E780" i="17" a="1"/>
  <c r="E780" i="17" s="1"/>
  <c r="D780" i="17" a="1"/>
  <c r="D780" i="17" s="1"/>
  <c r="H779" i="17" a="1"/>
  <c r="H779" i="17" s="1"/>
  <c r="G779" i="17" a="1"/>
  <c r="G779" i="17" s="1"/>
  <c r="F779" i="17"/>
  <c r="F779" i="17" a="1"/>
  <c r="E779" i="17" a="1"/>
  <c r="E779" i="17" s="1"/>
  <c r="D779" i="17"/>
  <c r="D779" i="17" a="1"/>
  <c r="H778" i="17" a="1"/>
  <c r="H778" i="17" s="1"/>
  <c r="G778" i="17" a="1"/>
  <c r="G778" i="17" s="1"/>
  <c r="F778" i="17" a="1"/>
  <c r="F778" i="17" s="1"/>
  <c r="E778" i="17"/>
  <c r="E778" i="17" a="1"/>
  <c r="D778" i="17"/>
  <c r="D778" i="17" a="1"/>
  <c r="H777" i="17" a="1"/>
  <c r="H777" i="17" s="1"/>
  <c r="G777" i="17" a="1"/>
  <c r="G777" i="17" s="1"/>
  <c r="F777" i="17" a="1"/>
  <c r="F777" i="17" s="1"/>
  <c r="E777" i="17" a="1"/>
  <c r="E777" i="17" s="1"/>
  <c r="D777" i="17" a="1"/>
  <c r="D777" i="17" s="1"/>
  <c r="H776" i="17" a="1"/>
  <c r="H776" i="17" s="1"/>
  <c r="G776" i="17"/>
  <c r="G776" i="17" a="1"/>
  <c r="F776" i="17"/>
  <c r="F776" i="17" a="1"/>
  <c r="E776" i="17"/>
  <c r="E776" i="17" a="1"/>
  <c r="D776" i="17" a="1"/>
  <c r="D776" i="17" s="1"/>
  <c r="H775" i="17" a="1"/>
  <c r="H775" i="17" s="1"/>
  <c r="G775" i="17" a="1"/>
  <c r="G775" i="17" s="1"/>
  <c r="F775" i="17" a="1"/>
  <c r="F775" i="17" s="1"/>
  <c r="E775" i="17"/>
  <c r="E775" i="17" a="1"/>
  <c r="D775" i="17" a="1"/>
  <c r="D775" i="17" s="1"/>
  <c r="H774" i="17" a="1"/>
  <c r="H774" i="17" s="1"/>
  <c r="G774" i="17"/>
  <c r="G774" i="17" a="1"/>
  <c r="F774" i="17" a="1"/>
  <c r="F774" i="17" s="1"/>
  <c r="E774" i="17" a="1"/>
  <c r="E774" i="17" s="1"/>
  <c r="D774" i="17"/>
  <c r="D774" i="17" a="1"/>
  <c r="H773" i="17" a="1"/>
  <c r="H773" i="17" s="1"/>
  <c r="G773" i="17" a="1"/>
  <c r="G773" i="17" s="1"/>
  <c r="F773" i="17" a="1"/>
  <c r="F773" i="17" s="1"/>
  <c r="E773" i="17"/>
  <c r="E773" i="17" a="1"/>
  <c r="D773" i="17" a="1"/>
  <c r="D773" i="17" s="1"/>
  <c r="H772" i="17" a="1"/>
  <c r="H772" i="17" s="1"/>
  <c r="G772" i="17"/>
  <c r="G772" i="17" a="1"/>
  <c r="F772" i="17" a="1"/>
  <c r="F772" i="17" s="1"/>
  <c r="E772" i="17"/>
  <c r="E772" i="17" a="1"/>
  <c r="D772" i="17" a="1"/>
  <c r="D772" i="17" s="1"/>
  <c r="H771" i="17" a="1"/>
  <c r="H771" i="17" s="1"/>
  <c r="G771" i="17" a="1"/>
  <c r="G771" i="17" s="1"/>
  <c r="F771" i="17" a="1"/>
  <c r="F771" i="17" s="1"/>
  <c r="E771" i="17" a="1"/>
  <c r="E771" i="17" s="1"/>
  <c r="D771" i="17" a="1"/>
  <c r="D771" i="17" s="1"/>
  <c r="H770" i="17" a="1"/>
  <c r="H770" i="17" s="1"/>
  <c r="G770" i="17" a="1"/>
  <c r="G770" i="17" s="1"/>
  <c r="F770" i="17"/>
  <c r="F770" i="17" a="1"/>
  <c r="E770" i="17" a="1"/>
  <c r="E770" i="17" s="1"/>
  <c r="D770" i="17" a="1"/>
  <c r="D770" i="17" s="1"/>
  <c r="H769" i="17" a="1"/>
  <c r="H769" i="17" s="1"/>
  <c r="G769" i="17"/>
  <c r="G769" i="17" a="1"/>
  <c r="F769" i="17" a="1"/>
  <c r="F769" i="17" s="1"/>
  <c r="E769" i="17" a="1"/>
  <c r="E769" i="17" s="1"/>
  <c r="D769" i="17"/>
  <c r="D769" i="17" a="1"/>
  <c r="H768" i="17" a="1"/>
  <c r="H768" i="17" s="1"/>
  <c r="G768" i="17"/>
  <c r="G768" i="17" a="1"/>
  <c r="F768" i="17" a="1"/>
  <c r="F768" i="17" s="1"/>
  <c r="E768" i="17" a="1"/>
  <c r="E768" i="17" s="1"/>
  <c r="D768" i="17"/>
  <c r="D768" i="17" a="1"/>
  <c r="H767" i="17" a="1"/>
  <c r="H767" i="17" s="1"/>
  <c r="G767" i="17" a="1"/>
  <c r="G767" i="17" s="1"/>
  <c r="F767" i="17"/>
  <c r="F767" i="17" a="1"/>
  <c r="E767" i="17"/>
  <c r="E767" i="17" a="1"/>
  <c r="D767" i="17"/>
  <c r="D767" i="17" a="1"/>
  <c r="H766" i="17" a="1"/>
  <c r="H766" i="17" s="1"/>
  <c r="G766" i="17" a="1"/>
  <c r="G766" i="17" s="1"/>
  <c r="F766" i="17" a="1"/>
  <c r="F766" i="17" s="1"/>
  <c r="E766" i="17"/>
  <c r="E766" i="17" a="1"/>
  <c r="D766" i="17"/>
  <c r="D766" i="17" a="1"/>
  <c r="H765" i="17" a="1"/>
  <c r="H765" i="17" s="1"/>
  <c r="G765" i="17" a="1"/>
  <c r="G765" i="17" s="1"/>
  <c r="F765" i="17"/>
  <c r="F765" i="17" a="1"/>
  <c r="E765" i="17" a="1"/>
  <c r="E765" i="17" s="1"/>
  <c r="D765" i="17" a="1"/>
  <c r="D765" i="17" s="1"/>
  <c r="H764" i="17" a="1"/>
  <c r="H764" i="17" s="1"/>
  <c r="G764" i="17"/>
  <c r="G764" i="17" a="1"/>
  <c r="F764" i="17"/>
  <c r="F764" i="17" a="1"/>
  <c r="E764" i="17"/>
  <c r="E764" i="17" a="1"/>
  <c r="D764" i="17" a="1"/>
  <c r="D764" i="17" s="1"/>
  <c r="H763" i="17" a="1"/>
  <c r="H763" i="17" s="1"/>
  <c r="G763" i="17" a="1"/>
  <c r="G763" i="17" s="1"/>
  <c r="F763" i="17"/>
  <c r="F763" i="17" a="1"/>
  <c r="E763" i="17" a="1"/>
  <c r="E763" i="17" s="1"/>
  <c r="D763" i="17" a="1"/>
  <c r="D763" i="17" s="1"/>
  <c r="H762" i="17" a="1"/>
  <c r="H762" i="17" s="1"/>
  <c r="G762" i="17" a="1"/>
  <c r="G762" i="17" s="1"/>
  <c r="F762" i="17"/>
  <c r="F762" i="17" a="1"/>
  <c r="E762" i="17" a="1"/>
  <c r="E762" i="17" s="1"/>
  <c r="D762" i="17"/>
  <c r="D762" i="17" a="1"/>
  <c r="H761" i="17" a="1"/>
  <c r="H761" i="17" s="1"/>
  <c r="G761" i="17" a="1"/>
  <c r="G761" i="17" s="1"/>
  <c r="F761" i="17"/>
  <c r="F761" i="17" a="1"/>
  <c r="E761" i="17" a="1"/>
  <c r="E761" i="17" s="1"/>
  <c r="D761" i="17"/>
  <c r="D761" i="17" a="1"/>
  <c r="H760" i="17" a="1"/>
  <c r="H760" i="17" s="1"/>
  <c r="G760" i="17" a="1"/>
  <c r="G760" i="17" s="1"/>
  <c r="F760" i="17" a="1"/>
  <c r="F760" i="17" s="1"/>
  <c r="E760" i="17" a="1"/>
  <c r="E760" i="17" s="1"/>
  <c r="D760" i="17" a="1"/>
  <c r="D760" i="17" s="1"/>
  <c r="H759" i="17" a="1"/>
  <c r="H759" i="17" s="1"/>
  <c r="G759" i="17"/>
  <c r="G759" i="17" a="1"/>
  <c r="F759" i="17"/>
  <c r="F759" i="17" a="1"/>
  <c r="E759" i="17" a="1"/>
  <c r="E759" i="17" s="1"/>
  <c r="D759" i="17" a="1"/>
  <c r="D759" i="17" s="1"/>
  <c r="H758" i="17" a="1"/>
  <c r="H758" i="17" s="1"/>
  <c r="G758" i="17"/>
  <c r="G758" i="17" a="1"/>
  <c r="F758" i="17"/>
  <c r="F758" i="17" a="1"/>
  <c r="E758" i="17"/>
  <c r="E758" i="17" a="1"/>
  <c r="D758" i="17" a="1"/>
  <c r="D758" i="17" s="1"/>
  <c r="H757" i="17" a="1"/>
  <c r="H757" i="17" s="1"/>
  <c r="G757" i="17"/>
  <c r="G757" i="17" a="1"/>
  <c r="F757" i="17" a="1"/>
  <c r="F757" i="17" s="1"/>
  <c r="E757" i="17"/>
  <c r="E757" i="17" a="1"/>
  <c r="D757" i="17"/>
  <c r="D757" i="17" a="1"/>
  <c r="H756" i="17" a="1"/>
  <c r="H756" i="17" s="1"/>
  <c r="G756" i="17" a="1"/>
  <c r="G756" i="17" s="1"/>
  <c r="F756" i="17" a="1"/>
  <c r="F756" i="17" s="1"/>
  <c r="E756" i="17"/>
  <c r="E756" i="17" a="1"/>
  <c r="D756" i="17" a="1"/>
  <c r="D756" i="17" s="1"/>
  <c r="H755" i="17" a="1"/>
  <c r="H755" i="17" s="1"/>
  <c r="G755" i="17" a="1"/>
  <c r="G755" i="17" s="1"/>
  <c r="F755" i="17"/>
  <c r="F755" i="17" a="1"/>
  <c r="E755" i="17" a="1"/>
  <c r="E755" i="17" s="1"/>
  <c r="D755" i="17" a="1"/>
  <c r="D755" i="17" s="1"/>
  <c r="H754" i="17" a="1"/>
  <c r="H754" i="17" s="1"/>
  <c r="G754" i="17" a="1"/>
  <c r="G754" i="17" s="1"/>
  <c r="F754" i="17" a="1"/>
  <c r="F754" i="17" s="1"/>
  <c r="E754" i="17"/>
  <c r="E754" i="17" a="1"/>
  <c r="D754" i="17" a="1"/>
  <c r="D754" i="17" s="1"/>
  <c r="H753" i="17" a="1"/>
  <c r="H753" i="17" s="1"/>
  <c r="G753" i="17" a="1"/>
  <c r="G753" i="17" s="1"/>
  <c r="F753" i="17" a="1"/>
  <c r="F753" i="17" s="1"/>
  <c r="E753" i="17" a="1"/>
  <c r="E753" i="17" s="1"/>
  <c r="D753" i="17" a="1"/>
  <c r="D753" i="17" s="1"/>
  <c r="H752" i="17" a="1"/>
  <c r="H752" i="17" s="1"/>
  <c r="G752" i="17" a="1"/>
  <c r="G752" i="17" s="1"/>
  <c r="F752" i="17"/>
  <c r="F752" i="17" a="1"/>
  <c r="E752" i="17" a="1"/>
  <c r="E752" i="17" s="1"/>
  <c r="D752" i="17" a="1"/>
  <c r="D752" i="17" s="1"/>
  <c r="H751" i="17" a="1"/>
  <c r="H751" i="17" s="1"/>
  <c r="G751" i="17"/>
  <c r="G751" i="17" a="1"/>
  <c r="F751" i="17" a="1"/>
  <c r="F751" i="17" s="1"/>
  <c r="E751" i="17" a="1"/>
  <c r="E751" i="17" s="1"/>
  <c r="D751" i="17" a="1"/>
  <c r="D751" i="17" s="1"/>
  <c r="H750" i="17" a="1"/>
  <c r="H750" i="17" s="1"/>
  <c r="G750" i="17" a="1"/>
  <c r="G750" i="17" s="1"/>
  <c r="F750" i="17" a="1"/>
  <c r="F750" i="17" s="1"/>
  <c r="E750" i="17"/>
  <c r="E750" i="17" a="1"/>
  <c r="D750" i="17" a="1"/>
  <c r="D750" i="17" s="1"/>
  <c r="H749" i="17" a="1"/>
  <c r="H749" i="17" s="1"/>
  <c r="G749" i="17" a="1"/>
  <c r="G749" i="17" s="1"/>
  <c r="F749" i="17"/>
  <c r="F749" i="17" a="1"/>
  <c r="E749" i="17" a="1"/>
  <c r="E749" i="17" s="1"/>
  <c r="D749" i="17"/>
  <c r="D749" i="17" a="1"/>
  <c r="H748" i="17" a="1"/>
  <c r="H748" i="17" s="1"/>
  <c r="G748" i="17" a="1"/>
  <c r="G748" i="17" s="1"/>
  <c r="F748" i="17" a="1"/>
  <c r="F748" i="17" s="1"/>
  <c r="E748" i="17"/>
  <c r="E748" i="17" a="1"/>
  <c r="D748" i="17"/>
  <c r="D748" i="17" a="1"/>
  <c r="H747" i="17" a="1"/>
  <c r="H747" i="17" s="1"/>
  <c r="G747" i="17"/>
  <c r="G747" i="17" a="1"/>
  <c r="F747" i="17" a="1"/>
  <c r="F747" i="17" s="1"/>
  <c r="E747" i="17" a="1"/>
  <c r="E747" i="17" s="1"/>
  <c r="D747" i="17" a="1"/>
  <c r="D747" i="17" s="1"/>
  <c r="H746" i="17" a="1"/>
  <c r="H746" i="17" s="1"/>
  <c r="G746" i="17"/>
  <c r="G746" i="17" a="1"/>
  <c r="F746" i="17"/>
  <c r="F746" i="17" a="1"/>
  <c r="E746" i="17"/>
  <c r="E746" i="17" a="1"/>
  <c r="D746" i="17" a="1"/>
  <c r="D746" i="17" s="1"/>
  <c r="H745" i="17" a="1"/>
  <c r="H745" i="17" s="1"/>
  <c r="G745" i="17" a="1"/>
  <c r="G745" i="17" s="1"/>
  <c r="F745" i="17"/>
  <c r="F745" i="17" a="1"/>
  <c r="E745" i="17"/>
  <c r="E745" i="17" a="1"/>
  <c r="D745" i="17"/>
  <c r="D745" i="17" a="1"/>
  <c r="H744" i="17" a="1"/>
  <c r="H744" i="17" s="1"/>
  <c r="G744" i="17" a="1"/>
  <c r="G744" i="17" s="1"/>
  <c r="F744" i="17" a="1"/>
  <c r="F744" i="17" s="1"/>
  <c r="E744" i="17" a="1"/>
  <c r="E744" i="17" s="1"/>
  <c r="D744" i="17" a="1"/>
  <c r="D744" i="17" s="1"/>
  <c r="H743" i="17" a="1"/>
  <c r="H743" i="17" s="1"/>
  <c r="G743" i="17" a="1"/>
  <c r="G743" i="17" s="1"/>
  <c r="F743" i="17"/>
  <c r="F743" i="17" a="1"/>
  <c r="E743" i="17"/>
  <c r="E743" i="17" a="1"/>
  <c r="D743" i="17" a="1"/>
  <c r="D743" i="17" s="1"/>
  <c r="H742" i="17" a="1"/>
  <c r="H742" i="17" s="1"/>
  <c r="G742" i="17"/>
  <c r="G742" i="17" a="1"/>
  <c r="F742" i="17" a="1"/>
  <c r="F742" i="17" s="1"/>
  <c r="E742" i="17"/>
  <c r="E742" i="17" a="1"/>
  <c r="D742" i="17" a="1"/>
  <c r="D742" i="17" s="1"/>
  <c r="H741" i="17" a="1"/>
  <c r="H741" i="17" s="1"/>
  <c r="G741" i="17" a="1"/>
  <c r="G741" i="17" s="1"/>
  <c r="F741" i="17"/>
  <c r="F741" i="17" a="1"/>
  <c r="E741" i="17" a="1"/>
  <c r="E741" i="17" s="1"/>
  <c r="D741" i="17"/>
  <c r="D741" i="17" a="1"/>
  <c r="H740" i="17" a="1"/>
  <c r="H740" i="17" s="1"/>
  <c r="G740" i="17" a="1"/>
  <c r="G740" i="17" s="1"/>
  <c r="F740" i="17"/>
  <c r="F740" i="17" a="1"/>
  <c r="E740" i="17" a="1"/>
  <c r="E740" i="17" s="1"/>
  <c r="D740" i="17" a="1"/>
  <c r="D740" i="17" s="1"/>
  <c r="H739" i="17" a="1"/>
  <c r="H739" i="17" s="1"/>
  <c r="G739" i="17"/>
  <c r="G739" i="17" a="1"/>
  <c r="F739" i="17" a="1"/>
  <c r="F739" i="17" s="1"/>
  <c r="E739" i="17" a="1"/>
  <c r="E739" i="17" s="1"/>
  <c r="D739" i="17"/>
  <c r="D739" i="17" a="1"/>
  <c r="H738" i="17" a="1"/>
  <c r="H738" i="17" s="1"/>
  <c r="G738" i="17" a="1"/>
  <c r="G738" i="17" s="1"/>
  <c r="F738" i="17"/>
  <c r="F738" i="17" a="1"/>
  <c r="E738" i="17" a="1"/>
  <c r="E738" i="17" s="1"/>
  <c r="D738" i="17" a="1"/>
  <c r="D738" i="17" s="1"/>
  <c r="H737" i="17" a="1"/>
  <c r="H737" i="17" s="1"/>
  <c r="G737" i="17" a="1"/>
  <c r="G737" i="17" s="1"/>
  <c r="F737" i="17" a="1"/>
  <c r="F737" i="17" s="1"/>
  <c r="E737" i="17"/>
  <c r="E737" i="17" a="1"/>
  <c r="D737" i="17"/>
  <c r="D737" i="17" a="1"/>
  <c r="H736" i="17" a="1"/>
  <c r="H736" i="17" s="1"/>
  <c r="G736" i="17" a="1"/>
  <c r="G736" i="17" s="1"/>
  <c r="F736" i="17" a="1"/>
  <c r="F736" i="17" s="1"/>
  <c r="E736" i="17"/>
  <c r="E736" i="17" a="1"/>
  <c r="D736" i="17" a="1"/>
  <c r="D736" i="17" s="1"/>
  <c r="H735" i="17" a="1"/>
  <c r="H735" i="17" s="1"/>
  <c r="G735" i="17" a="1"/>
  <c r="G735" i="17" s="1"/>
  <c r="F735" i="17"/>
  <c r="F735" i="17" a="1"/>
  <c r="E735" i="17" a="1"/>
  <c r="E735" i="17" s="1"/>
  <c r="D735" i="17" a="1"/>
  <c r="D735" i="17" s="1"/>
  <c r="H734" i="17" a="1"/>
  <c r="H734" i="17" s="1"/>
  <c r="G734" i="17"/>
  <c r="G734" i="17" a="1"/>
  <c r="F734" i="17" a="1"/>
  <c r="F734" i="17" s="1"/>
  <c r="E734" i="17" a="1"/>
  <c r="E734" i="17" s="1"/>
  <c r="D734" i="17" a="1"/>
  <c r="D734" i="17" s="1"/>
  <c r="H733" i="17" a="1"/>
  <c r="H733" i="17" s="1"/>
  <c r="G733" i="17" a="1"/>
  <c r="G733" i="17" s="1"/>
  <c r="F733" i="17" a="1"/>
  <c r="F733" i="17" s="1"/>
  <c r="E733" i="17"/>
  <c r="E733" i="17" a="1"/>
  <c r="D733" i="17" a="1"/>
  <c r="D733" i="17" s="1"/>
  <c r="H732" i="17" a="1"/>
  <c r="H732" i="17" s="1"/>
  <c r="G732" i="17" a="1"/>
  <c r="G732" i="17" s="1"/>
  <c r="F732" i="17"/>
  <c r="F732" i="17" a="1"/>
  <c r="E732" i="17" a="1"/>
  <c r="E732" i="17" s="1"/>
  <c r="D732" i="17"/>
  <c r="D732" i="17" a="1"/>
  <c r="H731" i="17" a="1"/>
  <c r="H731" i="17" s="1"/>
  <c r="G731" i="17" a="1"/>
  <c r="G731" i="17" s="1"/>
  <c r="F731" i="17" a="1"/>
  <c r="F731" i="17" s="1"/>
  <c r="E731" i="17" a="1"/>
  <c r="E731" i="17" s="1"/>
  <c r="D731" i="17"/>
  <c r="D731" i="17" a="1"/>
  <c r="H730" i="17" a="1"/>
  <c r="H730" i="17" s="1"/>
  <c r="G730" i="17"/>
  <c r="G730" i="17" a="1"/>
  <c r="F730" i="17" a="1"/>
  <c r="F730" i="17" s="1"/>
  <c r="E730" i="17" a="1"/>
  <c r="E730" i="17" s="1"/>
  <c r="D730" i="17" a="1"/>
  <c r="D730" i="17" s="1"/>
  <c r="H729" i="17" a="1"/>
  <c r="H729" i="17" s="1"/>
  <c r="G729" i="17"/>
  <c r="G729" i="17" a="1"/>
  <c r="F729" i="17"/>
  <c r="F729" i="17" a="1"/>
  <c r="E729" i="17" a="1"/>
  <c r="E729" i="17" s="1"/>
  <c r="D729" i="17" a="1"/>
  <c r="D729" i="17" s="1"/>
  <c r="H728" i="17" a="1"/>
  <c r="H728" i="17" s="1"/>
  <c r="G728" i="17"/>
  <c r="G728" i="17" a="1"/>
  <c r="F728" i="17" a="1"/>
  <c r="F728" i="17" s="1"/>
  <c r="E728" i="17"/>
  <c r="E728" i="17" a="1"/>
  <c r="D728" i="17" a="1"/>
  <c r="D728" i="17" s="1"/>
  <c r="H727" i="17" a="1"/>
  <c r="H727" i="17" s="1"/>
  <c r="G727" i="17" a="1"/>
  <c r="G727" i="17" s="1"/>
  <c r="F727" i="17" a="1"/>
  <c r="F727" i="17" s="1"/>
  <c r="E727" i="17" a="1"/>
  <c r="E727" i="17" s="1"/>
  <c r="D727" i="17" a="1"/>
  <c r="D727" i="17" s="1"/>
  <c r="H726" i="17" a="1"/>
  <c r="H726" i="17" s="1"/>
  <c r="G726" i="17"/>
  <c r="G726" i="17" a="1"/>
  <c r="F726" i="17" a="1"/>
  <c r="F726" i="17" s="1"/>
  <c r="E726" i="17"/>
  <c r="E726" i="17" a="1"/>
  <c r="D726" i="17" a="1"/>
  <c r="D726" i="17" s="1"/>
  <c r="H725" i="17" a="1"/>
  <c r="H725" i="17" s="1"/>
  <c r="G725" i="17" a="1"/>
  <c r="G725" i="17" s="1"/>
  <c r="F725" i="17"/>
  <c r="F725" i="17" a="1"/>
  <c r="E725" i="17"/>
  <c r="E725" i="17" a="1"/>
  <c r="D725" i="17" a="1"/>
  <c r="D725" i="17" s="1"/>
  <c r="H724" i="17" a="1"/>
  <c r="H724" i="17" s="1"/>
  <c r="G724" i="17" a="1"/>
  <c r="G724" i="17" s="1"/>
  <c r="F724" i="17" a="1"/>
  <c r="F724" i="17" s="1"/>
  <c r="E724" i="17" a="1"/>
  <c r="E724" i="17" s="1"/>
  <c r="D724" i="17"/>
  <c r="D724" i="17" a="1"/>
  <c r="H723" i="17" a="1"/>
  <c r="H723" i="17" s="1"/>
  <c r="G723" i="17" a="1"/>
  <c r="G723" i="17" s="1"/>
  <c r="F723" i="17"/>
  <c r="F723" i="17" a="1"/>
  <c r="E723" i="17" a="1"/>
  <c r="E723" i="17" s="1"/>
  <c r="D723" i="17"/>
  <c r="D723" i="17" a="1"/>
  <c r="H722" i="17" a="1"/>
  <c r="H722" i="17" s="1"/>
  <c r="G722" i="17"/>
  <c r="G722" i="17" a="1"/>
  <c r="F722" i="17" a="1"/>
  <c r="F722" i="17" s="1"/>
  <c r="E722" i="17" a="1"/>
  <c r="E722" i="17" s="1"/>
  <c r="D722" i="17" a="1"/>
  <c r="D722" i="17" s="1"/>
  <c r="H721" i="17" a="1"/>
  <c r="H721" i="17" s="1"/>
  <c r="G721" i="17" a="1"/>
  <c r="G721" i="17" s="1"/>
  <c r="F721" i="17"/>
  <c r="F721" i="17" a="1"/>
  <c r="E721" i="17" a="1"/>
  <c r="E721" i="17" s="1"/>
  <c r="D721" i="17"/>
  <c r="D721" i="17" a="1"/>
  <c r="H720" i="17" a="1"/>
  <c r="H720" i="17" s="1"/>
  <c r="G720" i="17" a="1"/>
  <c r="G720" i="17" s="1"/>
  <c r="F720" i="17"/>
  <c r="F720" i="17" a="1"/>
  <c r="E720" i="17"/>
  <c r="E720" i="17" a="1"/>
  <c r="D720" i="17" a="1"/>
  <c r="D720" i="17" s="1"/>
  <c r="H719" i="17" a="1"/>
  <c r="H719" i="17" s="1"/>
  <c r="G719" i="17" a="1"/>
  <c r="G719" i="17" s="1"/>
  <c r="F719" i="17"/>
  <c r="F719" i="17" a="1"/>
  <c r="E719" i="17" a="1"/>
  <c r="E719" i="17" s="1"/>
  <c r="D719" i="17" a="1"/>
  <c r="D719" i="17" s="1"/>
  <c r="H718" i="17" a="1"/>
  <c r="H718" i="17" s="1"/>
  <c r="G718" i="17" a="1"/>
  <c r="G718" i="17" s="1"/>
  <c r="F718" i="17" a="1"/>
  <c r="F718" i="17" s="1"/>
  <c r="E718" i="17"/>
  <c r="E718" i="17" a="1"/>
  <c r="D718" i="17"/>
  <c r="D718" i="17" a="1"/>
  <c r="H717" i="17" a="1"/>
  <c r="H717" i="17" s="1"/>
  <c r="G717" i="17"/>
  <c r="G717" i="17" a="1"/>
  <c r="F717" i="17"/>
  <c r="F717" i="17" a="1"/>
  <c r="E717" i="17" a="1"/>
  <c r="E717" i="17" s="1"/>
  <c r="D717" i="17" a="1"/>
  <c r="D717" i="17" s="1"/>
  <c r="H716" i="17" a="1"/>
  <c r="H716" i="17" s="1"/>
  <c r="G716" i="17" a="1"/>
  <c r="G716" i="17" s="1"/>
  <c r="F716" i="17" a="1"/>
  <c r="F716" i="17" s="1"/>
  <c r="E716" i="17"/>
  <c r="E716" i="17" a="1"/>
  <c r="D716" i="17" a="1"/>
  <c r="D716" i="17" s="1"/>
  <c r="H715" i="17" a="1"/>
  <c r="H715" i="17" s="1"/>
  <c r="G715" i="17"/>
  <c r="G715" i="17" a="1"/>
  <c r="F715" i="17"/>
  <c r="F715" i="17" a="1"/>
  <c r="E715" i="17" a="1"/>
  <c r="E715" i="17" s="1"/>
  <c r="D715" i="17"/>
  <c r="D715" i="17" a="1"/>
  <c r="H714" i="17" a="1"/>
  <c r="H714" i="17" s="1"/>
  <c r="G714" i="17" a="1"/>
  <c r="G714" i="17" s="1"/>
  <c r="F714" i="17"/>
  <c r="F714" i="17" a="1"/>
  <c r="E714" i="17" a="1"/>
  <c r="E714" i="17" s="1"/>
  <c r="D714" i="17"/>
  <c r="D714" i="17" a="1"/>
  <c r="H713" i="17" a="1"/>
  <c r="H713" i="17" s="1"/>
  <c r="G713" i="17" a="1"/>
  <c r="G713" i="17" s="1"/>
  <c r="F713" i="17"/>
  <c r="F713" i="17" a="1"/>
  <c r="E713" i="17" a="1"/>
  <c r="E713" i="17" s="1"/>
  <c r="D713" i="17" a="1"/>
  <c r="D713" i="17" s="1"/>
  <c r="H712" i="17" a="1"/>
  <c r="H712" i="17" s="1"/>
  <c r="G712" i="17"/>
  <c r="G712" i="17" a="1"/>
  <c r="F712" i="17" a="1"/>
  <c r="F712" i="17" s="1"/>
  <c r="E712" i="17"/>
  <c r="E712" i="17" a="1"/>
  <c r="D712" i="17" a="1"/>
  <c r="D712" i="17" s="1"/>
  <c r="H711" i="17" a="1"/>
  <c r="H711" i="17" s="1"/>
  <c r="G711" i="17" a="1"/>
  <c r="G711" i="17" s="1"/>
  <c r="F711" i="17" a="1"/>
  <c r="F711" i="17" s="1"/>
  <c r="E711" i="17" a="1"/>
  <c r="E711" i="17" s="1"/>
  <c r="D711" i="17"/>
  <c r="D711" i="17" a="1"/>
  <c r="H710" i="17" a="1"/>
  <c r="H710" i="17" s="1"/>
  <c r="G710" i="17" a="1"/>
  <c r="G710" i="17" s="1"/>
  <c r="F710" i="17"/>
  <c r="F710" i="17" a="1"/>
  <c r="E710" i="17" a="1"/>
  <c r="E710" i="17" s="1"/>
  <c r="D710" i="17" a="1"/>
  <c r="D710" i="17" s="1"/>
  <c r="H709" i="17" a="1"/>
  <c r="H709" i="17" s="1"/>
  <c r="G709" i="17"/>
  <c r="G709" i="17" a="1"/>
  <c r="F709" i="17" a="1"/>
  <c r="F709" i="17" s="1"/>
  <c r="E709" i="17" a="1"/>
  <c r="E709" i="17" s="1"/>
  <c r="D709" i="17"/>
  <c r="D709" i="17" a="1"/>
  <c r="H708" i="17" a="1"/>
  <c r="H708" i="17" s="1"/>
  <c r="G708" i="17" a="1"/>
  <c r="G708" i="17" s="1"/>
  <c r="F708" i="17"/>
  <c r="F708" i="17" a="1"/>
  <c r="E708" i="17"/>
  <c r="E708" i="17" a="1"/>
  <c r="D708" i="17" a="1"/>
  <c r="D708" i="17" s="1"/>
  <c r="H707" i="17" a="1"/>
  <c r="H707" i="17" s="1"/>
  <c r="G707" i="17" a="1"/>
  <c r="G707" i="17" s="1"/>
  <c r="F707" i="17" a="1"/>
  <c r="F707" i="17" s="1"/>
  <c r="E707" i="17"/>
  <c r="E707" i="17" a="1"/>
  <c r="D707" i="17"/>
  <c r="D707" i="17" a="1"/>
  <c r="H706" i="17" a="1"/>
  <c r="H706" i="17" s="1"/>
  <c r="G706" i="17" a="1"/>
  <c r="G706" i="17" s="1"/>
  <c r="F706" i="17" a="1"/>
  <c r="F706" i="17" s="1"/>
  <c r="E706" i="17" a="1"/>
  <c r="E706" i="17" s="1"/>
  <c r="D706" i="17" a="1"/>
  <c r="D706" i="17" s="1"/>
  <c r="H705" i="17" a="1"/>
  <c r="H705" i="17" s="1"/>
  <c r="G705" i="17"/>
  <c r="G705" i="17" a="1"/>
  <c r="F705" i="17" a="1"/>
  <c r="F705" i="17" s="1"/>
  <c r="E705" i="17" a="1"/>
  <c r="E705" i="17" s="1"/>
  <c r="D705" i="17" a="1"/>
  <c r="D705" i="17" s="1"/>
  <c r="H704" i="17" a="1"/>
  <c r="H704" i="17" s="1"/>
  <c r="G704" i="17" a="1"/>
  <c r="G704" i="17" s="1"/>
  <c r="F704" i="17"/>
  <c r="F704" i="17" a="1"/>
  <c r="E704" i="17" a="1"/>
  <c r="E704" i="17" s="1"/>
  <c r="D704" i="17" a="1"/>
  <c r="D704" i="17" s="1"/>
  <c r="H703" i="17" a="1"/>
  <c r="H703" i="17" s="1"/>
  <c r="G703" i="17" a="1"/>
  <c r="G703" i="17" s="1"/>
  <c r="F703" i="17"/>
  <c r="F703" i="17" a="1"/>
  <c r="E703" i="17"/>
  <c r="E703" i="17" a="1"/>
  <c r="D703" i="17"/>
  <c r="D703" i="17" a="1"/>
  <c r="H702" i="17" a="1"/>
  <c r="H702" i="17" s="1"/>
  <c r="G702" i="17"/>
  <c r="G702" i="17" a="1"/>
  <c r="F702" i="17" a="1"/>
  <c r="F702" i="17" s="1"/>
  <c r="E702" i="17" a="1"/>
  <c r="E702" i="17" s="1"/>
  <c r="D702" i="17"/>
  <c r="D702" i="17" a="1"/>
  <c r="H701" i="17" a="1"/>
  <c r="H701" i="17" s="1"/>
  <c r="G701" i="17" a="1"/>
  <c r="G701" i="17" s="1"/>
  <c r="F701" i="17" a="1"/>
  <c r="F701" i="17" s="1"/>
  <c r="E701" i="17"/>
  <c r="E701" i="17" a="1"/>
  <c r="D701" i="17" a="1"/>
  <c r="D701" i="17" s="1"/>
  <c r="H700" i="17" a="1"/>
  <c r="H700" i="17" s="1"/>
  <c r="G700" i="17"/>
  <c r="G700" i="17" a="1"/>
  <c r="F700" i="17" a="1"/>
  <c r="F700" i="17" s="1"/>
  <c r="E700" i="17" a="1"/>
  <c r="E700" i="17" s="1"/>
  <c r="D700" i="17" a="1"/>
  <c r="D700" i="17" s="1"/>
  <c r="H699" i="17" a="1"/>
  <c r="H699" i="17" s="1"/>
  <c r="G699" i="17" a="1"/>
  <c r="G699" i="17" s="1"/>
  <c r="F699" i="17" a="1"/>
  <c r="F699" i="17" s="1"/>
  <c r="E699" i="17" a="1"/>
  <c r="E699" i="17" s="1"/>
  <c r="D699" i="17"/>
  <c r="D699" i="17" a="1"/>
  <c r="H698" i="17" a="1"/>
  <c r="H698" i="17" s="1"/>
  <c r="G698" i="17" a="1"/>
  <c r="G698" i="17" s="1"/>
  <c r="F698" i="17"/>
  <c r="F698" i="17" a="1"/>
  <c r="E698" i="17" a="1"/>
  <c r="E698" i="17" s="1"/>
  <c r="D698" i="17" a="1"/>
  <c r="D698" i="17" s="1"/>
  <c r="H697" i="17" a="1"/>
  <c r="H697" i="17" s="1"/>
  <c r="G697" i="17" a="1"/>
  <c r="G697" i="17" s="1"/>
  <c r="F697" i="17"/>
  <c r="F697" i="17" a="1"/>
  <c r="E697" i="17" a="1"/>
  <c r="E697" i="17" s="1"/>
  <c r="D697" i="17"/>
  <c r="D697" i="17" a="1"/>
  <c r="H696" i="17" a="1"/>
  <c r="H696" i="17" s="1"/>
  <c r="G696" i="17" a="1"/>
  <c r="G696" i="17" s="1"/>
  <c r="F696" i="17"/>
  <c r="F696" i="17" a="1"/>
  <c r="E696" i="17" a="1"/>
  <c r="E696" i="17" s="1"/>
  <c r="D696" i="17"/>
  <c r="D696" i="17" a="1"/>
  <c r="H695" i="17" a="1"/>
  <c r="H695" i="17" s="1"/>
  <c r="G695" i="17" a="1"/>
  <c r="G695" i="17" s="1"/>
  <c r="F695" i="17"/>
  <c r="F695" i="17" a="1"/>
  <c r="E695" i="17"/>
  <c r="E695" i="17" a="1"/>
  <c r="D695" i="17" a="1"/>
  <c r="D695" i="17" s="1"/>
  <c r="H694" i="17" a="1"/>
  <c r="H694" i="17" s="1"/>
  <c r="G694" i="17"/>
  <c r="G694" i="17" a="1"/>
  <c r="F694" i="17" a="1"/>
  <c r="F694" i="17" s="1"/>
  <c r="E694" i="17" a="1"/>
  <c r="E694" i="17" s="1"/>
  <c r="D694" i="17"/>
  <c r="D694" i="17" a="1"/>
  <c r="H693" i="17" a="1"/>
  <c r="H693" i="17" s="1"/>
  <c r="G693" i="17" a="1"/>
  <c r="G693" i="17" s="1"/>
  <c r="F693" i="17"/>
  <c r="F693" i="17" a="1"/>
  <c r="E693" i="17" a="1"/>
  <c r="E693" i="17" s="1"/>
  <c r="D693" i="17"/>
  <c r="D693" i="17" a="1"/>
  <c r="H692" i="17" a="1"/>
  <c r="H692" i="17" s="1"/>
  <c r="G692" i="17"/>
  <c r="G692" i="17" a="1"/>
  <c r="F692" i="17" a="1"/>
  <c r="F692" i="17" s="1"/>
  <c r="E692" i="17" a="1"/>
  <c r="E692" i="17" s="1"/>
  <c r="D692" i="17" a="1"/>
  <c r="D692" i="17" s="1"/>
  <c r="H691" i="17" a="1"/>
  <c r="H691" i="17" s="1"/>
  <c r="G691" i="17" a="1"/>
  <c r="G691" i="17" s="1"/>
  <c r="F691" i="17"/>
  <c r="F691" i="17" a="1"/>
  <c r="E691" i="17"/>
  <c r="E691" i="17" a="1"/>
  <c r="D691" i="17" a="1"/>
  <c r="D691" i="17" s="1"/>
  <c r="H690" i="17" a="1"/>
  <c r="H690" i="17" s="1"/>
  <c r="G690" i="17" a="1"/>
  <c r="G690" i="17" s="1"/>
  <c r="F690" i="17" a="1"/>
  <c r="F690" i="17" s="1"/>
  <c r="E690" i="17"/>
  <c r="E690" i="17" a="1"/>
  <c r="D690" i="17"/>
  <c r="D690" i="17" a="1"/>
  <c r="H689" i="17" a="1"/>
  <c r="H689" i="17" s="1"/>
  <c r="G689" i="17" a="1"/>
  <c r="G689" i="17" s="1"/>
  <c r="F689" i="17" a="1"/>
  <c r="F689" i="17" s="1"/>
  <c r="E689" i="17"/>
  <c r="E689" i="17" a="1"/>
  <c r="D689" i="17"/>
  <c r="D689" i="17" a="1"/>
  <c r="H688" i="17" a="1"/>
  <c r="H688" i="17" s="1"/>
  <c r="G688" i="17"/>
  <c r="G688" i="17" a="1"/>
  <c r="F688" i="17" a="1"/>
  <c r="F688" i="17" s="1"/>
  <c r="E688" i="17" a="1"/>
  <c r="E688" i="17" s="1"/>
  <c r="D688" i="17"/>
  <c r="D688" i="17" a="1"/>
  <c r="H687" i="17" a="1"/>
  <c r="H687" i="17" s="1"/>
  <c r="G687" i="17" a="1"/>
  <c r="G687" i="17" s="1"/>
  <c r="F687" i="17"/>
  <c r="F687" i="17" a="1"/>
  <c r="E687" i="17" a="1"/>
  <c r="E687" i="17" s="1"/>
  <c r="D687" i="17" a="1"/>
  <c r="D687" i="17" s="1"/>
  <c r="H686" i="17" a="1"/>
  <c r="H686" i="17" s="1"/>
  <c r="G686" i="17"/>
  <c r="G686" i="17" a="1"/>
  <c r="F686" i="17" a="1"/>
  <c r="F686" i="17" s="1"/>
  <c r="E686" i="17"/>
  <c r="E686" i="17" a="1"/>
  <c r="D686" i="17" a="1"/>
  <c r="D686" i="17" s="1"/>
  <c r="H685" i="17" a="1"/>
  <c r="H685" i="17" s="1"/>
  <c r="G685" i="17"/>
  <c r="G685" i="17" a="1"/>
  <c r="F685" i="17" a="1"/>
  <c r="F685" i="17" s="1"/>
  <c r="E685" i="17" a="1"/>
  <c r="E685" i="17" s="1"/>
  <c r="D685" i="17" a="1"/>
  <c r="D685" i="17" s="1"/>
  <c r="H684" i="17" a="1"/>
  <c r="H684" i="17" s="1"/>
  <c r="G684" i="17" a="1"/>
  <c r="G684" i="17" s="1"/>
  <c r="F684" i="17"/>
  <c r="F684" i="17" a="1"/>
  <c r="E684" i="17" a="1"/>
  <c r="E684" i="17" s="1"/>
  <c r="D684" i="17" a="1"/>
  <c r="D684" i="17" s="1"/>
  <c r="H683" i="17" a="1"/>
  <c r="H683" i="17" s="1"/>
  <c r="G683" i="17"/>
  <c r="G683" i="17" a="1"/>
  <c r="F683" i="17" a="1"/>
  <c r="F683" i="17" s="1"/>
  <c r="E683" i="17" a="1"/>
  <c r="E683" i="17" s="1"/>
  <c r="D683" i="17"/>
  <c r="D683" i="17" a="1"/>
  <c r="H682" i="17" a="1"/>
  <c r="H682" i="17" s="1"/>
  <c r="G682" i="17"/>
  <c r="G682" i="17" a="1"/>
  <c r="F682" i="17"/>
  <c r="F682" i="17" a="1"/>
  <c r="E682" i="17" a="1"/>
  <c r="E682" i="17" s="1"/>
  <c r="D682" i="17"/>
  <c r="D682" i="17" a="1"/>
  <c r="H681" i="17" a="1"/>
  <c r="H681" i="17" s="1"/>
  <c r="G681" i="17" a="1"/>
  <c r="G681" i="17" s="1"/>
  <c r="F681" i="17" a="1"/>
  <c r="F681" i="17" s="1"/>
  <c r="E681" i="17"/>
  <c r="E681" i="17" a="1"/>
  <c r="D681" i="17" a="1"/>
  <c r="D681" i="17" s="1"/>
  <c r="H680" i="17" a="1"/>
  <c r="H680" i="17" s="1"/>
  <c r="G680" i="17" a="1"/>
  <c r="G680" i="17" s="1"/>
  <c r="F680" i="17"/>
  <c r="F680" i="17" a="1"/>
  <c r="E680" i="17" a="1"/>
  <c r="E680" i="17" s="1"/>
  <c r="D680" i="17"/>
  <c r="D680" i="17" a="1"/>
  <c r="H679" i="17" a="1"/>
  <c r="H679" i="17" s="1"/>
  <c r="G679" i="17"/>
  <c r="G679" i="17" a="1"/>
  <c r="F679" i="17" a="1"/>
  <c r="F679" i="17" s="1"/>
  <c r="E679" i="17"/>
  <c r="E679" i="17" a="1"/>
  <c r="D679" i="17" a="1"/>
  <c r="D679" i="17" s="1"/>
  <c r="H678" i="17" a="1"/>
  <c r="H678" i="17" s="1"/>
  <c r="G678" i="17" a="1"/>
  <c r="G678" i="17" s="1"/>
  <c r="F678" i="17" a="1"/>
  <c r="F678" i="17" s="1"/>
  <c r="E678" i="17"/>
  <c r="E678" i="17" a="1"/>
  <c r="D678" i="17" a="1"/>
  <c r="D678" i="17" s="1"/>
  <c r="H677" i="17" a="1"/>
  <c r="H677" i="17" s="1"/>
  <c r="G677" i="17"/>
  <c r="G677" i="17" a="1"/>
  <c r="F677" i="17" a="1"/>
  <c r="F677" i="17" s="1"/>
  <c r="E677" i="17"/>
  <c r="E677" i="17" a="1"/>
  <c r="D677" i="17" a="1"/>
  <c r="D677" i="17" s="1"/>
  <c r="H676" i="17" a="1"/>
  <c r="H676" i="17" s="1"/>
  <c r="G676" i="17"/>
  <c r="G676" i="17" a="1"/>
  <c r="F676" i="17"/>
  <c r="F676" i="17" a="1"/>
  <c r="E676" i="17" a="1"/>
  <c r="E676" i="17" s="1"/>
  <c r="D676" i="17" a="1"/>
  <c r="D676" i="17" s="1"/>
  <c r="H675" i="17" a="1"/>
  <c r="H675" i="17" s="1"/>
  <c r="G675" i="17"/>
  <c r="G675" i="17" a="1"/>
  <c r="F675" i="17" a="1"/>
  <c r="F675" i="17" s="1"/>
  <c r="E675" i="17"/>
  <c r="E675" i="17" a="1"/>
  <c r="D675" i="17" a="1"/>
  <c r="D675" i="17" s="1"/>
  <c r="H674" i="17" a="1"/>
  <c r="H674" i="17" s="1"/>
  <c r="G674" i="17" a="1"/>
  <c r="G674" i="17" s="1"/>
  <c r="F674" i="17" a="1"/>
  <c r="F674" i="17" s="1"/>
  <c r="E674" i="17"/>
  <c r="E674" i="17" a="1"/>
  <c r="D674" i="17"/>
  <c r="D674" i="17" a="1"/>
  <c r="H673" i="17" a="1"/>
  <c r="H673" i="17" s="1"/>
  <c r="G673" i="17" a="1"/>
  <c r="G673" i="17" s="1"/>
  <c r="F673" i="17"/>
  <c r="F673" i="17" a="1"/>
  <c r="E673" i="17" a="1"/>
  <c r="E673" i="17" s="1"/>
  <c r="D673" i="17" a="1"/>
  <c r="D673" i="17" s="1"/>
  <c r="H672" i="17" a="1"/>
  <c r="H672" i="17" s="1"/>
  <c r="G672" i="17" a="1"/>
  <c r="G672" i="17" s="1"/>
  <c r="F672" i="17" a="1"/>
  <c r="F672" i="17" s="1"/>
  <c r="E672" i="17" a="1"/>
  <c r="E672" i="17" s="1"/>
  <c r="D672" i="17"/>
  <c r="D672" i="17" a="1"/>
  <c r="H671" i="17" a="1"/>
  <c r="H671" i="17" s="1"/>
  <c r="G671" i="17"/>
  <c r="G671" i="17" a="1"/>
  <c r="F671" i="17" a="1"/>
  <c r="F671" i="17" s="1"/>
  <c r="E671" i="17"/>
  <c r="E671" i="17" a="1"/>
  <c r="D671" i="17" a="1"/>
  <c r="D671" i="17" s="1"/>
  <c r="H670" i="17" a="1"/>
  <c r="H670" i="17" s="1"/>
  <c r="G670" i="17"/>
  <c r="G670" i="17" a="1"/>
  <c r="F670" i="17" a="1"/>
  <c r="F670" i="17" s="1"/>
  <c r="E670" i="17" a="1"/>
  <c r="E670" i="17" s="1"/>
  <c r="D670" i="17"/>
  <c r="D670" i="17" a="1"/>
  <c r="H669" i="17" a="1"/>
  <c r="H669" i="17" s="1"/>
  <c r="G669" i="17" a="1"/>
  <c r="G669" i="17" s="1"/>
  <c r="F669" i="17" a="1"/>
  <c r="F669" i="17" s="1"/>
  <c r="E669" i="17"/>
  <c r="E669" i="17" a="1"/>
  <c r="D669" i="17" a="1"/>
  <c r="D669" i="17" s="1"/>
  <c r="H668" i="17" a="1"/>
  <c r="H668" i="17" s="1"/>
  <c r="G668" i="17"/>
  <c r="G668" i="17" a="1"/>
  <c r="F668" i="17" a="1"/>
  <c r="F668" i="17" s="1"/>
  <c r="E668" i="17"/>
  <c r="E668" i="17" a="1"/>
  <c r="D668" i="17" a="1"/>
  <c r="D668" i="17" s="1"/>
  <c r="H667" i="17" a="1"/>
  <c r="H667" i="17" s="1"/>
  <c r="G667" i="17"/>
  <c r="G667" i="17" a="1"/>
  <c r="F667" i="17"/>
  <c r="F667" i="17" a="1"/>
  <c r="E667" i="17" a="1"/>
  <c r="E667" i="17" s="1"/>
  <c r="D667" i="17" a="1"/>
  <c r="D667" i="17" s="1"/>
  <c r="H666" i="17" a="1"/>
  <c r="H666" i="17" s="1"/>
  <c r="G666" i="17" a="1"/>
  <c r="G666" i="17" s="1"/>
  <c r="F666" i="17" a="1"/>
  <c r="F666" i="17" s="1"/>
  <c r="E666" i="17" a="1"/>
  <c r="E666" i="17" s="1"/>
  <c r="D666" i="17"/>
  <c r="D666" i="17" a="1"/>
  <c r="H665" i="17" a="1"/>
  <c r="H665" i="17" s="1"/>
  <c r="G665" i="17"/>
  <c r="G665" i="17" a="1"/>
  <c r="F665" i="17" a="1"/>
  <c r="F665" i="17" s="1"/>
  <c r="E665" i="17"/>
  <c r="E665" i="17" a="1"/>
  <c r="D665" i="17" a="1"/>
  <c r="D665" i="17" s="1"/>
  <c r="H664" i="17" a="1"/>
  <c r="H664" i="17" s="1"/>
  <c r="G664" i="17" a="1"/>
  <c r="G664" i="17" s="1"/>
  <c r="F664" i="17" a="1"/>
  <c r="F664" i="17" s="1"/>
  <c r="E664" i="17" a="1"/>
  <c r="E664" i="17" s="1"/>
  <c r="D664" i="17"/>
  <c r="D664" i="17" a="1"/>
  <c r="H663" i="17" a="1"/>
  <c r="H663" i="17" s="1"/>
  <c r="G663" i="17" a="1"/>
  <c r="G663" i="17" s="1"/>
  <c r="F663" i="17"/>
  <c r="F663" i="17" a="1"/>
  <c r="E663" i="17" a="1"/>
  <c r="E663" i="17" s="1"/>
  <c r="D663" i="17" a="1"/>
  <c r="D663" i="17" s="1"/>
  <c r="H662" i="17" a="1"/>
  <c r="H662" i="17" s="1"/>
  <c r="G662" i="17"/>
  <c r="G662" i="17" a="1"/>
  <c r="F662" i="17" a="1"/>
  <c r="F662" i="17" s="1"/>
  <c r="E662" i="17"/>
  <c r="E662" i="17" a="1"/>
  <c r="D662" i="17" a="1"/>
  <c r="D662" i="17" s="1"/>
  <c r="H661" i="17" a="1"/>
  <c r="H661" i="17" s="1"/>
  <c r="G661" i="17"/>
  <c r="G661" i="17" a="1"/>
  <c r="F661" i="17" a="1"/>
  <c r="F661" i="17" s="1"/>
  <c r="E661" i="17"/>
  <c r="E661" i="17" a="1"/>
  <c r="D661" i="17" a="1"/>
  <c r="D661" i="17" s="1"/>
  <c r="H660" i="17" a="1"/>
  <c r="H660" i="17" s="1"/>
  <c r="G660" i="17" a="1"/>
  <c r="G660" i="17" s="1"/>
  <c r="F660" i="17" a="1"/>
  <c r="F660" i="17" s="1"/>
  <c r="E660" i="17"/>
  <c r="E660" i="17" a="1"/>
  <c r="D660" i="17" a="1"/>
  <c r="D660" i="17" s="1"/>
  <c r="H659" i="17" a="1"/>
  <c r="H659" i="17" s="1"/>
  <c r="G659" i="17"/>
  <c r="G659" i="17" a="1"/>
  <c r="F659" i="17" a="1"/>
  <c r="F659" i="17" s="1"/>
  <c r="E659" i="17" a="1"/>
  <c r="E659" i="17" s="1"/>
  <c r="D659" i="17" a="1"/>
  <c r="D659" i="17" s="1"/>
  <c r="H658" i="17" a="1"/>
  <c r="H658" i="17" s="1"/>
  <c r="G658" i="17" a="1"/>
  <c r="G658" i="17" s="1"/>
  <c r="F658" i="17"/>
  <c r="F658" i="17" a="1"/>
  <c r="E658" i="17" a="1"/>
  <c r="E658" i="17" s="1"/>
  <c r="D658" i="17" a="1"/>
  <c r="D658" i="17" s="1"/>
  <c r="H657" i="17" a="1"/>
  <c r="H657" i="17" s="1"/>
  <c r="G657" i="17"/>
  <c r="G657" i="17" a="1"/>
  <c r="F657" i="17" a="1"/>
  <c r="F657" i="17" s="1"/>
  <c r="E657" i="17"/>
  <c r="E657" i="17" a="1"/>
  <c r="D657" i="17" a="1"/>
  <c r="D657" i="17" s="1"/>
  <c r="H656" i="17" a="1"/>
  <c r="H656" i="17" s="1"/>
  <c r="G656" i="17" a="1"/>
  <c r="G656" i="17" s="1"/>
  <c r="F656" i="17"/>
  <c r="F656" i="17" a="1"/>
  <c r="E656" i="17" a="1"/>
  <c r="E656" i="17" s="1"/>
  <c r="D656" i="17" a="1"/>
  <c r="D656" i="17" s="1"/>
  <c r="H655" i="17" a="1"/>
  <c r="H655" i="17" s="1"/>
  <c r="G655" i="17"/>
  <c r="G655" i="17" a="1"/>
  <c r="F655" i="17" a="1"/>
  <c r="F655" i="17" s="1"/>
  <c r="E655" i="17" a="1"/>
  <c r="E655" i="17" s="1"/>
  <c r="D655" i="17" a="1"/>
  <c r="D655" i="17" s="1"/>
  <c r="H654" i="17" a="1"/>
  <c r="H654" i="17" s="1"/>
  <c r="G654" i="17" a="1"/>
  <c r="G654" i="17" s="1"/>
  <c r="F654" i="17" a="1"/>
  <c r="F654" i="17" s="1"/>
  <c r="E654" i="17"/>
  <c r="E654" i="17" a="1"/>
  <c r="D654" i="17" a="1"/>
  <c r="D654" i="17" s="1"/>
  <c r="H653" i="17" a="1"/>
  <c r="H653" i="17" s="1"/>
  <c r="G653" i="17" a="1"/>
  <c r="G653" i="17" s="1"/>
  <c r="F653" i="17" a="1"/>
  <c r="F653" i="17" s="1"/>
  <c r="E653" i="17" a="1"/>
  <c r="E653" i="17" s="1"/>
  <c r="D653" i="17"/>
  <c r="D653" i="17" a="1"/>
  <c r="H652" i="17" a="1"/>
  <c r="H652" i="17" s="1"/>
  <c r="G652" i="17" a="1"/>
  <c r="G652" i="17" s="1"/>
  <c r="F652" i="17" a="1"/>
  <c r="F652" i="17" s="1"/>
  <c r="E652" i="17" a="1"/>
  <c r="E652" i="17" s="1"/>
  <c r="D652" i="17" a="1"/>
  <c r="D652" i="17" s="1"/>
  <c r="H651" i="17" a="1"/>
  <c r="H651" i="17" s="1"/>
  <c r="G651" i="17"/>
  <c r="G651" i="17" a="1"/>
  <c r="F651" i="17" a="1"/>
  <c r="F651" i="17" s="1"/>
  <c r="E651" i="17"/>
  <c r="E651" i="17" a="1"/>
  <c r="D651" i="17" a="1"/>
  <c r="D651" i="17" s="1"/>
  <c r="H650" i="17" a="1"/>
  <c r="H650" i="17" s="1"/>
  <c r="G650" i="17" a="1"/>
  <c r="G650" i="17" s="1"/>
  <c r="F650" i="17"/>
  <c r="F650" i="17" a="1"/>
  <c r="E650" i="17" a="1"/>
  <c r="E650" i="17" s="1"/>
  <c r="D650" i="17" a="1"/>
  <c r="D650" i="17" s="1"/>
  <c r="H649" i="17" a="1"/>
  <c r="H649" i="17" s="1"/>
  <c r="G649" i="17"/>
  <c r="G649" i="17" a="1"/>
  <c r="F649" i="17" a="1"/>
  <c r="F649" i="17" s="1"/>
  <c r="E649" i="17" a="1"/>
  <c r="E649" i="17" s="1"/>
  <c r="D649" i="17"/>
  <c r="D649" i="17" a="1"/>
  <c r="H648" i="17" a="1"/>
  <c r="H648" i="17" s="1"/>
  <c r="G648" i="17" a="1"/>
  <c r="G648" i="17" s="1"/>
  <c r="F648" i="17" a="1"/>
  <c r="F648" i="17" s="1"/>
  <c r="E648" i="17"/>
  <c r="E648" i="17" a="1"/>
  <c r="D648" i="17" a="1"/>
  <c r="D648" i="17" s="1"/>
  <c r="H647" i="17" a="1"/>
  <c r="H647" i="17" s="1"/>
  <c r="G647" i="17" a="1"/>
  <c r="G647" i="17" s="1"/>
  <c r="F647" i="17" a="1"/>
  <c r="F647" i="17" s="1"/>
  <c r="E647" i="17"/>
  <c r="E647" i="17" a="1"/>
  <c r="D647" i="17" a="1"/>
  <c r="D647" i="17" s="1"/>
  <c r="H646" i="17" a="1"/>
  <c r="H646" i="17" s="1"/>
  <c r="G646" i="17" a="1"/>
  <c r="G646" i="17" s="1"/>
  <c r="F646" i="17"/>
  <c r="F646" i="17" a="1"/>
  <c r="E646" i="17" a="1"/>
  <c r="E646" i="17" s="1"/>
  <c r="D646" i="17" a="1"/>
  <c r="D646" i="17" s="1"/>
  <c r="H645" i="17" a="1"/>
  <c r="H645" i="17" s="1"/>
  <c r="G645" i="17" a="1"/>
  <c r="G645" i="17" s="1"/>
  <c r="F645" i="17"/>
  <c r="F645" i="17" a="1"/>
  <c r="E645" i="17"/>
  <c r="E645" i="17" a="1"/>
  <c r="D645" i="17" a="1"/>
  <c r="D645" i="17" s="1"/>
  <c r="H644" i="17" a="1"/>
  <c r="H644" i="17" s="1"/>
  <c r="G644" i="17"/>
  <c r="G644" i="17" a="1"/>
  <c r="F644" i="17"/>
  <c r="F644" i="17" a="1"/>
  <c r="E644" i="17" a="1"/>
  <c r="E644" i="17" s="1"/>
  <c r="D644" i="17"/>
  <c r="D644" i="17" a="1"/>
  <c r="H643" i="17" a="1"/>
  <c r="H643" i="17" s="1"/>
  <c r="G643" i="17" a="1"/>
  <c r="G643" i="17" s="1"/>
  <c r="F643" i="17" a="1"/>
  <c r="F643" i="17" s="1"/>
  <c r="E643" i="17" a="1"/>
  <c r="E643" i="17" s="1"/>
  <c r="D643" i="17" a="1"/>
  <c r="D643" i="17" s="1"/>
  <c r="H642" i="17" a="1"/>
  <c r="H642" i="17" s="1"/>
  <c r="G642" i="17" a="1"/>
  <c r="G642" i="17" s="1"/>
  <c r="F642" i="17"/>
  <c r="F642" i="17" a="1"/>
  <c r="E642" i="17" a="1"/>
  <c r="E642" i="17" s="1"/>
  <c r="D642" i="17"/>
  <c r="D642" i="17" a="1"/>
  <c r="H641" i="17" a="1"/>
  <c r="H641" i="17" s="1"/>
  <c r="G641" i="17" a="1"/>
  <c r="G641" i="17" s="1"/>
  <c r="F641" i="17" a="1"/>
  <c r="F641" i="17" s="1"/>
  <c r="E641" i="17"/>
  <c r="E641" i="17" a="1"/>
  <c r="D641" i="17" a="1"/>
  <c r="D641" i="17" s="1"/>
  <c r="H640" i="17" a="1"/>
  <c r="H640" i="17" s="1"/>
  <c r="G640" i="17" a="1"/>
  <c r="G640" i="17" s="1"/>
  <c r="F640" i="17" a="1"/>
  <c r="F640" i="17" s="1"/>
  <c r="E640" i="17" a="1"/>
  <c r="E640" i="17" s="1"/>
  <c r="D640" i="17" a="1"/>
  <c r="D640" i="17" s="1"/>
  <c r="H639" i="17" a="1"/>
  <c r="H639" i="17" s="1"/>
  <c r="G639" i="17" a="1"/>
  <c r="G639" i="17" s="1"/>
  <c r="F639" i="17"/>
  <c r="F639" i="17" a="1"/>
  <c r="E639" i="17"/>
  <c r="E639" i="17" a="1"/>
  <c r="D639" i="17" a="1"/>
  <c r="D639" i="17" s="1"/>
  <c r="H638" i="17" a="1"/>
  <c r="H638" i="17" s="1"/>
  <c r="G638" i="17"/>
  <c r="G638" i="17" a="1"/>
  <c r="F638" i="17" a="1"/>
  <c r="F638" i="17" s="1"/>
  <c r="E638" i="17" a="1"/>
  <c r="E638" i="17" s="1"/>
  <c r="D638" i="17" a="1"/>
  <c r="D638" i="17" s="1"/>
  <c r="H637" i="17" a="1"/>
  <c r="H637" i="17" s="1"/>
  <c r="G637" i="17" a="1"/>
  <c r="G637" i="17" s="1"/>
  <c r="F637" i="17" a="1"/>
  <c r="F637" i="17" s="1"/>
  <c r="E637" i="17"/>
  <c r="E637" i="17" a="1"/>
  <c r="D637" i="17" a="1"/>
  <c r="D637" i="17" s="1"/>
  <c r="H636" i="17" a="1"/>
  <c r="H636" i="17" s="1"/>
  <c r="G636" i="17" a="1"/>
  <c r="G636" i="17" s="1"/>
  <c r="F636" i="17"/>
  <c r="F636" i="17" a="1"/>
  <c r="E636" i="17" a="1"/>
  <c r="E636" i="17" s="1"/>
  <c r="D636" i="17"/>
  <c r="D636" i="17" a="1"/>
  <c r="H635" i="17" a="1"/>
  <c r="H635" i="17" s="1"/>
  <c r="G635" i="17" a="1"/>
  <c r="G635" i="17" s="1"/>
  <c r="F635" i="17" a="1"/>
  <c r="F635" i="17" s="1"/>
  <c r="E635" i="17" a="1"/>
  <c r="E635" i="17" s="1"/>
  <c r="D635" i="17"/>
  <c r="D635" i="17" a="1"/>
  <c r="H634" i="17" a="1"/>
  <c r="H634" i="17" s="1"/>
  <c r="G634" i="17"/>
  <c r="G634" i="17" a="1"/>
  <c r="F634" i="17" a="1"/>
  <c r="F634" i="17" s="1"/>
  <c r="E634" i="17" a="1"/>
  <c r="E634" i="17" s="1"/>
  <c r="D634" i="17" a="1"/>
  <c r="D634" i="17" s="1"/>
  <c r="H633" i="17" a="1"/>
  <c r="H633" i="17" s="1"/>
  <c r="G633" i="17" a="1"/>
  <c r="G633" i="17" s="1"/>
  <c r="F633" i="17"/>
  <c r="F633" i="17" a="1"/>
  <c r="E633" i="17" a="1"/>
  <c r="E633" i="17" s="1"/>
  <c r="D633" i="17" a="1"/>
  <c r="D633" i="17" s="1"/>
  <c r="H632" i="17" a="1"/>
  <c r="H632" i="17" s="1"/>
  <c r="G632" i="17" a="1"/>
  <c r="G632" i="17" s="1"/>
  <c r="F632" i="17"/>
  <c r="F632" i="17" a="1"/>
  <c r="E632" i="17" a="1"/>
  <c r="E632" i="17" s="1"/>
  <c r="D632" i="17"/>
  <c r="D632" i="17" a="1"/>
  <c r="H631" i="17" a="1"/>
  <c r="H631" i="17" s="1"/>
  <c r="G631" i="17" a="1"/>
  <c r="G631" i="17" s="1"/>
  <c r="F631" i="17" a="1"/>
  <c r="F631" i="17" s="1"/>
  <c r="E631" i="17" a="1"/>
  <c r="E631" i="17" s="1"/>
  <c r="D631" i="17" a="1"/>
  <c r="D631" i="17" s="1"/>
  <c r="H630" i="17" a="1"/>
  <c r="H630" i="17" s="1"/>
  <c r="G630" i="17" a="1"/>
  <c r="G630" i="17" s="1"/>
  <c r="F630" i="17" a="1"/>
  <c r="F630" i="17" s="1"/>
  <c r="E630" i="17"/>
  <c r="E630" i="17" a="1"/>
  <c r="D630" i="17" a="1"/>
  <c r="D630" i="17" s="1"/>
  <c r="H629" i="17" a="1"/>
  <c r="H629" i="17" s="1"/>
  <c r="G629" i="17" a="1"/>
  <c r="G629" i="17" s="1"/>
  <c r="F629" i="17" a="1"/>
  <c r="F629" i="17" s="1"/>
  <c r="E629" i="17" a="1"/>
  <c r="E629" i="17" s="1"/>
  <c r="D629" i="17" a="1"/>
  <c r="D629" i="17" s="1"/>
  <c r="H628" i="17" a="1"/>
  <c r="H628" i="17" s="1"/>
  <c r="G628" i="17" a="1"/>
  <c r="G628" i="17" s="1"/>
  <c r="F628" i="17"/>
  <c r="F628" i="17" a="1"/>
  <c r="E628" i="17" a="1"/>
  <c r="E628" i="17" s="1"/>
  <c r="D628" i="17"/>
  <c r="D628" i="17" a="1"/>
  <c r="H627" i="17" a="1"/>
  <c r="H627" i="17" s="1"/>
  <c r="G627" i="17"/>
  <c r="G627" i="17" a="1"/>
  <c r="F627" i="17"/>
  <c r="F627" i="17" a="1"/>
  <c r="E627" i="17" a="1"/>
  <c r="E627" i="17" s="1"/>
  <c r="D627" i="17" a="1"/>
  <c r="D627" i="17" s="1"/>
  <c r="H626" i="17" a="1"/>
  <c r="H626" i="17" s="1"/>
  <c r="G626" i="17" a="1"/>
  <c r="G626" i="17" s="1"/>
  <c r="F626" i="17" a="1"/>
  <c r="F626" i="17" s="1"/>
  <c r="E626" i="17" a="1"/>
  <c r="E626" i="17" s="1"/>
  <c r="D626" i="17" a="1"/>
  <c r="D626" i="17" s="1"/>
  <c r="H625" i="17" a="1"/>
  <c r="H625" i="17" s="1"/>
  <c r="G625" i="17" a="1"/>
  <c r="G625" i="17" s="1"/>
  <c r="F625" i="17"/>
  <c r="F625" i="17" a="1"/>
  <c r="E625" i="17" a="1"/>
  <c r="E625" i="17" s="1"/>
  <c r="D625" i="17" a="1"/>
  <c r="D625" i="17" s="1"/>
  <c r="H624" i="17" a="1"/>
  <c r="H624" i="17" s="1"/>
  <c r="G624" i="17" a="1"/>
  <c r="G624" i="17" s="1"/>
  <c r="F624" i="17" a="1"/>
  <c r="F624" i="17" s="1"/>
  <c r="E624" i="17" a="1"/>
  <c r="E624" i="17" s="1"/>
  <c r="D624" i="17" a="1"/>
  <c r="D624" i="17" s="1"/>
  <c r="H623" i="17" a="1"/>
  <c r="H623" i="17" s="1"/>
  <c r="G623" i="17" a="1"/>
  <c r="G623" i="17" s="1"/>
  <c r="F623" i="17" a="1"/>
  <c r="F623" i="17" s="1"/>
  <c r="E623" i="17" a="1"/>
  <c r="E623" i="17" s="1"/>
  <c r="D623" i="17" a="1"/>
  <c r="D623" i="17" s="1"/>
  <c r="H622" i="17" a="1"/>
  <c r="H622" i="17" s="1"/>
  <c r="G622" i="17" a="1"/>
  <c r="G622" i="17" s="1"/>
  <c r="F622" i="17"/>
  <c r="F622" i="17" a="1"/>
  <c r="E622" i="17" a="1"/>
  <c r="E622" i="17" s="1"/>
  <c r="D622" i="17" a="1"/>
  <c r="D622" i="17" s="1"/>
  <c r="H621" i="17" a="1"/>
  <c r="H621" i="17" s="1"/>
  <c r="G621" i="17" a="1"/>
  <c r="G621" i="17" s="1"/>
  <c r="F621" i="17" a="1"/>
  <c r="F621" i="17" s="1"/>
  <c r="E621" i="17" a="1"/>
  <c r="E621" i="17" s="1"/>
  <c r="D621" i="17" a="1"/>
  <c r="D621" i="17" s="1"/>
  <c r="H620" i="17" a="1"/>
  <c r="H620" i="17" s="1"/>
  <c r="G620" i="17"/>
  <c r="G620" i="17" a="1"/>
  <c r="F620" i="17" a="1"/>
  <c r="F620" i="17" s="1"/>
  <c r="E620" i="17"/>
  <c r="E620" i="17" a="1"/>
  <c r="D620" i="17" a="1"/>
  <c r="D620" i="17" s="1"/>
  <c r="H619" i="17" a="1"/>
  <c r="H619" i="17" s="1"/>
  <c r="G619" i="17" a="1"/>
  <c r="G619" i="17" s="1"/>
  <c r="F619" i="17"/>
  <c r="F619" i="17" a="1"/>
  <c r="E619" i="17" a="1"/>
  <c r="E619" i="17" s="1"/>
  <c r="D619" i="17"/>
  <c r="D619" i="17" a="1"/>
  <c r="H618" i="17" a="1"/>
  <c r="H618" i="17" s="1"/>
  <c r="G618" i="17" a="1"/>
  <c r="G618" i="17" s="1"/>
  <c r="F618" i="17" a="1"/>
  <c r="F618" i="17" s="1"/>
  <c r="E618" i="17" a="1"/>
  <c r="E618" i="17" s="1"/>
  <c r="D618" i="17"/>
  <c r="D618" i="17" a="1"/>
  <c r="H617" i="17" a="1"/>
  <c r="H617" i="17" s="1"/>
  <c r="G617" i="17"/>
  <c r="G617" i="17" a="1"/>
  <c r="F617" i="17" a="1"/>
  <c r="F617" i="17" s="1"/>
  <c r="E617" i="17" a="1"/>
  <c r="E617" i="17" s="1"/>
  <c r="D617" i="17" a="1"/>
  <c r="D617" i="17" s="1"/>
  <c r="H616" i="17" a="1"/>
  <c r="H616" i="17" s="1"/>
  <c r="G616" i="17"/>
  <c r="G616" i="17" a="1"/>
  <c r="F616" i="17" a="1"/>
  <c r="F616" i="17" s="1"/>
  <c r="E616" i="17" a="1"/>
  <c r="E616" i="17" s="1"/>
  <c r="D616" i="17" a="1"/>
  <c r="D616" i="17" s="1"/>
  <c r="H615" i="17" a="1"/>
  <c r="H615" i="17" s="1"/>
  <c r="G615" i="17" a="1"/>
  <c r="G615" i="17" s="1"/>
  <c r="F615" i="17" a="1"/>
  <c r="F615" i="17" s="1"/>
  <c r="E615" i="17"/>
  <c r="E615" i="17" a="1"/>
  <c r="D615" i="17" a="1"/>
  <c r="D615" i="17" s="1"/>
  <c r="H614" i="17" a="1"/>
  <c r="H614" i="17" s="1"/>
  <c r="G614" i="17" a="1"/>
  <c r="G614" i="17" s="1"/>
  <c r="F614" i="17" a="1"/>
  <c r="F614" i="17" s="1"/>
  <c r="E614" i="17" a="1"/>
  <c r="E614" i="17" s="1"/>
  <c r="D614" i="17"/>
  <c r="D614" i="17" a="1"/>
  <c r="H613" i="17" a="1"/>
  <c r="H613" i="17" s="1"/>
  <c r="G613" i="17"/>
  <c r="G613" i="17" a="1"/>
  <c r="F613" i="17" a="1"/>
  <c r="F613" i="17" s="1"/>
  <c r="E613" i="17" a="1"/>
  <c r="E613" i="17" s="1"/>
  <c r="D613" i="17" a="1"/>
  <c r="D613" i="17" s="1"/>
  <c r="H612" i="17" a="1"/>
  <c r="H612" i="17" s="1"/>
  <c r="G612" i="17"/>
  <c r="G612" i="17" a="1"/>
  <c r="F612" i="17"/>
  <c r="F612" i="17" a="1"/>
  <c r="E612" i="17" a="1"/>
  <c r="E612" i="17" s="1"/>
  <c r="D612" i="17" a="1"/>
  <c r="D612" i="17" s="1"/>
  <c r="H611" i="17" a="1"/>
  <c r="H611" i="17" s="1"/>
  <c r="G611" i="17"/>
  <c r="G611" i="17" a="1"/>
  <c r="F611" i="17"/>
  <c r="F611" i="17" a="1"/>
  <c r="E611" i="17"/>
  <c r="E611" i="17" a="1"/>
  <c r="D611" i="17" a="1"/>
  <c r="D611" i="17" s="1"/>
  <c r="H610" i="17" a="1"/>
  <c r="H610" i="17" s="1"/>
  <c r="G610" i="17" a="1"/>
  <c r="G610" i="17" s="1"/>
  <c r="F610" i="17" a="1"/>
  <c r="F610" i="17" s="1"/>
  <c r="E610" i="17" a="1"/>
  <c r="E610" i="17" s="1"/>
  <c r="D610" i="17"/>
  <c r="D610" i="17" a="1"/>
  <c r="H609" i="17" a="1"/>
  <c r="H609" i="17" s="1"/>
  <c r="G609" i="17"/>
  <c r="G609" i="17" a="1"/>
  <c r="F609" i="17" a="1"/>
  <c r="F609" i="17" s="1"/>
  <c r="E609" i="17" a="1"/>
  <c r="E609" i="17" s="1"/>
  <c r="D609" i="17"/>
  <c r="D609" i="17" a="1"/>
  <c r="H608" i="17" a="1"/>
  <c r="H608" i="17" s="1"/>
  <c r="G608" i="17" a="1"/>
  <c r="G608" i="17" s="1"/>
  <c r="F608" i="17" a="1"/>
  <c r="F608" i="17" s="1"/>
  <c r="E608" i="17" a="1"/>
  <c r="E608" i="17" s="1"/>
  <c r="D608" i="17" a="1"/>
  <c r="D608" i="17" s="1"/>
  <c r="H607" i="17" a="1"/>
  <c r="H607" i="17" s="1"/>
  <c r="G607" i="17"/>
  <c r="G607" i="17" a="1"/>
  <c r="F607" i="17" a="1"/>
  <c r="F607" i="17" s="1"/>
  <c r="E607" i="17" a="1"/>
  <c r="E607" i="17" s="1"/>
  <c r="D607" i="17"/>
  <c r="D607" i="17" a="1"/>
  <c r="H606" i="17" a="1"/>
  <c r="H606" i="17" s="1"/>
  <c r="G606" i="17" a="1"/>
  <c r="G606" i="17" s="1"/>
  <c r="F606" i="17"/>
  <c r="F606" i="17" a="1"/>
  <c r="E606" i="17" a="1"/>
  <c r="E606" i="17" s="1"/>
  <c r="D606" i="17"/>
  <c r="D606" i="17" a="1"/>
  <c r="H605" i="17" a="1"/>
  <c r="H605" i="17" s="1"/>
  <c r="G605" i="17" a="1"/>
  <c r="G605" i="17" s="1"/>
  <c r="F605" i="17"/>
  <c r="F605" i="17" a="1"/>
  <c r="E605" i="17"/>
  <c r="E605" i="17" a="1"/>
  <c r="D605" i="17" a="1"/>
  <c r="D605" i="17" s="1"/>
  <c r="H604" i="17" a="1"/>
  <c r="H604" i="17" s="1"/>
  <c r="G604" i="17" a="1"/>
  <c r="G604" i="17" s="1"/>
  <c r="F604" i="17"/>
  <c r="F604" i="17" a="1"/>
  <c r="E604" i="17" a="1"/>
  <c r="E604" i="17" s="1"/>
  <c r="D604" i="17"/>
  <c r="D604" i="17" a="1"/>
  <c r="H603" i="17" a="1"/>
  <c r="H603" i="17" s="1"/>
  <c r="G603" i="17" a="1"/>
  <c r="G603" i="17" s="1"/>
  <c r="F603" i="17"/>
  <c r="F603" i="17" a="1"/>
  <c r="E603" i="17" a="1"/>
  <c r="E603" i="17" s="1"/>
  <c r="D603" i="17" a="1"/>
  <c r="D603" i="17" s="1"/>
  <c r="H602" i="17" a="1"/>
  <c r="H602" i="17" s="1"/>
  <c r="G602" i="17" a="1"/>
  <c r="G602" i="17" s="1"/>
  <c r="F602" i="17"/>
  <c r="F602" i="17" a="1"/>
  <c r="E602" i="17"/>
  <c r="E602" i="17" a="1"/>
  <c r="D602" i="17" a="1"/>
  <c r="D602" i="17" s="1"/>
  <c r="H601" i="17" a="1"/>
  <c r="H601" i="17" s="1"/>
  <c r="G601" i="17"/>
  <c r="G601" i="17" a="1"/>
  <c r="F601" i="17" a="1"/>
  <c r="F601" i="17" s="1"/>
  <c r="E601" i="17" a="1"/>
  <c r="E601" i="17" s="1"/>
  <c r="D601" i="17" a="1"/>
  <c r="D601" i="17" s="1"/>
  <c r="H600" i="17" a="1"/>
  <c r="H600" i="17" s="1"/>
  <c r="G600" i="17" a="1"/>
  <c r="G600" i="17" s="1"/>
  <c r="F600" i="17"/>
  <c r="F600" i="17" a="1"/>
  <c r="E600" i="17" a="1"/>
  <c r="E600" i="17" s="1"/>
  <c r="D600" i="17" a="1"/>
  <c r="D600" i="17" s="1"/>
  <c r="H599" i="17" a="1"/>
  <c r="H599" i="17" s="1"/>
  <c r="G599" i="17" a="1"/>
  <c r="G599" i="17" s="1"/>
  <c r="F599" i="17" a="1"/>
  <c r="F599" i="17" s="1"/>
  <c r="E599" i="17"/>
  <c r="E599" i="17" a="1"/>
  <c r="D599" i="17" a="1"/>
  <c r="D599" i="17" s="1"/>
  <c r="H598" i="17" a="1"/>
  <c r="H598" i="17" s="1"/>
  <c r="G598" i="17" a="1"/>
  <c r="G598" i="17" s="1"/>
  <c r="F598" i="17" a="1"/>
  <c r="F598" i="17" s="1"/>
  <c r="E598" i="17"/>
  <c r="E598" i="17" a="1"/>
  <c r="D598" i="17"/>
  <c r="D598" i="17" a="1"/>
  <c r="H597" i="17" a="1"/>
  <c r="H597" i="17" s="1"/>
  <c r="G597" i="17" a="1"/>
  <c r="G597" i="17" s="1"/>
  <c r="F597" i="17" a="1"/>
  <c r="F597" i="17" s="1"/>
  <c r="E597" i="17"/>
  <c r="E597" i="17" a="1"/>
  <c r="D597" i="17" a="1"/>
  <c r="D597" i="17" s="1"/>
  <c r="H596" i="17" a="1"/>
  <c r="H596" i="17" s="1"/>
  <c r="G596" i="17" a="1"/>
  <c r="G596" i="17" s="1"/>
  <c r="F596" i="17" a="1"/>
  <c r="F596" i="17" s="1"/>
  <c r="E596" i="17" a="1"/>
  <c r="E596" i="17" s="1"/>
  <c r="D596" i="17" a="1"/>
  <c r="D596" i="17" s="1"/>
  <c r="H595" i="17" a="1"/>
  <c r="H595" i="17" s="1"/>
  <c r="G595" i="17"/>
  <c r="G595" i="17" a="1"/>
  <c r="F595" i="17" a="1"/>
  <c r="F595" i="17" s="1"/>
  <c r="E595" i="17"/>
  <c r="E595" i="17" a="1"/>
  <c r="D595" i="17"/>
  <c r="D595" i="17" a="1"/>
  <c r="H594" i="17" a="1"/>
  <c r="H594" i="17" s="1"/>
  <c r="G594" i="17"/>
  <c r="G594" i="17" a="1"/>
  <c r="F594" i="17"/>
  <c r="F594" i="17" a="1"/>
  <c r="E594" i="17" a="1"/>
  <c r="E594" i="17" s="1"/>
  <c r="D594" i="17" a="1"/>
  <c r="D594" i="17" s="1"/>
  <c r="H593" i="17" a="1"/>
  <c r="H593" i="17" s="1"/>
  <c r="G593" i="17"/>
  <c r="G593" i="17" a="1"/>
  <c r="F593" i="17"/>
  <c r="F593" i="17" a="1"/>
  <c r="E593" i="17"/>
  <c r="E593" i="17" a="1"/>
  <c r="D593" i="17" a="1"/>
  <c r="D593" i="17" s="1"/>
  <c r="H592" i="17" a="1"/>
  <c r="H592" i="17" s="1"/>
  <c r="G592" i="17"/>
  <c r="G592" i="17" a="1"/>
  <c r="F592" i="17" a="1"/>
  <c r="F592" i="17" s="1"/>
  <c r="E592" i="17" a="1"/>
  <c r="E592" i="17" s="1"/>
  <c r="D592" i="17"/>
  <c r="D592" i="17" a="1"/>
  <c r="H591" i="17" a="1"/>
  <c r="H591" i="17" s="1"/>
  <c r="G591" i="17"/>
  <c r="G591" i="17" a="1"/>
  <c r="F591" i="17" a="1"/>
  <c r="F591" i="17" s="1"/>
  <c r="E591" i="17" a="1"/>
  <c r="E591" i="17" s="1"/>
  <c r="D591" i="17" a="1"/>
  <c r="D591" i="17" s="1"/>
  <c r="H590" i="17" a="1"/>
  <c r="H590" i="17" s="1"/>
  <c r="G590" i="17" a="1"/>
  <c r="G590" i="17" s="1"/>
  <c r="F590" i="17"/>
  <c r="F590" i="17" a="1"/>
  <c r="E590" i="17" a="1"/>
  <c r="E590" i="17" s="1"/>
  <c r="D590" i="17"/>
  <c r="D590" i="17" a="1"/>
  <c r="H589" i="17" a="1"/>
  <c r="H589" i="17" s="1"/>
  <c r="G589" i="17"/>
  <c r="G589" i="17" a="1"/>
  <c r="F589" i="17" a="1"/>
  <c r="F589" i="17" s="1"/>
  <c r="E589" i="17" a="1"/>
  <c r="E589" i="17" s="1"/>
  <c r="D589" i="17"/>
  <c r="D589" i="17" a="1"/>
  <c r="H588" i="17" a="1"/>
  <c r="H588" i="17" s="1"/>
  <c r="G588" i="17" a="1"/>
  <c r="G588" i="17" s="1"/>
  <c r="F588" i="17"/>
  <c r="F588" i="17" a="1"/>
  <c r="E588" i="17" a="1"/>
  <c r="E588" i="17" s="1"/>
  <c r="D588" i="17"/>
  <c r="D588" i="17" a="1"/>
  <c r="H587" i="17" a="1"/>
  <c r="H587" i="17" s="1"/>
  <c r="G587" i="17" a="1"/>
  <c r="G587" i="17" s="1"/>
  <c r="F587" i="17"/>
  <c r="F587" i="17" a="1"/>
  <c r="E587" i="17"/>
  <c r="E587" i="17" a="1"/>
  <c r="D587" i="17" a="1"/>
  <c r="D587" i="17" s="1"/>
  <c r="H586" i="17" a="1"/>
  <c r="H586" i="17" s="1"/>
  <c r="G586" i="17" a="1"/>
  <c r="G586" i="17" s="1"/>
  <c r="F586" i="17"/>
  <c r="F586" i="17" a="1"/>
  <c r="E586" i="17" a="1"/>
  <c r="E586" i="17" s="1"/>
  <c r="D586" i="17"/>
  <c r="D586" i="17" a="1"/>
  <c r="H585" i="17" a="1"/>
  <c r="H585" i="17" s="1"/>
  <c r="G585" i="17" a="1"/>
  <c r="G585" i="17" s="1"/>
  <c r="F585" i="17"/>
  <c r="F585" i="17" a="1"/>
  <c r="E585" i="17" a="1"/>
  <c r="E585" i="17" s="1"/>
  <c r="D585" i="17" a="1"/>
  <c r="D585" i="17" s="1"/>
  <c r="H584" i="17" a="1"/>
  <c r="H584" i="17" s="1"/>
  <c r="G584" i="17" a="1"/>
  <c r="G584" i="17" s="1"/>
  <c r="F584" i="17"/>
  <c r="F584" i="17" a="1"/>
  <c r="E584" i="17" a="1"/>
  <c r="E584" i="17" s="1"/>
  <c r="D584" i="17" a="1"/>
  <c r="D584" i="17" s="1"/>
  <c r="H583" i="17" a="1"/>
  <c r="H583" i="17" s="1"/>
  <c r="G583" i="17"/>
  <c r="G583" i="17" a="1"/>
  <c r="F583" i="17" a="1"/>
  <c r="F583" i="17" s="1"/>
  <c r="E583" i="17" a="1"/>
  <c r="E583" i="17" s="1"/>
  <c r="D583" i="17"/>
  <c r="D583" i="17" a="1"/>
  <c r="H582" i="17" a="1"/>
  <c r="H582" i="17" s="1"/>
  <c r="G582" i="17" a="1"/>
  <c r="G582" i="17" s="1"/>
  <c r="F582" i="17"/>
  <c r="F582" i="17" a="1"/>
  <c r="E582" i="17" a="1"/>
  <c r="E582" i="17" s="1"/>
  <c r="D582" i="17" a="1"/>
  <c r="D582" i="17" s="1"/>
  <c r="H581" i="17" a="1"/>
  <c r="H581" i="17" s="1"/>
  <c r="G581" i="17"/>
  <c r="G581" i="17" a="1"/>
  <c r="F581" i="17" a="1"/>
  <c r="F581" i="17" s="1"/>
  <c r="E581" i="17"/>
  <c r="E581" i="17" a="1"/>
  <c r="D581" i="17" a="1"/>
  <c r="D581" i="17" s="1"/>
  <c r="H580" i="17" a="1"/>
  <c r="H580" i="17" s="1"/>
  <c r="G580" i="17" a="1"/>
  <c r="G580" i="17" s="1"/>
  <c r="F580" i="17"/>
  <c r="F580" i="17" a="1"/>
  <c r="E580" i="17"/>
  <c r="E580" i="17" a="1"/>
  <c r="D580" i="17"/>
  <c r="D580" i="17" a="1"/>
  <c r="H579" i="17" a="1"/>
  <c r="H579" i="17" s="1"/>
  <c r="G579" i="17" a="1"/>
  <c r="G579" i="17" s="1"/>
  <c r="F579" i="17" a="1"/>
  <c r="F579" i="17" s="1"/>
  <c r="E579" i="17"/>
  <c r="E579" i="17" a="1"/>
  <c r="D579" i="17" a="1"/>
  <c r="D579" i="17" s="1"/>
  <c r="H578" i="17" a="1"/>
  <c r="H578" i="17" s="1"/>
  <c r="G578" i="17" a="1"/>
  <c r="G578" i="17" s="1"/>
  <c r="F578" i="17" a="1"/>
  <c r="F578" i="17" s="1"/>
  <c r="E578" i="17"/>
  <c r="E578" i="17" a="1"/>
  <c r="D578" i="17" a="1"/>
  <c r="D578" i="17" s="1"/>
  <c r="H577" i="17" a="1"/>
  <c r="H577" i="17" s="1"/>
  <c r="G577" i="17"/>
  <c r="G577" i="17" a="1"/>
  <c r="F577" i="17" a="1"/>
  <c r="F577" i="17" s="1"/>
  <c r="E577" i="17"/>
  <c r="E577" i="17" a="1"/>
  <c r="D577" i="17" a="1"/>
  <c r="D577" i="17" s="1"/>
  <c r="H576" i="17" a="1"/>
  <c r="H576" i="17" s="1"/>
  <c r="G576" i="17" a="1"/>
  <c r="G576" i="17" s="1"/>
  <c r="F576" i="17"/>
  <c r="F576" i="17" a="1"/>
  <c r="E576" i="17" a="1"/>
  <c r="E576" i="17" s="1"/>
  <c r="D576" i="17" a="1"/>
  <c r="D576" i="17" s="1"/>
  <c r="H575" i="17" a="1"/>
  <c r="H575" i="17" s="1"/>
  <c r="G575" i="17"/>
  <c r="G575" i="17" a="1"/>
  <c r="F575" i="17" a="1"/>
  <c r="F575" i="17" s="1"/>
  <c r="E575" i="17"/>
  <c r="E575" i="17" a="1"/>
  <c r="D575" i="17" a="1"/>
  <c r="D575" i="17" s="1"/>
  <c r="H574" i="17" a="1"/>
  <c r="H574" i="17" s="1"/>
  <c r="G574" i="17"/>
  <c r="G574" i="17" a="1"/>
  <c r="F574" i="17" a="1"/>
  <c r="F574" i="17" s="1"/>
  <c r="E574" i="17" a="1"/>
  <c r="E574" i="17" s="1"/>
  <c r="D574" i="17"/>
  <c r="D574" i="17" a="1"/>
  <c r="H573" i="17" a="1"/>
  <c r="H573" i="17" s="1"/>
  <c r="G573" i="17"/>
  <c r="G573" i="17" a="1"/>
  <c r="F573" i="17" a="1"/>
  <c r="F573" i="17" s="1"/>
  <c r="E573" i="17" a="1"/>
  <c r="E573" i="17" s="1"/>
  <c r="D573" i="17"/>
  <c r="D573" i="17" a="1"/>
  <c r="H572" i="17" a="1"/>
  <c r="H572" i="17" s="1"/>
  <c r="G572" i="17" a="1"/>
  <c r="G572" i="17" s="1"/>
  <c r="F572" i="17"/>
  <c r="F572" i="17" a="1"/>
  <c r="E572" i="17" a="1"/>
  <c r="E572" i="17" s="1"/>
  <c r="D572" i="17"/>
  <c r="D572" i="17" a="1"/>
  <c r="H571" i="17" a="1"/>
  <c r="H571" i="17" s="1"/>
  <c r="G571" i="17" a="1"/>
  <c r="G571" i="17" s="1"/>
  <c r="F571" i="17" a="1"/>
  <c r="F571" i="17" s="1"/>
  <c r="E571" i="17" a="1"/>
  <c r="E571" i="17" s="1"/>
  <c r="D571" i="17"/>
  <c r="D571" i="17" a="1"/>
  <c r="H570" i="17" a="1"/>
  <c r="H570" i="17" s="1"/>
  <c r="G570" i="17" a="1"/>
  <c r="G570" i="17" s="1"/>
  <c r="F570" i="17"/>
  <c r="F570" i="17" a="1"/>
  <c r="E570" i="17" a="1"/>
  <c r="E570" i="17" s="1"/>
  <c r="D570" i="17"/>
  <c r="D570" i="17" a="1"/>
  <c r="H569" i="17" a="1"/>
  <c r="H569" i="17" s="1"/>
  <c r="G569" i="17" a="1"/>
  <c r="G569" i="17" s="1"/>
  <c r="F569" i="17"/>
  <c r="F569" i="17" a="1"/>
  <c r="E569" i="17" a="1"/>
  <c r="E569" i="17" s="1"/>
  <c r="D569" i="17" a="1"/>
  <c r="D569" i="17" s="1"/>
  <c r="H568" i="17" a="1"/>
  <c r="H568" i="17" s="1"/>
  <c r="G568" i="17" a="1"/>
  <c r="G568" i="17" s="1"/>
  <c r="F568" i="17"/>
  <c r="F568" i="17" a="1"/>
  <c r="E568" i="17" a="1"/>
  <c r="E568" i="17" s="1"/>
  <c r="D568" i="17" a="1"/>
  <c r="D568" i="17" s="1"/>
  <c r="H567" i="17" a="1"/>
  <c r="H567" i="17" s="1"/>
  <c r="G567" i="17" a="1"/>
  <c r="G567" i="17" s="1"/>
  <c r="F567" i="17" a="1"/>
  <c r="F567" i="17" s="1"/>
  <c r="E567" i="17" a="1"/>
  <c r="E567" i="17" s="1"/>
  <c r="D567" i="17" a="1"/>
  <c r="D567" i="17" s="1"/>
  <c r="H566" i="17" a="1"/>
  <c r="H566" i="17" s="1"/>
  <c r="G566" i="17" a="1"/>
  <c r="G566" i="17" s="1"/>
  <c r="F566" i="17"/>
  <c r="F566" i="17" a="1"/>
  <c r="E566" i="17"/>
  <c r="E566" i="17" a="1"/>
  <c r="D566" i="17" a="1"/>
  <c r="D566" i="17" s="1"/>
  <c r="H565" i="17" a="1"/>
  <c r="H565" i="17" s="1"/>
  <c r="G565" i="17"/>
  <c r="G565" i="17" a="1"/>
  <c r="F565" i="17" a="1"/>
  <c r="F565" i="17" s="1"/>
  <c r="E565" i="17" a="1"/>
  <c r="E565" i="17" s="1"/>
  <c r="D565" i="17" a="1"/>
  <c r="D565" i="17" s="1"/>
  <c r="H564" i="17" a="1"/>
  <c r="H564" i="17" s="1"/>
  <c r="G564" i="17" a="1"/>
  <c r="G564" i="17" s="1"/>
  <c r="F564" i="17" a="1"/>
  <c r="F564" i="17" s="1"/>
  <c r="E564" i="17" a="1"/>
  <c r="E564" i="17" s="1"/>
  <c r="D564" i="17" a="1"/>
  <c r="D564" i="17" s="1"/>
  <c r="H563" i="17" a="1"/>
  <c r="H563" i="17" s="1"/>
  <c r="G563" i="17" a="1"/>
  <c r="G563" i="17" s="1"/>
  <c r="F563" i="17" a="1"/>
  <c r="F563" i="17" s="1"/>
  <c r="E563" i="17"/>
  <c r="E563" i="17" a="1"/>
  <c r="D563" i="17" a="1"/>
  <c r="D563" i="17" s="1"/>
  <c r="H562" i="17" a="1"/>
  <c r="H562" i="17" s="1"/>
  <c r="G562" i="17" a="1"/>
  <c r="G562" i="17" s="1"/>
  <c r="F562" i="17" a="1"/>
  <c r="F562" i="17" s="1"/>
  <c r="E562" i="17" a="1"/>
  <c r="E562" i="17" s="1"/>
  <c r="D562" i="17" a="1"/>
  <c r="D562" i="17" s="1"/>
  <c r="H561" i="17" a="1"/>
  <c r="H561" i="17" s="1"/>
  <c r="G561" i="17"/>
  <c r="G561" i="17" a="1"/>
  <c r="F561" i="17" a="1"/>
  <c r="F561" i="17" s="1"/>
  <c r="E561" i="17"/>
  <c r="E561" i="17" a="1"/>
  <c r="D561" i="17" a="1"/>
  <c r="D561" i="17" s="1"/>
  <c r="H560" i="17" a="1"/>
  <c r="H560" i="17" s="1"/>
  <c r="G560" i="17" a="1"/>
  <c r="G560" i="17" s="1"/>
  <c r="F560" i="17" a="1"/>
  <c r="F560" i="17" s="1"/>
  <c r="E560" i="17"/>
  <c r="E560" i="17" a="1"/>
  <c r="D560" i="17" a="1"/>
  <c r="D560" i="17" s="1"/>
  <c r="H559" i="17" a="1"/>
  <c r="H559" i="17" s="1"/>
  <c r="G559" i="17" a="1"/>
  <c r="G559" i="17" s="1"/>
  <c r="F559" i="17" a="1"/>
  <c r="F559" i="17" s="1"/>
  <c r="E559" i="17"/>
  <c r="E559" i="17" a="1"/>
  <c r="D559" i="17" a="1"/>
  <c r="D559" i="17" s="1"/>
  <c r="H558" i="17" a="1"/>
  <c r="H558" i="17" s="1"/>
  <c r="G558" i="17"/>
  <c r="G558" i="17" a="1"/>
  <c r="F558" i="17" a="1"/>
  <c r="F558" i="17" s="1"/>
  <c r="E558" i="17" a="1"/>
  <c r="E558" i="17" s="1"/>
  <c r="D558" i="17" a="1"/>
  <c r="D558" i="17" s="1"/>
  <c r="H557" i="17" a="1"/>
  <c r="H557" i="17" s="1"/>
  <c r="G557" i="17"/>
  <c r="G557" i="17" a="1"/>
  <c r="F557" i="17" a="1"/>
  <c r="F557" i="17" s="1"/>
  <c r="E557" i="17" a="1"/>
  <c r="E557" i="17" s="1"/>
  <c r="D557" i="17" a="1"/>
  <c r="D557" i="17" s="1"/>
  <c r="H556" i="17" a="1"/>
  <c r="H556" i="17" s="1"/>
  <c r="G556" i="17"/>
  <c r="G556" i="17" a="1"/>
  <c r="F556" i="17" a="1"/>
  <c r="F556" i="17" s="1"/>
  <c r="E556" i="17" a="1"/>
  <c r="E556" i="17" s="1"/>
  <c r="D556" i="17"/>
  <c r="D556" i="17" a="1"/>
  <c r="H555" i="17" a="1"/>
  <c r="H555" i="17" s="1"/>
  <c r="G555" i="17" a="1"/>
  <c r="G555" i="17" s="1"/>
  <c r="F555" i="17"/>
  <c r="F555" i="17" a="1"/>
  <c r="E555" i="17" a="1"/>
  <c r="E555" i="17" s="1"/>
  <c r="D555" i="17"/>
  <c r="D555" i="17" a="1"/>
  <c r="H554" i="17" a="1"/>
  <c r="H554" i="17" s="1"/>
  <c r="G554" i="17" a="1"/>
  <c r="G554" i="17" s="1"/>
  <c r="F554" i="17" a="1"/>
  <c r="F554" i="17" s="1"/>
  <c r="E554" i="17"/>
  <c r="E554" i="17" a="1"/>
  <c r="D554" i="17"/>
  <c r="D554" i="17" a="1"/>
  <c r="H553" i="17" a="1"/>
  <c r="H553" i="17" s="1"/>
  <c r="G553" i="17" a="1"/>
  <c r="G553" i="17" s="1"/>
  <c r="F553" i="17" a="1"/>
  <c r="F553" i="17" s="1"/>
  <c r="E553" i="17" a="1"/>
  <c r="E553" i="17" s="1"/>
  <c r="D553" i="17"/>
  <c r="D553" i="17" a="1"/>
  <c r="H552" i="17" a="1"/>
  <c r="H552" i="17" s="1"/>
  <c r="G552" i="17" a="1"/>
  <c r="G552" i="17" s="1"/>
  <c r="F552" i="17"/>
  <c r="F552" i="17" a="1"/>
  <c r="E552" i="17" a="1"/>
  <c r="E552" i="17" s="1"/>
  <c r="D552" i="17"/>
  <c r="D552" i="17" a="1"/>
  <c r="H551" i="17" a="1"/>
  <c r="H551" i="17" s="1"/>
  <c r="G551" i="17"/>
  <c r="G551" i="17" a="1"/>
  <c r="F551" i="17"/>
  <c r="F551" i="17" a="1"/>
  <c r="E551" i="17" a="1"/>
  <c r="E551" i="17" s="1"/>
  <c r="D551" i="17" a="1"/>
  <c r="D551" i="17" s="1"/>
  <c r="H550" i="17" a="1"/>
  <c r="H550" i="17" s="1"/>
  <c r="G550" i="17" a="1"/>
  <c r="G550" i="17" s="1"/>
  <c r="F550" i="17" a="1"/>
  <c r="F550" i="17" s="1"/>
  <c r="E550" i="17" a="1"/>
  <c r="E550" i="17" s="1"/>
  <c r="D550" i="17" a="1"/>
  <c r="D550" i="17" s="1"/>
  <c r="H549" i="17" a="1"/>
  <c r="H549" i="17" s="1"/>
  <c r="G549" i="17" a="1"/>
  <c r="G549" i="17" s="1"/>
  <c r="F549" i="17"/>
  <c r="F549" i="17" a="1"/>
  <c r="E549" i="17"/>
  <c r="E549" i="17" a="1"/>
  <c r="D549" i="17" a="1"/>
  <c r="D549" i="17" s="1"/>
  <c r="H548" i="17" a="1"/>
  <c r="H548" i="17" s="1"/>
  <c r="G548" i="17" a="1"/>
  <c r="G548" i="17" s="1"/>
  <c r="F548" i="17"/>
  <c r="F548" i="17" a="1"/>
  <c r="E548" i="17" a="1"/>
  <c r="E548" i="17" s="1"/>
  <c r="D548" i="17" a="1"/>
  <c r="D548" i="17" s="1"/>
  <c r="H547" i="17" a="1"/>
  <c r="H547" i="17" s="1"/>
  <c r="G547" i="17" a="1"/>
  <c r="G547" i="17" s="1"/>
  <c r="F547" i="17" a="1"/>
  <c r="F547" i="17" s="1"/>
  <c r="E547" i="17" a="1"/>
  <c r="E547" i="17" s="1"/>
  <c r="D547" i="17" a="1"/>
  <c r="D547" i="17" s="1"/>
  <c r="H546" i="17" a="1"/>
  <c r="H546" i="17" s="1"/>
  <c r="G546" i="17" a="1"/>
  <c r="G546" i="17" s="1"/>
  <c r="F546" i="17"/>
  <c r="F546" i="17" a="1"/>
  <c r="E546" i="17" a="1"/>
  <c r="E546" i="17" s="1"/>
  <c r="D546" i="17" a="1"/>
  <c r="D546" i="17" s="1"/>
  <c r="H545" i="17" a="1"/>
  <c r="H545" i="17" s="1"/>
  <c r="G545" i="17" a="1"/>
  <c r="G545" i="17" s="1"/>
  <c r="F545" i="17" a="1"/>
  <c r="F545" i="17" s="1"/>
  <c r="E545" i="17" a="1"/>
  <c r="E545" i="17" s="1"/>
  <c r="D545" i="17" a="1"/>
  <c r="D545" i="17" s="1"/>
  <c r="H544" i="17" a="1"/>
  <c r="H544" i="17" s="1"/>
  <c r="G544" i="17"/>
  <c r="G544" i="17" a="1"/>
  <c r="F544" i="17" a="1"/>
  <c r="F544" i="17" s="1"/>
  <c r="E544" i="17"/>
  <c r="E544" i="17" a="1"/>
  <c r="D544" i="17" a="1"/>
  <c r="D544" i="17" s="1"/>
  <c r="H543" i="17" a="1"/>
  <c r="H543" i="17" s="1"/>
  <c r="G543" i="17" a="1"/>
  <c r="G543" i="17" s="1"/>
  <c r="F543" i="17" a="1"/>
  <c r="F543" i="17" s="1"/>
  <c r="E543" i="17"/>
  <c r="E543" i="17" a="1"/>
  <c r="D543" i="17" a="1"/>
  <c r="D543" i="17" s="1"/>
  <c r="H542" i="17" a="1"/>
  <c r="H542" i="17" s="1"/>
  <c r="G542" i="17" a="1"/>
  <c r="G542" i="17" s="1"/>
  <c r="F542" i="17" a="1"/>
  <c r="F542" i="17" s="1"/>
  <c r="E542" i="17"/>
  <c r="E542" i="17" a="1"/>
  <c r="D542" i="17" a="1"/>
  <c r="D542" i="17" s="1"/>
  <c r="H541" i="17" a="1"/>
  <c r="H541" i="17" s="1"/>
  <c r="G541" i="17"/>
  <c r="G541" i="17" a="1"/>
  <c r="F541" i="17" a="1"/>
  <c r="F541" i="17" s="1"/>
  <c r="E541" i="17" a="1"/>
  <c r="E541" i="17" s="1"/>
  <c r="D541" i="17" a="1"/>
  <c r="D541" i="17" s="1"/>
  <c r="H540" i="17" a="1"/>
  <c r="H540" i="17" s="1"/>
  <c r="G540" i="17"/>
  <c r="G540" i="17" a="1"/>
  <c r="F540" i="17" a="1"/>
  <c r="F540" i="17" s="1"/>
  <c r="E540" i="17" a="1"/>
  <c r="E540" i="17" s="1"/>
  <c r="D540" i="17"/>
  <c r="D540" i="17" a="1"/>
  <c r="H539" i="17" a="1"/>
  <c r="H539" i="17" s="1"/>
  <c r="G539" i="17"/>
  <c r="G539" i="17" a="1"/>
  <c r="F539" i="17" a="1"/>
  <c r="F539" i="17" s="1"/>
  <c r="E539" i="17" a="1"/>
  <c r="E539" i="17" s="1"/>
  <c r="D539" i="17" a="1"/>
  <c r="D539" i="17" s="1"/>
  <c r="H538" i="17" a="1"/>
  <c r="H538" i="17" s="1"/>
  <c r="G538" i="17" a="1"/>
  <c r="G538" i="17" s="1"/>
  <c r="F538" i="17"/>
  <c r="F538" i="17" a="1"/>
  <c r="E538" i="17" a="1"/>
  <c r="E538" i="17" s="1"/>
  <c r="D538" i="17"/>
  <c r="D538" i="17" a="1"/>
  <c r="H537" i="17" a="1"/>
  <c r="H537" i="17" s="1"/>
  <c r="G537" i="17"/>
  <c r="G537" i="17" a="1"/>
  <c r="F537" i="17" a="1"/>
  <c r="F537" i="17" s="1"/>
  <c r="E537" i="17" a="1"/>
  <c r="E537" i="17" s="1"/>
  <c r="D537" i="17"/>
  <c r="D537" i="17" a="1"/>
  <c r="H536" i="17" a="1"/>
  <c r="H536" i="17" s="1"/>
  <c r="G536" i="17" a="1"/>
  <c r="G536" i="17" s="1"/>
  <c r="F536" i="17" a="1"/>
  <c r="F536" i="17" s="1"/>
  <c r="E536" i="17" a="1"/>
  <c r="E536" i="17" s="1"/>
  <c r="D536" i="17" a="1"/>
  <c r="D536" i="17" s="1"/>
  <c r="H535" i="17" a="1"/>
  <c r="H535" i="17" s="1"/>
  <c r="G535" i="17" a="1"/>
  <c r="G535" i="17" s="1"/>
  <c r="F535" i="17" a="1"/>
  <c r="F535" i="17" s="1"/>
  <c r="E535" i="17" a="1"/>
  <c r="E535" i="17" s="1"/>
  <c r="D535" i="17"/>
  <c r="D535" i="17" a="1"/>
  <c r="H534" i="17" a="1"/>
  <c r="H534" i="17" s="1"/>
  <c r="G534" i="17"/>
  <c r="G534" i="17" a="1"/>
  <c r="F534" i="17"/>
  <c r="F534" i="17" a="1"/>
  <c r="E534" i="17" a="1"/>
  <c r="E534" i="17" s="1"/>
  <c r="D534" i="17"/>
  <c r="D534" i="17" a="1"/>
  <c r="H533" i="17" a="1"/>
  <c r="H533" i="17" s="1"/>
  <c r="G533" i="17" a="1"/>
  <c r="G533" i="17" s="1"/>
  <c r="F533" i="17" a="1"/>
  <c r="F533" i="17" s="1"/>
  <c r="E533" i="17" a="1"/>
  <c r="E533" i="17" s="1"/>
  <c r="D533" i="17" a="1"/>
  <c r="D533" i="17" s="1"/>
  <c r="H532" i="17" a="1"/>
  <c r="H532" i="17" s="1"/>
  <c r="G532" i="17" a="1"/>
  <c r="G532" i="17" s="1"/>
  <c r="F532" i="17"/>
  <c r="F532" i="17" a="1"/>
  <c r="E532" i="17" a="1"/>
  <c r="E532" i="17" s="1"/>
  <c r="D532" i="17" a="1"/>
  <c r="D532" i="17" s="1"/>
  <c r="H531" i="17" a="1"/>
  <c r="H531" i="17" s="1"/>
  <c r="G531" i="17" a="1"/>
  <c r="G531" i="17" s="1"/>
  <c r="F531" i="17"/>
  <c r="F531" i="17" a="1"/>
  <c r="E531" i="17" a="1"/>
  <c r="E531" i="17" s="1"/>
  <c r="D531" i="17" a="1"/>
  <c r="D531" i="17" s="1"/>
  <c r="H530" i="17" a="1"/>
  <c r="H530" i="17" s="1"/>
  <c r="G530" i="17" a="1"/>
  <c r="G530" i="17" s="1"/>
  <c r="F530" i="17"/>
  <c r="F530" i="17" a="1"/>
  <c r="E530" i="17" a="1"/>
  <c r="E530" i="17" s="1"/>
  <c r="D530" i="17" a="1"/>
  <c r="D530" i="17" s="1"/>
  <c r="H529" i="17" a="1"/>
  <c r="H529" i="17" s="1"/>
  <c r="G529" i="17" a="1"/>
  <c r="G529" i="17" s="1"/>
  <c r="F529" i="17" a="1"/>
  <c r="F529" i="17" s="1"/>
  <c r="E529" i="17"/>
  <c r="E529" i="17" a="1"/>
  <c r="D529" i="17" a="1"/>
  <c r="D529" i="17" s="1"/>
  <c r="H528" i="17" a="1"/>
  <c r="H528" i="17" s="1"/>
  <c r="G528" i="17" a="1"/>
  <c r="G528" i="17" s="1"/>
  <c r="F528" i="17" a="1"/>
  <c r="F528" i="17" s="1"/>
  <c r="E528" i="17" a="1"/>
  <c r="E528" i="17" s="1"/>
  <c r="D528" i="17" a="1"/>
  <c r="D528" i="17" s="1"/>
  <c r="H527" i="17" a="1"/>
  <c r="H527" i="17" s="1"/>
  <c r="G527" i="17"/>
  <c r="G527" i="17" a="1"/>
  <c r="F527" i="17" a="1"/>
  <c r="F527" i="17" s="1"/>
  <c r="E527" i="17"/>
  <c r="E527" i="17" a="1"/>
  <c r="D527" i="17" a="1"/>
  <c r="D527" i="17" s="1"/>
  <c r="H526" i="17" a="1"/>
  <c r="H526" i="17" s="1"/>
  <c r="G526" i="17" a="1"/>
  <c r="G526" i="17" s="1"/>
  <c r="F526" i="17" a="1"/>
  <c r="F526" i="17" s="1"/>
  <c r="E526" i="17"/>
  <c r="E526" i="17" a="1"/>
  <c r="D526" i="17" a="1"/>
  <c r="D526" i="17" s="1"/>
  <c r="H525" i="17" a="1"/>
  <c r="H525" i="17" s="1"/>
  <c r="G525" i="17" a="1"/>
  <c r="G525" i="17" s="1"/>
  <c r="F525" i="17" a="1"/>
  <c r="F525" i="17" s="1"/>
  <c r="E525" i="17"/>
  <c r="E525" i="17" a="1"/>
  <c r="D525" i="17" a="1"/>
  <c r="D525" i="17" s="1"/>
  <c r="H524" i="17" a="1"/>
  <c r="H524" i="17" s="1"/>
  <c r="G524" i="17" a="1"/>
  <c r="G524" i="17" s="1"/>
  <c r="F524" i="17" a="1"/>
  <c r="F524" i="17" s="1"/>
  <c r="E524" i="17" a="1"/>
  <c r="E524" i="17" s="1"/>
  <c r="D524" i="17" a="1"/>
  <c r="D524" i="17" s="1"/>
  <c r="H523" i="17" a="1"/>
  <c r="H523" i="17" s="1"/>
  <c r="G523" i="17"/>
  <c r="G523" i="17" a="1"/>
  <c r="F523" i="17" a="1"/>
  <c r="F523" i="17" s="1"/>
  <c r="E523" i="17"/>
  <c r="E523" i="17" a="1"/>
  <c r="D523" i="17"/>
  <c r="D523" i="17" a="1"/>
  <c r="H522" i="17" a="1"/>
  <c r="H522" i="17" s="1"/>
  <c r="G522" i="17"/>
  <c r="G522" i="17" a="1"/>
  <c r="F522" i="17"/>
  <c r="F522" i="17" a="1"/>
  <c r="E522" i="17" a="1"/>
  <c r="E522" i="17" s="1"/>
  <c r="D522" i="17" a="1"/>
  <c r="D522" i="17" s="1"/>
  <c r="H521" i="17" a="1"/>
  <c r="H521" i="17" s="1"/>
  <c r="G521" i="17"/>
  <c r="G521" i="17" a="1"/>
  <c r="F521" i="17" a="1"/>
  <c r="F521" i="17" s="1"/>
  <c r="E521" i="17" a="1"/>
  <c r="E521" i="17" s="1"/>
  <c r="D521" i="17" a="1"/>
  <c r="D521" i="17" s="1"/>
  <c r="H520" i="17" a="1"/>
  <c r="H520" i="17" s="1"/>
  <c r="G520" i="17"/>
  <c r="G520" i="17" a="1"/>
  <c r="F520" i="17" a="1"/>
  <c r="F520" i="17" s="1"/>
  <c r="E520" i="17"/>
  <c r="E520" i="17" a="1"/>
  <c r="D520" i="17"/>
  <c r="D520" i="17" a="1"/>
  <c r="H519" i="17" a="1"/>
  <c r="H519" i="17" s="1"/>
  <c r="G519" i="17"/>
  <c r="G519" i="17" a="1"/>
  <c r="F519" i="17" a="1"/>
  <c r="F519" i="17" s="1"/>
  <c r="E519" i="17" a="1"/>
  <c r="E519" i="17" s="1"/>
  <c r="D519" i="17" a="1"/>
  <c r="D519" i="17" s="1"/>
  <c r="H518" i="17" a="1"/>
  <c r="H518" i="17" s="1"/>
  <c r="G518" i="17" a="1"/>
  <c r="G518" i="17" s="1"/>
  <c r="F518" i="17"/>
  <c r="F518" i="17" a="1"/>
  <c r="E518" i="17" a="1"/>
  <c r="E518" i="17" s="1"/>
  <c r="D518" i="17"/>
  <c r="D518" i="17" a="1"/>
  <c r="H517" i="17" a="1"/>
  <c r="H517" i="17" s="1"/>
  <c r="G517" i="17" a="1"/>
  <c r="G517" i="17" s="1"/>
  <c r="F517" i="17" a="1"/>
  <c r="F517" i="17" s="1"/>
  <c r="E517" i="17" a="1"/>
  <c r="E517" i="17" s="1"/>
  <c r="D517" i="17"/>
  <c r="D517" i="17" a="1"/>
  <c r="H516" i="17" a="1"/>
  <c r="H516" i="17" s="1"/>
  <c r="G516" i="17" a="1"/>
  <c r="G516" i="17" s="1"/>
  <c r="F516" i="17" a="1"/>
  <c r="F516" i="17" s="1"/>
  <c r="E516" i="17" a="1"/>
  <c r="E516" i="17" s="1"/>
  <c r="D516" i="17"/>
  <c r="D516" i="17" a="1"/>
  <c r="H515" i="17" a="1"/>
  <c r="H515" i="17" s="1"/>
  <c r="G515" i="17" a="1"/>
  <c r="G515" i="17" s="1"/>
  <c r="F515" i="17"/>
  <c r="F515" i="17" a="1"/>
  <c r="E515" i="17" a="1"/>
  <c r="E515" i="17" s="1"/>
  <c r="D515" i="17" a="1"/>
  <c r="D515" i="17" s="1"/>
  <c r="H514" i="17" a="1"/>
  <c r="H514" i="17" s="1"/>
  <c r="G514" i="17" a="1"/>
  <c r="G514" i="17" s="1"/>
  <c r="F514" i="17"/>
  <c r="F514" i="17" a="1"/>
  <c r="E514" i="17" a="1"/>
  <c r="E514" i="17" s="1"/>
  <c r="D514" i="17" a="1"/>
  <c r="D514" i="17" s="1"/>
  <c r="H513" i="17" a="1"/>
  <c r="H513" i="17" s="1"/>
  <c r="G513" i="17"/>
  <c r="G513" i="17" a="1"/>
  <c r="F513" i="17"/>
  <c r="F513" i="17" a="1"/>
  <c r="E513" i="17" a="1"/>
  <c r="E513" i="17" s="1"/>
  <c r="D513" i="17" a="1"/>
  <c r="D513" i="17" s="1"/>
  <c r="H512" i="17" a="1"/>
  <c r="H512" i="17" s="1"/>
  <c r="G512" i="17" a="1"/>
  <c r="G512" i="17" s="1"/>
  <c r="F512" i="17" a="1"/>
  <c r="F512" i="17" s="1"/>
  <c r="E512" i="17"/>
  <c r="E512" i="17" a="1"/>
  <c r="D512" i="17" a="1"/>
  <c r="D512" i="17" s="1"/>
  <c r="H511" i="17" a="1"/>
  <c r="H511" i="17" s="1"/>
  <c r="G511" i="17" a="1"/>
  <c r="G511" i="17" s="1"/>
  <c r="F511" i="17" a="1"/>
  <c r="F511" i="17" s="1"/>
  <c r="E511" i="17" a="1"/>
  <c r="E511" i="17" s="1"/>
  <c r="D511" i="17" a="1"/>
  <c r="D511" i="17" s="1"/>
  <c r="H510" i="17" a="1"/>
  <c r="H510" i="17" s="1"/>
  <c r="G510" i="17" a="1"/>
  <c r="G510" i="17" s="1"/>
  <c r="F510" i="17" a="1"/>
  <c r="F510" i="17" s="1"/>
  <c r="E510" i="17" a="1"/>
  <c r="E510" i="17" s="1"/>
  <c r="D510" i="17" a="1"/>
  <c r="D510" i="17" s="1"/>
  <c r="H509" i="17" a="1"/>
  <c r="H509" i="17" s="1"/>
  <c r="G509" i="17" a="1"/>
  <c r="G509" i="17" s="1"/>
  <c r="F509" i="17" a="1"/>
  <c r="F509" i="17" s="1"/>
  <c r="E509" i="17"/>
  <c r="E509" i="17" a="1"/>
  <c r="D509" i="17" a="1"/>
  <c r="D509" i="17" s="1"/>
  <c r="H508" i="17" a="1"/>
  <c r="H508" i="17" s="1"/>
  <c r="G508" i="17" a="1"/>
  <c r="G508" i="17" s="1"/>
  <c r="F508" i="17"/>
  <c r="F508" i="17" a="1"/>
  <c r="E508" i="17"/>
  <c r="E508" i="17" a="1"/>
  <c r="D508" i="17"/>
  <c r="D508" i="17" a="1"/>
  <c r="H507" i="17" a="1"/>
  <c r="H507" i="17" s="1"/>
  <c r="G507" i="17" a="1"/>
  <c r="G507" i="17" s="1"/>
  <c r="F507" i="17" a="1"/>
  <c r="F507" i="17" s="1"/>
  <c r="E507" i="17" a="1"/>
  <c r="E507" i="17" s="1"/>
  <c r="D507" i="17" a="1"/>
  <c r="D507" i="17" s="1"/>
  <c r="H506" i="17" a="1"/>
  <c r="H506" i="17" s="1"/>
  <c r="G506" i="17" a="1"/>
  <c r="G506" i="17" s="1"/>
  <c r="F506" i="17" a="1"/>
  <c r="F506" i="17" s="1"/>
  <c r="E506" i="17"/>
  <c r="E506" i="17" a="1"/>
  <c r="D506" i="17"/>
  <c r="D506" i="17" a="1"/>
  <c r="H505" i="17" a="1"/>
  <c r="H505" i="17" s="1"/>
  <c r="G505" i="17"/>
  <c r="G505" i="17" a="1"/>
  <c r="F505" i="17" a="1"/>
  <c r="F505" i="17" s="1"/>
  <c r="E505" i="17"/>
  <c r="E505" i="17" a="1"/>
  <c r="D505" i="17" a="1"/>
  <c r="D505" i="17" s="1"/>
  <c r="H504" i="17" a="1"/>
  <c r="H504" i="17" s="1"/>
  <c r="G504" i="17"/>
  <c r="G504" i="17" a="1"/>
  <c r="F504" i="17" a="1"/>
  <c r="F504" i="17" s="1"/>
  <c r="E504" i="17" a="1"/>
  <c r="E504" i="17" s="1"/>
  <c r="D504" i="17" a="1"/>
  <c r="D504" i="17" s="1"/>
  <c r="H503" i="17" a="1"/>
  <c r="H503" i="17" s="1"/>
  <c r="G503" i="17"/>
  <c r="G503" i="17" a="1"/>
  <c r="F503" i="17"/>
  <c r="F503" i="17" a="1"/>
  <c r="E503" i="17"/>
  <c r="E503" i="17" a="1"/>
  <c r="D503" i="17" a="1"/>
  <c r="D503" i="17" s="1"/>
  <c r="H502" i="17" a="1"/>
  <c r="H502" i="17" s="1"/>
  <c r="G502" i="17"/>
  <c r="G502" i="17" a="1"/>
  <c r="F502" i="17" a="1"/>
  <c r="F502" i="17" s="1"/>
  <c r="E502" i="17" a="1"/>
  <c r="E502" i="17" s="1"/>
  <c r="D502" i="17" a="1"/>
  <c r="D502" i="17" s="1"/>
  <c r="H501" i="17" a="1"/>
  <c r="H501" i="17" s="1"/>
  <c r="G501" i="17"/>
  <c r="G501" i="17" a="1"/>
  <c r="F501" i="17"/>
  <c r="F501" i="17" a="1"/>
  <c r="E501" i="17" a="1"/>
  <c r="E501" i="17" s="1"/>
  <c r="D501" i="17"/>
  <c r="D501" i="17" a="1"/>
  <c r="H500" i="17" a="1"/>
  <c r="H500" i="17" s="1"/>
  <c r="G500" i="17" a="1"/>
  <c r="G500" i="17" s="1"/>
  <c r="F500" i="17" a="1"/>
  <c r="F500" i="17" s="1"/>
  <c r="E500" i="17" a="1"/>
  <c r="E500" i="17" s="1"/>
  <c r="D500" i="17"/>
  <c r="D500" i="17" a="1"/>
  <c r="H499" i="17" a="1"/>
  <c r="H499" i="17" s="1"/>
  <c r="G499" i="17" a="1"/>
  <c r="G499" i="17" s="1"/>
  <c r="F499" i="17" a="1"/>
  <c r="F499" i="17" s="1"/>
  <c r="E499" i="17" a="1"/>
  <c r="E499" i="17" s="1"/>
  <c r="D499" i="17"/>
  <c r="D499" i="17" a="1"/>
  <c r="H498" i="17" a="1"/>
  <c r="H498" i="17" s="1"/>
  <c r="G498" i="17" a="1"/>
  <c r="G498" i="17" s="1"/>
  <c r="F498" i="17"/>
  <c r="F498" i="17" a="1"/>
  <c r="E498" i="17" a="1"/>
  <c r="E498" i="17" s="1"/>
  <c r="D498" i="17" a="1"/>
  <c r="D498" i="17" s="1"/>
  <c r="H497" i="17" a="1"/>
  <c r="H497" i="17" s="1"/>
  <c r="G497" i="17" a="1"/>
  <c r="G497" i="17" s="1"/>
  <c r="F497" i="17"/>
  <c r="F497" i="17" a="1"/>
  <c r="E497" i="17" a="1"/>
  <c r="E497" i="17" s="1"/>
  <c r="D497" i="17" a="1"/>
  <c r="D497" i="17" s="1"/>
  <c r="H496" i="17" a="1"/>
  <c r="H496" i="17" s="1"/>
  <c r="G496" i="17" a="1"/>
  <c r="G496" i="17" s="1"/>
  <c r="F496" i="17"/>
  <c r="F496" i="17" a="1"/>
  <c r="E496" i="17" a="1"/>
  <c r="E496" i="17" s="1"/>
  <c r="D496" i="17" a="1"/>
  <c r="D496" i="17" s="1"/>
  <c r="H495" i="17" a="1"/>
  <c r="H495" i="17" s="1"/>
  <c r="G495" i="17" a="1"/>
  <c r="G495" i="17" s="1"/>
  <c r="F495" i="17" a="1"/>
  <c r="F495" i="17" s="1"/>
  <c r="E495" i="17"/>
  <c r="E495" i="17" a="1"/>
  <c r="D495" i="17" a="1"/>
  <c r="D495" i="17" s="1"/>
  <c r="H494" i="17" a="1"/>
  <c r="H494" i="17" s="1"/>
  <c r="G494" i="17" a="1"/>
  <c r="G494" i="17" s="1"/>
  <c r="F494" i="17"/>
  <c r="F494" i="17" a="1"/>
  <c r="E494" i="17" a="1"/>
  <c r="E494" i="17" s="1"/>
  <c r="D494" i="17"/>
  <c r="D494" i="17" a="1"/>
  <c r="H493" i="17" a="1"/>
  <c r="H493" i="17" s="1"/>
  <c r="G493" i="17" a="1"/>
  <c r="G493" i="17" s="1"/>
  <c r="F493" i="17" a="1"/>
  <c r="F493" i="17" s="1"/>
  <c r="E493" i="17" a="1"/>
  <c r="E493" i="17" s="1"/>
  <c r="D493" i="17" a="1"/>
  <c r="D493" i="17" s="1"/>
  <c r="H492" i="17" a="1"/>
  <c r="H492" i="17" s="1"/>
  <c r="G492" i="17"/>
  <c r="G492" i="17" a="1"/>
  <c r="F492" i="17" a="1"/>
  <c r="F492" i="17" s="1"/>
  <c r="E492" i="17" a="1"/>
  <c r="E492" i="17" s="1"/>
  <c r="D492" i="17" a="1"/>
  <c r="D492" i="17" s="1"/>
  <c r="H491" i="17" a="1"/>
  <c r="H491" i="17" s="1"/>
  <c r="G491" i="17" a="1"/>
  <c r="G491" i="17" s="1"/>
  <c r="F491" i="17"/>
  <c r="F491" i="17" a="1"/>
  <c r="E491" i="17"/>
  <c r="E491" i="17" a="1"/>
  <c r="D491" i="17" a="1"/>
  <c r="D491" i="17" s="1"/>
  <c r="H490" i="17" a="1"/>
  <c r="H490" i="17" s="1"/>
  <c r="G490" i="17" a="1"/>
  <c r="G490" i="17" s="1"/>
  <c r="F490" i="17" a="1"/>
  <c r="F490" i="17" s="1"/>
  <c r="E490" i="17" a="1"/>
  <c r="E490" i="17" s="1"/>
  <c r="D490" i="17" a="1"/>
  <c r="D490" i="17" s="1"/>
  <c r="H489" i="17" a="1"/>
  <c r="H489" i="17" s="1"/>
  <c r="G489" i="17" a="1"/>
  <c r="G489" i="17" s="1"/>
  <c r="F489" i="17" a="1"/>
  <c r="F489" i="17" s="1"/>
  <c r="E489" i="17"/>
  <c r="E489" i="17" a="1"/>
  <c r="D489" i="17" a="1"/>
  <c r="D489" i="17" s="1"/>
  <c r="H488" i="17" a="1"/>
  <c r="H488" i="17" s="1"/>
  <c r="G488" i="17" a="1"/>
  <c r="G488" i="17" s="1"/>
  <c r="F488" i="17" a="1"/>
  <c r="F488" i="17" s="1"/>
  <c r="E488" i="17"/>
  <c r="E488" i="17" a="1"/>
  <c r="D488" i="17" a="1"/>
  <c r="D488" i="17" s="1"/>
  <c r="H487" i="17" a="1"/>
  <c r="H487" i="17" s="1"/>
  <c r="G487" i="17"/>
  <c r="G487" i="17" a="1"/>
  <c r="F487" i="17" a="1"/>
  <c r="F487" i="17" s="1"/>
  <c r="E487" i="17"/>
  <c r="E487" i="17" a="1"/>
  <c r="D487" i="17" a="1"/>
  <c r="D487" i="17" s="1"/>
  <c r="H486" i="17" a="1"/>
  <c r="H486" i="17" s="1"/>
  <c r="G486" i="17"/>
  <c r="G486" i="17" a="1"/>
  <c r="F486" i="17"/>
  <c r="F486" i="17" a="1"/>
  <c r="E486" i="17" a="1"/>
  <c r="E486" i="17" s="1"/>
  <c r="D486" i="17"/>
  <c r="D486" i="17" a="1"/>
  <c r="H485" i="17" a="1"/>
  <c r="H485" i="17" s="1"/>
  <c r="G485" i="17"/>
  <c r="G485" i="17" a="1"/>
  <c r="F485" i="17" a="1"/>
  <c r="F485" i="17" s="1"/>
  <c r="E485" i="17" a="1"/>
  <c r="E485" i="17" s="1"/>
  <c r="D485" i="17" a="1"/>
  <c r="D485" i="17" s="1"/>
  <c r="H484" i="17" a="1"/>
  <c r="H484" i="17" s="1"/>
  <c r="G484" i="17"/>
  <c r="G484" i="17" a="1"/>
  <c r="F484" i="17"/>
  <c r="F484" i="17" a="1"/>
  <c r="E484" i="17" a="1"/>
  <c r="E484" i="17" s="1"/>
  <c r="D484" i="17"/>
  <c r="D484" i="17" a="1"/>
  <c r="H483" i="17" a="1"/>
  <c r="H483" i="17" s="1"/>
  <c r="G483" i="17"/>
  <c r="G483" i="17" a="1"/>
  <c r="F483" i="17" a="1"/>
  <c r="F483" i="17" s="1"/>
  <c r="E483" i="17" a="1"/>
  <c r="E483" i="17" s="1"/>
  <c r="D483" i="17"/>
  <c r="D483" i="17" a="1"/>
  <c r="H482" i="17" a="1"/>
  <c r="H482" i="17" s="1"/>
  <c r="G482" i="17" a="1"/>
  <c r="G482" i="17" s="1"/>
  <c r="F482" i="17" a="1"/>
  <c r="F482" i="17" s="1"/>
  <c r="E482" i="17" a="1"/>
  <c r="E482" i="17" s="1"/>
  <c r="D482" i="17"/>
  <c r="D482" i="17" a="1"/>
  <c r="H481" i="17" a="1"/>
  <c r="H481" i="17" s="1"/>
  <c r="G481" i="17" a="1"/>
  <c r="G481" i="17" s="1"/>
  <c r="F481" i="17" a="1"/>
  <c r="F481" i="17" s="1"/>
  <c r="E481" i="17" a="1"/>
  <c r="E481" i="17" s="1"/>
  <c r="D481" i="17" a="1"/>
  <c r="D481" i="17" s="1"/>
  <c r="H480" i="17" a="1"/>
  <c r="H480" i="17" s="1"/>
  <c r="G480" i="17" a="1"/>
  <c r="G480" i="17" s="1"/>
  <c r="F480" i="17"/>
  <c r="F480" i="17" a="1"/>
  <c r="E480" i="17" a="1"/>
  <c r="E480" i="17" s="1"/>
  <c r="D480" i="17"/>
  <c r="D480" i="17" a="1"/>
  <c r="H479" i="17" a="1"/>
  <c r="H479" i="17" s="1"/>
  <c r="G479" i="17" a="1"/>
  <c r="G479" i="17" s="1"/>
  <c r="F479" i="17"/>
  <c r="F479" i="17" a="1"/>
  <c r="E479" i="17"/>
  <c r="E479" i="17" a="1"/>
  <c r="D479" i="17" a="1"/>
  <c r="D479" i="17" s="1"/>
  <c r="H478" i="17" a="1"/>
  <c r="H478" i="17" s="1"/>
  <c r="G478" i="17" a="1"/>
  <c r="G478" i="17" s="1"/>
  <c r="F478" i="17"/>
  <c r="F478" i="17" a="1"/>
  <c r="E478" i="17" a="1"/>
  <c r="E478" i="17" s="1"/>
  <c r="D478" i="17" a="1"/>
  <c r="D478" i="17" s="1"/>
  <c r="H477" i="17" a="1"/>
  <c r="H477" i="17" s="1"/>
  <c r="G477" i="17" a="1"/>
  <c r="G477" i="17" s="1"/>
  <c r="F477" i="17"/>
  <c r="F477" i="17" a="1"/>
  <c r="E477" i="17" a="1"/>
  <c r="E477" i="17" s="1"/>
  <c r="D477" i="17" a="1"/>
  <c r="D477" i="17" s="1"/>
  <c r="H476" i="17" a="1"/>
  <c r="H476" i="17" s="1"/>
  <c r="G476" i="17" a="1"/>
  <c r="G476" i="17" s="1"/>
  <c r="F476" i="17"/>
  <c r="F476" i="17" a="1"/>
  <c r="E476" i="17" a="1"/>
  <c r="E476" i="17" s="1"/>
  <c r="D476" i="17" a="1"/>
  <c r="D476" i="17" s="1"/>
  <c r="H475" i="17" a="1"/>
  <c r="H475" i="17" s="1"/>
  <c r="G475" i="17" a="1"/>
  <c r="G475" i="17" s="1"/>
  <c r="F475" i="17" a="1"/>
  <c r="F475" i="17" s="1"/>
  <c r="E475" i="17"/>
  <c r="E475" i="17" a="1"/>
  <c r="D475" i="17" a="1"/>
  <c r="D475" i="17" s="1"/>
  <c r="H474" i="17" a="1"/>
  <c r="H474" i="17" s="1"/>
  <c r="G474" i="17" a="1"/>
  <c r="G474" i="17" s="1"/>
  <c r="F474" i="17" a="1"/>
  <c r="F474" i="17" s="1"/>
  <c r="E474" i="17" a="1"/>
  <c r="E474" i="17" s="1"/>
  <c r="D474" i="17" a="1"/>
  <c r="D474" i="17" s="1"/>
  <c r="H473" i="17" a="1"/>
  <c r="H473" i="17" s="1"/>
  <c r="G473" i="17" a="1"/>
  <c r="G473" i="17" s="1"/>
  <c r="F473" i="17" a="1"/>
  <c r="F473" i="17" s="1"/>
  <c r="E473" i="17" a="1"/>
  <c r="E473" i="17" s="1"/>
  <c r="D473" i="17" a="1"/>
  <c r="D473" i="17" s="1"/>
  <c r="H472" i="17" a="1"/>
  <c r="H472" i="17" s="1"/>
  <c r="G472" i="17" a="1"/>
  <c r="G472" i="17" s="1"/>
  <c r="F472" i="17" a="1"/>
  <c r="F472" i="17" s="1"/>
  <c r="E472" i="17"/>
  <c r="E472" i="17" a="1"/>
  <c r="D472" i="17" a="1"/>
  <c r="D472" i="17" s="1"/>
  <c r="H471" i="17" a="1"/>
  <c r="H471" i="17" s="1"/>
  <c r="G471" i="17" a="1"/>
  <c r="G471" i="17" s="1"/>
  <c r="F471" i="17" a="1"/>
  <c r="F471" i="17" s="1"/>
  <c r="E471" i="17"/>
  <c r="E471" i="17" a="1"/>
  <c r="D471" i="17" a="1"/>
  <c r="D471" i="17" s="1"/>
  <c r="H470" i="17" a="1"/>
  <c r="H470" i="17" s="1"/>
  <c r="G470" i="17" a="1"/>
  <c r="G470" i="17" s="1"/>
  <c r="F470" i="17"/>
  <c r="F470" i="17" a="1"/>
  <c r="E470" i="17"/>
  <c r="E470" i="17" a="1"/>
  <c r="D470" i="17" a="1"/>
  <c r="D470" i="17" s="1"/>
  <c r="H469" i="17" a="1"/>
  <c r="H469" i="17" s="1"/>
  <c r="G469" i="17"/>
  <c r="G469" i="17" a="1"/>
  <c r="F469" i="17" a="1"/>
  <c r="F469" i="17" s="1"/>
  <c r="E469" i="17"/>
  <c r="E469" i="17" a="1"/>
  <c r="D469" i="17"/>
  <c r="D469" i="17" a="1"/>
  <c r="H468" i="17" a="1"/>
  <c r="H468" i="17" s="1"/>
  <c r="G468" i="17"/>
  <c r="G468" i="17" a="1"/>
  <c r="F468" i="17" a="1"/>
  <c r="F468" i="17" s="1"/>
  <c r="E468" i="17" a="1"/>
  <c r="E468" i="17" s="1"/>
  <c r="D468" i="17" a="1"/>
  <c r="D468" i="17" s="1"/>
  <c r="H467" i="17" a="1"/>
  <c r="H467" i="17" s="1"/>
  <c r="G467" i="17"/>
  <c r="G467" i="17" a="1"/>
  <c r="F467" i="17" a="1"/>
  <c r="F467" i="17" s="1"/>
  <c r="E467" i="17" a="1"/>
  <c r="E467" i="17" s="1"/>
  <c r="D467" i="17" a="1"/>
  <c r="D467" i="17" s="1"/>
  <c r="H466" i="17" a="1"/>
  <c r="H466" i="17" s="1"/>
  <c r="G466" i="17"/>
  <c r="G466" i="17" a="1"/>
  <c r="F466" i="17" a="1"/>
  <c r="F466" i="17" s="1"/>
  <c r="E466" i="17" a="1"/>
  <c r="E466" i="17" s="1"/>
  <c r="D466" i="17"/>
  <c r="D466" i="17" a="1"/>
  <c r="H465" i="17" a="1"/>
  <c r="H465" i="17" s="1"/>
  <c r="G465" i="17"/>
  <c r="G465" i="17" a="1"/>
  <c r="F465" i="17" a="1"/>
  <c r="F465" i="17" s="1"/>
  <c r="E465" i="17"/>
  <c r="E465" i="17" a="1"/>
  <c r="D465" i="17"/>
  <c r="D465" i="17" a="1"/>
  <c r="H464" i="17" a="1"/>
  <c r="H464" i="17" s="1"/>
  <c r="G464" i="17" a="1"/>
  <c r="G464" i="17" s="1"/>
  <c r="F464" i="17" a="1"/>
  <c r="F464" i="17" s="1"/>
  <c r="E464" i="17" a="1"/>
  <c r="E464" i="17" s="1"/>
  <c r="D464" i="17" a="1"/>
  <c r="D464" i="17" s="1"/>
  <c r="H463" i="17" a="1"/>
  <c r="H463" i="17" s="1"/>
  <c r="G463" i="17" a="1"/>
  <c r="G463" i="17" s="1"/>
  <c r="F463" i="17" a="1"/>
  <c r="F463" i="17" s="1"/>
  <c r="E463" i="17" a="1"/>
  <c r="E463" i="17" s="1"/>
  <c r="D463" i="17"/>
  <c r="D463" i="17" a="1"/>
  <c r="H462" i="17" a="1"/>
  <c r="H462" i="17" s="1"/>
  <c r="G462" i="17" a="1"/>
  <c r="G462" i="17" s="1"/>
  <c r="F462" i="17"/>
  <c r="F462" i="17" a="1"/>
  <c r="E462" i="17" a="1"/>
  <c r="E462" i="17" s="1"/>
  <c r="D462" i="17"/>
  <c r="D462" i="17" a="1"/>
  <c r="H461" i="17" a="1"/>
  <c r="H461" i="17" s="1"/>
  <c r="G461" i="17" a="1"/>
  <c r="G461" i="17" s="1"/>
  <c r="F461" i="17"/>
  <c r="F461" i="17" a="1"/>
  <c r="E461" i="17" a="1"/>
  <c r="E461" i="17" s="1"/>
  <c r="D461" i="17" a="1"/>
  <c r="D461" i="17" s="1"/>
  <c r="H460" i="17" a="1"/>
  <c r="H460" i="17" s="1"/>
  <c r="G460" i="17"/>
  <c r="G460" i="17" a="1"/>
  <c r="F460" i="17"/>
  <c r="F460" i="17" a="1"/>
  <c r="E460" i="17"/>
  <c r="E460" i="17" a="1"/>
  <c r="D460" i="17"/>
  <c r="D460" i="17" a="1"/>
  <c r="H459" i="17" a="1"/>
  <c r="H459" i="17" s="1"/>
  <c r="G459" i="17" a="1"/>
  <c r="G459" i="17" s="1"/>
  <c r="F459" i="17"/>
  <c r="F459" i="17" a="1"/>
  <c r="E459" i="17" a="1"/>
  <c r="E459" i="17" s="1"/>
  <c r="D459" i="17" a="1"/>
  <c r="D459" i="17" s="1"/>
  <c r="H458" i="17" a="1"/>
  <c r="H458" i="17" s="1"/>
  <c r="G458" i="17" a="1"/>
  <c r="G458" i="17" s="1"/>
  <c r="F458" i="17"/>
  <c r="F458" i="17" a="1"/>
  <c r="E458" i="17" a="1"/>
  <c r="E458" i="17" s="1"/>
  <c r="D458" i="17"/>
  <c r="D458" i="17" a="1"/>
  <c r="H457" i="17" a="1"/>
  <c r="H457" i="17" s="1"/>
  <c r="G457" i="17" a="1"/>
  <c r="G457" i="17" s="1"/>
  <c r="F457" i="17" a="1"/>
  <c r="F457" i="17" s="1"/>
  <c r="E457" i="17"/>
  <c r="E457" i="17" a="1"/>
  <c r="D457" i="17" a="1"/>
  <c r="D457" i="17" s="1"/>
  <c r="H456" i="17" a="1"/>
  <c r="H456" i="17" s="1"/>
  <c r="G456" i="17"/>
  <c r="G456" i="17" a="1"/>
  <c r="F456" i="17"/>
  <c r="F456" i="17" a="1"/>
  <c r="E456" i="17" a="1"/>
  <c r="E456" i="17" s="1"/>
  <c r="D456" i="17"/>
  <c r="D456" i="17" a="1"/>
  <c r="H455" i="17" a="1"/>
  <c r="H455" i="17" s="1"/>
  <c r="G455" i="17" a="1"/>
  <c r="G455" i="17" s="1"/>
  <c r="F455" i="17"/>
  <c r="F455" i="17" a="1"/>
  <c r="E455" i="17" a="1"/>
  <c r="E455" i="17" s="1"/>
  <c r="D455" i="17" a="1"/>
  <c r="D455" i="17" s="1"/>
  <c r="H454" i="17" a="1"/>
  <c r="H454" i="17" s="1"/>
  <c r="G454" i="17"/>
  <c r="G454" i="17" a="1"/>
  <c r="F454" i="17" a="1"/>
  <c r="F454" i="17" s="1"/>
  <c r="E454" i="17"/>
  <c r="E454" i="17" a="1"/>
  <c r="D454" i="17" a="1"/>
  <c r="D454" i="17" s="1"/>
  <c r="H453" i="17" a="1"/>
  <c r="H453" i="17" s="1"/>
  <c r="G453" i="17"/>
  <c r="G453" i="17" a="1"/>
  <c r="F453" i="17" a="1"/>
  <c r="F453" i="17" s="1"/>
  <c r="E453" i="17" a="1"/>
  <c r="E453" i="17" s="1"/>
  <c r="D453" i="17"/>
  <c r="D453" i="17" a="1"/>
  <c r="H452" i="17" a="1"/>
  <c r="H452" i="17" s="1"/>
  <c r="G452" i="17" a="1"/>
  <c r="G452" i="17" s="1"/>
  <c r="F452" i="17"/>
  <c r="F452" i="17" a="1"/>
  <c r="E452" i="17"/>
  <c r="E452" i="17" a="1"/>
  <c r="D452" i="17" a="1"/>
  <c r="D452" i="17" s="1"/>
  <c r="H451" i="17" a="1"/>
  <c r="H451" i="17" s="1"/>
  <c r="G451" i="17" a="1"/>
  <c r="G451" i="17" s="1"/>
  <c r="F451" i="17" a="1"/>
  <c r="F451" i="17" s="1"/>
  <c r="E451" i="17"/>
  <c r="E451" i="17" a="1"/>
  <c r="D451" i="17" a="1"/>
  <c r="D451" i="17" s="1"/>
  <c r="H450" i="17" a="1"/>
  <c r="H450" i="17" s="1"/>
  <c r="G450" i="17"/>
  <c r="G450" i="17" a="1"/>
  <c r="F450" i="17" a="1"/>
  <c r="F450" i="17" s="1"/>
  <c r="E450" i="17" a="1"/>
  <c r="E450" i="17" s="1"/>
  <c r="D450" i="17" a="1"/>
  <c r="D450" i="17" s="1"/>
  <c r="H449" i="17" a="1"/>
  <c r="H449" i="17" s="1"/>
  <c r="G449" i="17" a="1"/>
  <c r="G449" i="17" s="1"/>
  <c r="F449" i="17"/>
  <c r="F449" i="17" a="1"/>
  <c r="E449" i="17"/>
  <c r="E449" i="17" a="1"/>
  <c r="D449" i="17" a="1"/>
  <c r="D449" i="17" s="1"/>
  <c r="H448" i="17" a="1"/>
  <c r="H448" i="17" s="1"/>
  <c r="G448" i="17"/>
  <c r="G448" i="17" a="1"/>
  <c r="F448" i="17" a="1"/>
  <c r="F448" i="17" s="1"/>
  <c r="E448" i="17"/>
  <c r="E448" i="17" a="1"/>
  <c r="D448" i="17"/>
  <c r="D448" i="17" a="1"/>
  <c r="H447" i="17" a="1"/>
  <c r="H447" i="17" s="1"/>
  <c r="G447" i="17" a="1"/>
  <c r="G447" i="17" s="1"/>
  <c r="F447" i="17" a="1"/>
  <c r="F447" i="17" s="1"/>
  <c r="E447" i="17" a="1"/>
  <c r="E447" i="17" s="1"/>
  <c r="D447" i="17"/>
  <c r="D447" i="17" a="1"/>
  <c r="H446" i="17" a="1"/>
  <c r="H446" i="17" s="1"/>
  <c r="G446" i="17"/>
  <c r="G446" i="17" a="1"/>
  <c r="F446" i="17" a="1"/>
  <c r="F446" i="17" s="1"/>
  <c r="E446" i="17" a="1"/>
  <c r="E446" i="17" s="1"/>
  <c r="D446" i="17" a="1"/>
  <c r="D446" i="17" s="1"/>
  <c r="H445" i="17" a="1"/>
  <c r="H445" i="17" s="1"/>
  <c r="G445" i="17" a="1"/>
  <c r="G445" i="17" s="1"/>
  <c r="F445" i="17"/>
  <c r="F445" i="17" a="1"/>
  <c r="E445" i="17" a="1"/>
  <c r="E445" i="17" s="1"/>
  <c r="D445" i="17" a="1"/>
  <c r="D445" i="17" s="1"/>
  <c r="H444" i="17" a="1"/>
  <c r="H444" i="17" s="1"/>
  <c r="G444" i="17"/>
  <c r="G444" i="17" a="1"/>
  <c r="F444" i="17" a="1"/>
  <c r="F444" i="17" s="1"/>
  <c r="E444" i="17" a="1"/>
  <c r="E444" i="17" s="1"/>
  <c r="D444" i="17"/>
  <c r="D444" i="17" a="1"/>
  <c r="H443" i="17" a="1"/>
  <c r="H443" i="17" s="1"/>
  <c r="G443" i="17" a="1"/>
  <c r="G443" i="17" s="1"/>
  <c r="F443" i="17"/>
  <c r="F443" i="17" a="1"/>
  <c r="E443" i="17" a="1"/>
  <c r="E443" i="17" s="1"/>
  <c r="D443" i="17" a="1"/>
  <c r="D443" i="17" s="1"/>
  <c r="H442" i="17" a="1"/>
  <c r="H442" i="17" s="1"/>
  <c r="G442" i="17" a="1"/>
  <c r="G442" i="17" s="1"/>
  <c r="F442" i="17" a="1"/>
  <c r="F442" i="17" s="1"/>
  <c r="E442" i="17"/>
  <c r="E442" i="17" a="1"/>
  <c r="D442" i="17"/>
  <c r="D442" i="17" a="1"/>
  <c r="H441" i="17" a="1"/>
  <c r="H441" i="17" s="1"/>
  <c r="G441" i="17" a="1"/>
  <c r="G441" i="17" s="1"/>
  <c r="F441" i="17"/>
  <c r="F441" i="17" a="1"/>
  <c r="E441" i="17" a="1"/>
  <c r="E441" i="17" s="1"/>
  <c r="D441" i="17"/>
  <c r="D441" i="17" a="1"/>
  <c r="H440" i="17" a="1"/>
  <c r="H440" i="17" s="1"/>
  <c r="G440" i="17" a="1"/>
  <c r="G440" i="17" s="1"/>
  <c r="F440" i="17"/>
  <c r="F440" i="17" a="1"/>
  <c r="E440" i="17"/>
  <c r="E440" i="17" a="1"/>
  <c r="D440" i="17" a="1"/>
  <c r="D440" i="17" s="1"/>
  <c r="H439" i="17" a="1"/>
  <c r="H439" i="17" s="1"/>
  <c r="G439" i="17" a="1"/>
  <c r="G439" i="17" s="1"/>
  <c r="F439" i="17"/>
  <c r="F439" i="17" a="1"/>
  <c r="E439" i="17" a="1"/>
  <c r="E439" i="17" s="1"/>
  <c r="D439" i="17"/>
  <c r="D439" i="17" a="1"/>
  <c r="H438" i="17" a="1"/>
  <c r="H438" i="17" s="1"/>
  <c r="G438" i="17"/>
  <c r="G438" i="17" a="1"/>
  <c r="F438" i="17" a="1"/>
  <c r="F438" i="17" s="1"/>
  <c r="E438" i="17" a="1"/>
  <c r="E438" i="17" s="1"/>
  <c r="D438" i="17" a="1"/>
  <c r="D438" i="17" s="1"/>
  <c r="H437" i="17" a="1"/>
  <c r="H437" i="17" s="1"/>
  <c r="G437" i="17" a="1"/>
  <c r="G437" i="17" s="1"/>
  <c r="F437" i="17"/>
  <c r="F437" i="17" a="1"/>
  <c r="E437" i="17" a="1"/>
  <c r="E437" i="17" s="1"/>
  <c r="D437" i="17" a="1"/>
  <c r="D437" i="17" s="1"/>
  <c r="H436" i="17" a="1"/>
  <c r="H436" i="17" s="1"/>
  <c r="G436" i="17" a="1"/>
  <c r="G436" i="17" s="1"/>
  <c r="F436" i="17" a="1"/>
  <c r="F436" i="17" s="1"/>
  <c r="E436" i="17"/>
  <c r="E436" i="17" a="1"/>
  <c r="D436" i="17" a="1"/>
  <c r="D436" i="17" s="1"/>
  <c r="H435" i="17" a="1"/>
  <c r="H435" i="17" s="1"/>
  <c r="G435" i="17" a="1"/>
  <c r="G435" i="17" s="1"/>
  <c r="F435" i="17" a="1"/>
  <c r="F435" i="17" s="1"/>
  <c r="E435" i="17" a="1"/>
  <c r="E435" i="17" s="1"/>
  <c r="D435" i="17"/>
  <c r="D435" i="17" a="1"/>
  <c r="H434" i="17" a="1"/>
  <c r="H434" i="17" s="1"/>
  <c r="G434" i="17" a="1"/>
  <c r="G434" i="17" s="1"/>
  <c r="F434" i="17" a="1"/>
  <c r="F434" i="17" s="1"/>
  <c r="E434" i="17"/>
  <c r="E434" i="17" a="1"/>
  <c r="D434" i="17" a="1"/>
  <c r="D434" i="17" s="1"/>
  <c r="H433" i="17" a="1"/>
  <c r="H433" i="17" s="1"/>
  <c r="G433" i="17"/>
  <c r="G433" i="17" a="1"/>
  <c r="F433" i="17" a="1"/>
  <c r="F433" i="17" s="1"/>
  <c r="E433" i="17" a="1"/>
  <c r="E433" i="17" s="1"/>
  <c r="D433" i="17" a="1"/>
  <c r="D433" i="17" s="1"/>
  <c r="H432" i="17" a="1"/>
  <c r="H432" i="17" s="1"/>
  <c r="G432" i="17"/>
  <c r="G432" i="17" a="1"/>
  <c r="F432" i="17" a="1"/>
  <c r="F432" i="17" s="1"/>
  <c r="E432" i="17"/>
  <c r="E432" i="17" a="1"/>
  <c r="D432" i="17" a="1"/>
  <c r="D432" i="17" s="1"/>
  <c r="H431" i="17" a="1"/>
  <c r="H431" i="17" s="1"/>
  <c r="G431" i="17" a="1"/>
  <c r="G431" i="17" s="1"/>
  <c r="F431" i="17"/>
  <c r="F431" i="17" a="1"/>
  <c r="E431" i="17" a="1"/>
  <c r="E431" i="17" s="1"/>
  <c r="D431" i="17"/>
  <c r="D431" i="17" a="1"/>
  <c r="H430" i="17" a="1"/>
  <c r="H430" i="17" s="1"/>
  <c r="G430" i="17" a="1"/>
  <c r="G430" i="17" s="1"/>
  <c r="F430" i="17" a="1"/>
  <c r="F430" i="17" s="1"/>
  <c r="E430" i="17"/>
  <c r="E430" i="17" a="1"/>
  <c r="D430" i="17" a="1"/>
  <c r="D430" i="17" s="1"/>
  <c r="H429" i="17" a="1"/>
  <c r="H429" i="17" s="1"/>
  <c r="G429" i="17"/>
  <c r="G429" i="17" a="1"/>
  <c r="F429" i="17" a="1"/>
  <c r="F429" i="17" s="1"/>
  <c r="E429" i="17" a="1"/>
  <c r="E429" i="17" s="1"/>
  <c r="D429" i="17"/>
  <c r="D429" i="17" a="1"/>
  <c r="H428" i="17" a="1"/>
  <c r="H428" i="17" s="1"/>
  <c r="G428" i="17" a="1"/>
  <c r="G428" i="17" s="1"/>
  <c r="F428" i="17"/>
  <c r="F428" i="17" a="1"/>
  <c r="E428" i="17" a="1"/>
  <c r="E428" i="17" s="1"/>
  <c r="D428" i="17" a="1"/>
  <c r="D428" i="17" s="1"/>
  <c r="H427" i="17" a="1"/>
  <c r="H427" i="17" s="1"/>
  <c r="G427" i="17"/>
  <c r="G427" i="17" a="1"/>
  <c r="F427" i="17" a="1"/>
  <c r="F427" i="17" s="1"/>
  <c r="E427" i="17" a="1"/>
  <c r="E427" i="17" s="1"/>
  <c r="D427" i="17"/>
  <c r="D427" i="17" a="1"/>
  <c r="H426" i="17" a="1"/>
  <c r="H426" i="17" s="1"/>
  <c r="G426" i="17" a="1"/>
  <c r="G426" i="17" s="1"/>
  <c r="F426" i="17" a="1"/>
  <c r="F426" i="17" s="1"/>
  <c r="E426" i="17" a="1"/>
  <c r="E426" i="17" s="1"/>
  <c r="D426" i="17" a="1"/>
  <c r="D426" i="17" s="1"/>
  <c r="H425" i="17" a="1"/>
  <c r="H425" i="17" s="1"/>
  <c r="G425" i="17" a="1"/>
  <c r="G425" i="17" s="1"/>
  <c r="F425" i="17" a="1"/>
  <c r="F425" i="17" s="1"/>
  <c r="E425" i="17" a="1"/>
  <c r="E425" i="17" s="1"/>
  <c r="D425" i="17"/>
  <c r="D425" i="17" a="1"/>
  <c r="H424" i="17" a="1"/>
  <c r="H424" i="17" s="1"/>
  <c r="G424" i="17" a="1"/>
  <c r="G424" i="17" s="1"/>
  <c r="F424" i="17" a="1"/>
  <c r="F424" i="17" s="1"/>
  <c r="E424" i="17" a="1"/>
  <c r="E424" i="17" s="1"/>
  <c r="D424" i="17" a="1"/>
  <c r="D424" i="17" s="1"/>
  <c r="H423" i="17" a="1"/>
  <c r="H423" i="17" s="1"/>
  <c r="G423" i="17" a="1"/>
  <c r="G423" i="17" s="1"/>
  <c r="F423" i="17" a="1"/>
  <c r="F423" i="17" s="1"/>
  <c r="E423" i="17" a="1"/>
  <c r="E423" i="17" s="1"/>
  <c r="D423" i="17"/>
  <c r="D423" i="17" a="1"/>
  <c r="H422" i="17" a="1"/>
  <c r="H422" i="17" s="1"/>
  <c r="G422" i="17" a="1"/>
  <c r="G422" i="17" s="1"/>
  <c r="F422" i="17"/>
  <c r="F422" i="17" a="1"/>
  <c r="E422" i="17" a="1"/>
  <c r="E422" i="17" s="1"/>
  <c r="D422" i="17" a="1"/>
  <c r="D422" i="17" s="1"/>
  <c r="H421" i="17" a="1"/>
  <c r="H421" i="17" s="1"/>
  <c r="G421" i="17" a="1"/>
  <c r="G421" i="17" s="1"/>
  <c r="F421" i="17" a="1"/>
  <c r="F421" i="17" s="1"/>
  <c r="E421" i="17"/>
  <c r="E421" i="17" a="1"/>
  <c r="D421" i="17" a="1"/>
  <c r="D421" i="17" s="1"/>
  <c r="H420" i="17" a="1"/>
  <c r="H420" i="17" s="1"/>
  <c r="G420" i="17"/>
  <c r="G420" i="17" a="1"/>
  <c r="F420" i="17"/>
  <c r="F420" i="17" a="1"/>
  <c r="E420" i="17" a="1"/>
  <c r="E420" i="17" s="1"/>
  <c r="D420" i="17" a="1"/>
  <c r="D420" i="17" s="1"/>
  <c r="H419" i="17" a="1"/>
  <c r="H419" i="17" s="1"/>
  <c r="G419" i="17" a="1"/>
  <c r="G419" i="17" s="1"/>
  <c r="F419" i="17" a="1"/>
  <c r="F419" i="17" s="1"/>
  <c r="E419" i="17"/>
  <c r="E419" i="17" a="1"/>
  <c r="D419" i="17" a="1"/>
  <c r="D419" i="17" s="1"/>
  <c r="H418" i="17" a="1"/>
  <c r="H418" i="17" s="1"/>
  <c r="G418" i="17" a="1"/>
  <c r="G418" i="17" s="1"/>
  <c r="F418" i="17" a="1"/>
  <c r="F418" i="17" s="1"/>
  <c r="E418" i="17" a="1"/>
  <c r="E418" i="17" s="1"/>
  <c r="D418" i="17"/>
  <c r="D418" i="17" a="1"/>
  <c r="H417" i="17" a="1"/>
  <c r="H417" i="17" s="1"/>
  <c r="G417" i="17" a="1"/>
  <c r="G417" i="17" s="1"/>
  <c r="F417" i="17" a="1"/>
  <c r="F417" i="17" s="1"/>
  <c r="E417" i="17" a="1"/>
  <c r="E417" i="17" s="1"/>
  <c r="D417" i="17" a="1"/>
  <c r="D417" i="17" s="1"/>
  <c r="H416" i="17" a="1"/>
  <c r="H416" i="17" s="1"/>
  <c r="G416" i="17"/>
  <c r="G416" i="17" a="1"/>
  <c r="F416" i="17" a="1"/>
  <c r="F416" i="17" s="1"/>
  <c r="E416" i="17" a="1"/>
  <c r="E416" i="17" s="1"/>
  <c r="D416" i="17" a="1"/>
  <c r="D416" i="17" s="1"/>
  <c r="H415" i="17" a="1"/>
  <c r="H415" i="17" s="1"/>
  <c r="G415" i="17" a="1"/>
  <c r="G415" i="17" s="1"/>
  <c r="F415" i="17"/>
  <c r="F415" i="17" a="1"/>
  <c r="E415" i="17"/>
  <c r="E415" i="17" a="1"/>
  <c r="D415" i="17" a="1"/>
  <c r="D415" i="17" s="1"/>
  <c r="H414" i="17" a="1"/>
  <c r="H414" i="17" s="1"/>
  <c r="G414" i="17"/>
  <c r="G414" i="17" a="1"/>
  <c r="F414" i="17" a="1"/>
  <c r="F414" i="17" s="1"/>
  <c r="E414" i="17"/>
  <c r="E414" i="17" a="1"/>
  <c r="D414" i="17"/>
  <c r="D414" i="17" a="1"/>
  <c r="H413" i="17" a="1"/>
  <c r="H413" i="17" s="1"/>
  <c r="G413" i="17" a="1"/>
  <c r="G413" i="17" s="1"/>
  <c r="F413" i="17" a="1"/>
  <c r="F413" i="17" s="1"/>
  <c r="E413" i="17"/>
  <c r="E413" i="17" a="1"/>
  <c r="D413" i="17"/>
  <c r="D413" i="17" a="1"/>
  <c r="H412" i="17" a="1"/>
  <c r="H412" i="17" s="1"/>
  <c r="G412" i="17"/>
  <c r="G412" i="17" a="1"/>
  <c r="F412" i="17" a="1"/>
  <c r="F412" i="17" s="1"/>
  <c r="E412" i="17" a="1"/>
  <c r="E412" i="17" s="1"/>
  <c r="D412" i="17" a="1"/>
  <c r="D412" i="17" s="1"/>
  <c r="H411" i="17" a="1"/>
  <c r="H411" i="17" s="1"/>
  <c r="G411" i="17" a="1"/>
  <c r="G411" i="17" s="1"/>
  <c r="F411" i="17"/>
  <c r="F411" i="17" a="1"/>
  <c r="E411" i="17" a="1"/>
  <c r="E411" i="17" s="1"/>
  <c r="D411" i="17" a="1"/>
  <c r="D411" i="17" s="1"/>
  <c r="H410" i="17" a="1"/>
  <c r="H410" i="17" s="1"/>
  <c r="G410" i="17"/>
  <c r="G410" i="17" a="1"/>
  <c r="F410" i="17" a="1"/>
  <c r="F410" i="17" s="1"/>
  <c r="E410" i="17" a="1"/>
  <c r="E410" i="17" s="1"/>
  <c r="D410" i="17" a="1"/>
  <c r="D410" i="17" s="1"/>
  <c r="H409" i="17" a="1"/>
  <c r="H409" i="17" s="1"/>
  <c r="G409" i="17" a="1"/>
  <c r="G409" i="17" s="1"/>
  <c r="F409" i="17"/>
  <c r="F409" i="17" a="1"/>
  <c r="E409" i="17" a="1"/>
  <c r="E409" i="17" s="1"/>
  <c r="D409" i="17"/>
  <c r="D409" i="17" a="1"/>
  <c r="H408" i="17" a="1"/>
  <c r="H408" i="17" s="1"/>
  <c r="G408" i="17"/>
  <c r="G408" i="17" a="1"/>
  <c r="F408" i="17" a="1"/>
  <c r="F408" i="17" s="1"/>
  <c r="E408" i="17" a="1"/>
  <c r="E408" i="17" s="1"/>
  <c r="D408" i="17"/>
  <c r="D408" i="17" a="1"/>
  <c r="H407" i="17" a="1"/>
  <c r="H407" i="17" s="1"/>
  <c r="G407" i="17" a="1"/>
  <c r="G407" i="17" s="1"/>
  <c r="F407" i="17"/>
  <c r="F407" i="17" a="1"/>
  <c r="E407" i="17" a="1"/>
  <c r="E407" i="17" s="1"/>
  <c r="D407" i="17" a="1"/>
  <c r="D407" i="17" s="1"/>
  <c r="H406" i="17" a="1"/>
  <c r="H406" i="17" s="1"/>
  <c r="G406" i="17" a="1"/>
  <c r="G406" i="17" s="1"/>
  <c r="F406" i="17" a="1"/>
  <c r="F406" i="17" s="1"/>
  <c r="E406" i="17" a="1"/>
  <c r="E406" i="17" s="1"/>
  <c r="D406" i="17"/>
  <c r="D406" i="17" a="1"/>
  <c r="H405" i="17" a="1"/>
  <c r="H405" i="17" s="1"/>
  <c r="G405" i="17" a="1"/>
  <c r="G405" i="17" s="1"/>
  <c r="F405" i="17"/>
  <c r="F405" i="17" a="1"/>
  <c r="E405" i="17" a="1"/>
  <c r="E405" i="17" s="1"/>
  <c r="D405" i="17" a="1"/>
  <c r="D405" i="17" s="1"/>
  <c r="H404" i="17" a="1"/>
  <c r="H404" i="17" s="1"/>
  <c r="G404" i="17" a="1"/>
  <c r="G404" i="17" s="1"/>
  <c r="F404" i="17" a="1"/>
  <c r="F404" i="17" s="1"/>
  <c r="E404" i="17"/>
  <c r="E404" i="17" a="1"/>
  <c r="D404" i="17" a="1"/>
  <c r="D404" i="17" s="1"/>
  <c r="H403" i="17" a="1"/>
  <c r="H403" i="17" s="1"/>
  <c r="G403" i="17" a="1"/>
  <c r="G403" i="17" s="1"/>
  <c r="F403" i="17"/>
  <c r="F403" i="17" a="1"/>
  <c r="E403" i="17" a="1"/>
  <c r="E403" i="17" s="1"/>
  <c r="D403" i="17" a="1"/>
  <c r="D403" i="17" s="1"/>
  <c r="H402" i="17" a="1"/>
  <c r="H402" i="17" s="1"/>
  <c r="G402" i="17" a="1"/>
  <c r="G402" i="17" s="1"/>
  <c r="F402" i="17"/>
  <c r="F402" i="17" a="1"/>
  <c r="E402" i="17"/>
  <c r="E402" i="17" a="1"/>
  <c r="D402" i="17" a="1"/>
  <c r="D402" i="17" s="1"/>
  <c r="H401" i="17" a="1"/>
  <c r="H401" i="17" s="1"/>
  <c r="G401" i="17" a="1"/>
  <c r="G401" i="17" s="1"/>
  <c r="F401" i="17"/>
  <c r="F401" i="17" a="1"/>
  <c r="E401" i="17" a="1"/>
  <c r="E401" i="17" s="1"/>
  <c r="D401" i="17"/>
  <c r="D401" i="17" a="1"/>
  <c r="H400" i="17" a="1"/>
  <c r="H400" i="17" s="1"/>
  <c r="G400" i="17" a="1"/>
  <c r="G400" i="17" s="1"/>
  <c r="F400" i="17" a="1"/>
  <c r="F400" i="17" s="1"/>
  <c r="E400" i="17" a="1"/>
  <c r="E400" i="17" s="1"/>
  <c r="D400" i="17" a="1"/>
  <c r="D400" i="17" s="1"/>
  <c r="H399" i="17" a="1"/>
  <c r="H399" i="17" s="1"/>
  <c r="G399" i="17"/>
  <c r="G399" i="17" a="1"/>
  <c r="F399" i="17" a="1"/>
  <c r="F399" i="17" s="1"/>
  <c r="E399" i="17" a="1"/>
  <c r="E399" i="17" s="1"/>
  <c r="D399" i="17" a="1"/>
  <c r="D399" i="17" s="1"/>
  <c r="H398" i="17" a="1"/>
  <c r="H398" i="17" s="1"/>
  <c r="G398" i="17" a="1"/>
  <c r="G398" i="17" s="1"/>
  <c r="F398" i="17" a="1"/>
  <c r="F398" i="17" s="1"/>
  <c r="E398" i="17"/>
  <c r="E398" i="17" a="1"/>
  <c r="D398" i="17" a="1"/>
  <c r="D398" i="17" s="1"/>
  <c r="H397" i="17" a="1"/>
  <c r="H397" i="17" s="1"/>
  <c r="G397" i="17" a="1"/>
  <c r="G397" i="17" s="1"/>
  <c r="F397" i="17" a="1"/>
  <c r="F397" i="17" s="1"/>
  <c r="E397" i="17" a="1"/>
  <c r="E397" i="17" s="1"/>
  <c r="D397" i="17"/>
  <c r="D397" i="17" a="1"/>
  <c r="H396" i="17" a="1"/>
  <c r="H396" i="17" s="1"/>
  <c r="G396" i="17" a="1"/>
  <c r="G396" i="17" s="1"/>
  <c r="F396" i="17" a="1"/>
  <c r="F396" i="17" s="1"/>
  <c r="E396" i="17"/>
  <c r="E396" i="17" a="1"/>
  <c r="D396" i="17" a="1"/>
  <c r="D396" i="17" s="1"/>
  <c r="H395" i="17" a="1"/>
  <c r="H395" i="17" s="1"/>
  <c r="G395" i="17" a="1"/>
  <c r="G395" i="17" s="1"/>
  <c r="F395" i="17" a="1"/>
  <c r="F395" i="17" s="1"/>
  <c r="E395" i="17" a="1"/>
  <c r="E395" i="17" s="1"/>
  <c r="D395" i="17" a="1"/>
  <c r="D395" i="17" s="1"/>
  <c r="H394" i="17" a="1"/>
  <c r="H394" i="17" s="1"/>
  <c r="G394" i="17"/>
  <c r="G394" i="17" a="1"/>
  <c r="F394" i="17" a="1"/>
  <c r="F394" i="17" s="1"/>
  <c r="E394" i="17"/>
  <c r="E394" i="17" a="1"/>
  <c r="D394" i="17" a="1"/>
  <c r="D394" i="17" s="1"/>
  <c r="H393" i="17" a="1"/>
  <c r="H393" i="17" s="1"/>
  <c r="G393" i="17"/>
  <c r="G393" i="17" a="1"/>
  <c r="F393" i="17" a="1"/>
  <c r="F393" i="17" s="1"/>
  <c r="E393" i="17" a="1"/>
  <c r="E393" i="17" s="1"/>
  <c r="D393" i="17"/>
  <c r="D393" i="17" a="1"/>
  <c r="H392" i="17" a="1"/>
  <c r="H392" i="17" s="1"/>
  <c r="G392" i="17" a="1"/>
  <c r="G392" i="17" s="1"/>
  <c r="F392" i="17" a="1"/>
  <c r="F392" i="17" s="1"/>
  <c r="E392" i="17"/>
  <c r="E392" i="17" a="1"/>
  <c r="D392" i="17" a="1"/>
  <c r="D392" i="17" s="1"/>
  <c r="H391" i="17" a="1"/>
  <c r="H391" i="17" s="1"/>
  <c r="G391" i="17"/>
  <c r="G391" i="17" a="1"/>
  <c r="F391" i="17" a="1"/>
  <c r="F391" i="17" s="1"/>
  <c r="E391" i="17" a="1"/>
  <c r="E391" i="17" s="1"/>
  <c r="D391" i="17" a="1"/>
  <c r="D391" i="17" s="1"/>
  <c r="H390" i="17" a="1"/>
  <c r="H390" i="17" s="1"/>
  <c r="G390" i="17"/>
  <c r="G390" i="17" a="1"/>
  <c r="F390" i="17" a="1"/>
  <c r="F390" i="17" s="1"/>
  <c r="E390" i="17" a="1"/>
  <c r="E390" i="17" s="1"/>
  <c r="D390" i="17" a="1"/>
  <c r="D390" i="17" s="1"/>
  <c r="H389" i="17" a="1"/>
  <c r="H389" i="17" s="1"/>
  <c r="G389" i="17" a="1"/>
  <c r="G389" i="17" s="1"/>
  <c r="F389" i="17" a="1"/>
  <c r="F389" i="17" s="1"/>
  <c r="E389" i="17" a="1"/>
  <c r="E389" i="17" s="1"/>
  <c r="D389" i="17"/>
  <c r="D389" i="17" a="1"/>
  <c r="H388" i="17" a="1"/>
  <c r="H388" i="17" s="1"/>
  <c r="G388" i="17" a="1"/>
  <c r="G388" i="17" s="1"/>
  <c r="F388" i="17" a="1"/>
  <c r="F388" i="17" s="1"/>
  <c r="E388" i="17"/>
  <c r="E388" i="17" a="1"/>
  <c r="D388" i="17" a="1"/>
  <c r="D388" i="17" s="1"/>
  <c r="H387" i="17" a="1"/>
  <c r="H387" i="17" s="1"/>
  <c r="G387" i="17" a="1"/>
  <c r="G387" i="17" s="1"/>
  <c r="F387" i="17" a="1"/>
  <c r="F387" i="17" s="1"/>
  <c r="E387" i="17" a="1"/>
  <c r="E387" i="17" s="1"/>
  <c r="D387" i="17"/>
  <c r="D387" i="17" a="1"/>
  <c r="H386" i="17" a="1"/>
  <c r="H386" i="17" s="1"/>
  <c r="G386" i="17" a="1"/>
  <c r="G386" i="17" s="1"/>
  <c r="F386" i="17"/>
  <c r="F386" i="17" a="1"/>
  <c r="E386" i="17" a="1"/>
  <c r="E386" i="17" s="1"/>
  <c r="D386" i="17" a="1"/>
  <c r="D386" i="17" s="1"/>
  <c r="H385" i="17" a="1"/>
  <c r="H385" i="17" s="1"/>
  <c r="G385" i="17"/>
  <c r="G385" i="17" a="1"/>
  <c r="F385" i="17"/>
  <c r="F385" i="17" a="1"/>
  <c r="E385" i="17" a="1"/>
  <c r="E385" i="17" s="1"/>
  <c r="D385" i="17" a="1"/>
  <c r="D385" i="17" s="1"/>
  <c r="H384" i="17" a="1"/>
  <c r="H384" i="17" s="1"/>
  <c r="G384" i="17" a="1"/>
  <c r="G384" i="17" s="1"/>
  <c r="F384" i="17" a="1"/>
  <c r="F384" i="17" s="1"/>
  <c r="E384" i="17" a="1"/>
  <c r="E384" i="17" s="1"/>
  <c r="D384" i="17"/>
  <c r="D384" i="17" a="1"/>
  <c r="H383" i="17" a="1"/>
  <c r="H383" i="17" s="1"/>
  <c r="G383" i="17" a="1"/>
  <c r="G383" i="17" s="1"/>
  <c r="F383" i="17" a="1"/>
  <c r="F383" i="17" s="1"/>
  <c r="E383" i="17" a="1"/>
  <c r="E383" i="17" s="1"/>
  <c r="D383" i="17" a="1"/>
  <c r="D383" i="17" s="1"/>
  <c r="H382" i="17" a="1"/>
  <c r="H382" i="17" s="1"/>
  <c r="G382" i="17" a="1"/>
  <c r="G382" i="17" s="1"/>
  <c r="F382" i="17" a="1"/>
  <c r="F382" i="17" s="1"/>
  <c r="E382" i="17" a="1"/>
  <c r="E382" i="17" s="1"/>
  <c r="D382" i="17" a="1"/>
  <c r="D382" i="17" s="1"/>
  <c r="H381" i="17" a="1"/>
  <c r="H381" i="17" s="1"/>
  <c r="G381" i="17" a="1"/>
  <c r="G381" i="17" s="1"/>
  <c r="F381" i="17" a="1"/>
  <c r="F381" i="17" s="1"/>
  <c r="E381" i="17" a="1"/>
  <c r="E381" i="17" s="1"/>
  <c r="D381" i="17" a="1"/>
  <c r="D381" i="17" s="1"/>
  <c r="H380" i="17" a="1"/>
  <c r="H380" i="17" s="1"/>
  <c r="G380" i="17"/>
  <c r="G380" i="17" a="1"/>
  <c r="F380" i="17" a="1"/>
  <c r="F380" i="17" s="1"/>
  <c r="E380" i="17" a="1"/>
  <c r="E380" i="17" s="1"/>
  <c r="D380" i="17" a="1"/>
  <c r="D380" i="17" s="1"/>
  <c r="H379" i="17" a="1"/>
  <c r="H379" i="17" s="1"/>
  <c r="G379" i="17" a="1"/>
  <c r="G379" i="17" s="1"/>
  <c r="F379" i="17" a="1"/>
  <c r="F379" i="17" s="1"/>
  <c r="E379" i="17"/>
  <c r="E379" i="17" a="1"/>
  <c r="D379" i="17" a="1"/>
  <c r="D379" i="17" s="1"/>
  <c r="H378" i="17" a="1"/>
  <c r="H378" i="17" s="1"/>
  <c r="G378" i="17" a="1"/>
  <c r="G378" i="17" s="1"/>
  <c r="F378" i="17" a="1"/>
  <c r="F378" i="17" s="1"/>
  <c r="E378" i="17" a="1"/>
  <c r="E378" i="17" s="1"/>
  <c r="D378" i="17"/>
  <c r="D378" i="17" a="1"/>
  <c r="H377" i="17" a="1"/>
  <c r="H377" i="17" s="1"/>
  <c r="G377" i="17" a="1"/>
  <c r="G377" i="17" s="1"/>
  <c r="F377" i="17" a="1"/>
  <c r="F377" i="17" s="1"/>
  <c r="E377" i="17"/>
  <c r="E377" i="17" a="1"/>
  <c r="D377" i="17" a="1"/>
  <c r="D377" i="17" s="1"/>
  <c r="H376" i="17" a="1"/>
  <c r="H376" i="17" s="1"/>
  <c r="G376" i="17"/>
  <c r="G376" i="17" a="1"/>
  <c r="F376" i="17" a="1"/>
  <c r="F376" i="17" s="1"/>
  <c r="E376" i="17" a="1"/>
  <c r="E376" i="17" s="1"/>
  <c r="D376" i="17"/>
  <c r="D376" i="17" a="1"/>
  <c r="H375" i="17" a="1"/>
  <c r="H375" i="17" s="1"/>
  <c r="G375" i="17" a="1"/>
  <c r="G375" i="17" s="1"/>
  <c r="F375" i="17" a="1"/>
  <c r="F375" i="17" s="1"/>
  <c r="E375" i="17" a="1"/>
  <c r="E375" i="17" s="1"/>
  <c r="D375" i="17"/>
  <c r="D375" i="17" a="1"/>
  <c r="H374" i="17" a="1"/>
  <c r="H374" i="17" s="1"/>
  <c r="G374" i="17"/>
  <c r="G374" i="17" a="1"/>
  <c r="F374" i="17" a="1"/>
  <c r="F374" i="17" s="1"/>
  <c r="E374" i="17" a="1"/>
  <c r="E374" i="17" s="1"/>
  <c r="D374" i="17" a="1"/>
  <c r="D374" i="17" s="1"/>
  <c r="H373" i="17" a="1"/>
  <c r="H373" i="17" s="1"/>
  <c r="G373" i="17" a="1"/>
  <c r="G373" i="17" s="1"/>
  <c r="F373" i="17"/>
  <c r="F373" i="17" a="1"/>
  <c r="E373" i="17" a="1"/>
  <c r="E373" i="17" s="1"/>
  <c r="D373" i="17" a="1"/>
  <c r="D373" i="17" s="1"/>
  <c r="H372" i="17" a="1"/>
  <c r="H372" i="17" s="1"/>
  <c r="G372" i="17" a="1"/>
  <c r="G372" i="17" s="1"/>
  <c r="F372" i="17" a="1"/>
  <c r="F372" i="17" s="1"/>
  <c r="E372" i="17" a="1"/>
  <c r="E372" i="17" s="1"/>
  <c r="D372" i="17"/>
  <c r="D372" i="17" a="1"/>
  <c r="H371" i="17" a="1"/>
  <c r="H371" i="17" s="1"/>
  <c r="G371" i="17" a="1"/>
  <c r="G371" i="17" s="1"/>
  <c r="F371" i="17"/>
  <c r="F371" i="17" a="1"/>
  <c r="E371" i="17" a="1"/>
  <c r="E371" i="17" s="1"/>
  <c r="D371" i="17" a="1"/>
  <c r="D371" i="17" s="1"/>
  <c r="H370" i="17" a="1"/>
  <c r="H370" i="17" s="1"/>
  <c r="G370" i="17" a="1"/>
  <c r="G370" i="17" s="1"/>
  <c r="F370" i="17" a="1"/>
  <c r="F370" i="17" s="1"/>
  <c r="E370" i="17" a="1"/>
  <c r="E370" i="17" s="1"/>
  <c r="D370" i="17" a="1"/>
  <c r="D370" i="17" s="1"/>
  <c r="H369" i="17" a="1"/>
  <c r="H369" i="17" s="1"/>
  <c r="G369" i="17" a="1"/>
  <c r="G369" i="17" s="1"/>
  <c r="F369" i="17"/>
  <c r="F369" i="17" a="1"/>
  <c r="E369" i="17" a="1"/>
  <c r="E369" i="17" s="1"/>
  <c r="D369" i="17" a="1"/>
  <c r="D369" i="17" s="1"/>
  <c r="H368" i="17" a="1"/>
  <c r="H368" i="17" s="1"/>
  <c r="G368" i="17" a="1"/>
  <c r="G368" i="17" s="1"/>
  <c r="F368" i="17"/>
  <c r="F368" i="17" a="1"/>
  <c r="E368" i="17" a="1"/>
  <c r="E368" i="17" s="1"/>
  <c r="D368" i="17" a="1"/>
  <c r="D368" i="17" s="1"/>
  <c r="H367" i="17" a="1"/>
  <c r="H367" i="17" s="1"/>
  <c r="G367" i="17" a="1"/>
  <c r="G367" i="17" s="1"/>
  <c r="F367" i="17" a="1"/>
  <c r="F367" i="17" s="1"/>
  <c r="E367" i="17" a="1"/>
  <c r="E367" i="17" s="1"/>
  <c r="D367" i="17"/>
  <c r="D367" i="17" a="1"/>
  <c r="H366" i="17" a="1"/>
  <c r="H366" i="17" s="1"/>
  <c r="G366" i="17" a="1"/>
  <c r="G366" i="17" s="1"/>
  <c r="F366" i="17" a="1"/>
  <c r="F366" i="17" s="1"/>
  <c r="E366" i="17" a="1"/>
  <c r="E366" i="17" s="1"/>
  <c r="D366" i="17"/>
  <c r="D366" i="17" a="1"/>
  <c r="H365" i="17" a="1"/>
  <c r="H365" i="17" s="1"/>
  <c r="G365" i="17" a="1"/>
  <c r="G365" i="17" s="1"/>
  <c r="F365" i="17"/>
  <c r="F365" i="17" a="1"/>
  <c r="E365" i="17" a="1"/>
  <c r="E365" i="17" s="1"/>
  <c r="D365" i="17" a="1"/>
  <c r="D365" i="17" s="1"/>
  <c r="H364" i="17" a="1"/>
  <c r="H364" i="17" s="1"/>
  <c r="G364" i="17" a="1"/>
  <c r="G364" i="17" s="1"/>
  <c r="F364" i="17" a="1"/>
  <c r="F364" i="17" s="1"/>
  <c r="E364" i="17" a="1"/>
  <c r="E364" i="17" s="1"/>
  <c r="D364" i="17" a="1"/>
  <c r="D364" i="17" s="1"/>
  <c r="H363" i="17" a="1"/>
  <c r="H363" i="17" s="1"/>
  <c r="G363" i="17"/>
  <c r="G363" i="17" a="1"/>
  <c r="F363" i="17" a="1"/>
  <c r="F363" i="17" s="1"/>
  <c r="E363" i="17" a="1"/>
  <c r="E363" i="17" s="1"/>
  <c r="D363" i="17"/>
  <c r="D363" i="17" a="1"/>
  <c r="H362" i="17" a="1"/>
  <c r="H362" i="17" s="1"/>
  <c r="G362" i="17" a="1"/>
  <c r="G362" i="17" s="1"/>
  <c r="F362" i="17" a="1"/>
  <c r="F362" i="17" s="1"/>
  <c r="E362" i="17"/>
  <c r="E362" i="17" a="1"/>
  <c r="D362" i="17" a="1"/>
  <c r="D362" i="17" s="1"/>
  <c r="H361" i="17" a="1"/>
  <c r="H361" i="17" s="1"/>
  <c r="G361" i="17" a="1"/>
  <c r="G361" i="17" s="1"/>
  <c r="F361" i="17" a="1"/>
  <c r="F361" i="17" s="1"/>
  <c r="E361" i="17" a="1"/>
  <c r="E361" i="17" s="1"/>
  <c r="D361" i="17"/>
  <c r="D361" i="17" a="1"/>
  <c r="H360" i="17" a="1"/>
  <c r="H360" i="17" s="1"/>
  <c r="G360" i="17"/>
  <c r="G360" i="17" a="1"/>
  <c r="F360" i="17" a="1"/>
  <c r="F360" i="17" s="1"/>
  <c r="E360" i="17"/>
  <c r="E360" i="17" a="1"/>
  <c r="D360" i="17" a="1"/>
  <c r="D360" i="17" s="1"/>
  <c r="H359" i="17" a="1"/>
  <c r="H359" i="17" s="1"/>
  <c r="G359" i="17" a="1"/>
  <c r="G359" i="17" s="1"/>
  <c r="F359" i="17"/>
  <c r="F359" i="17" a="1"/>
  <c r="E359" i="17" a="1"/>
  <c r="E359" i="17" s="1"/>
  <c r="D359" i="17"/>
  <c r="D359" i="17" a="1"/>
  <c r="H358" i="17" a="1"/>
  <c r="H358" i="17" s="1"/>
  <c r="G358" i="17" a="1"/>
  <c r="G358" i="17" s="1"/>
  <c r="F358" i="17" a="1"/>
  <c r="F358" i="17" s="1"/>
  <c r="E358" i="17" a="1"/>
  <c r="E358" i="17" s="1"/>
  <c r="D358" i="17"/>
  <c r="D358" i="17" a="1"/>
  <c r="H357" i="17" a="1"/>
  <c r="H357" i="17" s="1"/>
  <c r="G357" i="17"/>
  <c r="G357" i="17" a="1"/>
  <c r="F357" i="17" a="1"/>
  <c r="F357" i="17" s="1"/>
  <c r="E357" i="17" a="1"/>
  <c r="E357" i="17" s="1"/>
  <c r="D357" i="17" a="1"/>
  <c r="D357" i="17" s="1"/>
  <c r="H356" i="17" a="1"/>
  <c r="H356" i="17" s="1"/>
  <c r="G356" i="17" a="1"/>
  <c r="G356" i="17" s="1"/>
  <c r="F356" i="17"/>
  <c r="F356" i="17" a="1"/>
  <c r="E356" i="17" a="1"/>
  <c r="E356" i="17" s="1"/>
  <c r="D356" i="17" a="1"/>
  <c r="D356" i="17" s="1"/>
  <c r="H355" i="17" a="1"/>
  <c r="H355" i="17" s="1"/>
  <c r="G355" i="17" a="1"/>
  <c r="G355" i="17" s="1"/>
  <c r="F355" i="17" a="1"/>
  <c r="F355" i="17" s="1"/>
  <c r="E355" i="17" a="1"/>
  <c r="E355" i="17" s="1"/>
  <c r="D355" i="17"/>
  <c r="D355" i="17" a="1"/>
  <c r="H354" i="17" a="1"/>
  <c r="H354" i="17" s="1"/>
  <c r="G354" i="17" a="1"/>
  <c r="G354" i="17" s="1"/>
  <c r="F354" i="17"/>
  <c r="F354" i="17" a="1"/>
  <c r="E354" i="17" a="1"/>
  <c r="E354" i="17" s="1"/>
  <c r="D354" i="17" a="1"/>
  <c r="D354" i="17" s="1"/>
  <c r="H353" i="17" a="1"/>
  <c r="H353" i="17" s="1"/>
  <c r="G353" i="17" a="1"/>
  <c r="G353" i="17" s="1"/>
  <c r="F353" i="17" a="1"/>
  <c r="F353" i="17" s="1"/>
  <c r="E353" i="17" a="1"/>
  <c r="E353" i="17" s="1"/>
  <c r="D353" i="17"/>
  <c r="D353" i="17" a="1"/>
  <c r="H352" i="17" a="1"/>
  <c r="H352" i="17" s="1"/>
  <c r="G352" i="17" a="1"/>
  <c r="G352" i="17" s="1"/>
  <c r="F352" i="17" a="1"/>
  <c r="F352" i="17" s="1"/>
  <c r="E352" i="17" a="1"/>
  <c r="E352" i="17" s="1"/>
  <c r="D352" i="17" a="1"/>
  <c r="D352" i="17" s="1"/>
  <c r="H351" i="17" a="1"/>
  <c r="H351" i="17" s="1"/>
  <c r="G351" i="17" a="1"/>
  <c r="G351" i="17" s="1"/>
  <c r="F351" i="17"/>
  <c r="F351" i="17" a="1"/>
  <c r="E351" i="17" a="1"/>
  <c r="E351" i="17" s="1"/>
  <c r="D351" i="17"/>
  <c r="D351" i="17" a="1"/>
  <c r="H350" i="17" a="1"/>
  <c r="H350" i="17" s="1"/>
  <c r="G350" i="17" a="1"/>
  <c r="G350" i="17" s="1"/>
  <c r="F350" i="17" a="1"/>
  <c r="F350" i="17" s="1"/>
  <c r="E350" i="17" a="1"/>
  <c r="E350" i="17" s="1"/>
  <c r="D350" i="17" a="1"/>
  <c r="D350" i="17" s="1"/>
  <c r="H349" i="17" a="1"/>
  <c r="H349" i="17" s="1"/>
  <c r="G349" i="17" a="1"/>
  <c r="G349" i="17" s="1"/>
  <c r="F349" i="17" a="1"/>
  <c r="F349" i="17" s="1"/>
  <c r="E349" i="17" a="1"/>
  <c r="E349" i="17" s="1"/>
  <c r="D349" i="17" a="1"/>
  <c r="D349" i="17" s="1"/>
  <c r="H348" i="17" a="1"/>
  <c r="H348" i="17" s="1"/>
  <c r="G348" i="17" a="1"/>
  <c r="G348" i="17" s="1"/>
  <c r="F348" i="17"/>
  <c r="F348" i="17" a="1"/>
  <c r="E348" i="17" a="1"/>
  <c r="E348" i="17" s="1"/>
  <c r="D348" i="17" a="1"/>
  <c r="D348" i="17" s="1"/>
  <c r="H347" i="17" a="1"/>
  <c r="H347" i="17" s="1"/>
  <c r="G347" i="17" a="1"/>
  <c r="G347" i="17" s="1"/>
  <c r="F347" i="17"/>
  <c r="F347" i="17" a="1"/>
  <c r="E347" i="17"/>
  <c r="E347" i="17" a="1"/>
  <c r="D347" i="17" a="1"/>
  <c r="D347" i="17" s="1"/>
  <c r="H346" i="17" a="1"/>
  <c r="H346" i="17" s="1"/>
  <c r="G346" i="17"/>
  <c r="G346" i="17" a="1"/>
  <c r="F346" i="17" a="1"/>
  <c r="F346" i="17" s="1"/>
  <c r="E346" i="17" a="1"/>
  <c r="E346" i="17" s="1"/>
  <c r="D346" i="17"/>
  <c r="D346" i="17" a="1"/>
  <c r="H345" i="17" a="1"/>
  <c r="H345" i="17" s="1"/>
  <c r="G345" i="17" a="1"/>
  <c r="G345" i="17" s="1"/>
  <c r="F345" i="17" a="1"/>
  <c r="F345" i="17" s="1"/>
  <c r="E345" i="17" a="1"/>
  <c r="E345" i="17" s="1"/>
  <c r="D345" i="17"/>
  <c r="D345" i="17" a="1"/>
  <c r="H344" i="17" a="1"/>
  <c r="H344" i="17" s="1"/>
  <c r="G344" i="17" a="1"/>
  <c r="G344" i="17" s="1"/>
  <c r="F344" i="17" a="1"/>
  <c r="F344" i="17" s="1"/>
  <c r="E344" i="17" a="1"/>
  <c r="E344" i="17" s="1"/>
  <c r="D344" i="17" a="1"/>
  <c r="D344" i="17" s="1"/>
  <c r="H343" i="17" a="1"/>
  <c r="H343" i="17" s="1"/>
  <c r="G343" i="17"/>
  <c r="G343" i="17" a="1"/>
  <c r="F343" i="17" a="1"/>
  <c r="F343" i="17" s="1"/>
  <c r="E343" i="17"/>
  <c r="E343" i="17" a="1"/>
  <c r="D343" i="17" a="1"/>
  <c r="D343" i="17" s="1"/>
  <c r="H342" i="17" a="1"/>
  <c r="H342" i="17" s="1"/>
  <c r="G342" i="17" a="1"/>
  <c r="G342" i="17" s="1"/>
  <c r="F342" i="17"/>
  <c r="F342" i="17" a="1"/>
  <c r="E342" i="17"/>
  <c r="E342" i="17" a="1"/>
  <c r="D342" i="17" a="1"/>
  <c r="D342" i="17" s="1"/>
  <c r="H341" i="17" a="1"/>
  <c r="H341" i="17" s="1"/>
  <c r="G341" i="17" a="1"/>
  <c r="G341" i="17" s="1"/>
  <c r="F341" i="17" a="1"/>
  <c r="F341" i="17" s="1"/>
  <c r="E341" i="17" a="1"/>
  <c r="E341" i="17" s="1"/>
  <c r="D341" i="17" a="1"/>
  <c r="D341" i="17" s="1"/>
  <c r="H340" i="17" a="1"/>
  <c r="H340" i="17" s="1"/>
  <c r="G340" i="17"/>
  <c r="G340" i="17" a="1"/>
  <c r="F340" i="17" a="1"/>
  <c r="F340" i="17" s="1"/>
  <c r="E340" i="17" a="1"/>
  <c r="E340" i="17" s="1"/>
  <c r="D340" i="17" a="1"/>
  <c r="D340" i="17" s="1"/>
  <c r="H339" i="17" a="1"/>
  <c r="H339" i="17" s="1"/>
  <c r="G339" i="17" a="1"/>
  <c r="G339" i="17" s="1"/>
  <c r="F339" i="17"/>
  <c r="F339" i="17" a="1"/>
  <c r="E339" i="17" a="1"/>
  <c r="E339" i="17" s="1"/>
  <c r="D339" i="17" a="1"/>
  <c r="D339" i="17" s="1"/>
  <c r="H338" i="17" a="1"/>
  <c r="H338" i="17" s="1"/>
  <c r="G338" i="17" a="1"/>
  <c r="G338" i="17" s="1"/>
  <c r="F338" i="17" a="1"/>
  <c r="F338" i="17" s="1"/>
  <c r="E338" i="17"/>
  <c r="E338" i="17" a="1"/>
  <c r="D338" i="17" a="1"/>
  <c r="D338" i="17" s="1"/>
  <c r="H337" i="17" a="1"/>
  <c r="H337" i="17" s="1"/>
  <c r="G337" i="17"/>
  <c r="G337" i="17" a="1"/>
  <c r="F337" i="17" a="1"/>
  <c r="F337" i="17" s="1"/>
  <c r="E337" i="17" a="1"/>
  <c r="E337" i="17" s="1"/>
  <c r="D337" i="17"/>
  <c r="D337" i="17" a="1"/>
  <c r="H336" i="17" a="1"/>
  <c r="H336" i="17" s="1"/>
  <c r="G336" i="17" a="1"/>
  <c r="G336" i="17" s="1"/>
  <c r="F336" i="17" a="1"/>
  <c r="F336" i="17" s="1"/>
  <c r="E336" i="17"/>
  <c r="E336" i="17" a="1"/>
  <c r="D336" i="17" a="1"/>
  <c r="D336" i="17" s="1"/>
  <c r="H335" i="17" a="1"/>
  <c r="H335" i="17" s="1"/>
  <c r="G335" i="17" a="1"/>
  <c r="G335" i="17" s="1"/>
  <c r="F335" i="17" a="1"/>
  <c r="F335" i="17" s="1"/>
  <c r="E335" i="17" a="1"/>
  <c r="E335" i="17" s="1"/>
  <c r="D335" i="17"/>
  <c r="D335" i="17" a="1"/>
  <c r="H334" i="17" a="1"/>
  <c r="H334" i="17" s="1"/>
  <c r="G334" i="17"/>
  <c r="G334" i="17" a="1"/>
  <c r="F334" i="17" a="1"/>
  <c r="F334" i="17" s="1"/>
  <c r="E334" i="17" a="1"/>
  <c r="E334" i="17" s="1"/>
  <c r="D334" i="17" a="1"/>
  <c r="D334" i="17" s="1"/>
  <c r="H333" i="17" a="1"/>
  <c r="H333" i="17" s="1"/>
  <c r="G333" i="17"/>
  <c r="G333" i="17" a="1"/>
  <c r="F333" i="17"/>
  <c r="F333" i="17" a="1"/>
  <c r="E333" i="17" a="1"/>
  <c r="E333" i="17" s="1"/>
  <c r="D333" i="17" a="1"/>
  <c r="D333" i="17" s="1"/>
  <c r="H332" i="17" a="1"/>
  <c r="H332" i="17" s="1"/>
  <c r="G332" i="17"/>
  <c r="G332" i="17" a="1"/>
  <c r="F332" i="17"/>
  <c r="F332" i="17" a="1"/>
  <c r="E332" i="17"/>
  <c r="E332" i="17" a="1"/>
  <c r="D332" i="17" a="1"/>
  <c r="D332" i="17" s="1"/>
  <c r="H331" i="17" a="1"/>
  <c r="H331" i="17" s="1"/>
  <c r="G331" i="17" a="1"/>
  <c r="G331" i="17" s="1"/>
  <c r="F331" i="17" a="1"/>
  <c r="F331" i="17" s="1"/>
  <c r="E331" i="17"/>
  <c r="E331" i="17" a="1"/>
  <c r="D331" i="17"/>
  <c r="D331" i="17" a="1"/>
  <c r="H330" i="17" a="1"/>
  <c r="H330" i="17" s="1"/>
  <c r="G330" i="17" a="1"/>
  <c r="G330" i="17" s="1"/>
  <c r="F330" i="17"/>
  <c r="F330" i="17" a="1"/>
  <c r="E330" i="17" a="1"/>
  <c r="E330" i="17" s="1"/>
  <c r="D330" i="17" a="1"/>
  <c r="D330" i="17" s="1"/>
  <c r="H329" i="17" a="1"/>
  <c r="H329" i="17" s="1"/>
  <c r="G329" i="17" a="1"/>
  <c r="G329" i="17" s="1"/>
  <c r="F329" i="17" a="1"/>
  <c r="F329" i="17" s="1"/>
  <c r="E329" i="17" a="1"/>
  <c r="E329" i="17" s="1"/>
  <c r="D329" i="17"/>
  <c r="D329" i="17" a="1"/>
  <c r="H328" i="17" a="1"/>
  <c r="H328" i="17" s="1"/>
  <c r="G328" i="17"/>
  <c r="G328" i="17" a="1"/>
  <c r="F328" i="17" a="1"/>
  <c r="F328" i="17" s="1"/>
  <c r="E328" i="17" a="1"/>
  <c r="E328" i="17" s="1"/>
  <c r="D328" i="17" a="1"/>
  <c r="D328" i="17" s="1"/>
  <c r="H327" i="17" a="1"/>
  <c r="H327" i="17" s="1"/>
  <c r="G327" i="17" a="1"/>
  <c r="G327" i="17" s="1"/>
  <c r="F327" i="17"/>
  <c r="F327" i="17" a="1"/>
  <c r="E327" i="17" a="1"/>
  <c r="E327" i="17" s="1"/>
  <c r="D327" i="17" a="1"/>
  <c r="D327" i="17" s="1"/>
  <c r="H326" i="17" a="1"/>
  <c r="H326" i="17" s="1"/>
  <c r="G326" i="17" a="1"/>
  <c r="G326" i="17" s="1"/>
  <c r="F326" i="17"/>
  <c r="F326" i="17" a="1"/>
  <c r="E326" i="17"/>
  <c r="E326" i="17" a="1"/>
  <c r="D326" i="17" a="1"/>
  <c r="D326" i="17" s="1"/>
  <c r="H325" i="17" a="1"/>
  <c r="H325" i="17" s="1"/>
  <c r="G325" i="17" a="1"/>
  <c r="G325" i="17" s="1"/>
  <c r="F325" i="17" a="1"/>
  <c r="F325" i="17" s="1"/>
  <c r="E325" i="17" a="1"/>
  <c r="E325" i="17" s="1"/>
  <c r="D325" i="17"/>
  <c r="D325" i="17" a="1"/>
  <c r="H324" i="17" a="1"/>
  <c r="H324" i="17" s="1"/>
  <c r="G324" i="17" a="1"/>
  <c r="G324" i="17" s="1"/>
  <c r="F324" i="17" a="1"/>
  <c r="F324" i="17" s="1"/>
  <c r="E324" i="17" a="1"/>
  <c r="E324" i="17" s="1"/>
  <c r="D324" i="17" a="1"/>
  <c r="D324" i="17" s="1"/>
  <c r="H323" i="17" a="1"/>
  <c r="H323" i="17" s="1"/>
  <c r="G323" i="17" a="1"/>
  <c r="G323" i="17" s="1"/>
  <c r="F323" i="17" a="1"/>
  <c r="F323" i="17" s="1"/>
  <c r="E323" i="17" a="1"/>
  <c r="E323" i="17" s="1"/>
  <c r="D323" i="17"/>
  <c r="D323" i="17" a="1"/>
  <c r="H322" i="17" a="1"/>
  <c r="H322" i="17" s="1"/>
  <c r="G322" i="17"/>
  <c r="G322" i="17" a="1"/>
  <c r="F322" i="17" a="1"/>
  <c r="F322" i="17" s="1"/>
  <c r="E322" i="17" a="1"/>
  <c r="E322" i="17" s="1"/>
  <c r="D322" i="17" a="1"/>
  <c r="D322" i="17" s="1"/>
  <c r="H321" i="17" a="1"/>
  <c r="H321" i="17" s="1"/>
  <c r="G321" i="17" a="1"/>
  <c r="G321" i="17" s="1"/>
  <c r="F321" i="17"/>
  <c r="F321" i="17" a="1"/>
  <c r="E321" i="17" a="1"/>
  <c r="E321" i="17" s="1"/>
  <c r="D321" i="17" a="1"/>
  <c r="D321" i="17" s="1"/>
  <c r="H320" i="17" a="1"/>
  <c r="H320" i="17" s="1"/>
  <c r="G320" i="17" a="1"/>
  <c r="G320" i="17" s="1"/>
  <c r="F320" i="17" a="1"/>
  <c r="F320" i="17" s="1"/>
  <c r="E320" i="17"/>
  <c r="E320" i="17" a="1"/>
  <c r="D320" i="17" a="1"/>
  <c r="D320" i="17" s="1"/>
  <c r="H319" i="17" a="1"/>
  <c r="H319" i="17" s="1"/>
  <c r="G319" i="17" a="1"/>
  <c r="G319" i="17" s="1"/>
  <c r="F319" i="17" a="1"/>
  <c r="F319" i="17" s="1"/>
  <c r="E319" i="17" a="1"/>
  <c r="E319" i="17" s="1"/>
  <c r="D319" i="17"/>
  <c r="D319" i="17" a="1"/>
  <c r="H318" i="17" a="1"/>
  <c r="H318" i="17" s="1"/>
  <c r="G318" i="17"/>
  <c r="G318" i="17" a="1"/>
  <c r="F318" i="17" a="1"/>
  <c r="F318" i="17" s="1"/>
  <c r="E318" i="17" a="1"/>
  <c r="E318" i="17" s="1"/>
  <c r="D318" i="17" a="1"/>
  <c r="D318" i="17" s="1"/>
  <c r="H317" i="17" a="1"/>
  <c r="H317" i="17" s="1"/>
  <c r="G317" i="17" a="1"/>
  <c r="G317" i="17" s="1"/>
  <c r="F317" i="17" a="1"/>
  <c r="F317" i="17" s="1"/>
  <c r="E317" i="17"/>
  <c r="E317" i="17" a="1"/>
  <c r="D317" i="17" a="1"/>
  <c r="D317" i="17" s="1"/>
  <c r="H316" i="17" a="1"/>
  <c r="H316" i="17" s="1"/>
  <c r="G316" i="17"/>
  <c r="G316" i="17" a="1"/>
  <c r="F316" i="17" a="1"/>
  <c r="F316" i="17" s="1"/>
  <c r="E316" i="17" a="1"/>
  <c r="E316" i="17" s="1"/>
  <c r="D316" i="17" a="1"/>
  <c r="D316" i="17" s="1"/>
  <c r="H315" i="17" a="1"/>
  <c r="H315" i="17" s="1"/>
  <c r="G315" i="17" a="1"/>
  <c r="G315" i="17" s="1"/>
  <c r="F315" i="17"/>
  <c r="F315" i="17" a="1"/>
  <c r="E315" i="17" a="1"/>
  <c r="E315" i="17" s="1"/>
  <c r="D315" i="17" a="1"/>
  <c r="D315" i="17" s="1"/>
  <c r="H314" i="17" a="1"/>
  <c r="H314" i="17" s="1"/>
  <c r="G314" i="17"/>
  <c r="G314" i="17" a="1"/>
  <c r="F314" i="17" a="1"/>
  <c r="F314" i="17" s="1"/>
  <c r="E314" i="17"/>
  <c r="E314" i="17" a="1"/>
  <c r="D314" i="17" a="1"/>
  <c r="D314" i="17" s="1"/>
  <c r="H313" i="17" a="1"/>
  <c r="H313" i="17" s="1"/>
  <c r="G313" i="17" a="1"/>
  <c r="G313" i="17" s="1"/>
  <c r="F313" i="17" a="1"/>
  <c r="F313" i="17" s="1"/>
  <c r="E313" i="17" a="1"/>
  <c r="E313" i="17" s="1"/>
  <c r="D313" i="17"/>
  <c r="D313" i="17" a="1"/>
  <c r="H312" i="17" a="1"/>
  <c r="H312" i="17" s="1"/>
  <c r="G312" i="17" a="1"/>
  <c r="G312" i="17" s="1"/>
  <c r="F312" i="17"/>
  <c r="F312" i="17" a="1"/>
  <c r="E312" i="17" a="1"/>
  <c r="E312" i="17" s="1"/>
  <c r="D312" i="17"/>
  <c r="D312" i="17" a="1"/>
  <c r="H311" i="17" a="1"/>
  <c r="H311" i="17" s="1"/>
  <c r="G311" i="17" a="1"/>
  <c r="G311" i="17" s="1"/>
  <c r="F311" i="17" a="1"/>
  <c r="F311" i="17" s="1"/>
  <c r="E311" i="17" a="1"/>
  <c r="E311" i="17" s="1"/>
  <c r="D311" i="17"/>
  <c r="D311" i="17" a="1"/>
  <c r="H310" i="17" a="1"/>
  <c r="H310" i="17" s="1"/>
  <c r="G310" i="17"/>
  <c r="G310" i="17" a="1"/>
  <c r="F310" i="17" a="1"/>
  <c r="F310" i="17" s="1"/>
  <c r="E310" i="17" a="1"/>
  <c r="E310" i="17" s="1"/>
  <c r="D310" i="17" a="1"/>
  <c r="D310" i="17" s="1"/>
  <c r="H309" i="17" a="1"/>
  <c r="H309" i="17" s="1"/>
  <c r="G309" i="17"/>
  <c r="G309" i="17" a="1"/>
  <c r="F309" i="17"/>
  <c r="F309" i="17" a="1"/>
  <c r="E309" i="17" a="1"/>
  <c r="E309" i="17" s="1"/>
  <c r="D309" i="17" a="1"/>
  <c r="D309" i="17" s="1"/>
  <c r="H308" i="17" a="1"/>
  <c r="H308" i="17" s="1"/>
  <c r="G308" i="17" a="1"/>
  <c r="G308" i="17" s="1"/>
  <c r="F308" i="17"/>
  <c r="F308" i="17" a="1"/>
  <c r="E308" i="17"/>
  <c r="E308" i="17" a="1"/>
  <c r="D308" i="17" a="1"/>
  <c r="D308" i="17" s="1"/>
  <c r="H307" i="17" a="1"/>
  <c r="H307" i="17" s="1"/>
  <c r="G307" i="17" a="1"/>
  <c r="G307" i="17" s="1"/>
  <c r="F307" i="17" a="1"/>
  <c r="F307" i="17" s="1"/>
  <c r="E307" i="17" a="1"/>
  <c r="E307" i="17" s="1"/>
  <c r="D307" i="17"/>
  <c r="D307" i="17" a="1"/>
  <c r="H306" i="17" a="1"/>
  <c r="H306" i="17" s="1"/>
  <c r="G306" i="17" a="1"/>
  <c r="G306" i="17" s="1"/>
  <c r="F306" i="17" a="1"/>
  <c r="F306" i="17" s="1"/>
  <c r="E306" i="17" a="1"/>
  <c r="E306" i="17" s="1"/>
  <c r="D306" i="17" a="1"/>
  <c r="D306" i="17" s="1"/>
  <c r="H305" i="17" a="1"/>
  <c r="H305" i="17" s="1"/>
  <c r="G305" i="17" a="1"/>
  <c r="G305" i="17" s="1"/>
  <c r="F305" i="17"/>
  <c r="F305" i="17" a="1"/>
  <c r="E305" i="17" a="1"/>
  <c r="E305" i="17" s="1"/>
  <c r="D305" i="17" a="1"/>
  <c r="D305" i="17" s="1"/>
  <c r="H304" i="17" a="1"/>
  <c r="H304" i="17" s="1"/>
  <c r="G304" i="17"/>
  <c r="G304" i="17" a="1"/>
  <c r="F304" i="17" a="1"/>
  <c r="F304" i="17" s="1"/>
  <c r="E304" i="17" a="1"/>
  <c r="E304" i="17" s="1"/>
  <c r="D304" i="17" a="1"/>
  <c r="D304" i="17" s="1"/>
  <c r="H303" i="17" a="1"/>
  <c r="H303" i="17" s="1"/>
  <c r="G303" i="17" a="1"/>
  <c r="G303" i="17" s="1"/>
  <c r="F303" i="17"/>
  <c r="F303" i="17" a="1"/>
  <c r="E303" i="17" a="1"/>
  <c r="E303" i="17" s="1"/>
  <c r="D303" i="17"/>
  <c r="D303" i="17" a="1"/>
  <c r="H302" i="17" a="1"/>
  <c r="H302" i="17" s="1"/>
  <c r="G302" i="17" a="1"/>
  <c r="G302" i="17" s="1"/>
  <c r="F302" i="17" a="1"/>
  <c r="F302" i="17" s="1"/>
  <c r="E302" i="17"/>
  <c r="E302" i="17" a="1"/>
  <c r="D302" i="17" a="1"/>
  <c r="D302" i="17" s="1"/>
  <c r="H301" i="17" a="1"/>
  <c r="H301" i="17" s="1"/>
  <c r="G301" i="17"/>
  <c r="G301" i="17" a="1"/>
  <c r="F301" i="17" a="1"/>
  <c r="F301" i="17" s="1"/>
  <c r="E301" i="17" a="1"/>
  <c r="E301" i="17" s="1"/>
  <c r="D301" i="17"/>
  <c r="D301" i="17" a="1"/>
  <c r="H300" i="17" a="1"/>
  <c r="H300" i="17" s="1"/>
  <c r="G300" i="17" a="1"/>
  <c r="G300" i="17" s="1"/>
  <c r="F300" i="17" a="1"/>
  <c r="F300" i="17" s="1"/>
  <c r="E300" i="17"/>
  <c r="E300" i="17" a="1"/>
  <c r="D300" i="17" a="1"/>
  <c r="D300" i="17" s="1"/>
  <c r="H299" i="17" a="1"/>
  <c r="H299" i="17" s="1"/>
  <c r="G299" i="17" a="1"/>
  <c r="G299" i="17" s="1"/>
  <c r="F299" i="17" a="1"/>
  <c r="F299" i="17" s="1"/>
  <c r="E299" i="17" a="1"/>
  <c r="E299" i="17" s="1"/>
  <c r="D299" i="17" a="1"/>
  <c r="D299" i="17" s="1"/>
  <c r="H298" i="17" a="1"/>
  <c r="H298" i="17" s="1"/>
  <c r="G298" i="17"/>
  <c r="G298" i="17" a="1"/>
  <c r="F298" i="17" a="1"/>
  <c r="F298" i="17" s="1"/>
  <c r="E298" i="17" a="1"/>
  <c r="E298" i="17" s="1"/>
  <c r="D298" i="17" a="1"/>
  <c r="D298" i="17" s="1"/>
  <c r="H297" i="17" a="1"/>
  <c r="H297" i="17" s="1"/>
  <c r="G297" i="17"/>
  <c r="G297" i="17" a="1"/>
  <c r="F297" i="17"/>
  <c r="F297" i="17" a="1"/>
  <c r="E297" i="17" a="1"/>
  <c r="E297" i="17" s="1"/>
  <c r="D297" i="17" a="1"/>
  <c r="D297" i="17" s="1"/>
  <c r="H296" i="17" a="1"/>
  <c r="H296" i="17" s="1"/>
  <c r="G296" i="17" a="1"/>
  <c r="G296" i="17" s="1"/>
  <c r="F296" i="17" a="1"/>
  <c r="F296" i="17" s="1"/>
  <c r="E296" i="17"/>
  <c r="E296" i="17" a="1"/>
  <c r="D296" i="17" a="1"/>
  <c r="D296" i="17" s="1"/>
  <c r="H295" i="17" a="1"/>
  <c r="H295" i="17" s="1"/>
  <c r="G295" i="17"/>
  <c r="G295" i="17" a="1"/>
  <c r="F295" i="17" a="1"/>
  <c r="F295" i="17" s="1"/>
  <c r="E295" i="17" a="1"/>
  <c r="E295" i="17" s="1"/>
  <c r="D295" i="17"/>
  <c r="D295" i="17" a="1"/>
  <c r="H294" i="17" a="1"/>
  <c r="H294" i="17" s="1"/>
  <c r="G294" i="17" a="1"/>
  <c r="G294" i="17" s="1"/>
  <c r="F294" i="17" a="1"/>
  <c r="F294" i="17" s="1"/>
  <c r="E294" i="17"/>
  <c r="E294" i="17" a="1"/>
  <c r="D294" i="17"/>
  <c r="D294" i="17" a="1"/>
  <c r="H293" i="17" a="1"/>
  <c r="H293" i="17" s="1"/>
  <c r="G293" i="17" a="1"/>
  <c r="G293" i="17" s="1"/>
  <c r="F293" i="17" a="1"/>
  <c r="F293" i="17" s="1"/>
  <c r="E293" i="17" a="1"/>
  <c r="E293" i="17" s="1"/>
  <c r="D293" i="17" a="1"/>
  <c r="D293" i="17" s="1"/>
  <c r="H292" i="17" a="1"/>
  <c r="H292" i="17" s="1"/>
  <c r="G292" i="17"/>
  <c r="G292" i="17" a="1"/>
  <c r="F292" i="17" a="1"/>
  <c r="F292" i="17" s="1"/>
  <c r="E292" i="17" a="1"/>
  <c r="E292" i="17" s="1"/>
  <c r="D292" i="17" a="1"/>
  <c r="D292" i="17" s="1"/>
  <c r="H291" i="17" a="1"/>
  <c r="H291" i="17" s="1"/>
  <c r="G291" i="17" a="1"/>
  <c r="G291" i="17" s="1"/>
  <c r="F291" i="17"/>
  <c r="F291" i="17" a="1"/>
  <c r="E291" i="17" a="1"/>
  <c r="E291" i="17" s="1"/>
  <c r="D291" i="17"/>
  <c r="D291" i="17" a="1"/>
  <c r="H290" i="17" a="1"/>
  <c r="H290" i="17" s="1"/>
  <c r="G290" i="17" a="1"/>
  <c r="G290" i="17" s="1"/>
  <c r="F290" i="17"/>
  <c r="F290" i="17" a="1"/>
  <c r="E290" i="17"/>
  <c r="E290" i="17" a="1"/>
  <c r="D290" i="17" a="1"/>
  <c r="D290" i="17" s="1"/>
  <c r="H289" i="17" a="1"/>
  <c r="H289" i="17" s="1"/>
  <c r="G289" i="17" a="1"/>
  <c r="G289" i="17" s="1"/>
  <c r="F289" i="17" a="1"/>
  <c r="F289" i="17" s="1"/>
  <c r="E289" i="17" a="1"/>
  <c r="E289" i="17" s="1"/>
  <c r="D289" i="17"/>
  <c r="D289" i="17" a="1"/>
  <c r="H288" i="17" a="1"/>
  <c r="H288" i="17" s="1"/>
  <c r="G288" i="17" a="1"/>
  <c r="G288" i="17" s="1"/>
  <c r="F288" i="17"/>
  <c r="F288" i="17" a="1"/>
  <c r="E288" i="17" a="1"/>
  <c r="E288" i="17" s="1"/>
  <c r="D288" i="17" a="1"/>
  <c r="D288" i="17" s="1"/>
  <c r="H287" i="17" a="1"/>
  <c r="H287" i="17" s="1"/>
  <c r="G287" i="17" a="1"/>
  <c r="G287" i="17" s="1"/>
  <c r="F287" i="17"/>
  <c r="F287" i="17" a="1"/>
  <c r="E287" i="17"/>
  <c r="E287" i="17" a="1"/>
  <c r="D287" i="17" a="1"/>
  <c r="D287" i="17" s="1"/>
  <c r="H286" i="17" a="1"/>
  <c r="H286" i="17" s="1"/>
  <c r="G286" i="17"/>
  <c r="G286" i="17" a="1"/>
  <c r="F286" i="17" a="1"/>
  <c r="F286" i="17" s="1"/>
  <c r="E286" i="17" a="1"/>
  <c r="E286" i="17" s="1"/>
  <c r="D286" i="17"/>
  <c r="D286" i="17" a="1"/>
  <c r="H285" i="17" a="1"/>
  <c r="H285" i="17" s="1"/>
  <c r="G285" i="17" a="1"/>
  <c r="G285" i="17" s="1"/>
  <c r="F285" i="17"/>
  <c r="F285" i="17" a="1"/>
  <c r="E285" i="17" a="1"/>
  <c r="E285" i="17" s="1"/>
  <c r="D285" i="17" a="1"/>
  <c r="D285" i="17" s="1"/>
  <c r="H284" i="17" a="1"/>
  <c r="H284" i="17" s="1"/>
  <c r="G284" i="17"/>
  <c r="G284" i="17" a="1"/>
  <c r="F284" i="17" a="1"/>
  <c r="F284" i="17" s="1"/>
  <c r="E284" i="17"/>
  <c r="E284" i="17" a="1"/>
  <c r="D284" i="17" a="1"/>
  <c r="D284" i="17" s="1"/>
  <c r="H283" i="17" a="1"/>
  <c r="H283" i="17" s="1"/>
  <c r="G283" i="17" a="1"/>
  <c r="G283" i="17" s="1"/>
  <c r="F283" i="17" a="1"/>
  <c r="F283" i="17" s="1"/>
  <c r="E283" i="17"/>
  <c r="E283" i="17" a="1"/>
  <c r="D283" i="17"/>
  <c r="D283" i="17" a="1"/>
  <c r="H282" i="17" a="1"/>
  <c r="H282" i="17" s="1"/>
  <c r="G282" i="17" a="1"/>
  <c r="G282" i="17" s="1"/>
  <c r="F282" i="17" a="1"/>
  <c r="F282" i="17" s="1"/>
  <c r="E282" i="17" a="1"/>
  <c r="E282" i="17" s="1"/>
  <c r="D282" i="17" a="1"/>
  <c r="D282" i="17" s="1"/>
  <c r="H281" i="17" a="1"/>
  <c r="H281" i="17" s="1"/>
  <c r="G281" i="17" a="1"/>
  <c r="G281" i="17" s="1"/>
  <c r="F281" i="17" a="1"/>
  <c r="F281" i="17" s="1"/>
  <c r="E281" i="17" a="1"/>
  <c r="E281" i="17" s="1"/>
  <c r="D281" i="17" a="1"/>
  <c r="D281" i="17" s="1"/>
  <c r="H280" i="17" a="1"/>
  <c r="H280" i="17" s="1"/>
  <c r="G280" i="17"/>
  <c r="G280" i="17" a="1"/>
  <c r="F280" i="17" a="1"/>
  <c r="F280" i="17" s="1"/>
  <c r="E280" i="17" a="1"/>
  <c r="E280" i="17" s="1"/>
  <c r="D280" i="17" a="1"/>
  <c r="D280" i="17" s="1"/>
  <c r="H279" i="17" a="1"/>
  <c r="H279" i="17" s="1"/>
  <c r="G279" i="17" a="1"/>
  <c r="G279" i="17" s="1"/>
  <c r="F279" i="17"/>
  <c r="F279" i="17" a="1"/>
  <c r="E279" i="17" a="1"/>
  <c r="E279" i="17" s="1"/>
  <c r="D279" i="17" a="1"/>
  <c r="D279" i="17" s="1"/>
  <c r="H278" i="17" a="1"/>
  <c r="H278" i="17" s="1"/>
  <c r="G278" i="17"/>
  <c r="G278" i="17" a="1"/>
  <c r="F278" i="17" a="1"/>
  <c r="F278" i="17" s="1"/>
  <c r="E278" i="17"/>
  <c r="E278" i="17" a="1"/>
  <c r="D278" i="17" a="1"/>
  <c r="D278" i="17" s="1"/>
  <c r="H277" i="17" a="1"/>
  <c r="H277" i="17" s="1"/>
  <c r="G277" i="17" a="1"/>
  <c r="G277" i="17" s="1"/>
  <c r="F277" i="17" a="1"/>
  <c r="F277" i="17" s="1"/>
  <c r="E277" i="17" a="1"/>
  <c r="E277" i="17" s="1"/>
  <c r="D277" i="17"/>
  <c r="D277" i="17" a="1"/>
  <c r="H276" i="17" a="1"/>
  <c r="H276" i="17" s="1"/>
  <c r="G276" i="17"/>
  <c r="G276" i="17" a="1"/>
  <c r="F276" i="17" a="1"/>
  <c r="F276" i="17" s="1"/>
  <c r="E276" i="17" a="1"/>
  <c r="E276" i="17" s="1"/>
  <c r="D276" i="17" a="1"/>
  <c r="D276" i="17" s="1"/>
  <c r="H275" i="17" a="1"/>
  <c r="H275" i="17" s="1"/>
  <c r="G275" i="17" a="1"/>
  <c r="G275" i="17" s="1"/>
  <c r="F275" i="17"/>
  <c r="F275" i="17" a="1"/>
  <c r="E275" i="17" a="1"/>
  <c r="E275" i="17" s="1"/>
  <c r="D275" i="17" a="1"/>
  <c r="D275" i="17" s="1"/>
  <c r="H274" i="17" a="1"/>
  <c r="H274" i="17" s="1"/>
  <c r="G274" i="17"/>
  <c r="G274" i="17" a="1"/>
  <c r="F274" i="17" a="1"/>
  <c r="F274" i="17" s="1"/>
  <c r="E274" i="17" a="1"/>
  <c r="E274" i="17" s="1"/>
  <c r="D274" i="17"/>
  <c r="D274" i="17" a="1"/>
  <c r="H273" i="17" a="1"/>
  <c r="H273" i="17" s="1"/>
  <c r="G273" i="17" a="1"/>
  <c r="G273" i="17" s="1"/>
  <c r="F273" i="17"/>
  <c r="F273" i="17" a="1"/>
  <c r="E273" i="17" a="1"/>
  <c r="E273" i="17" s="1"/>
  <c r="D273" i="17" a="1"/>
  <c r="D273" i="17" s="1"/>
  <c r="H272" i="17" a="1"/>
  <c r="H272" i="17" s="1"/>
  <c r="G272" i="17" a="1"/>
  <c r="G272" i="17" s="1"/>
  <c r="F272" i="17" a="1"/>
  <c r="F272" i="17" s="1"/>
  <c r="E272" i="17"/>
  <c r="E272" i="17" a="1"/>
  <c r="D272" i="17" a="1"/>
  <c r="D272" i="17" s="1"/>
  <c r="H271" i="17" a="1"/>
  <c r="H271" i="17" s="1"/>
  <c r="G271" i="17" a="1"/>
  <c r="G271" i="17" s="1"/>
  <c r="F271" i="17"/>
  <c r="F271" i="17" a="1"/>
  <c r="E271" i="17" a="1"/>
  <c r="E271" i="17" s="1"/>
  <c r="D271" i="17"/>
  <c r="D271" i="17" a="1"/>
  <c r="H270" i="17" a="1"/>
  <c r="H270" i="17" s="1"/>
  <c r="G270" i="17"/>
  <c r="G270" i="17" a="1"/>
  <c r="F270" i="17" a="1"/>
  <c r="F270" i="17" s="1"/>
  <c r="E270" i="17" a="1"/>
  <c r="E270" i="17" s="1"/>
  <c r="D270" i="17" a="1"/>
  <c r="D270" i="17" s="1"/>
  <c r="H269" i="17" a="1"/>
  <c r="H269" i="17" s="1"/>
  <c r="G269" i="17" a="1"/>
  <c r="G269" i="17" s="1"/>
  <c r="F269" i="17" a="1"/>
  <c r="F269" i="17" s="1"/>
  <c r="E269" i="17"/>
  <c r="E269" i="17" a="1"/>
  <c r="D269" i="17" a="1"/>
  <c r="D269" i="17" s="1"/>
  <c r="H268" i="17" a="1"/>
  <c r="H268" i="17" s="1"/>
  <c r="G268" i="17"/>
  <c r="G268" i="17" a="1"/>
  <c r="F268" i="17" a="1"/>
  <c r="F268" i="17" s="1"/>
  <c r="E268" i="17" a="1"/>
  <c r="E268" i="17" s="1"/>
  <c r="D268" i="17" a="1"/>
  <c r="D268" i="17" s="1"/>
  <c r="H267" i="17" a="1"/>
  <c r="H267" i="17" s="1"/>
  <c r="G267" i="17" a="1"/>
  <c r="G267" i="17" s="1"/>
  <c r="F267" i="17"/>
  <c r="F267" i="17" a="1"/>
  <c r="E267" i="17" a="1"/>
  <c r="E267" i="17" s="1"/>
  <c r="D267" i="17" a="1"/>
  <c r="D267" i="17" s="1"/>
  <c r="H266" i="17" a="1"/>
  <c r="H266" i="17" s="1"/>
  <c r="G266" i="17" a="1"/>
  <c r="G266" i="17" s="1"/>
  <c r="F266" i="17"/>
  <c r="F266" i="17" a="1"/>
  <c r="E266" i="17"/>
  <c r="E266" i="17" a="1"/>
  <c r="D266" i="17" a="1"/>
  <c r="D266" i="17" s="1"/>
  <c r="H265" i="17" a="1"/>
  <c r="H265" i="17" s="1"/>
  <c r="G265" i="17" a="1"/>
  <c r="G265" i="17" s="1"/>
  <c r="F265" i="17" a="1"/>
  <c r="F265" i="17" s="1"/>
  <c r="E265" i="17"/>
  <c r="E265" i="17" a="1"/>
  <c r="D265" i="17"/>
  <c r="D265" i="17" a="1"/>
  <c r="H264" i="17" a="1"/>
  <c r="H264" i="17" s="1"/>
  <c r="G264" i="17" a="1"/>
  <c r="G264" i="17" s="1"/>
  <c r="F264" i="17" a="1"/>
  <c r="F264" i="17" s="1"/>
  <c r="E264" i="17" a="1"/>
  <c r="E264" i="17" s="1"/>
  <c r="D264" i="17" a="1"/>
  <c r="D264" i="17" s="1"/>
  <c r="H263" i="17" a="1"/>
  <c r="H263" i="17" s="1"/>
  <c r="G263" i="17" a="1"/>
  <c r="G263" i="17" s="1"/>
  <c r="F263" i="17" a="1"/>
  <c r="F263" i="17" s="1"/>
  <c r="E263" i="17" a="1"/>
  <c r="E263" i="17" s="1"/>
  <c r="D263" i="17" a="1"/>
  <c r="D263" i="17" s="1"/>
  <c r="H262" i="17" a="1"/>
  <c r="H262" i="17" s="1"/>
  <c r="G262" i="17" a="1"/>
  <c r="G262" i="17" s="1"/>
  <c r="F262" i="17" a="1"/>
  <c r="F262" i="17" s="1"/>
  <c r="E262" i="17"/>
  <c r="E262" i="17" a="1"/>
  <c r="D262" i="17" a="1"/>
  <c r="D262" i="17" s="1"/>
  <c r="H261" i="17" a="1"/>
  <c r="H261" i="17" s="1"/>
  <c r="G261" i="17"/>
  <c r="G261" i="17" a="1"/>
  <c r="F261" i="17"/>
  <c r="F261" i="17" a="1"/>
  <c r="E261" i="17" a="1"/>
  <c r="E261" i="17" s="1"/>
  <c r="D261" i="17" a="1"/>
  <c r="D261" i="17" s="1"/>
  <c r="H260" i="17" a="1"/>
  <c r="H260" i="17" s="1"/>
  <c r="G260" i="17" a="1"/>
  <c r="G260" i="17" s="1"/>
  <c r="F260" i="17" a="1"/>
  <c r="F260" i="17" s="1"/>
  <c r="E260" i="17"/>
  <c r="E260" i="17" a="1"/>
  <c r="D260" i="17" a="1"/>
  <c r="D260" i="17" s="1"/>
  <c r="H259" i="17" a="1"/>
  <c r="H259" i="17" s="1"/>
  <c r="G259" i="17"/>
  <c r="G259" i="17" a="1"/>
  <c r="F259" i="17" a="1"/>
  <c r="F259" i="17" s="1"/>
  <c r="E259" i="17" a="1"/>
  <c r="E259" i="17" s="1"/>
  <c r="D259" i="17" a="1"/>
  <c r="D259" i="17" s="1"/>
  <c r="H258" i="17" a="1"/>
  <c r="H258" i="17" s="1"/>
  <c r="G258" i="17"/>
  <c r="G258" i="17" a="1"/>
  <c r="F258" i="17"/>
  <c r="F258" i="17" a="1"/>
  <c r="E258" i="17"/>
  <c r="E258" i="17" a="1"/>
  <c r="D258" i="17" a="1"/>
  <c r="D258" i="17" s="1"/>
  <c r="H257" i="17" a="1"/>
  <c r="H257" i="17" s="1"/>
  <c r="G257" i="17" a="1"/>
  <c r="G257" i="17" s="1"/>
  <c r="F257" i="17" a="1"/>
  <c r="F257" i="17" s="1"/>
  <c r="E257" i="17" a="1"/>
  <c r="E257" i="17" s="1"/>
  <c r="D257" i="17"/>
  <c r="D257" i="17" a="1"/>
  <c r="H256" i="17" a="1"/>
  <c r="H256" i="17" s="1"/>
  <c r="G256" i="17" a="1"/>
  <c r="G256" i="17" s="1"/>
  <c r="F256" i="17" a="1"/>
  <c r="F256" i="17" s="1"/>
  <c r="E256" i="17"/>
  <c r="E256" i="17" a="1"/>
  <c r="D256" i="17" a="1"/>
  <c r="D256" i="17" s="1"/>
  <c r="H255" i="17" a="1"/>
  <c r="H255" i="17" s="1"/>
  <c r="G255" i="17" a="1"/>
  <c r="G255" i="17" s="1"/>
  <c r="F255" i="17" a="1"/>
  <c r="F255" i="17" s="1"/>
  <c r="E255" i="17" a="1"/>
  <c r="E255" i="17" s="1"/>
  <c r="D255" i="17"/>
  <c r="D255" i="17" a="1"/>
  <c r="H254" i="17" a="1"/>
  <c r="H254" i="17" s="1"/>
  <c r="G254" i="17" a="1"/>
  <c r="G254" i="17" s="1"/>
  <c r="F254" i="17"/>
  <c r="F254" i="17" a="1"/>
  <c r="E254" i="17" a="1"/>
  <c r="E254" i="17" s="1"/>
  <c r="D254" i="17" a="1"/>
  <c r="D254" i="17" s="1"/>
  <c r="H253" i="17" a="1"/>
  <c r="H253" i="17" s="1"/>
  <c r="G253" i="17"/>
  <c r="G253" i="17" a="1"/>
  <c r="F253" i="17"/>
  <c r="F253" i="17" a="1"/>
  <c r="E253" i="17"/>
  <c r="E253" i="17" a="1"/>
  <c r="D253" i="17" a="1"/>
  <c r="D253" i="17" s="1"/>
  <c r="H252" i="17" a="1"/>
  <c r="H252" i="17" s="1"/>
  <c r="G252" i="17" a="1"/>
  <c r="G252" i="17" s="1"/>
  <c r="F252" i="17" a="1"/>
  <c r="F252" i="17" s="1"/>
  <c r="E252" i="17" a="1"/>
  <c r="E252" i="17" s="1"/>
  <c r="D252" i="17"/>
  <c r="D252" i="17" a="1"/>
  <c r="H251" i="17" a="1"/>
  <c r="H251" i="17" s="1"/>
  <c r="G251" i="17" a="1"/>
  <c r="G251" i="17" s="1"/>
  <c r="F251" i="17" a="1"/>
  <c r="F251" i="17" s="1"/>
  <c r="E251" i="17" a="1"/>
  <c r="E251" i="17" s="1"/>
  <c r="D251" i="17" a="1"/>
  <c r="D251" i="17" s="1"/>
  <c r="H250" i="17" a="1"/>
  <c r="H250" i="17" s="1"/>
  <c r="G250" i="17"/>
  <c r="G250" i="17" a="1"/>
  <c r="F250" i="17" a="1"/>
  <c r="F250" i="17" s="1"/>
  <c r="E250" i="17" a="1"/>
  <c r="E250" i="17" s="1"/>
  <c r="D250" i="17" a="1"/>
  <c r="D250" i="17" s="1"/>
  <c r="H249" i="17" a="1"/>
  <c r="H249" i="17" s="1"/>
  <c r="G249" i="17" a="1"/>
  <c r="G249" i="17" s="1"/>
  <c r="F249" i="17" a="1"/>
  <c r="F249" i="17" s="1"/>
  <c r="E249" i="17" a="1"/>
  <c r="E249" i="17" s="1"/>
  <c r="D249" i="17" a="1"/>
  <c r="D249" i="17" s="1"/>
  <c r="H248" i="17" a="1"/>
  <c r="H248" i="17" s="1"/>
  <c r="G248" i="17" a="1"/>
  <c r="G248" i="17" s="1"/>
  <c r="F248" i="17" a="1"/>
  <c r="F248" i="17" s="1"/>
  <c r="E248" i="17" a="1"/>
  <c r="E248" i="17" s="1"/>
  <c r="D248" i="17" a="1"/>
  <c r="D248" i="17" s="1"/>
  <c r="H247" i="17" a="1"/>
  <c r="H247" i="17" s="1"/>
  <c r="G247" i="17" a="1"/>
  <c r="G247" i="17" s="1"/>
  <c r="F247" i="17" a="1"/>
  <c r="F247" i="17" s="1"/>
  <c r="E247" i="17"/>
  <c r="E247" i="17" a="1"/>
  <c r="D247" i="17"/>
  <c r="D247" i="17" a="1"/>
  <c r="H246" i="17" a="1"/>
  <c r="H246" i="17" s="1"/>
  <c r="G246" i="17" a="1"/>
  <c r="G246" i="17" s="1"/>
  <c r="F246" i="17" a="1"/>
  <c r="F246" i="17" s="1"/>
  <c r="E246" i="17" a="1"/>
  <c r="E246" i="17" s="1"/>
  <c r="D246" i="17" a="1"/>
  <c r="D246" i="17" s="1"/>
  <c r="H245" i="17" a="1"/>
  <c r="H245" i="17" s="1"/>
  <c r="G245" i="17" a="1"/>
  <c r="G245" i="17" s="1"/>
  <c r="F245" i="17"/>
  <c r="F245" i="17" a="1"/>
  <c r="E245" i="17"/>
  <c r="E245" i="17" a="1"/>
  <c r="D245" i="17" a="1"/>
  <c r="D245" i="17" s="1"/>
  <c r="H244" i="17" a="1"/>
  <c r="H244" i="17" s="1"/>
  <c r="G244" i="17" a="1"/>
  <c r="G244" i="17" s="1"/>
  <c r="F244" i="17" a="1"/>
  <c r="F244" i="17" s="1"/>
  <c r="E244" i="17"/>
  <c r="E244" i="17" a="1"/>
  <c r="D244" i="17"/>
  <c r="D244" i="17" a="1"/>
  <c r="H243" i="17" a="1"/>
  <c r="H243" i="17" s="1"/>
  <c r="G243" i="17" a="1"/>
  <c r="G243" i="17" s="1"/>
  <c r="F243" i="17" a="1"/>
  <c r="F243" i="17" s="1"/>
  <c r="E243" i="17" a="1"/>
  <c r="E243" i="17" s="1"/>
  <c r="D243" i="17" a="1"/>
  <c r="D243" i="17" s="1"/>
  <c r="H242" i="17" a="1"/>
  <c r="H242" i="17" s="1"/>
  <c r="G242" i="17"/>
  <c r="G242" i="17" a="1"/>
  <c r="F242" i="17" a="1"/>
  <c r="F242" i="17" s="1"/>
  <c r="E242" i="17" a="1"/>
  <c r="E242" i="17" s="1"/>
  <c r="D242" i="17" a="1"/>
  <c r="D242" i="17" s="1"/>
  <c r="H241" i="17" a="1"/>
  <c r="H241" i="17" s="1"/>
  <c r="G241" i="17" a="1"/>
  <c r="G241" i="17" s="1"/>
  <c r="F241" i="17" a="1"/>
  <c r="F241" i="17" s="1"/>
  <c r="E241" i="17" a="1"/>
  <c r="E241" i="17" s="1"/>
  <c r="D241" i="17" a="1"/>
  <c r="D241" i="17" s="1"/>
  <c r="H240" i="17" a="1"/>
  <c r="H240" i="17" s="1"/>
  <c r="G240" i="17" a="1"/>
  <c r="G240" i="17" s="1"/>
  <c r="F240" i="17"/>
  <c r="F240" i="17" a="1"/>
  <c r="E240" i="17"/>
  <c r="E240" i="17" a="1"/>
  <c r="D240" i="17"/>
  <c r="D240" i="17" a="1"/>
  <c r="H239" i="17" a="1"/>
  <c r="H239" i="17" s="1"/>
  <c r="G239" i="17" a="1"/>
  <c r="G239" i="17" s="1"/>
  <c r="F239" i="17" a="1"/>
  <c r="F239" i="17" s="1"/>
  <c r="E239" i="17" a="1"/>
  <c r="E239" i="17" s="1"/>
  <c r="D239" i="17"/>
  <c r="D239" i="17" a="1"/>
  <c r="H238" i="17" a="1"/>
  <c r="H238" i="17" s="1"/>
  <c r="G238" i="17" a="1"/>
  <c r="G238" i="17" s="1"/>
  <c r="F238" i="17" a="1"/>
  <c r="F238" i="17" s="1"/>
  <c r="E238" i="17" a="1"/>
  <c r="E238" i="17" s="1"/>
  <c r="D238" i="17" a="1"/>
  <c r="D238" i="17" s="1"/>
  <c r="H237" i="17" a="1"/>
  <c r="H237" i="17" s="1"/>
  <c r="G237" i="17" a="1"/>
  <c r="G237" i="17" s="1"/>
  <c r="F237" i="17"/>
  <c r="F237" i="17" a="1"/>
  <c r="E237" i="17" a="1"/>
  <c r="E237" i="17" s="1"/>
  <c r="D237" i="17" a="1"/>
  <c r="D237" i="17" s="1"/>
  <c r="H236" i="17" a="1"/>
  <c r="H236" i="17" s="1"/>
  <c r="G236" i="17" a="1"/>
  <c r="G236" i="17" s="1"/>
  <c r="F236" i="17" a="1"/>
  <c r="F236" i="17" s="1"/>
  <c r="E236" i="17" a="1"/>
  <c r="E236" i="17" s="1"/>
  <c r="D236" i="17" a="1"/>
  <c r="D236" i="17" s="1"/>
  <c r="H235" i="17" a="1"/>
  <c r="H235" i="17" s="1"/>
  <c r="G235" i="17" a="1"/>
  <c r="G235" i="17" s="1"/>
  <c r="F235" i="17"/>
  <c r="F235" i="17" a="1"/>
  <c r="E235" i="17"/>
  <c r="E235" i="17" a="1"/>
  <c r="D235" i="17" a="1"/>
  <c r="D235" i="17" s="1"/>
  <c r="H234" i="17" a="1"/>
  <c r="H234" i="17" s="1"/>
  <c r="G234" i="17" a="1"/>
  <c r="G234" i="17" s="1"/>
  <c r="F234" i="17" a="1"/>
  <c r="F234" i="17" s="1"/>
  <c r="E234" i="17" a="1"/>
  <c r="E234" i="17" s="1"/>
  <c r="D234" i="17"/>
  <c r="D234" i="17" a="1"/>
  <c r="H233" i="17" a="1"/>
  <c r="H233" i="17" s="1"/>
  <c r="G233" i="17" a="1"/>
  <c r="G233" i="17" s="1"/>
  <c r="F233" i="17"/>
  <c r="F233" i="17" a="1"/>
  <c r="E233" i="17" a="1"/>
  <c r="E233" i="17" s="1"/>
  <c r="D233" i="17" a="1"/>
  <c r="D233" i="17" s="1"/>
  <c r="H232" i="17" a="1"/>
  <c r="H232" i="17" s="1"/>
  <c r="G232" i="17"/>
  <c r="G232" i="17" a="1"/>
  <c r="F232" i="17" a="1"/>
  <c r="F232" i="17" s="1"/>
  <c r="E232" i="17"/>
  <c r="E232" i="17" a="1"/>
  <c r="D232" i="17" a="1"/>
  <c r="D232" i="17" s="1"/>
  <c r="H231" i="17" a="1"/>
  <c r="H231" i="17" s="1"/>
  <c r="G231" i="17" a="1"/>
  <c r="G231" i="17" s="1"/>
  <c r="F231" i="17" a="1"/>
  <c r="F231" i="17" s="1"/>
  <c r="E231" i="17" a="1"/>
  <c r="E231" i="17" s="1"/>
  <c r="D231" i="17" a="1"/>
  <c r="D231" i="17" s="1"/>
  <c r="H230" i="17" a="1"/>
  <c r="H230" i="17" s="1"/>
  <c r="G230" i="17" a="1"/>
  <c r="G230" i="17" s="1"/>
  <c r="F230" i="17" a="1"/>
  <c r="F230" i="17" s="1"/>
  <c r="E230" i="17"/>
  <c r="E230" i="17" a="1"/>
  <c r="D230" i="17" a="1"/>
  <c r="D230" i="17" s="1"/>
  <c r="H229" i="17" a="1"/>
  <c r="H229" i="17" s="1"/>
  <c r="G229" i="17" a="1"/>
  <c r="G229" i="17" s="1"/>
  <c r="F229" i="17" a="1"/>
  <c r="F229" i="17" s="1"/>
  <c r="E229" i="17" a="1"/>
  <c r="E229" i="17" s="1"/>
  <c r="D229" i="17" a="1"/>
  <c r="D229" i="17" s="1"/>
  <c r="H228" i="17" a="1"/>
  <c r="H228" i="17" s="1"/>
  <c r="G228" i="17" a="1"/>
  <c r="G228" i="17" s="1"/>
  <c r="F228" i="17" a="1"/>
  <c r="F228" i="17" s="1"/>
  <c r="E228" i="17"/>
  <c r="E228" i="17" a="1"/>
  <c r="D228" i="17" a="1"/>
  <c r="D228" i="17" s="1"/>
  <c r="H227" i="17" a="1"/>
  <c r="H227" i="17" s="1"/>
  <c r="G227" i="17" a="1"/>
  <c r="G227" i="17" s="1"/>
  <c r="F227" i="17"/>
  <c r="F227" i="17" a="1"/>
  <c r="E227" i="17"/>
  <c r="E227" i="17" a="1"/>
  <c r="D227" i="17"/>
  <c r="D227" i="17" a="1"/>
  <c r="H226" i="17" a="1"/>
  <c r="H226" i="17" s="1"/>
  <c r="G226" i="17" a="1"/>
  <c r="G226" i="17" s="1"/>
  <c r="F226" i="17" a="1"/>
  <c r="F226" i="17" s="1"/>
  <c r="E226" i="17" a="1"/>
  <c r="E226" i="17" s="1"/>
  <c r="D226" i="17"/>
  <c r="D226" i="17" a="1"/>
  <c r="H225" i="17" a="1"/>
  <c r="H225" i="17" s="1"/>
  <c r="G225" i="17"/>
  <c r="G225" i="17" a="1"/>
  <c r="F225" i="17" a="1"/>
  <c r="F225" i="17" s="1"/>
  <c r="E225" i="17" a="1"/>
  <c r="E225" i="17" s="1"/>
  <c r="D225" i="17" a="1"/>
  <c r="D225" i="17" s="1"/>
  <c r="H224" i="17" a="1"/>
  <c r="H224" i="17" s="1"/>
  <c r="G224" i="17" a="1"/>
  <c r="G224" i="17" s="1"/>
  <c r="F224" i="17"/>
  <c r="F224" i="17" a="1"/>
  <c r="E224" i="17" a="1"/>
  <c r="E224" i="17" s="1"/>
  <c r="D224" i="17" a="1"/>
  <c r="D224" i="17" s="1"/>
  <c r="H223" i="17" a="1"/>
  <c r="H223" i="17" s="1"/>
  <c r="G223" i="17" a="1"/>
  <c r="G223" i="17" s="1"/>
  <c r="F223" i="17" a="1"/>
  <c r="F223" i="17" s="1"/>
  <c r="E223" i="17" a="1"/>
  <c r="E223" i="17" s="1"/>
  <c r="D223" i="17"/>
  <c r="D223" i="17" a="1"/>
  <c r="H222" i="17" a="1"/>
  <c r="H222" i="17" s="1"/>
  <c r="G222" i="17" a="1"/>
  <c r="G222" i="17" s="1"/>
  <c r="F222" i="17" a="1"/>
  <c r="F222" i="17" s="1"/>
  <c r="E222" i="17"/>
  <c r="E222" i="17" a="1"/>
  <c r="D222" i="17" a="1"/>
  <c r="D222" i="17" s="1"/>
  <c r="H221" i="17" a="1"/>
  <c r="H221" i="17" s="1"/>
  <c r="G221" i="17" a="1"/>
  <c r="G221" i="17" s="1"/>
  <c r="F221" i="17" a="1"/>
  <c r="F221" i="17" s="1"/>
  <c r="E221" i="17" a="1"/>
  <c r="E221" i="17" s="1"/>
  <c r="D221" i="17" a="1"/>
  <c r="D221" i="17" s="1"/>
  <c r="H220" i="17" a="1"/>
  <c r="H220" i="17" s="1"/>
  <c r="G220" i="17" a="1"/>
  <c r="G220" i="17" s="1"/>
  <c r="F220" i="17" a="1"/>
  <c r="F220" i="17" s="1"/>
  <c r="E220" i="17" a="1"/>
  <c r="E220" i="17" s="1"/>
  <c r="D220" i="17" a="1"/>
  <c r="D220" i="17" s="1"/>
  <c r="H219" i="17" a="1"/>
  <c r="H219" i="17" s="1"/>
  <c r="G219" i="17"/>
  <c r="G219" i="17" a="1"/>
  <c r="F219" i="17" a="1"/>
  <c r="F219" i="17" s="1"/>
  <c r="E219" i="17" a="1"/>
  <c r="E219" i="17" s="1"/>
  <c r="D219" i="17"/>
  <c r="D219" i="17" a="1"/>
  <c r="H218" i="17" a="1"/>
  <c r="H218" i="17" s="1"/>
  <c r="G218" i="17" a="1"/>
  <c r="G218" i="17" s="1"/>
  <c r="F218" i="17"/>
  <c r="F218" i="17" a="1"/>
  <c r="E218" i="17" a="1"/>
  <c r="E218" i="17" s="1"/>
  <c r="D218" i="17" a="1"/>
  <c r="D218" i="17" s="1"/>
  <c r="H217" i="17" a="1"/>
  <c r="H217" i="17" s="1"/>
  <c r="G217" i="17" a="1"/>
  <c r="G217" i="17" s="1"/>
  <c r="F217" i="17" a="1"/>
  <c r="F217" i="17" s="1"/>
  <c r="E217" i="17" a="1"/>
  <c r="E217" i="17" s="1"/>
  <c r="D217" i="17" a="1"/>
  <c r="D217" i="17" s="1"/>
  <c r="H216" i="17" a="1"/>
  <c r="H216" i="17" s="1"/>
  <c r="G216" i="17" a="1"/>
  <c r="G216" i="17" s="1"/>
  <c r="F216" i="17"/>
  <c r="F216" i="17" a="1"/>
  <c r="E216" i="17" a="1"/>
  <c r="E216" i="17" s="1"/>
  <c r="D216" i="17" a="1"/>
  <c r="D216" i="17" s="1"/>
  <c r="H215" i="17" a="1"/>
  <c r="H215" i="17" s="1"/>
  <c r="G215" i="17" a="1"/>
  <c r="G215" i="17" s="1"/>
  <c r="F215" i="17" a="1"/>
  <c r="F215" i="17" s="1"/>
  <c r="E215" i="17"/>
  <c r="E215" i="17" a="1"/>
  <c r="D215" i="17" a="1"/>
  <c r="D215" i="17" s="1"/>
  <c r="H214" i="17" a="1"/>
  <c r="H214" i="17" s="1"/>
  <c r="G214" i="17" a="1"/>
  <c r="G214" i="17" s="1"/>
  <c r="F214" i="17" a="1"/>
  <c r="F214" i="17" s="1"/>
  <c r="E214" i="17"/>
  <c r="E214" i="17" a="1"/>
  <c r="D214" i="17"/>
  <c r="D214" i="17" a="1"/>
  <c r="H213" i="17" a="1"/>
  <c r="H213" i="17" s="1"/>
  <c r="G213" i="17" a="1"/>
  <c r="G213" i="17" s="1"/>
  <c r="F213" i="17" a="1"/>
  <c r="F213" i="17" s="1"/>
  <c r="E213" i="17" a="1"/>
  <c r="E213" i="17" s="1"/>
  <c r="D213" i="17"/>
  <c r="D213" i="17" a="1"/>
  <c r="H212" i="17" a="1"/>
  <c r="H212" i="17" s="1"/>
  <c r="G212" i="17" a="1"/>
  <c r="G212" i="17" s="1"/>
  <c r="F212" i="17" a="1"/>
  <c r="F212" i="17" s="1"/>
  <c r="E212" i="17" a="1"/>
  <c r="E212" i="17" s="1"/>
  <c r="D212" i="17" a="1"/>
  <c r="D212" i="17" s="1"/>
  <c r="H211" i="17" a="1"/>
  <c r="H211" i="17" s="1"/>
  <c r="G211" i="17"/>
  <c r="G211" i="17" a="1"/>
  <c r="F211" i="17"/>
  <c r="F211" i="17" a="1"/>
  <c r="E211" i="17"/>
  <c r="E211" i="17" a="1"/>
  <c r="D211" i="17" a="1"/>
  <c r="D211" i="17" s="1"/>
  <c r="H210" i="17" a="1"/>
  <c r="H210" i="17" s="1"/>
  <c r="G210" i="17" a="1"/>
  <c r="G210" i="17" s="1"/>
  <c r="F210" i="17" a="1"/>
  <c r="F210" i="17" s="1"/>
  <c r="E210" i="17" a="1"/>
  <c r="E210" i="17" s="1"/>
  <c r="D210" i="17"/>
  <c r="D210" i="17" a="1"/>
  <c r="H209" i="17" a="1"/>
  <c r="H209" i="17" s="1"/>
  <c r="G209" i="17" a="1"/>
  <c r="G209" i="17" s="1"/>
  <c r="F209" i="17" a="1"/>
  <c r="F209" i="17" s="1"/>
  <c r="E209" i="17"/>
  <c r="E209" i="17" a="1"/>
  <c r="D209" i="17" a="1"/>
  <c r="D209" i="17" s="1"/>
  <c r="H208" i="17" a="1"/>
  <c r="H208" i="17" s="1"/>
  <c r="G208" i="17"/>
  <c r="G208" i="17" a="1"/>
  <c r="F208" i="17" a="1"/>
  <c r="F208" i="17" s="1"/>
  <c r="E208" i="17" a="1"/>
  <c r="E208" i="17" s="1"/>
  <c r="D208" i="17" a="1"/>
  <c r="D208" i="17" s="1"/>
  <c r="H207" i="17" a="1"/>
  <c r="H207" i="17" s="1"/>
  <c r="G207" i="17" a="1"/>
  <c r="G207" i="17" s="1"/>
  <c r="F207" i="17" a="1"/>
  <c r="F207" i="17" s="1"/>
  <c r="E207" i="17" a="1"/>
  <c r="E207" i="17" s="1"/>
  <c r="D207" i="17" a="1"/>
  <c r="D207" i="17" s="1"/>
  <c r="H206" i="17" a="1"/>
  <c r="H206" i="17" s="1"/>
  <c r="G206" i="17"/>
  <c r="G206" i="17" a="1"/>
  <c r="F206" i="17"/>
  <c r="F206" i="17" a="1"/>
  <c r="E206" i="17" a="1"/>
  <c r="E206" i="17" s="1"/>
  <c r="D206" i="17" a="1"/>
  <c r="D206" i="17" s="1"/>
  <c r="H205" i="17" a="1"/>
  <c r="H205" i="17" s="1"/>
  <c r="G205" i="17" a="1"/>
  <c r="G205" i="17" s="1"/>
  <c r="F205" i="17" a="1"/>
  <c r="F205" i="17" s="1"/>
  <c r="E205" i="17"/>
  <c r="E205" i="17" a="1"/>
  <c r="D205" i="17" a="1"/>
  <c r="D205" i="17" s="1"/>
  <c r="H204" i="17" a="1"/>
  <c r="H204" i="17" s="1"/>
  <c r="G204" i="17"/>
  <c r="G204" i="17" a="1"/>
  <c r="F204" i="17" a="1"/>
  <c r="F204" i="17" s="1"/>
  <c r="E204" i="17" a="1"/>
  <c r="E204" i="17" s="1"/>
  <c r="D204" i="17"/>
  <c r="D204" i="17" a="1"/>
  <c r="H203" i="17" a="1"/>
  <c r="H203" i="17" s="1"/>
  <c r="G203" i="17" a="1"/>
  <c r="G203" i="17" s="1"/>
  <c r="F203" i="17" a="1"/>
  <c r="F203" i="17" s="1"/>
  <c r="E203" i="17" a="1"/>
  <c r="E203" i="17" s="1"/>
  <c r="D203" i="17" a="1"/>
  <c r="D203" i="17" s="1"/>
  <c r="H202" i="17" a="1"/>
  <c r="H202" i="17" s="1"/>
  <c r="G202" i="17" a="1"/>
  <c r="G202" i="17" s="1"/>
  <c r="F202" i="17" a="1"/>
  <c r="F202" i="17" s="1"/>
  <c r="E202" i="17" a="1"/>
  <c r="E202" i="17" s="1"/>
  <c r="D202" i="17"/>
  <c r="D202" i="17" a="1"/>
  <c r="H201" i="17" a="1"/>
  <c r="H201" i="17" s="1"/>
  <c r="G201" i="17" a="1"/>
  <c r="G201" i="17" s="1"/>
  <c r="F201" i="17" a="1"/>
  <c r="F201" i="17" s="1"/>
  <c r="E201" i="17" a="1"/>
  <c r="E201" i="17" s="1"/>
  <c r="D201" i="17" a="1"/>
  <c r="D201" i="17" s="1"/>
  <c r="H200" i="17" a="1"/>
  <c r="H200" i="17" s="1"/>
  <c r="G200" i="17" a="1"/>
  <c r="G200" i="17" s="1"/>
  <c r="F200" i="17" a="1"/>
  <c r="F200" i="17" s="1"/>
  <c r="E200" i="17" a="1"/>
  <c r="E200" i="17" s="1"/>
  <c r="D200" i="17" a="1"/>
  <c r="D200" i="17" s="1"/>
  <c r="H199" i="17" a="1"/>
  <c r="H199" i="17" s="1"/>
  <c r="G199" i="17" a="1"/>
  <c r="G199" i="17" s="1"/>
  <c r="F199" i="17"/>
  <c r="F199" i="17" a="1"/>
  <c r="E199" i="17" a="1"/>
  <c r="E199" i="17" s="1"/>
  <c r="D199" i="17" a="1"/>
  <c r="D199" i="17" s="1"/>
  <c r="H198" i="17" a="1"/>
  <c r="H198" i="17" s="1"/>
  <c r="G198" i="17"/>
  <c r="G198" i="17" a="1"/>
  <c r="F198" i="17" a="1"/>
  <c r="F198" i="17" s="1"/>
  <c r="E198" i="17" a="1"/>
  <c r="E198" i="17" s="1"/>
  <c r="D198" i="17" a="1"/>
  <c r="D198" i="17" s="1"/>
  <c r="H197" i="17" a="1"/>
  <c r="H197" i="17" s="1"/>
  <c r="G197" i="17" a="1"/>
  <c r="G197" i="17" s="1"/>
  <c r="F197" i="17"/>
  <c r="F197" i="17" a="1"/>
  <c r="E197" i="17"/>
  <c r="E197" i="17" a="1"/>
  <c r="D197" i="17"/>
  <c r="D197" i="17" a="1"/>
  <c r="H196" i="17" a="1"/>
  <c r="H196" i="17" s="1"/>
  <c r="G196" i="17" a="1"/>
  <c r="G196" i="17" s="1"/>
  <c r="F196" i="17" a="1"/>
  <c r="F196" i="17" s="1"/>
  <c r="E196" i="17" a="1"/>
  <c r="E196" i="17" s="1"/>
  <c r="D196" i="17" a="1"/>
  <c r="D196" i="17" s="1"/>
  <c r="H195" i="17" a="1"/>
  <c r="H195" i="17" s="1"/>
  <c r="G195" i="17"/>
  <c r="G195" i="17" a="1"/>
  <c r="F195" i="17" a="1"/>
  <c r="F195" i="17" s="1"/>
  <c r="E195" i="17" a="1"/>
  <c r="E195" i="17" s="1"/>
  <c r="D195" i="17" a="1"/>
  <c r="D195" i="17" s="1"/>
  <c r="H194" i="17" a="1"/>
  <c r="H194" i="17" s="1"/>
  <c r="G194" i="17" a="1"/>
  <c r="G194" i="17" s="1"/>
  <c r="F194" i="17"/>
  <c r="F194" i="17" a="1"/>
  <c r="E194" i="17"/>
  <c r="E194" i="17" a="1"/>
  <c r="D194" i="17" a="1"/>
  <c r="D194" i="17" s="1"/>
  <c r="H193" i="17" a="1"/>
  <c r="H193" i="17" s="1"/>
  <c r="G193" i="17" a="1"/>
  <c r="G193" i="17" s="1"/>
  <c r="F193" i="17" a="1"/>
  <c r="F193" i="17" s="1"/>
  <c r="E193" i="17"/>
  <c r="E193" i="17" a="1"/>
  <c r="D193" i="17" a="1"/>
  <c r="D193" i="17" s="1"/>
  <c r="H192" i="17" a="1"/>
  <c r="H192" i="17" s="1"/>
  <c r="G192" i="17" a="1"/>
  <c r="G192" i="17" s="1"/>
  <c r="F192" i="17" a="1"/>
  <c r="F192" i="17" s="1"/>
  <c r="E192" i="17"/>
  <c r="E192" i="17" a="1"/>
  <c r="D192" i="17"/>
  <c r="D192" i="17" a="1"/>
  <c r="H191" i="17" a="1"/>
  <c r="H191" i="17" s="1"/>
  <c r="G191" i="17" a="1"/>
  <c r="G191" i="17" s="1"/>
  <c r="F191" i="17" a="1"/>
  <c r="F191" i="17" s="1"/>
  <c r="E191" i="17" a="1"/>
  <c r="E191" i="17" s="1"/>
  <c r="D191" i="17" a="1"/>
  <c r="D191" i="17" s="1"/>
  <c r="H190" i="17" a="1"/>
  <c r="H190" i="17" s="1"/>
  <c r="G190" i="17"/>
  <c r="G190" i="17" a="1"/>
  <c r="F190" i="17" a="1"/>
  <c r="F190" i="17" s="1"/>
  <c r="E190" i="17"/>
  <c r="E190" i="17" a="1"/>
  <c r="D190" i="17" a="1"/>
  <c r="D190" i="17" s="1"/>
  <c r="H189" i="17" a="1"/>
  <c r="H189" i="17" s="1"/>
  <c r="G189" i="17" a="1"/>
  <c r="G189" i="17" s="1"/>
  <c r="F189" i="17" a="1"/>
  <c r="F189" i="17" s="1"/>
  <c r="E189" i="17" a="1"/>
  <c r="E189" i="17" s="1"/>
  <c r="D189" i="17"/>
  <c r="D189" i="17" a="1"/>
  <c r="H188" i="17" a="1"/>
  <c r="H188" i="17" s="1"/>
  <c r="G188" i="17" a="1"/>
  <c r="G188" i="17" s="1"/>
  <c r="F188" i="17" a="1"/>
  <c r="F188" i="17" s="1"/>
  <c r="E188" i="17" a="1"/>
  <c r="E188" i="17" s="1"/>
  <c r="D188" i="17" a="1"/>
  <c r="D188" i="17" s="1"/>
  <c r="H187" i="17" a="1"/>
  <c r="H187" i="17" s="1"/>
  <c r="G187" i="17"/>
  <c r="G187" i="17" a="1"/>
  <c r="F187" i="17" a="1"/>
  <c r="F187" i="17" s="1"/>
  <c r="E187" i="17" a="1"/>
  <c r="E187" i="17" s="1"/>
  <c r="D187" i="17"/>
  <c r="D187" i="17" a="1"/>
  <c r="H186" i="17" a="1"/>
  <c r="H186" i="17" s="1"/>
  <c r="G186" i="17" a="1"/>
  <c r="G186" i="17" s="1"/>
  <c r="F186" i="17" a="1"/>
  <c r="F186" i="17" s="1"/>
  <c r="E186" i="17" a="1"/>
  <c r="E186" i="17" s="1"/>
  <c r="D186" i="17" a="1"/>
  <c r="D186" i="17" s="1"/>
  <c r="H185" i="17" a="1"/>
  <c r="H185" i="17" s="1"/>
  <c r="G185" i="17" a="1"/>
  <c r="G185" i="17" s="1"/>
  <c r="F185" i="17" a="1"/>
  <c r="F185" i="17" s="1"/>
  <c r="E185" i="17" a="1"/>
  <c r="E185" i="17" s="1"/>
  <c r="D185" i="17"/>
  <c r="D185" i="17" a="1"/>
  <c r="H184" i="17" a="1"/>
  <c r="H184" i="17" s="1"/>
  <c r="G184" i="17" a="1"/>
  <c r="G184" i="17" s="1"/>
  <c r="F184" i="17" a="1"/>
  <c r="F184" i="17" s="1"/>
  <c r="E184" i="17"/>
  <c r="E184" i="17" a="1"/>
  <c r="D184" i="17" a="1"/>
  <c r="D184" i="17" s="1"/>
  <c r="H183" i="17" a="1"/>
  <c r="H183" i="17" s="1"/>
  <c r="G183" i="17" a="1"/>
  <c r="G183" i="17" s="1"/>
  <c r="F183" i="17" a="1"/>
  <c r="F183" i="17" s="1"/>
  <c r="E183" i="17" a="1"/>
  <c r="E183" i="17" s="1"/>
  <c r="D183" i="17"/>
  <c r="D183" i="17" a="1"/>
  <c r="H182" i="17" a="1"/>
  <c r="H182" i="17" s="1"/>
  <c r="G182" i="17"/>
  <c r="G182" i="17" a="1"/>
  <c r="F182" i="17"/>
  <c r="F182" i="17" a="1"/>
  <c r="E182" i="17" a="1"/>
  <c r="E182" i="17" s="1"/>
  <c r="D182" i="17" a="1"/>
  <c r="D182" i="17" s="1"/>
  <c r="H181" i="17" a="1"/>
  <c r="H181" i="17" s="1"/>
  <c r="G181" i="17" a="1"/>
  <c r="G181" i="17" s="1"/>
  <c r="F181" i="17" a="1"/>
  <c r="F181" i="17" s="1"/>
  <c r="E181" i="17"/>
  <c r="E181" i="17" a="1"/>
  <c r="D181" i="17" a="1"/>
  <c r="D181" i="17" s="1"/>
  <c r="H180" i="17" a="1"/>
  <c r="H180" i="17" s="1"/>
  <c r="G180" i="17" a="1"/>
  <c r="G180" i="17" s="1"/>
  <c r="F180" i="17"/>
  <c r="F180" i="17" a="1"/>
  <c r="E180" i="17" a="1"/>
  <c r="E180" i="17" s="1"/>
  <c r="D180" i="17"/>
  <c r="D180" i="17" a="1"/>
  <c r="H179" i="17" a="1"/>
  <c r="H179" i="17" s="1"/>
  <c r="G179" i="17" a="1"/>
  <c r="G179" i="17" s="1"/>
  <c r="F179" i="17" a="1"/>
  <c r="F179" i="17" s="1"/>
  <c r="E179" i="17" a="1"/>
  <c r="E179" i="17" s="1"/>
  <c r="D179" i="17" a="1"/>
  <c r="D179" i="17" s="1"/>
  <c r="H178" i="17" a="1"/>
  <c r="H178" i="17" s="1"/>
  <c r="G178" i="17" a="1"/>
  <c r="G178" i="17" s="1"/>
  <c r="F178" i="17" a="1"/>
  <c r="F178" i="17" s="1"/>
  <c r="E178" i="17" a="1"/>
  <c r="E178" i="17" s="1"/>
  <c r="D178" i="17" a="1"/>
  <c r="D178" i="17" s="1"/>
  <c r="H177" i="17" a="1"/>
  <c r="H177" i="17" s="1"/>
  <c r="G177" i="17"/>
  <c r="G177" i="17" a="1"/>
  <c r="F177" i="17"/>
  <c r="F177" i="17" a="1"/>
  <c r="E177" i="17" a="1"/>
  <c r="E177" i="17" s="1"/>
  <c r="D177" i="17" a="1"/>
  <c r="D177" i="17" s="1"/>
  <c r="H176" i="17" a="1"/>
  <c r="H176" i="17" s="1"/>
  <c r="G176" i="17" a="1"/>
  <c r="G176" i="17" s="1"/>
  <c r="F176" i="17" a="1"/>
  <c r="F176" i="17" s="1"/>
  <c r="E176" i="17"/>
  <c r="E176" i="17" a="1"/>
  <c r="D176" i="17" a="1"/>
  <c r="D176" i="17" s="1"/>
  <c r="H175" i="17" a="1"/>
  <c r="H175" i="17" s="1"/>
  <c r="G175" i="17" a="1"/>
  <c r="G175" i="17" s="1"/>
  <c r="F175" i="17" a="1"/>
  <c r="F175" i="17" s="1"/>
  <c r="E175" i="17" a="1"/>
  <c r="E175" i="17" s="1"/>
  <c r="D175" i="17" a="1"/>
  <c r="D175" i="17" s="1"/>
  <c r="H174" i="17" a="1"/>
  <c r="H174" i="17" s="1"/>
  <c r="G174" i="17"/>
  <c r="G174" i="17" a="1"/>
  <c r="F174" i="17" a="1"/>
  <c r="F174" i="17" s="1"/>
  <c r="E174" i="17" a="1"/>
  <c r="E174" i="17" s="1"/>
  <c r="D174" i="17" a="1"/>
  <c r="D174" i="17" s="1"/>
  <c r="H173" i="17" a="1"/>
  <c r="H173" i="17" s="1"/>
  <c r="G173" i="17" a="1"/>
  <c r="G173" i="17" s="1"/>
  <c r="F173" i="17"/>
  <c r="F173" i="17" a="1"/>
  <c r="E173" i="17"/>
  <c r="E173" i="17" a="1"/>
  <c r="D173" i="17" a="1"/>
  <c r="D173" i="17" s="1"/>
  <c r="H172" i="17" a="1"/>
  <c r="H172" i="17" s="1"/>
  <c r="G172" i="17"/>
  <c r="G172" i="17" a="1"/>
  <c r="F172" i="17" a="1"/>
  <c r="F172" i="17" s="1"/>
  <c r="E172" i="17" a="1"/>
  <c r="E172" i="17" s="1"/>
  <c r="D172" i="17" a="1"/>
  <c r="D172" i="17" s="1"/>
  <c r="H171" i="17" a="1"/>
  <c r="H171" i="17" s="1"/>
  <c r="G171" i="17" a="1"/>
  <c r="G171" i="17" s="1"/>
  <c r="F171" i="17" a="1"/>
  <c r="F171" i="17" s="1"/>
  <c r="E171" i="17" a="1"/>
  <c r="E171" i="17" s="1"/>
  <c r="D171" i="17" a="1"/>
  <c r="D171" i="17" s="1"/>
  <c r="H170" i="17" a="1"/>
  <c r="H170" i="17" s="1"/>
  <c r="G170" i="17"/>
  <c r="G170" i="17" a="1"/>
  <c r="F170" i="17" a="1"/>
  <c r="F170" i="17" s="1"/>
  <c r="E170" i="17" a="1"/>
  <c r="E170" i="17" s="1"/>
  <c r="D170" i="17" a="1"/>
  <c r="D170" i="17" s="1"/>
  <c r="H169" i="17" a="1"/>
  <c r="H169" i="17" s="1"/>
  <c r="G169" i="17"/>
  <c r="G169" i="17" a="1"/>
  <c r="F169" i="17"/>
  <c r="F169" i="17" a="1"/>
  <c r="E169" i="17" a="1"/>
  <c r="E169" i="17" s="1"/>
  <c r="D169" i="17" a="1"/>
  <c r="D169" i="17" s="1"/>
  <c r="H168" i="17" a="1"/>
  <c r="H168" i="17" s="1"/>
  <c r="G168" i="17" a="1"/>
  <c r="G168" i="17" s="1"/>
  <c r="F168" i="17" a="1"/>
  <c r="F168" i="17" s="1"/>
  <c r="E168" i="17"/>
  <c r="E168" i="17" a="1"/>
  <c r="D168" i="17"/>
  <c r="D168" i="17" a="1"/>
  <c r="H167" i="17" a="1"/>
  <c r="H167" i="17" s="1"/>
  <c r="G167" i="17" a="1"/>
  <c r="G167" i="17" s="1"/>
  <c r="F167" i="17" a="1"/>
  <c r="F167" i="17" s="1"/>
  <c r="E167" i="17" a="1"/>
  <c r="E167" i="17" s="1"/>
  <c r="D167" i="17"/>
  <c r="D167" i="17" a="1"/>
  <c r="H166" i="17" a="1"/>
  <c r="H166" i="17" s="1"/>
  <c r="G166" i="17" a="1"/>
  <c r="G166" i="17" s="1"/>
  <c r="F166" i="17" a="1"/>
  <c r="F166" i="17" s="1"/>
  <c r="E166" i="17" a="1"/>
  <c r="E166" i="17" s="1"/>
  <c r="D166" i="17" a="1"/>
  <c r="D166" i="17" s="1"/>
  <c r="H165" i="17" a="1"/>
  <c r="H165" i="17" s="1"/>
  <c r="G165" i="17" a="1"/>
  <c r="G165" i="17" s="1"/>
  <c r="F165" i="17"/>
  <c r="F165" i="17" a="1"/>
  <c r="E165" i="17" a="1"/>
  <c r="E165" i="17" s="1"/>
  <c r="D165" i="17" a="1"/>
  <c r="D165" i="17" s="1"/>
  <c r="H164" i="17" a="1"/>
  <c r="H164" i="17" s="1"/>
  <c r="G164" i="17"/>
  <c r="G164" i="17" a="1"/>
  <c r="F164" i="17"/>
  <c r="F164" i="17" a="1"/>
  <c r="E164" i="17" a="1"/>
  <c r="E164" i="17" s="1"/>
  <c r="D164" i="17" a="1"/>
  <c r="D164" i="17" s="1"/>
  <c r="H163" i="17" a="1"/>
  <c r="H163" i="17" s="1"/>
  <c r="G163" i="17" a="1"/>
  <c r="G163" i="17" s="1"/>
  <c r="F163" i="17"/>
  <c r="F163" i="17" a="1"/>
  <c r="E163" i="17"/>
  <c r="E163" i="17" a="1"/>
  <c r="D163" i="17"/>
  <c r="D163" i="17" a="1"/>
  <c r="H162" i="17" a="1"/>
  <c r="H162" i="17" s="1"/>
  <c r="G162" i="17" a="1"/>
  <c r="G162" i="17" s="1"/>
  <c r="F162" i="17" a="1"/>
  <c r="F162" i="17" s="1"/>
  <c r="E162" i="17" a="1"/>
  <c r="E162" i="17" s="1"/>
  <c r="D162" i="17"/>
  <c r="D162" i="17" a="1"/>
  <c r="H161" i="17" a="1"/>
  <c r="H161" i="17" s="1"/>
  <c r="G161" i="17" a="1"/>
  <c r="G161" i="17" s="1"/>
  <c r="F161" i="17"/>
  <c r="F161" i="17" a="1"/>
  <c r="E161" i="17"/>
  <c r="E161" i="17" a="1"/>
  <c r="D161" i="17" a="1"/>
  <c r="D161" i="17" s="1"/>
  <c r="H160" i="17" a="1"/>
  <c r="H160" i="17" s="1"/>
  <c r="G160" i="17"/>
  <c r="G160" i="17" a="1"/>
  <c r="F160" i="17" a="1"/>
  <c r="F160" i="17" s="1"/>
  <c r="E160" i="17"/>
  <c r="E160" i="17" a="1"/>
  <c r="D160" i="17" a="1"/>
  <c r="D160" i="17" s="1"/>
  <c r="H159" i="17" a="1"/>
  <c r="H159" i="17" s="1"/>
  <c r="G159" i="17" a="1"/>
  <c r="G159" i="17" s="1"/>
  <c r="F159" i="17"/>
  <c r="F159" i="17" a="1"/>
  <c r="E159" i="17" a="1"/>
  <c r="E159" i="17" s="1"/>
  <c r="D159" i="17"/>
  <c r="D159" i="17" a="1"/>
  <c r="H158" i="17" a="1"/>
  <c r="H158" i="17" s="1"/>
  <c r="G158" i="17" a="1"/>
  <c r="G158" i="17" s="1"/>
  <c r="F158" i="17" a="1"/>
  <c r="F158" i="17" s="1"/>
  <c r="E158" i="17" a="1"/>
  <c r="E158" i="17" s="1"/>
  <c r="D158" i="17" a="1"/>
  <c r="D158" i="17" s="1"/>
  <c r="H157" i="17" a="1"/>
  <c r="H157" i="17" s="1"/>
  <c r="G157" i="17" a="1"/>
  <c r="G157" i="17" s="1"/>
  <c r="F157" i="17" a="1"/>
  <c r="F157" i="17" s="1"/>
  <c r="E157" i="17" a="1"/>
  <c r="E157" i="17" s="1"/>
  <c r="D157" i="17"/>
  <c r="D157" i="17" a="1"/>
  <c r="H156" i="17" a="1"/>
  <c r="H156" i="17" s="1"/>
  <c r="G156" i="17" a="1"/>
  <c r="G156" i="17" s="1"/>
  <c r="F156" i="17" a="1"/>
  <c r="F156" i="17" s="1"/>
  <c r="E156" i="17"/>
  <c r="E156" i="17" a="1"/>
  <c r="D156" i="17" a="1"/>
  <c r="D156" i="17" s="1"/>
  <c r="H155" i="17" a="1"/>
  <c r="H155" i="17" s="1"/>
  <c r="G155" i="17" a="1"/>
  <c r="G155" i="17" s="1"/>
  <c r="F155" i="17"/>
  <c r="F155" i="17" a="1"/>
  <c r="E155" i="17"/>
  <c r="E155" i="17" a="1"/>
  <c r="D155" i="17" a="1"/>
  <c r="D155" i="17" s="1"/>
  <c r="H154" i="17" a="1"/>
  <c r="H154" i="17" s="1"/>
  <c r="G154" i="17" a="1"/>
  <c r="G154" i="17" s="1"/>
  <c r="F154" i="17" a="1"/>
  <c r="F154" i="17" s="1"/>
  <c r="E154" i="17"/>
  <c r="E154" i="17" a="1"/>
  <c r="D154" i="17" a="1"/>
  <c r="D154" i="17" s="1"/>
  <c r="H153" i="17" a="1"/>
  <c r="H153" i="17" s="1"/>
  <c r="G153" i="17"/>
  <c r="G153" i="17" a="1"/>
  <c r="F153" i="17"/>
  <c r="F153" i="17" a="1"/>
  <c r="E153" i="17" a="1"/>
  <c r="E153" i="17" s="1"/>
  <c r="D153" i="17"/>
  <c r="D153" i="17" a="1"/>
  <c r="H152" i="17" a="1"/>
  <c r="H152" i="17" s="1"/>
  <c r="G152" i="17"/>
  <c r="G152" i="17" a="1"/>
  <c r="F152" i="17"/>
  <c r="F152" i="17" a="1"/>
  <c r="E152" i="17" a="1"/>
  <c r="E152" i="17" s="1"/>
  <c r="D152" i="17" a="1"/>
  <c r="D152" i="17" s="1"/>
  <c r="H151" i="17" a="1"/>
  <c r="H151" i="17" s="1"/>
  <c r="G151" i="17" a="1"/>
  <c r="G151" i="17" s="1"/>
  <c r="F151" i="17"/>
  <c r="F151" i="17" a="1"/>
  <c r="E151" i="17" a="1"/>
  <c r="E151" i="17" s="1"/>
  <c r="D151" i="17"/>
  <c r="D151" i="17" a="1"/>
  <c r="H150" i="17" a="1"/>
  <c r="H150" i="17" s="1"/>
  <c r="G150" i="17" a="1"/>
  <c r="G150" i="17" s="1"/>
  <c r="F150" i="17" a="1"/>
  <c r="F150" i="17" s="1"/>
  <c r="E150" i="17" a="1"/>
  <c r="E150" i="17" s="1"/>
  <c r="D150" i="17"/>
  <c r="D150" i="17" a="1"/>
  <c r="H149" i="17" a="1"/>
  <c r="H149" i="17" s="1"/>
  <c r="G149" i="17" a="1"/>
  <c r="G149" i="17" s="1"/>
  <c r="F149" i="17"/>
  <c r="F149" i="17" a="1"/>
  <c r="E149" i="17" a="1"/>
  <c r="E149" i="17" s="1"/>
  <c r="D149" i="17" a="1"/>
  <c r="D149" i="17" s="1"/>
  <c r="H148" i="17" a="1"/>
  <c r="H148" i="17" s="1"/>
  <c r="G148" i="17"/>
  <c r="G148" i="17" a="1"/>
  <c r="F148" i="17" a="1"/>
  <c r="F148" i="17" s="1"/>
  <c r="E148" i="17" a="1"/>
  <c r="E148" i="17" s="1"/>
  <c r="D148" i="17" a="1"/>
  <c r="D148" i="17" s="1"/>
  <c r="H147" i="17" a="1"/>
  <c r="H147" i="17" s="1"/>
  <c r="G147" i="17" a="1"/>
  <c r="G147" i="17" s="1"/>
  <c r="F147" i="17"/>
  <c r="F147" i="17" a="1"/>
  <c r="E147" i="17" a="1"/>
  <c r="E147" i="17" s="1"/>
  <c r="D147" i="17"/>
  <c r="D147" i="17" a="1"/>
  <c r="H146" i="17" a="1"/>
  <c r="H146" i="17" s="1"/>
  <c r="G146" i="17" a="1"/>
  <c r="G146" i="17" s="1"/>
  <c r="F146" i="17"/>
  <c r="F146" i="17" a="1"/>
  <c r="E146" i="17" a="1"/>
  <c r="E146" i="17" s="1"/>
  <c r="D146" i="17" a="1"/>
  <c r="D146" i="17" s="1"/>
  <c r="H145" i="17" a="1"/>
  <c r="H145" i="17" s="1"/>
  <c r="G145" i="17" a="1"/>
  <c r="G145" i="17" s="1"/>
  <c r="F145" i="17" a="1"/>
  <c r="F145" i="17" s="1"/>
  <c r="E145" i="17" a="1"/>
  <c r="E145" i="17" s="1"/>
  <c r="D145" i="17" a="1"/>
  <c r="D145" i="17" s="1"/>
  <c r="H144" i="17" a="1"/>
  <c r="H144" i="17" s="1"/>
  <c r="G144" i="17" a="1"/>
  <c r="G144" i="17" s="1"/>
  <c r="F144" i="17"/>
  <c r="F144" i="17" a="1"/>
  <c r="E144" i="17" a="1"/>
  <c r="E144" i="17" s="1"/>
  <c r="D144" i="17" a="1"/>
  <c r="D144" i="17" s="1"/>
  <c r="H143" i="17" a="1"/>
  <c r="H143" i="17" s="1"/>
  <c r="G143" i="17" a="1"/>
  <c r="G143" i="17" s="1"/>
  <c r="F143" i="17" a="1"/>
  <c r="F143" i="17" s="1"/>
  <c r="E143" i="17" a="1"/>
  <c r="E143" i="17" s="1"/>
  <c r="D143" i="17" a="1"/>
  <c r="D143" i="17" s="1"/>
  <c r="H142" i="17" a="1"/>
  <c r="H142" i="17" s="1"/>
  <c r="G142" i="17" a="1"/>
  <c r="G142" i="17" s="1"/>
  <c r="F142" i="17" a="1"/>
  <c r="F142" i="17" s="1"/>
  <c r="E142" i="17"/>
  <c r="E142" i="17" a="1"/>
  <c r="D142" i="17"/>
  <c r="D142" i="17" a="1"/>
  <c r="H141" i="17" a="1"/>
  <c r="H141" i="17" s="1"/>
  <c r="G141" i="17" a="1"/>
  <c r="G141" i="17" s="1"/>
  <c r="F141" i="17" a="1"/>
  <c r="F141" i="17" s="1"/>
  <c r="E141" i="17" a="1"/>
  <c r="E141" i="17" s="1"/>
  <c r="D141" i="17" a="1"/>
  <c r="D141" i="17" s="1"/>
  <c r="H140" i="17" a="1"/>
  <c r="H140" i="17" s="1"/>
  <c r="G140" i="17" a="1"/>
  <c r="G140" i="17" s="1"/>
  <c r="F140" i="17" a="1"/>
  <c r="F140" i="17" s="1"/>
  <c r="E140" i="17" a="1"/>
  <c r="E140" i="17" s="1"/>
  <c r="D140" i="17" a="1"/>
  <c r="D140" i="17" s="1"/>
  <c r="H139" i="17" a="1"/>
  <c r="H139" i="17" s="1"/>
  <c r="G139" i="17"/>
  <c r="G139" i="17" a="1"/>
  <c r="F139" i="17"/>
  <c r="F139" i="17" a="1"/>
  <c r="E139" i="17"/>
  <c r="E139" i="17" a="1"/>
  <c r="D139" i="17" a="1"/>
  <c r="D139" i="17" s="1"/>
  <c r="H138" i="17" a="1"/>
  <c r="H138" i="17" s="1"/>
  <c r="G138" i="17" a="1"/>
  <c r="G138" i="17" s="1"/>
  <c r="F138" i="17" a="1"/>
  <c r="F138" i="17" s="1"/>
  <c r="E138" i="17"/>
  <c r="E138" i="17" a="1"/>
  <c r="D138" i="17"/>
  <c r="D138" i="17" a="1"/>
  <c r="H137" i="17" a="1"/>
  <c r="H137" i="17" s="1"/>
  <c r="G137" i="17" a="1"/>
  <c r="G137" i="17" s="1"/>
  <c r="F137" i="17" a="1"/>
  <c r="F137" i="17" s="1"/>
  <c r="E137" i="17" a="1"/>
  <c r="E137" i="17" s="1"/>
  <c r="D137" i="17" a="1"/>
  <c r="D137" i="17" s="1"/>
  <c r="H136" i="17" a="1"/>
  <c r="H136" i="17" s="1"/>
  <c r="G136" i="17"/>
  <c r="G136" i="17" a="1"/>
  <c r="F136" i="17" a="1"/>
  <c r="F136" i="17" s="1"/>
  <c r="E136" i="17"/>
  <c r="E136" i="17" a="1"/>
  <c r="D136" i="17" a="1"/>
  <c r="D136" i="17" s="1"/>
  <c r="H135" i="17" a="1"/>
  <c r="H135" i="17" s="1"/>
  <c r="G135" i="17"/>
  <c r="G135" i="17" a="1"/>
  <c r="F135" i="17" a="1"/>
  <c r="F135" i="17" s="1"/>
  <c r="E135" i="17" a="1"/>
  <c r="E135" i="17" s="1"/>
  <c r="D135" i="17" a="1"/>
  <c r="D135" i="17" s="1"/>
  <c r="H134" i="17" a="1"/>
  <c r="H134" i="17" s="1"/>
  <c r="G134" i="17" a="1"/>
  <c r="G134" i="17" s="1"/>
  <c r="F134" i="17" a="1"/>
  <c r="F134" i="17" s="1"/>
  <c r="E134" i="17" a="1"/>
  <c r="E134" i="17" s="1"/>
  <c r="D134" i="17" a="1"/>
  <c r="D134" i="17" s="1"/>
  <c r="H133" i="17" a="1"/>
  <c r="H133" i="17" s="1"/>
  <c r="G133" i="17"/>
  <c r="G133" i="17" a="1"/>
  <c r="F133" i="17"/>
  <c r="F133" i="17" a="1"/>
  <c r="E133" i="17" a="1"/>
  <c r="E133" i="17" s="1"/>
  <c r="D133" i="17"/>
  <c r="D133" i="17" a="1"/>
  <c r="H132" i="17" a="1"/>
  <c r="H132" i="17" s="1"/>
  <c r="G132" i="17"/>
  <c r="G132" i="17" a="1"/>
  <c r="F132" i="17" a="1"/>
  <c r="F132" i="17" s="1"/>
  <c r="E132" i="17" a="1"/>
  <c r="E132" i="17" s="1"/>
  <c r="D132" i="17" a="1"/>
  <c r="D132" i="17" s="1"/>
  <c r="H131" i="17" a="1"/>
  <c r="H131" i="17" s="1"/>
  <c r="G131" i="17" a="1"/>
  <c r="G131" i="17" s="1"/>
  <c r="F131" i="17" a="1"/>
  <c r="F131" i="17" s="1"/>
  <c r="E131" i="17"/>
  <c r="E131" i="17" a="1"/>
  <c r="D131" i="17"/>
  <c r="D131" i="17" a="1"/>
  <c r="H130" i="17" a="1"/>
  <c r="H130" i="17" s="1"/>
  <c r="G130" i="17" a="1"/>
  <c r="G130" i="17" s="1"/>
  <c r="F130" i="17" a="1"/>
  <c r="F130" i="17" s="1"/>
  <c r="E130" i="17" a="1"/>
  <c r="E130" i="17" s="1"/>
  <c r="D130" i="17"/>
  <c r="D130" i="17" a="1"/>
  <c r="H129" i="17" a="1"/>
  <c r="H129" i="17" s="1"/>
  <c r="G129" i="17" a="1"/>
  <c r="G129" i="17" s="1"/>
  <c r="F129" i="17" a="1"/>
  <c r="F129" i="17" s="1"/>
  <c r="E129" i="17" a="1"/>
  <c r="E129" i="17" s="1"/>
  <c r="D129" i="17"/>
  <c r="D129" i="17" a="1"/>
  <c r="H128" i="17" a="1"/>
  <c r="H128" i="17" s="1"/>
  <c r="G128" i="17"/>
  <c r="G128" i="17" a="1"/>
  <c r="F128" i="17"/>
  <c r="F128" i="17" a="1"/>
  <c r="E128" i="17"/>
  <c r="E128" i="17" a="1"/>
  <c r="D128" i="17" a="1"/>
  <c r="D128" i="17" s="1"/>
  <c r="H127" i="17" a="1"/>
  <c r="H127" i="17" s="1"/>
  <c r="G127" i="17" a="1"/>
  <c r="G127" i="17" s="1"/>
  <c r="F127" i="17"/>
  <c r="F127" i="17" a="1"/>
  <c r="E127" i="17" a="1"/>
  <c r="E127" i="17" s="1"/>
  <c r="D127" i="17" a="1"/>
  <c r="D127" i="17" s="1"/>
  <c r="H126" i="17" a="1"/>
  <c r="H126" i="17" s="1"/>
  <c r="G126" i="17" a="1"/>
  <c r="G126" i="17" s="1"/>
  <c r="F126" i="17" a="1"/>
  <c r="F126" i="17" s="1"/>
  <c r="E126" i="17"/>
  <c r="E126" i="17" a="1"/>
  <c r="D126" i="17"/>
  <c r="D126" i="17" a="1"/>
  <c r="H125" i="17" a="1"/>
  <c r="H125" i="17" s="1"/>
  <c r="G125" i="17" a="1"/>
  <c r="G125" i="17" s="1"/>
  <c r="F125" i="17" a="1"/>
  <c r="F125" i="17" s="1"/>
  <c r="E125" i="17" a="1"/>
  <c r="E125" i="17" s="1"/>
  <c r="D125" i="17" a="1"/>
  <c r="D125" i="17" s="1"/>
  <c r="H124" i="17" a="1"/>
  <c r="H124" i="17" s="1"/>
  <c r="G124" i="17" a="1"/>
  <c r="G124" i="17" s="1"/>
  <c r="F124" i="17" a="1"/>
  <c r="F124" i="17" s="1"/>
  <c r="E124" i="17"/>
  <c r="E124" i="17" a="1"/>
  <c r="D124" i="17" a="1"/>
  <c r="D124" i="17" s="1"/>
  <c r="H123" i="17" a="1"/>
  <c r="H123" i="17" s="1"/>
  <c r="G123" i="17"/>
  <c r="G123" i="17" a="1"/>
  <c r="F123" i="17"/>
  <c r="F123" i="17" a="1"/>
  <c r="E123" i="17" a="1"/>
  <c r="E123" i="17" s="1"/>
  <c r="D123" i="17" a="1"/>
  <c r="D123" i="17" s="1"/>
  <c r="H122" i="17" a="1"/>
  <c r="H122" i="17" s="1"/>
  <c r="G122" i="17" a="1"/>
  <c r="G122" i="17" s="1"/>
  <c r="F122" i="17" a="1"/>
  <c r="F122" i="17" s="1"/>
  <c r="E122" i="17"/>
  <c r="E122" i="17" a="1"/>
  <c r="D122" i="17" a="1"/>
  <c r="D122" i="17" s="1"/>
  <c r="H121" i="17" a="1"/>
  <c r="H121" i="17" s="1"/>
  <c r="G121" i="17"/>
  <c r="G121" i="17" a="1"/>
  <c r="F121" i="17" a="1"/>
  <c r="F121" i="17" s="1"/>
  <c r="E121" i="17"/>
  <c r="E121" i="17" a="1"/>
  <c r="D121" i="17" a="1"/>
  <c r="D121" i="17" s="1"/>
  <c r="H120" i="17" a="1"/>
  <c r="H120" i="17" s="1"/>
  <c r="G120" i="17" a="1"/>
  <c r="G120" i="17" s="1"/>
  <c r="F120" i="17" a="1"/>
  <c r="F120" i="17" s="1"/>
  <c r="E120" i="17" a="1"/>
  <c r="E120" i="17" s="1"/>
  <c r="D120" i="17" a="1"/>
  <c r="D120" i="17" s="1"/>
  <c r="H119" i="17" a="1"/>
  <c r="H119" i="17" s="1"/>
  <c r="G119" i="17" a="1"/>
  <c r="G119" i="17" s="1"/>
  <c r="F119" i="17"/>
  <c r="F119" i="17" a="1"/>
  <c r="E119" i="17"/>
  <c r="E119" i="17" a="1"/>
  <c r="D119" i="17"/>
  <c r="D119" i="17" a="1"/>
  <c r="H118" i="17" a="1"/>
  <c r="H118" i="17" s="1"/>
  <c r="G118" i="17" a="1"/>
  <c r="G118" i="17" s="1"/>
  <c r="F118" i="17" a="1"/>
  <c r="F118" i="17" s="1"/>
  <c r="E118" i="17"/>
  <c r="E118" i="17" a="1"/>
  <c r="D118" i="17" a="1"/>
  <c r="D118" i="17" s="1"/>
  <c r="H117" i="17" a="1"/>
  <c r="H117" i="17" s="1"/>
  <c r="G117" i="17" a="1"/>
  <c r="G117" i="17" s="1"/>
  <c r="F117" i="17" a="1"/>
  <c r="F117" i="17" s="1"/>
  <c r="E117" i="17" a="1"/>
  <c r="E117" i="17" s="1"/>
  <c r="D117" i="17"/>
  <c r="D117" i="17" a="1"/>
  <c r="H116" i="17" a="1"/>
  <c r="H116" i="17" s="1"/>
  <c r="G116" i="17"/>
  <c r="G116" i="17" a="1"/>
  <c r="F116" i="17"/>
  <c r="F116" i="17" a="1"/>
  <c r="E116" i="17" a="1"/>
  <c r="E116" i="17" s="1"/>
  <c r="D116" i="17" a="1"/>
  <c r="D116" i="17" s="1"/>
  <c r="H115" i="17" a="1"/>
  <c r="H115" i="17" s="1"/>
  <c r="G115" i="17"/>
  <c r="G115" i="17" a="1"/>
  <c r="F115" i="17" a="1"/>
  <c r="F115" i="17" s="1"/>
  <c r="E115" i="17" a="1"/>
  <c r="E115" i="17" s="1"/>
  <c r="D115" i="17" a="1"/>
  <c r="D115" i="17" s="1"/>
  <c r="H114" i="17" a="1"/>
  <c r="H114" i="17" s="1"/>
  <c r="G114" i="17" a="1"/>
  <c r="G114" i="17" s="1"/>
  <c r="F114" i="17" a="1"/>
  <c r="F114" i="17" s="1"/>
  <c r="E114" i="17"/>
  <c r="E114" i="17" a="1"/>
  <c r="D114" i="17"/>
  <c r="D114" i="17" a="1"/>
  <c r="H113" i="17" a="1"/>
  <c r="H113" i="17" s="1"/>
  <c r="G113" i="17" a="1"/>
  <c r="G113" i="17" s="1"/>
  <c r="F113" i="17" a="1"/>
  <c r="F113" i="17" s="1"/>
  <c r="E113" i="17"/>
  <c r="E113" i="17" a="1"/>
  <c r="D113" i="17"/>
  <c r="D113" i="17" a="1"/>
  <c r="H112" i="17" a="1"/>
  <c r="H112" i="17" s="1"/>
  <c r="G112" i="17"/>
  <c r="G112" i="17" a="1"/>
  <c r="F112" i="17" a="1"/>
  <c r="F112" i="17" s="1"/>
  <c r="E112" i="17" a="1"/>
  <c r="E112" i="17" s="1"/>
  <c r="D112" i="17" a="1"/>
  <c r="D112" i="17" s="1"/>
  <c r="H111" i="17" a="1"/>
  <c r="H111" i="17" s="1"/>
  <c r="G111" i="17"/>
  <c r="G111" i="17" a="1"/>
  <c r="F111" i="17"/>
  <c r="F111" i="17" a="1"/>
  <c r="E111" i="17" a="1"/>
  <c r="E111" i="17" s="1"/>
  <c r="D111" i="17" a="1"/>
  <c r="D111" i="17" s="1"/>
  <c r="H110" i="17" a="1"/>
  <c r="H110" i="17" s="1"/>
  <c r="G110" i="17"/>
  <c r="G110" i="17" a="1"/>
  <c r="F110" i="17"/>
  <c r="F110" i="17" a="1"/>
  <c r="E110" i="17"/>
  <c r="E110" i="17" a="1"/>
  <c r="D110" i="17" a="1"/>
  <c r="D110" i="17" s="1"/>
  <c r="H109" i="17" a="1"/>
  <c r="H109" i="17" s="1"/>
  <c r="G109" i="17"/>
  <c r="G109" i="17" a="1"/>
  <c r="F109" i="17"/>
  <c r="F109" i="17" a="1"/>
  <c r="E109" i="17"/>
  <c r="E109" i="17" a="1"/>
  <c r="D109" i="17" a="1"/>
  <c r="D109" i="17" s="1"/>
  <c r="H108" i="17" a="1"/>
  <c r="H108" i="17" s="1"/>
  <c r="G108" i="17" a="1"/>
  <c r="G108" i="17" s="1"/>
  <c r="F108" i="17"/>
  <c r="F108" i="17" a="1"/>
  <c r="E108" i="17"/>
  <c r="E108" i="17" a="1"/>
  <c r="D108" i="17"/>
  <c r="D108" i="17" a="1"/>
  <c r="H107" i="17" a="1"/>
  <c r="H107" i="17" s="1"/>
  <c r="G107" i="17" a="1"/>
  <c r="G107" i="17" s="1"/>
  <c r="F107" i="17" a="1"/>
  <c r="F107" i="17" s="1"/>
  <c r="E107" i="17"/>
  <c r="E107" i="17" a="1"/>
  <c r="D107" i="17"/>
  <c r="D107" i="17" a="1"/>
  <c r="H106" i="17" a="1"/>
  <c r="H106" i="17" s="1"/>
  <c r="G106" i="17" a="1"/>
  <c r="G106" i="17" s="1"/>
  <c r="F106" i="17" a="1"/>
  <c r="F106" i="17" s="1"/>
  <c r="E106" i="17" a="1"/>
  <c r="E106" i="17" s="1"/>
  <c r="D106" i="17" a="1"/>
  <c r="D106" i="17" s="1"/>
  <c r="H105" i="17" a="1"/>
  <c r="H105" i="17" s="1"/>
  <c r="G105" i="17"/>
  <c r="G105" i="17" a="1"/>
  <c r="F105" i="17" a="1"/>
  <c r="F105" i="17" s="1"/>
  <c r="E105" i="17" a="1"/>
  <c r="E105" i="17" s="1"/>
  <c r="D105" i="17" a="1"/>
  <c r="D105" i="17" s="1"/>
  <c r="H104" i="17" a="1"/>
  <c r="H104" i="17" s="1"/>
  <c r="G104" i="17"/>
  <c r="G104" i="17" a="1"/>
  <c r="F104" i="17"/>
  <c r="F104" i="17" a="1"/>
  <c r="E104" i="17" a="1"/>
  <c r="E104" i="17" s="1"/>
  <c r="D104" i="17" a="1"/>
  <c r="D104" i="17" s="1"/>
  <c r="H103" i="17" a="1"/>
  <c r="H103" i="17" s="1"/>
  <c r="G103" i="17"/>
  <c r="G103" i="17" a="1"/>
  <c r="F103" i="17"/>
  <c r="F103" i="17" a="1"/>
  <c r="E103" i="17"/>
  <c r="E103" i="17" a="1"/>
  <c r="D103" i="17" a="1"/>
  <c r="D103" i="17" s="1"/>
  <c r="H102" i="17" a="1"/>
  <c r="H102" i="17" s="1"/>
  <c r="G102" i="17" a="1"/>
  <c r="G102" i="17" s="1"/>
  <c r="F102" i="17"/>
  <c r="F102" i="17" a="1"/>
  <c r="E102" i="17"/>
  <c r="E102" i="17" a="1"/>
  <c r="D102" i="17"/>
  <c r="D102" i="17" a="1"/>
  <c r="H101" i="17" a="1"/>
  <c r="H101" i="17" s="1"/>
  <c r="G101" i="17" a="1"/>
  <c r="G101" i="17" s="1"/>
  <c r="F101" i="17" a="1"/>
  <c r="F101" i="17" s="1"/>
  <c r="E101" i="17" a="1"/>
  <c r="E101" i="17" s="1"/>
  <c r="D101" i="17"/>
  <c r="D101" i="17" a="1"/>
  <c r="H100" i="17" a="1"/>
  <c r="H100" i="17" s="1"/>
  <c r="G100" i="17" a="1"/>
  <c r="G100" i="17" s="1"/>
  <c r="F100" i="17" a="1"/>
  <c r="F100" i="17" s="1"/>
  <c r="E100" i="17" a="1"/>
  <c r="E100" i="17" s="1"/>
  <c r="D100" i="17"/>
  <c r="D100" i="17" a="1"/>
  <c r="H99" i="17" a="1"/>
  <c r="H99" i="17" s="1"/>
  <c r="G99" i="17"/>
  <c r="G99" i="17" a="1"/>
  <c r="F99" i="17" a="1"/>
  <c r="F99" i="17" s="1"/>
  <c r="E99" i="17" a="1"/>
  <c r="E99" i="17" s="1"/>
  <c r="D99" i="17" a="1"/>
  <c r="D99" i="17" s="1"/>
  <c r="H98" i="17" a="1"/>
  <c r="H98" i="17" s="1"/>
  <c r="G98" i="17"/>
  <c r="G98" i="17" a="1"/>
  <c r="F98" i="17"/>
  <c r="F98" i="17" a="1"/>
  <c r="E98" i="17" a="1"/>
  <c r="E98" i="17" s="1"/>
  <c r="D98" i="17" a="1"/>
  <c r="D98" i="17" s="1"/>
  <c r="H97" i="17" a="1"/>
  <c r="H97" i="17" s="1"/>
  <c r="G97" i="17"/>
  <c r="G97" i="17" a="1"/>
  <c r="F97" i="17"/>
  <c r="F97" i="17" a="1"/>
  <c r="E97" i="17"/>
  <c r="E97" i="17" a="1"/>
  <c r="D97" i="17" a="1"/>
  <c r="D97" i="17" s="1"/>
  <c r="H96" i="17" a="1"/>
  <c r="H96" i="17" s="1"/>
  <c r="G96" i="17" a="1"/>
  <c r="G96" i="17" s="1"/>
  <c r="F96" i="17" a="1"/>
  <c r="F96" i="17" s="1"/>
  <c r="E96" i="17"/>
  <c r="E96" i="17" a="1"/>
  <c r="D96" i="17"/>
  <c r="D96" i="17" a="1"/>
  <c r="H95" i="17" a="1"/>
  <c r="H95" i="17" s="1"/>
  <c r="G95" i="17" a="1"/>
  <c r="G95" i="17" s="1"/>
  <c r="F95" i="17" a="1"/>
  <c r="F95" i="17" s="1"/>
  <c r="E95" i="17"/>
  <c r="E95" i="17" a="1"/>
  <c r="D95" i="17"/>
  <c r="D95" i="17" a="1"/>
  <c r="H94" i="17" a="1"/>
  <c r="H94" i="17" s="1"/>
  <c r="G94" i="17" a="1"/>
  <c r="G94" i="17" s="1"/>
  <c r="F94" i="17" a="1"/>
  <c r="F94" i="17" s="1"/>
  <c r="E94" i="17" a="1"/>
  <c r="E94" i="17" s="1"/>
  <c r="D94" i="17"/>
  <c r="D94" i="17" a="1"/>
  <c r="H93" i="17" a="1"/>
  <c r="H93" i="17" s="1"/>
  <c r="G93" i="17"/>
  <c r="G93" i="17" a="1"/>
  <c r="F93" i="17" a="1"/>
  <c r="F93" i="17" s="1"/>
  <c r="E93" i="17" a="1"/>
  <c r="E93" i="17" s="1"/>
  <c r="D93" i="17" a="1"/>
  <c r="D93" i="17" s="1"/>
  <c r="H92" i="17" a="1"/>
  <c r="H92" i="17" s="1"/>
  <c r="G92" i="17"/>
  <c r="G92" i="17" a="1"/>
  <c r="F92" i="17"/>
  <c r="F92" i="17" a="1"/>
  <c r="E92" i="17" a="1"/>
  <c r="E92" i="17" s="1"/>
  <c r="D92" i="17" a="1"/>
  <c r="D92" i="17" s="1"/>
  <c r="H91" i="17" a="1"/>
  <c r="H91" i="17" s="1"/>
  <c r="G91" i="17" a="1"/>
  <c r="G91" i="17" s="1"/>
  <c r="F91" i="17" a="1"/>
  <c r="F91" i="17" s="1"/>
  <c r="E91" i="17"/>
  <c r="E91" i="17" a="1"/>
  <c r="D91" i="17" a="1"/>
  <c r="D91" i="17" s="1"/>
  <c r="H90" i="17" a="1"/>
  <c r="H90" i="17" s="1"/>
  <c r="G90" i="17" a="1"/>
  <c r="G90" i="17" s="1"/>
  <c r="F90" i="17"/>
  <c r="F90" i="17" a="1"/>
  <c r="E90" i="17"/>
  <c r="E90" i="17" a="1"/>
  <c r="D90" i="17"/>
  <c r="D90" i="17" a="1"/>
  <c r="H89" i="17" a="1"/>
  <c r="H89" i="17" s="1"/>
  <c r="G89" i="17" a="1"/>
  <c r="G89" i="17" s="1"/>
  <c r="F89" i="17" a="1"/>
  <c r="F89" i="17" s="1"/>
  <c r="E89" i="17"/>
  <c r="E89" i="17" a="1"/>
  <c r="D89" i="17"/>
  <c r="D89" i="17" a="1"/>
  <c r="H88" i="17" a="1"/>
  <c r="H88" i="17" s="1"/>
  <c r="G88" i="17" a="1"/>
  <c r="G88" i="17" s="1"/>
  <c r="F88" i="17" a="1"/>
  <c r="F88" i="17" s="1"/>
  <c r="E88" i="17" a="1"/>
  <c r="E88" i="17" s="1"/>
  <c r="D88" i="17"/>
  <c r="D88" i="17" a="1"/>
  <c r="H87" i="17" a="1"/>
  <c r="H87" i="17" s="1"/>
  <c r="G87" i="17"/>
  <c r="G87" i="17" a="1"/>
  <c r="F87" i="17" a="1"/>
  <c r="F87" i="17" s="1"/>
  <c r="E87" i="17" a="1"/>
  <c r="E87" i="17" s="1"/>
  <c r="D87" i="17" a="1"/>
  <c r="D87" i="17" s="1"/>
  <c r="H86" i="17" a="1"/>
  <c r="H86" i="17" s="1"/>
  <c r="G86" i="17" a="1"/>
  <c r="G86" i="17" s="1"/>
  <c r="F86" i="17"/>
  <c r="F86" i="17" a="1"/>
  <c r="E86" i="17" a="1"/>
  <c r="E86" i="17" s="1"/>
  <c r="D86" i="17" a="1"/>
  <c r="D86" i="17" s="1"/>
  <c r="H85" i="17" a="1"/>
  <c r="H85" i="17" s="1"/>
  <c r="G85" i="17"/>
  <c r="G85" i="17" a="1"/>
  <c r="F85" i="17"/>
  <c r="F85" i="17" a="1"/>
  <c r="E85" i="17"/>
  <c r="E85" i="17" a="1"/>
  <c r="D85" i="17" a="1"/>
  <c r="D85" i="17" s="1"/>
  <c r="H84" i="17" a="1"/>
  <c r="H84" i="17" s="1"/>
  <c r="G84" i="17" a="1"/>
  <c r="G84" i="17" s="1"/>
  <c r="F84" i="17"/>
  <c r="F84" i="17" a="1"/>
  <c r="E84" i="17"/>
  <c r="E84" i="17" a="1"/>
  <c r="D84" i="17"/>
  <c r="D84" i="17" a="1"/>
  <c r="H83" i="17" a="1"/>
  <c r="H83" i="17" s="1"/>
  <c r="G83" i="17" a="1"/>
  <c r="G83" i="17" s="1"/>
  <c r="F83" i="17" a="1"/>
  <c r="F83" i="17" s="1"/>
  <c r="E83" i="17"/>
  <c r="E83" i="17" a="1"/>
  <c r="D83" i="17" a="1"/>
  <c r="D83" i="17" s="1"/>
  <c r="H82" i="17" a="1"/>
  <c r="H82" i="17" s="1"/>
  <c r="G82" i="17" a="1"/>
  <c r="G82" i="17" s="1"/>
  <c r="F82" i="17" a="1"/>
  <c r="F82" i="17" s="1"/>
  <c r="E82" i="17" a="1"/>
  <c r="E82" i="17" s="1"/>
  <c r="D82" i="17" a="1"/>
  <c r="D82" i="17" s="1"/>
  <c r="H81" i="17" a="1"/>
  <c r="H81" i="17" s="1"/>
  <c r="G81" i="17"/>
  <c r="G81" i="17" a="1"/>
  <c r="F81" i="17" a="1"/>
  <c r="F81" i="17" s="1"/>
  <c r="E81" i="17" a="1"/>
  <c r="E81" i="17" s="1"/>
  <c r="D81" i="17" a="1"/>
  <c r="D81" i="17" s="1"/>
  <c r="H80" i="17" a="1"/>
  <c r="H80" i="17" s="1"/>
  <c r="G80" i="17"/>
  <c r="G80" i="17" a="1"/>
  <c r="F80" i="17"/>
  <c r="F80" i="17" a="1"/>
  <c r="E80" i="17" a="1"/>
  <c r="E80" i="17" s="1"/>
  <c r="D80" i="17" a="1"/>
  <c r="D80" i="17" s="1"/>
  <c r="H79" i="17" a="1"/>
  <c r="H79" i="17" s="1"/>
  <c r="G79" i="17"/>
  <c r="G79" i="17" a="1"/>
  <c r="F79" i="17"/>
  <c r="F79" i="17" a="1"/>
  <c r="E79" i="17"/>
  <c r="E79" i="17" a="1"/>
  <c r="D79" i="17" a="1"/>
  <c r="D79" i="17" s="1"/>
  <c r="H78" i="17" a="1"/>
  <c r="H78" i="17" s="1"/>
  <c r="G78" i="17" a="1"/>
  <c r="G78" i="17" s="1"/>
  <c r="F78" i="17"/>
  <c r="F78" i="17" a="1"/>
  <c r="E78" i="17" a="1"/>
  <c r="E78" i="17" s="1"/>
  <c r="D78" i="17"/>
  <c r="D78" i="17" a="1"/>
  <c r="H77" i="17" a="1"/>
  <c r="H77" i="17" s="1"/>
  <c r="G77" i="17" a="1"/>
  <c r="G77" i="17" s="1"/>
  <c r="F77" i="17" a="1"/>
  <c r="F77" i="17" s="1"/>
  <c r="E77" i="17" a="1"/>
  <c r="E77" i="17" s="1"/>
  <c r="D77" i="17" a="1"/>
  <c r="D77" i="17" s="1"/>
  <c r="H76" i="17" a="1"/>
  <c r="H76" i="17" s="1"/>
  <c r="G76" i="17" a="1"/>
  <c r="G76" i="17" s="1"/>
  <c r="F76" i="17" a="1"/>
  <c r="F76" i="17" s="1"/>
  <c r="E76" i="17" a="1"/>
  <c r="E76" i="17" s="1"/>
  <c r="D76" i="17"/>
  <c r="D76" i="17" a="1"/>
  <c r="H75" i="17" a="1"/>
  <c r="H75" i="17" s="1"/>
  <c r="G75" i="17"/>
  <c r="G75" i="17" a="1"/>
  <c r="F75" i="17" a="1"/>
  <c r="F75" i="17" s="1"/>
  <c r="E75" i="17" a="1"/>
  <c r="E75" i="17" s="1"/>
  <c r="D75" i="17" a="1"/>
  <c r="D75" i="17" s="1"/>
  <c r="H74" i="17" a="1"/>
  <c r="H74" i="17" s="1"/>
  <c r="G74" i="17"/>
  <c r="G74" i="17" a="1"/>
  <c r="F74" i="17"/>
  <c r="F74" i="17" a="1"/>
  <c r="E74" i="17" a="1"/>
  <c r="E74" i="17" s="1"/>
  <c r="D74" i="17" a="1"/>
  <c r="D74" i="17" s="1"/>
  <c r="H73" i="17" a="1"/>
  <c r="H73" i="17" s="1"/>
  <c r="G73" i="17"/>
  <c r="G73" i="17" a="1"/>
  <c r="F73" i="17" a="1"/>
  <c r="F73" i="17" s="1"/>
  <c r="E73" i="17"/>
  <c r="E73" i="17" a="1"/>
  <c r="D73" i="17" a="1"/>
  <c r="D73" i="17" s="1"/>
  <c r="H72" i="17" a="1"/>
  <c r="H72" i="17" s="1"/>
  <c r="G72" i="17" a="1"/>
  <c r="G72" i="17" s="1"/>
  <c r="F72" i="17" a="1"/>
  <c r="F72" i="17" s="1"/>
  <c r="E72" i="17" a="1"/>
  <c r="E72" i="17" s="1"/>
  <c r="D72" i="17"/>
  <c r="D72" i="17" a="1"/>
  <c r="H71" i="17" a="1"/>
  <c r="H71" i="17" s="1"/>
  <c r="G71" i="17" a="1"/>
  <c r="G71" i="17" s="1"/>
  <c r="F71" i="17" a="1"/>
  <c r="F71" i="17" s="1"/>
  <c r="E71" i="17"/>
  <c r="E71" i="17" a="1"/>
  <c r="D71" i="17"/>
  <c r="D71" i="17" a="1"/>
  <c r="H70" i="17" a="1"/>
  <c r="H70" i="17" s="1"/>
  <c r="G70" i="17" a="1"/>
  <c r="G70" i="17" s="1"/>
  <c r="F70" i="17" a="1"/>
  <c r="F70" i="17" s="1"/>
  <c r="E70" i="17" a="1"/>
  <c r="E70" i="17" s="1"/>
  <c r="D70" i="17"/>
  <c r="D70" i="17" a="1"/>
  <c r="H69" i="17" a="1"/>
  <c r="H69" i="17" s="1"/>
  <c r="G69" i="17"/>
  <c r="G69" i="17" a="1"/>
  <c r="F69" i="17" a="1"/>
  <c r="F69" i="17" s="1"/>
  <c r="E69" i="17" a="1"/>
  <c r="E69" i="17" s="1"/>
  <c r="D69" i="17" a="1"/>
  <c r="D69" i="17" s="1"/>
  <c r="H68" i="17" a="1"/>
  <c r="H68" i="17" s="1"/>
  <c r="G68" i="17" a="1"/>
  <c r="G68" i="17" s="1"/>
  <c r="F68" i="17"/>
  <c r="F68" i="17" a="1"/>
  <c r="E68" i="17" a="1"/>
  <c r="E68" i="17" s="1"/>
  <c r="D68" i="17" a="1"/>
  <c r="D68" i="17" s="1"/>
  <c r="H67" i="17" a="1"/>
  <c r="H67" i="17" s="1"/>
  <c r="G67" i="17" a="1"/>
  <c r="G67" i="17" s="1"/>
  <c r="F67" i="17" a="1"/>
  <c r="F67" i="17" s="1"/>
  <c r="E67" i="17"/>
  <c r="E67" i="17" a="1"/>
  <c r="D67" i="17" a="1"/>
  <c r="D67" i="17" s="1"/>
  <c r="H66" i="17" a="1"/>
  <c r="H66" i="17" s="1"/>
  <c r="G66" i="17" a="1"/>
  <c r="G66" i="17" s="1"/>
  <c r="F66" i="17"/>
  <c r="F66" i="17" a="1"/>
  <c r="E66" i="17" a="1"/>
  <c r="E66" i="17" s="1"/>
  <c r="D66" i="17"/>
  <c r="D66" i="17" a="1"/>
  <c r="H65" i="17" a="1"/>
  <c r="H65" i="17" s="1"/>
  <c r="G65" i="17" a="1"/>
  <c r="G65" i="17" s="1"/>
  <c r="F65" i="17" a="1"/>
  <c r="F65" i="17" s="1"/>
  <c r="E65" i="17"/>
  <c r="E65" i="17" a="1"/>
  <c r="D65" i="17"/>
  <c r="D65" i="17" a="1"/>
  <c r="H64" i="17" a="1"/>
  <c r="H64" i="17" s="1"/>
  <c r="G64" i="17" a="1"/>
  <c r="G64" i="17" s="1"/>
  <c r="F64" i="17" a="1"/>
  <c r="F64" i="17" s="1"/>
  <c r="E64" i="17" a="1"/>
  <c r="E64" i="17" s="1"/>
  <c r="D64" i="17"/>
  <c r="D64" i="17" a="1"/>
  <c r="H63" i="17" a="1"/>
  <c r="H63" i="17" s="1"/>
  <c r="G63" i="17"/>
  <c r="G63" i="17" a="1"/>
  <c r="F63" i="17" a="1"/>
  <c r="F63" i="17" s="1"/>
  <c r="E63" i="17" a="1"/>
  <c r="E63" i="17" s="1"/>
  <c r="D63" i="17" a="1"/>
  <c r="D63" i="17" s="1"/>
  <c r="H62" i="17" a="1"/>
  <c r="H62" i="17" s="1"/>
  <c r="G62" i="17" a="1"/>
  <c r="G62" i="17" s="1"/>
  <c r="F62" i="17"/>
  <c r="F62" i="17" a="1"/>
  <c r="E62" i="17" a="1"/>
  <c r="E62" i="17" s="1"/>
  <c r="D62" i="17" a="1"/>
  <c r="D62" i="17" s="1"/>
  <c r="H61" i="17" a="1"/>
  <c r="H61" i="17" s="1"/>
  <c r="G61" i="17"/>
  <c r="G61" i="17" a="1"/>
  <c r="F61" i="17" a="1"/>
  <c r="F61" i="17" s="1"/>
  <c r="E61" i="17"/>
  <c r="E61" i="17" a="1"/>
  <c r="D61" i="17" a="1"/>
  <c r="D61" i="17" s="1"/>
  <c r="H60" i="17" a="1"/>
  <c r="H60" i="17" s="1"/>
  <c r="G60" i="17" a="1"/>
  <c r="G60" i="17" s="1"/>
  <c r="F60" i="17"/>
  <c r="F60" i="17" a="1"/>
  <c r="E60" i="17"/>
  <c r="E60" i="17" a="1"/>
  <c r="D60" i="17"/>
  <c r="D60" i="17" a="1"/>
  <c r="H59" i="17" a="1"/>
  <c r="H59" i="17" s="1"/>
  <c r="G59" i="17" a="1"/>
  <c r="G59" i="17" s="1"/>
  <c r="F59" i="17" a="1"/>
  <c r="F59" i="17" s="1"/>
  <c r="E59" i="17"/>
  <c r="E59" i="17" a="1"/>
  <c r="D59" i="17" a="1"/>
  <c r="D59" i="17" s="1"/>
  <c r="H58" i="17" a="1"/>
  <c r="H58" i="17" s="1"/>
  <c r="G58" i="17" a="1"/>
  <c r="G58" i="17" s="1"/>
  <c r="F58" i="17" a="1"/>
  <c r="F58" i="17" s="1"/>
  <c r="E58" i="17" a="1"/>
  <c r="E58" i="17" s="1"/>
  <c r="D58" i="17" a="1"/>
  <c r="D58" i="17" s="1"/>
  <c r="H57" i="17" a="1"/>
  <c r="H57" i="17" s="1"/>
  <c r="G57" i="17"/>
  <c r="G57" i="17" a="1"/>
  <c r="F57" i="17" a="1"/>
  <c r="F57" i="17" s="1"/>
  <c r="E57" i="17" a="1"/>
  <c r="E57" i="17" s="1"/>
  <c r="D57" i="17" a="1"/>
  <c r="D57" i="17" s="1"/>
  <c r="H56" i="17" a="1"/>
  <c r="H56" i="17" s="1"/>
  <c r="G56" i="17" a="1"/>
  <c r="G56" i="17" s="1"/>
  <c r="F56" i="17"/>
  <c r="F56" i="17" a="1"/>
  <c r="E56" i="17" a="1"/>
  <c r="E56" i="17" s="1"/>
  <c r="D56" i="17" a="1"/>
  <c r="D56" i="17" s="1"/>
  <c r="H55" i="17" a="1"/>
  <c r="H55" i="17" s="1"/>
  <c r="G55" i="17"/>
  <c r="G55" i="17" a="1"/>
  <c r="F55" i="17"/>
  <c r="F55" i="17" a="1"/>
  <c r="E55" i="17"/>
  <c r="E55" i="17" a="1"/>
  <c r="D55" i="17" a="1"/>
  <c r="D55" i="17" s="1"/>
  <c r="H54" i="17" a="1"/>
  <c r="H54" i="17" s="1"/>
  <c r="G54" i="17" a="1"/>
  <c r="G54" i="17" s="1"/>
  <c r="F54" i="17"/>
  <c r="F54" i="17" a="1"/>
  <c r="E54" i="17" a="1"/>
  <c r="E54" i="17" s="1"/>
  <c r="D54" i="17"/>
  <c r="D54" i="17" a="1"/>
  <c r="H53" i="17" a="1"/>
  <c r="H53" i="17" s="1"/>
  <c r="G53" i="17" a="1"/>
  <c r="G53" i="17" s="1"/>
  <c r="F53" i="17" a="1"/>
  <c r="F53" i="17" s="1"/>
  <c r="E53" i="17" a="1"/>
  <c r="E53" i="17" s="1"/>
  <c r="D53" i="17" a="1"/>
  <c r="D53" i="17" s="1"/>
  <c r="H52" i="17" a="1"/>
  <c r="H52" i="17" s="1"/>
  <c r="G52" i="17" a="1"/>
  <c r="G52" i="17" s="1"/>
  <c r="F52" i="17" a="1"/>
  <c r="F52" i="17" s="1"/>
  <c r="E52" i="17" a="1"/>
  <c r="E52" i="17" s="1"/>
  <c r="D52" i="17"/>
  <c r="D52" i="17" a="1"/>
  <c r="H51" i="17" a="1"/>
  <c r="H51" i="17" s="1"/>
  <c r="G51" i="17"/>
  <c r="G51" i="17" a="1"/>
  <c r="F51" i="17" a="1"/>
  <c r="F51" i="17" s="1"/>
  <c r="E51" i="17" a="1"/>
  <c r="E51" i="17" s="1"/>
  <c r="D51" i="17" a="1"/>
  <c r="D51" i="17" s="1"/>
  <c r="H50" i="17" a="1"/>
  <c r="H50" i="17" s="1"/>
  <c r="G50" i="17"/>
  <c r="G50" i="17" a="1"/>
  <c r="F50" i="17"/>
  <c r="F50" i="17" a="1"/>
  <c r="E50" i="17" a="1"/>
  <c r="E50" i="17" s="1"/>
  <c r="D50" i="17" a="1"/>
  <c r="D50" i="17" s="1"/>
  <c r="H49" i="17" a="1"/>
  <c r="H49" i="17" s="1"/>
  <c r="G49" i="17"/>
  <c r="G49" i="17" a="1"/>
  <c r="F49" i="17" a="1"/>
  <c r="F49" i="17" s="1"/>
  <c r="E49" i="17"/>
  <c r="E49" i="17" a="1"/>
  <c r="D49" i="17" a="1"/>
  <c r="D49" i="17" s="1"/>
  <c r="H48" i="17" a="1"/>
  <c r="H48" i="17" s="1"/>
  <c r="G48" i="17" a="1"/>
  <c r="G48" i="17" s="1"/>
  <c r="F48" i="17" a="1"/>
  <c r="F48" i="17" s="1"/>
  <c r="E48" i="17" a="1"/>
  <c r="E48" i="17" s="1"/>
  <c r="D48" i="17"/>
  <c r="D48" i="17" a="1"/>
  <c r="H47" i="17" a="1"/>
  <c r="H47" i="17" s="1"/>
  <c r="G47" i="17" a="1"/>
  <c r="G47" i="17" s="1"/>
  <c r="F47" i="17" a="1"/>
  <c r="F47" i="17" s="1"/>
  <c r="E47" i="17"/>
  <c r="E47" i="17" a="1"/>
  <c r="D47" i="17" a="1"/>
  <c r="D47" i="17" s="1"/>
  <c r="H46" i="17" a="1"/>
  <c r="H46" i="17" s="1"/>
  <c r="G46" i="17" a="1"/>
  <c r="G46" i="17" s="1"/>
  <c r="F46" i="17" a="1"/>
  <c r="F46" i="17" s="1"/>
  <c r="E46" i="17" a="1"/>
  <c r="E46" i="17" s="1"/>
  <c r="D46" i="17"/>
  <c r="D46" i="17" a="1"/>
  <c r="H45" i="17" a="1"/>
  <c r="H45" i="17" s="1"/>
  <c r="G45" i="17"/>
  <c r="G45" i="17" a="1"/>
  <c r="F45" i="17" a="1"/>
  <c r="F45" i="17" s="1"/>
  <c r="E45" i="17" a="1"/>
  <c r="E45" i="17" s="1"/>
  <c r="D45" i="17" a="1"/>
  <c r="D45" i="17" s="1"/>
  <c r="H44" i="17" a="1"/>
  <c r="H44" i="17" s="1"/>
  <c r="G44" i="17" a="1"/>
  <c r="G44" i="17" s="1"/>
  <c r="F44" i="17"/>
  <c r="F44" i="17" a="1"/>
  <c r="E44" i="17" a="1"/>
  <c r="E44" i="17" s="1"/>
  <c r="D44" i="17" a="1"/>
  <c r="D44" i="17" s="1"/>
  <c r="H43" i="17" a="1"/>
  <c r="H43" i="17" s="1"/>
  <c r="G43" i="17" a="1"/>
  <c r="G43" i="17" s="1"/>
  <c r="F43" i="17" a="1"/>
  <c r="F43" i="17" s="1"/>
  <c r="E43" i="17"/>
  <c r="E43" i="17" a="1"/>
  <c r="D43" i="17" a="1"/>
  <c r="D43" i="17" s="1"/>
  <c r="H42" i="17" a="1"/>
  <c r="H42" i="17" s="1"/>
  <c r="G42" i="17" a="1"/>
  <c r="G42" i="17" s="1"/>
  <c r="F42" i="17"/>
  <c r="F42" i="17" a="1"/>
  <c r="E42" i="17" a="1"/>
  <c r="E42" i="17" s="1"/>
  <c r="D42" i="17"/>
  <c r="D42" i="17" a="1"/>
  <c r="H41" i="17" a="1"/>
  <c r="H41" i="17" s="1"/>
  <c r="G41" i="17" a="1"/>
  <c r="G41" i="17" s="1"/>
  <c r="F41" i="17" a="1"/>
  <c r="F41" i="17" s="1"/>
  <c r="E41" i="17"/>
  <c r="E41" i="17" a="1"/>
  <c r="D41" i="17"/>
  <c r="D41" i="17" a="1"/>
  <c r="H40" i="17" a="1"/>
  <c r="H40" i="17" s="1"/>
  <c r="G40" i="17" a="1"/>
  <c r="G40" i="17" s="1"/>
  <c r="F40" i="17" a="1"/>
  <c r="F40" i="17" s="1"/>
  <c r="E40" i="17" a="1"/>
  <c r="E40" i="17" s="1"/>
  <c r="D40" i="17"/>
  <c r="D40" i="17" a="1"/>
  <c r="H39" i="17" a="1"/>
  <c r="H39" i="17" s="1"/>
  <c r="G39" i="17"/>
  <c r="G39" i="17" a="1"/>
  <c r="F39" i="17" a="1"/>
  <c r="F39" i="17" s="1"/>
  <c r="E39" i="17" a="1"/>
  <c r="E39" i="17" s="1"/>
  <c r="D39" i="17" a="1"/>
  <c r="D39" i="17" s="1"/>
  <c r="H38" i="17" a="1"/>
  <c r="H38" i="17" s="1"/>
  <c r="G38" i="17" a="1"/>
  <c r="G38" i="17" s="1"/>
  <c r="F38" i="17"/>
  <c r="F38" i="17" a="1"/>
  <c r="E38" i="17" a="1"/>
  <c r="E38" i="17" s="1"/>
  <c r="D38" i="17" a="1"/>
  <c r="D38" i="17" s="1"/>
  <c r="H37" i="17" a="1"/>
  <c r="H37" i="17" s="1"/>
  <c r="G37" i="17"/>
  <c r="G37" i="17" a="1"/>
  <c r="F37" i="17" a="1"/>
  <c r="F37" i="17" s="1"/>
  <c r="E37" i="17"/>
  <c r="E37" i="17" a="1"/>
  <c r="D37" i="17" a="1"/>
  <c r="D37" i="17" s="1"/>
  <c r="H36" i="17" a="1"/>
  <c r="H36" i="17" s="1"/>
  <c r="G36" i="17" a="1"/>
  <c r="G36" i="17" s="1"/>
  <c r="F36" i="17"/>
  <c r="F36" i="17" a="1"/>
  <c r="E36" i="17"/>
  <c r="E36" i="17" a="1"/>
  <c r="D36" i="17"/>
  <c r="D36" i="17" a="1"/>
  <c r="H35" i="17" a="1"/>
  <c r="H35" i="17" s="1"/>
  <c r="G35" i="17" a="1"/>
  <c r="G35" i="17" s="1"/>
  <c r="F35" i="17" a="1"/>
  <c r="F35" i="17" s="1"/>
  <c r="E35" i="17"/>
  <c r="E35" i="17" a="1"/>
  <c r="D35" i="17" a="1"/>
  <c r="D35" i="17" s="1"/>
  <c r="H34" i="17" a="1"/>
  <c r="H34" i="17" s="1"/>
  <c r="G34" i="17" a="1"/>
  <c r="G34" i="17" s="1"/>
  <c r="F34" i="17" a="1"/>
  <c r="F34" i="17" s="1"/>
  <c r="E34" i="17" a="1"/>
  <c r="E34" i="17" s="1"/>
  <c r="D34" i="17" a="1"/>
  <c r="D34" i="17" s="1"/>
  <c r="H33" i="17" a="1"/>
  <c r="H33" i="17" s="1"/>
  <c r="G33" i="17"/>
  <c r="G33" i="17" a="1"/>
  <c r="F33" i="17" a="1"/>
  <c r="F33" i="17" s="1"/>
  <c r="E33" i="17" a="1"/>
  <c r="E33" i="17" s="1"/>
  <c r="D33" i="17" a="1"/>
  <c r="D33" i="17" s="1"/>
  <c r="H32" i="17" a="1"/>
  <c r="H32" i="17" s="1"/>
  <c r="G32" i="17" a="1"/>
  <c r="G32" i="17" s="1"/>
  <c r="F32" i="17"/>
  <c r="F32" i="17" a="1"/>
  <c r="E32" i="17" a="1"/>
  <c r="E32" i="17" s="1"/>
  <c r="D32" i="17" a="1"/>
  <c r="D32" i="17" s="1"/>
  <c r="H31" i="17" a="1"/>
  <c r="H31" i="17" s="1"/>
  <c r="G31" i="17"/>
  <c r="G31" i="17" a="1"/>
  <c r="F31" i="17"/>
  <c r="F31" i="17" a="1"/>
  <c r="E31" i="17"/>
  <c r="E31" i="17" a="1"/>
  <c r="D31" i="17" a="1"/>
  <c r="D31" i="17" s="1"/>
  <c r="H30" i="17" a="1"/>
  <c r="H30" i="17" s="1"/>
  <c r="G30" i="17" a="1"/>
  <c r="G30" i="17" s="1"/>
  <c r="F30" i="17"/>
  <c r="F30" i="17" a="1"/>
  <c r="E30" i="17" a="1"/>
  <c r="E30" i="17" s="1"/>
  <c r="D30" i="17"/>
  <c r="D30" i="17" a="1"/>
  <c r="H29" i="17" a="1"/>
  <c r="H29" i="17" s="1"/>
  <c r="G29" i="17" a="1"/>
  <c r="G29" i="17" s="1"/>
  <c r="F29" i="17" a="1"/>
  <c r="F29" i="17" s="1"/>
  <c r="E29" i="17" a="1"/>
  <c r="E29" i="17" s="1"/>
  <c r="D29" i="17" a="1"/>
  <c r="D29" i="17" s="1"/>
  <c r="H28" i="17" a="1"/>
  <c r="H28" i="17" s="1"/>
  <c r="G28" i="17" a="1"/>
  <c r="G28" i="17" s="1"/>
  <c r="F28" i="17" a="1"/>
  <c r="F28" i="17" s="1"/>
  <c r="E28" i="17" a="1"/>
  <c r="E28" i="17" s="1"/>
  <c r="D28" i="17"/>
  <c r="D28" i="17" a="1"/>
  <c r="H27" i="17" a="1"/>
  <c r="H27" i="17" s="1"/>
  <c r="G27" i="17"/>
  <c r="G27" i="17" a="1"/>
  <c r="F27" i="17" a="1"/>
  <c r="F27" i="17" s="1"/>
  <c r="E27" i="17" a="1"/>
  <c r="E27" i="17" s="1"/>
  <c r="D27" i="17" a="1"/>
  <c r="D27" i="17" s="1"/>
  <c r="H26" i="17" a="1"/>
  <c r="H26" i="17" s="1"/>
  <c r="G26" i="17"/>
  <c r="G26" i="17" a="1"/>
  <c r="F26" i="17"/>
  <c r="F26" i="17" a="1"/>
  <c r="E26" i="17" a="1"/>
  <c r="E26" i="17" s="1"/>
  <c r="D26" i="17" a="1"/>
  <c r="D26" i="17" s="1"/>
  <c r="H25" i="17" a="1"/>
  <c r="H25" i="17" s="1"/>
  <c r="G25" i="17" a="1"/>
  <c r="G25" i="17" s="1"/>
  <c r="F25" i="17" a="1"/>
  <c r="F25" i="17" s="1"/>
  <c r="E25" i="17"/>
  <c r="E25" i="17" a="1"/>
  <c r="D25" i="17" a="1"/>
  <c r="D25" i="17" s="1"/>
  <c r="H24" i="17" a="1"/>
  <c r="H24" i="17" s="1"/>
  <c r="G24" i="17" a="1"/>
  <c r="G24" i="17" s="1"/>
  <c r="F24" i="17"/>
  <c r="F24" i="17" a="1"/>
  <c r="E24" i="17" a="1"/>
  <c r="E24" i="17" s="1"/>
  <c r="D24" i="17"/>
  <c r="D24" i="17" a="1"/>
  <c r="H23" i="17" a="1"/>
  <c r="H23" i="17" s="1"/>
  <c r="G23" i="17" a="1"/>
  <c r="G23" i="17" s="1"/>
  <c r="F23" i="17" a="1"/>
  <c r="F23" i="17" s="1"/>
  <c r="E23" i="17" a="1"/>
  <c r="E23" i="17" s="1"/>
  <c r="D23" i="17"/>
  <c r="D23" i="17" a="1"/>
  <c r="H22" i="17" a="1"/>
  <c r="H22" i="17" s="1"/>
  <c r="G22" i="17" a="1"/>
  <c r="G22" i="17" s="1"/>
  <c r="F22" i="17" a="1"/>
  <c r="F22" i="17" s="1"/>
  <c r="E22" i="17"/>
  <c r="E22" i="17" a="1"/>
  <c r="D22" i="17" a="1"/>
  <c r="D22" i="17" s="1"/>
  <c r="H21" i="17" a="1"/>
  <c r="H21" i="17" s="1"/>
  <c r="G21" i="17"/>
  <c r="G21" i="17" a="1"/>
  <c r="F21" i="17" a="1"/>
  <c r="F21" i="17" s="1"/>
  <c r="E21" i="17" a="1"/>
  <c r="E21" i="17" s="1"/>
  <c r="D21" i="17" a="1"/>
  <c r="D21" i="17" s="1"/>
  <c r="H20" i="17" a="1"/>
  <c r="H20" i="17" s="1"/>
  <c r="G20" i="17" a="1"/>
  <c r="G20" i="17" s="1"/>
  <c r="F20" i="17"/>
  <c r="F20" i="17" a="1"/>
  <c r="E20" i="17" a="1"/>
  <c r="E20" i="17" s="1"/>
  <c r="D20" i="17" a="1"/>
  <c r="D20" i="17" s="1"/>
  <c r="H19" i="17" a="1"/>
  <c r="H19" i="17" s="1"/>
  <c r="G19" i="17" a="1"/>
  <c r="G19" i="17" s="1"/>
  <c r="F19" i="17"/>
  <c r="F19" i="17" a="1"/>
  <c r="E19" i="17"/>
  <c r="E19" i="17" a="1"/>
  <c r="D19" i="17" a="1"/>
  <c r="D19" i="17" s="1"/>
  <c r="H18" i="17" a="1"/>
  <c r="H18" i="17" s="1"/>
  <c r="G18" i="17"/>
  <c r="G18" i="17" a="1"/>
  <c r="F18" i="17" a="1"/>
  <c r="F18" i="17" s="1"/>
  <c r="E18" i="17" a="1"/>
  <c r="E18" i="17" s="1"/>
  <c r="D18" i="17"/>
  <c r="D18" i="17" a="1"/>
  <c r="H17" i="17" a="1"/>
  <c r="H17" i="17" s="1"/>
  <c r="G17" i="17" a="1"/>
  <c r="G17" i="17" s="1"/>
  <c r="F17" i="17" a="1"/>
  <c r="F17" i="17" s="1"/>
  <c r="E17" i="17"/>
  <c r="E17" i="17" a="1"/>
  <c r="D17" i="17" a="1"/>
  <c r="D17" i="17" s="1"/>
  <c r="H16" i="17" a="1"/>
  <c r="H16" i="17" s="1"/>
  <c r="G16" i="17" a="1"/>
  <c r="G16" i="17" s="1"/>
  <c r="F16" i="17" a="1"/>
  <c r="F16" i="17" s="1"/>
  <c r="E16" i="17" a="1"/>
  <c r="E16" i="17" s="1"/>
  <c r="D16" i="17" a="1"/>
  <c r="D16" i="17" s="1"/>
  <c r="H15" i="17" a="1"/>
  <c r="H15" i="17" s="1"/>
  <c r="G15" i="17"/>
  <c r="G15" i="17" a="1"/>
  <c r="F15" i="17" a="1"/>
  <c r="F15" i="17" s="1"/>
  <c r="E15" i="17" a="1"/>
  <c r="E15" i="17" s="1"/>
  <c r="D15" i="17"/>
  <c r="D15" i="17" a="1"/>
  <c r="H14" i="17" a="1"/>
  <c r="H14" i="17" s="1"/>
  <c r="G14" i="17" a="1"/>
  <c r="G14" i="17" s="1"/>
  <c r="F14" i="17"/>
  <c r="F14" i="17" a="1"/>
  <c r="E14" i="17" a="1"/>
  <c r="E14" i="17" s="1"/>
  <c r="D14" i="17" a="1"/>
  <c r="D14" i="17" s="1"/>
  <c r="H13" i="17" a="1"/>
  <c r="H13" i="17" s="1"/>
  <c r="G13" i="17" a="1"/>
  <c r="G13" i="17" s="1"/>
  <c r="F13" i="17" a="1"/>
  <c r="F13" i="17" s="1"/>
  <c r="E13" i="17"/>
  <c r="E13" i="17" a="1"/>
  <c r="D13" i="17" a="1"/>
  <c r="D13" i="17" s="1"/>
  <c r="H12" i="17" a="1"/>
  <c r="H12" i="17" s="1"/>
  <c r="G12" i="17" a="1"/>
  <c r="G12" i="17" s="1"/>
  <c r="F12" i="17" a="1"/>
  <c r="F12" i="17" s="1"/>
  <c r="E12" i="17" a="1"/>
  <c r="E12" i="17" s="1"/>
  <c r="D12" i="17"/>
  <c r="D12" i="17" a="1"/>
  <c r="H11" i="17" a="1"/>
  <c r="H11" i="17" s="1"/>
  <c r="G11" i="17" a="1"/>
  <c r="G11" i="17" s="1"/>
  <c r="F11" i="17"/>
  <c r="F11" i="17" a="1"/>
  <c r="E11" i="17" a="1"/>
  <c r="E11" i="17" s="1"/>
  <c r="D11" i="17" a="1"/>
  <c r="D11" i="17" s="1"/>
  <c r="H10" i="17" a="1"/>
  <c r="H10" i="17" s="1"/>
  <c r="G10" i="17" a="1"/>
  <c r="G10" i="17" s="1"/>
  <c r="F10" i="17" a="1"/>
  <c r="F10" i="17" s="1"/>
  <c r="E10" i="17" a="1"/>
  <c r="E10" i="17" s="1"/>
  <c r="D10" i="17"/>
  <c r="D10" i="17" a="1"/>
  <c r="H9" i="17" a="1"/>
  <c r="H9" i="17" s="1"/>
  <c r="G9" i="17"/>
  <c r="G9" i="17" a="1"/>
  <c r="F9" i="17" a="1"/>
  <c r="F9" i="17" s="1"/>
  <c r="E9" i="17" a="1"/>
  <c r="E9" i="17" s="1"/>
  <c r="D9" i="17" a="1"/>
  <c r="D9" i="17" s="1"/>
  <c r="H8" i="17" a="1"/>
  <c r="H8" i="17" s="1"/>
  <c r="G8" i="17"/>
  <c r="G8" i="17" a="1"/>
  <c r="F8" i="17"/>
  <c r="F8" i="17" a="1"/>
  <c r="E8" i="17" a="1"/>
  <c r="E8" i="17" s="1"/>
  <c r="D8" i="17" a="1"/>
  <c r="D8" i="17" s="1"/>
  <c r="H7" i="17" a="1"/>
  <c r="H7" i="17" s="1"/>
  <c r="G7" i="17" a="1"/>
  <c r="G7" i="17" s="1"/>
  <c r="F7" i="17" a="1"/>
  <c r="F7" i="17" s="1"/>
  <c r="E7" i="17"/>
  <c r="E7" i="17" a="1"/>
  <c r="D7" i="17" a="1"/>
  <c r="D7" i="17" s="1"/>
  <c r="H6" i="17" a="1"/>
  <c r="H6" i="17" s="1"/>
  <c r="G6" i="17" a="1"/>
  <c r="G6" i="17" s="1"/>
  <c r="F6" i="17" a="1"/>
  <c r="F6" i="17" s="1"/>
  <c r="E6" i="17" a="1"/>
  <c r="E6" i="17" s="1"/>
  <c r="D6" i="17"/>
  <c r="D6" i="17" a="1"/>
  <c r="H5" i="17" a="1"/>
  <c r="H5" i="17" s="1"/>
  <c r="G5" i="17" a="1"/>
  <c r="G5" i="17" s="1"/>
  <c r="F5" i="17" a="1"/>
  <c r="F5" i="17" s="1"/>
  <c r="E5" i="17" a="1"/>
  <c r="E5" i="17" s="1"/>
  <c r="D5" i="17" a="1"/>
  <c r="D5" i="17" s="1"/>
  <c r="H4" i="17" a="1"/>
  <c r="H4" i="17" s="1"/>
  <c r="G4" i="17" a="1"/>
  <c r="G4" i="17" s="1"/>
  <c r="F4" i="17" a="1"/>
  <c r="F4" i="17" s="1"/>
  <c r="E4" i="17"/>
  <c r="E4" i="17" a="1"/>
  <c r="D4" i="17" a="1"/>
  <c r="D4" i="17" s="1"/>
  <c r="H3" i="17" a="1"/>
  <c r="H3" i="17" s="1"/>
  <c r="G3" i="17" a="1"/>
  <c r="G3" i="17" s="1"/>
  <c r="F3" i="17" a="1"/>
  <c r="F3" i="17" s="1"/>
  <c r="E3" i="17" a="1"/>
  <c r="E3" i="17" s="1"/>
  <c r="D3" i="17" a="1"/>
  <c r="D3" i="17" s="1"/>
  <c r="B1" i="17"/>
  <c r="A1" i="17"/>
  <c r="C1" i="17"/>
  <c r="A3" i="17" s="1" a="1"/>
  <c r="G3" i="11" a="1"/>
  <c r="G3" i="11" s="1"/>
  <c r="F3" i="11" a="1"/>
  <c r="F3" i="11" s="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E3" i="11" a="1"/>
  <c r="E3" i="11" s="1"/>
  <c r="D3" i="11" a="1"/>
  <c r="D3" i="11" s="1"/>
  <c r="B1" i="11"/>
  <c r="A1" i="11"/>
  <c r="H102" i="9" a="1"/>
  <c r="H102" i="9" s="1"/>
  <c r="H101" i="9" a="1"/>
  <c r="H101" i="9" s="1"/>
  <c r="H100" i="9" a="1"/>
  <c r="H100" i="9" s="1"/>
  <c r="H99" i="9" a="1"/>
  <c r="H99" i="9" s="1"/>
  <c r="H98" i="9" a="1"/>
  <c r="H98" i="9" s="1"/>
  <c r="H97" i="9" a="1"/>
  <c r="H97" i="9" s="1"/>
  <c r="H96" i="9" a="1"/>
  <c r="H96" i="9" s="1"/>
  <c r="H95" i="9" a="1"/>
  <c r="H95" i="9" s="1"/>
  <c r="H94" i="9" a="1"/>
  <c r="H94" i="9" s="1"/>
  <c r="H93" i="9" a="1"/>
  <c r="H93" i="9" s="1"/>
  <c r="H92" i="9" a="1"/>
  <c r="H92" i="9" s="1"/>
  <c r="H91" i="9" a="1"/>
  <c r="H91" i="9" s="1"/>
  <c r="H90" i="9" a="1"/>
  <c r="H90" i="9" s="1"/>
  <c r="H89" i="9" a="1"/>
  <c r="H89" i="9" s="1"/>
  <c r="H88" i="9" a="1"/>
  <c r="H88" i="9" s="1"/>
  <c r="H87" i="9" a="1"/>
  <c r="H87" i="9" s="1"/>
  <c r="H86" i="9" a="1"/>
  <c r="H86" i="9" s="1"/>
  <c r="H85" i="9" a="1"/>
  <c r="H85" i="9" s="1"/>
  <c r="H84" i="9" a="1"/>
  <c r="H84" i="9" s="1"/>
  <c r="H83" i="9" a="1"/>
  <c r="H83" i="9" s="1"/>
  <c r="H82" i="9" a="1"/>
  <c r="H82" i="9" s="1"/>
  <c r="H81" i="9" a="1"/>
  <c r="H81" i="9" s="1"/>
  <c r="H80" i="9" a="1"/>
  <c r="H80" i="9" s="1"/>
  <c r="H79" i="9" a="1"/>
  <c r="H79" i="9" s="1"/>
  <c r="H78" i="9" a="1"/>
  <c r="H78" i="9" s="1"/>
  <c r="H77" i="9" a="1"/>
  <c r="H77" i="9" s="1"/>
  <c r="H76" i="9" a="1"/>
  <c r="H76" i="9" s="1"/>
  <c r="H75" i="9" a="1"/>
  <c r="H75" i="9" s="1"/>
  <c r="H74" i="9" a="1"/>
  <c r="H74" i="9" s="1"/>
  <c r="H73" i="9" a="1"/>
  <c r="H73" i="9" s="1"/>
  <c r="H72" i="9" a="1"/>
  <c r="H72" i="9" s="1"/>
  <c r="H71" i="9" a="1"/>
  <c r="H71" i="9" s="1"/>
  <c r="H70" i="9" a="1"/>
  <c r="H70" i="9" s="1"/>
  <c r="H69" i="9" a="1"/>
  <c r="H69" i="9" s="1"/>
  <c r="H68" i="9" a="1"/>
  <c r="H68" i="9" s="1"/>
  <c r="H67" i="9" a="1"/>
  <c r="H67" i="9" s="1"/>
  <c r="H66" i="9" a="1"/>
  <c r="H66" i="9" s="1"/>
  <c r="H65" i="9" a="1"/>
  <c r="H65" i="9" s="1"/>
  <c r="H64" i="9" a="1"/>
  <c r="H64" i="9" s="1"/>
  <c r="H63" i="9" a="1"/>
  <c r="H63" i="9" s="1"/>
  <c r="H62" i="9" a="1"/>
  <c r="H62" i="9" s="1"/>
  <c r="H61" i="9" a="1"/>
  <c r="H61" i="9" s="1"/>
  <c r="H60" i="9" a="1"/>
  <c r="H60" i="9" s="1"/>
  <c r="H59" i="9" a="1"/>
  <c r="H59" i="9" s="1"/>
  <c r="H58" i="9" a="1"/>
  <c r="H58" i="9" s="1"/>
  <c r="H57" i="9" a="1"/>
  <c r="H57" i="9" s="1"/>
  <c r="H56" i="9" a="1"/>
  <c r="H56" i="9" s="1"/>
  <c r="H55" i="9" a="1"/>
  <c r="H55" i="9" s="1"/>
  <c r="H54" i="9" a="1"/>
  <c r="H54" i="9" s="1"/>
  <c r="H53" i="9" a="1"/>
  <c r="H53" i="9" s="1"/>
  <c r="H52" i="9" a="1"/>
  <c r="H52" i="9" s="1"/>
  <c r="H51" i="9" a="1"/>
  <c r="H51" i="9" s="1"/>
  <c r="H50" i="9" a="1"/>
  <c r="H50" i="9" s="1"/>
  <c r="H49" i="9" a="1"/>
  <c r="H49" i="9" s="1"/>
  <c r="H48" i="9" a="1"/>
  <c r="H48" i="9" s="1"/>
  <c r="H47" i="9" a="1"/>
  <c r="H47" i="9" s="1"/>
  <c r="H46" i="9" a="1"/>
  <c r="H46" i="9" s="1"/>
  <c r="H45" i="9" a="1"/>
  <c r="H45" i="9" s="1"/>
  <c r="H44" i="9" a="1"/>
  <c r="H44" i="9" s="1"/>
  <c r="H43" i="9" a="1"/>
  <c r="H43" i="9" s="1"/>
  <c r="H42" i="9" a="1"/>
  <c r="H42" i="9" s="1"/>
  <c r="H41" i="9" a="1"/>
  <c r="H41" i="9" s="1"/>
  <c r="H40" i="9" a="1"/>
  <c r="H40" i="9" s="1"/>
  <c r="H39" i="9" a="1"/>
  <c r="H39" i="9" s="1"/>
  <c r="H38" i="9" a="1"/>
  <c r="H38" i="9" s="1"/>
  <c r="H37" i="9" a="1"/>
  <c r="H37" i="9" s="1"/>
  <c r="H36" i="9" a="1"/>
  <c r="H36" i="9" s="1"/>
  <c r="H35" i="9" a="1"/>
  <c r="H35" i="9" s="1"/>
  <c r="H34" i="9" a="1"/>
  <c r="H34" i="9" s="1"/>
  <c r="H33" i="9" a="1"/>
  <c r="H33" i="9" s="1"/>
  <c r="H32" i="9" a="1"/>
  <c r="H32" i="9" s="1"/>
  <c r="H31" i="9" a="1"/>
  <c r="H31" i="9" s="1"/>
  <c r="H30" i="9" a="1"/>
  <c r="H30" i="9" s="1"/>
  <c r="H29" i="9" a="1"/>
  <c r="H29" i="9" s="1"/>
  <c r="H28" i="9" a="1"/>
  <c r="H28" i="9" s="1"/>
  <c r="H27" i="9" a="1"/>
  <c r="H27" i="9" s="1"/>
  <c r="H26" i="9" a="1"/>
  <c r="H26" i="9" s="1"/>
  <c r="H25" i="9" a="1"/>
  <c r="H25" i="9" s="1"/>
  <c r="H24" i="9" a="1"/>
  <c r="H24" i="9" s="1"/>
  <c r="H23" i="9" a="1"/>
  <c r="H23" i="9" s="1"/>
  <c r="H22" i="9" a="1"/>
  <c r="H22" i="9" s="1"/>
  <c r="H21" i="9" a="1"/>
  <c r="H21" i="9" s="1"/>
  <c r="H20" i="9" a="1"/>
  <c r="H20" i="9" s="1"/>
  <c r="H19" i="9" a="1"/>
  <c r="H19" i="9" s="1"/>
  <c r="H18" i="9" a="1"/>
  <c r="H18" i="9" s="1"/>
  <c r="H17" i="9" a="1"/>
  <c r="H17" i="9" s="1"/>
  <c r="H16" i="9" a="1"/>
  <c r="H16" i="9" s="1"/>
  <c r="H15" i="9" a="1"/>
  <c r="H15" i="9" s="1"/>
  <c r="H14" i="9" a="1"/>
  <c r="H14" i="9" s="1"/>
  <c r="H13" i="9" a="1"/>
  <c r="H13" i="9" s="1"/>
  <c r="H12" i="9" a="1"/>
  <c r="H12" i="9" s="1"/>
  <c r="H11" i="9" a="1"/>
  <c r="H11" i="9" s="1"/>
  <c r="H10" i="9" a="1"/>
  <c r="H10" i="9" s="1"/>
  <c r="H9" i="9" a="1"/>
  <c r="H9" i="9" s="1"/>
  <c r="H8" i="9" a="1"/>
  <c r="H8" i="9" s="1"/>
  <c r="H7" i="9" a="1"/>
  <c r="H7" i="9" s="1"/>
  <c r="H6" i="9" a="1"/>
  <c r="H6" i="9" s="1"/>
  <c r="H5" i="9" a="1"/>
  <c r="H5" i="9" s="1"/>
  <c r="H4" i="9" a="1"/>
  <c r="H4" i="9" s="1"/>
  <c r="H3" i="9" a="1"/>
  <c r="H3" i="9" s="1"/>
  <c r="H66" i="7" a="1"/>
  <c r="H66" i="7" s="1"/>
  <c r="H65" i="7" a="1"/>
  <c r="H65" i="7" s="1"/>
  <c r="H64" i="7" a="1"/>
  <c r="H64" i="7" s="1"/>
  <c r="H63" i="7" a="1"/>
  <c r="H63" i="7" s="1"/>
  <c r="H62" i="7" a="1"/>
  <c r="H62" i="7" s="1"/>
  <c r="H61" i="7" a="1"/>
  <c r="H61" i="7" s="1"/>
  <c r="H60" i="7" a="1"/>
  <c r="H60" i="7" s="1"/>
  <c r="H59" i="7" a="1"/>
  <c r="H59" i="7" s="1"/>
  <c r="H58" i="7" a="1"/>
  <c r="H58" i="7" s="1"/>
  <c r="H57" i="7" a="1"/>
  <c r="H57" i="7" s="1"/>
  <c r="H56" i="7" a="1"/>
  <c r="H56" i="7" s="1"/>
  <c r="H55" i="7" a="1"/>
  <c r="H55" i="7" s="1"/>
  <c r="H54" i="7" a="1"/>
  <c r="H54" i="7" s="1"/>
  <c r="H53" i="7" a="1"/>
  <c r="H53" i="7" s="1"/>
  <c r="H52" i="7" a="1"/>
  <c r="H52" i="7" s="1"/>
  <c r="H51" i="7" a="1"/>
  <c r="H51" i="7" s="1"/>
  <c r="H50" i="7" a="1"/>
  <c r="H50" i="7" s="1"/>
  <c r="H49" i="7" a="1"/>
  <c r="H49" i="7" s="1"/>
  <c r="H48" i="7" a="1"/>
  <c r="H48" i="7" s="1"/>
  <c r="H47" i="7" a="1"/>
  <c r="H47" i="7" s="1"/>
  <c r="H46" i="7" a="1"/>
  <c r="H46" i="7" s="1"/>
  <c r="H45" i="7" a="1"/>
  <c r="H45" i="7" s="1"/>
  <c r="H44" i="7" a="1"/>
  <c r="H44" i="7" s="1"/>
  <c r="H43" i="7" a="1"/>
  <c r="H43" i="7" s="1"/>
  <c r="H42" i="7" a="1"/>
  <c r="H42" i="7" s="1"/>
  <c r="H41" i="7" a="1"/>
  <c r="H41" i="7" s="1"/>
  <c r="H40" i="7" a="1"/>
  <c r="H40" i="7" s="1"/>
  <c r="H39" i="7" a="1"/>
  <c r="H39" i="7" s="1"/>
  <c r="H38" i="7" a="1"/>
  <c r="H38" i="7" s="1"/>
  <c r="H37" i="7" a="1"/>
  <c r="H37" i="7" s="1"/>
  <c r="H36" i="7" a="1"/>
  <c r="H36" i="7" s="1"/>
  <c r="H35" i="7" a="1"/>
  <c r="H35" i="7" s="1"/>
  <c r="H34" i="7" a="1"/>
  <c r="H34" i="7" s="1"/>
  <c r="H33" i="7" a="1"/>
  <c r="H33" i="7" s="1"/>
  <c r="H32" i="7" a="1"/>
  <c r="H32" i="7" s="1"/>
  <c r="H31" i="7" a="1"/>
  <c r="H31" i="7" s="1"/>
  <c r="H30" i="7" a="1"/>
  <c r="H30" i="7" s="1"/>
  <c r="H29" i="7" a="1"/>
  <c r="H29" i="7" s="1"/>
  <c r="H28" i="7" a="1"/>
  <c r="H28" i="7" s="1"/>
  <c r="H27" i="7" a="1"/>
  <c r="H27" i="7" s="1"/>
  <c r="H26" i="7" a="1"/>
  <c r="H26" i="7" s="1"/>
  <c r="H25" i="7" a="1"/>
  <c r="H25" i="7" s="1"/>
  <c r="H24" i="7" a="1"/>
  <c r="H24" i="7" s="1"/>
  <c r="H23" i="7" a="1"/>
  <c r="H23" i="7" s="1"/>
  <c r="H22" i="7" a="1"/>
  <c r="H22" i="7" s="1"/>
  <c r="H21" i="7" a="1"/>
  <c r="H21" i="7" s="1"/>
  <c r="H20" i="7" a="1"/>
  <c r="H20" i="7" s="1"/>
  <c r="H19" i="7" a="1"/>
  <c r="H19" i="7" s="1"/>
  <c r="H18" i="7" a="1"/>
  <c r="H18" i="7" s="1"/>
  <c r="H17" i="7" a="1"/>
  <c r="H17" i="7" s="1"/>
  <c r="H16" i="7" a="1"/>
  <c r="H16" i="7" s="1"/>
  <c r="H15" i="7" a="1"/>
  <c r="H15" i="7" s="1"/>
  <c r="H14" i="7" a="1"/>
  <c r="H14" i="7" s="1"/>
  <c r="H13" i="7" a="1"/>
  <c r="H13" i="7" s="1"/>
  <c r="H12" i="7" a="1"/>
  <c r="H12" i="7" s="1"/>
  <c r="H11" i="7" a="1"/>
  <c r="H11" i="7" s="1"/>
  <c r="H10" i="7" a="1"/>
  <c r="H10" i="7" s="1"/>
  <c r="H9" i="7" a="1"/>
  <c r="H9" i="7" s="1"/>
  <c r="H8" i="7" a="1"/>
  <c r="H8" i="7" s="1"/>
  <c r="H7" i="7" a="1"/>
  <c r="H7" i="7" s="1"/>
  <c r="H6" i="7" a="1"/>
  <c r="H6" i="7" s="1"/>
  <c r="H5" i="7" a="1"/>
  <c r="H5" i="7" s="1"/>
  <c r="H4" i="7" a="1"/>
  <c r="H4" i="7" s="1"/>
  <c r="H3" i="7" a="1"/>
  <c r="H3" i="7" s="1"/>
  <c r="C67" i="9"/>
  <c r="C68" i="9"/>
  <c r="C69" i="9"/>
  <c r="C70" i="9"/>
  <c r="C71" i="9"/>
  <c r="C72" i="9"/>
  <c r="C73" i="9"/>
  <c r="F73" i="9" s="1" a="1"/>
  <c r="F73" i="9" s="1"/>
  <c r="C74" i="9"/>
  <c r="F74" i="9" s="1" a="1"/>
  <c r="F74" i="9" s="1"/>
  <c r="C75" i="9"/>
  <c r="C76" i="9"/>
  <c r="C77" i="9"/>
  <c r="G77" i="9" s="1" a="1"/>
  <c r="G77" i="9" s="1"/>
  <c r="C78" i="9"/>
  <c r="G78" i="9" s="1" a="1"/>
  <c r="G78" i="9" s="1"/>
  <c r="C79" i="9"/>
  <c r="C80" i="9"/>
  <c r="C81" i="9"/>
  <c r="C82" i="9"/>
  <c r="C83" i="9"/>
  <c r="C84" i="9"/>
  <c r="F84" i="9" s="1" a="1"/>
  <c r="F84" i="9" s="1"/>
  <c r="C85" i="9"/>
  <c r="C86" i="9"/>
  <c r="C87" i="9"/>
  <c r="C88" i="9"/>
  <c r="C89" i="9"/>
  <c r="C90" i="9"/>
  <c r="G90" i="9" s="1" a="1"/>
  <c r="G90" i="9" s="1"/>
  <c r="C91" i="9"/>
  <c r="C92" i="9"/>
  <c r="C93" i="9"/>
  <c r="C94" i="9"/>
  <c r="F94" i="9" s="1" a="1"/>
  <c r="F94" i="9" s="1"/>
  <c r="C95" i="9"/>
  <c r="C96" i="9"/>
  <c r="C97" i="9"/>
  <c r="G97" i="9" s="1" a="1"/>
  <c r="G97" i="9" s="1"/>
  <c r="C98" i="9"/>
  <c r="G98" i="9" s="1" a="1"/>
  <c r="G98" i="9" s="1"/>
  <c r="C99" i="9"/>
  <c r="C100" i="9"/>
  <c r="C101" i="9"/>
  <c r="F101" i="9" s="1" a="1"/>
  <c r="F101" i="9" s="1"/>
  <c r="C102" i="9"/>
  <c r="G102" i="9" s="1" a="1"/>
  <c r="G102" i="9" s="1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G100" i="9" a="1"/>
  <c r="G100" i="9" s="1"/>
  <c r="F100" i="9" a="1"/>
  <c r="F100" i="9" s="1"/>
  <c r="E100" i="9" a="1"/>
  <c r="E100" i="9" s="1"/>
  <c r="D100" i="9" a="1"/>
  <c r="D100" i="9" s="1"/>
  <c r="G99" i="9" a="1"/>
  <c r="G99" i="9" s="1"/>
  <c r="F99" i="9" a="1"/>
  <c r="F99" i="9" s="1"/>
  <c r="E99" i="9" a="1"/>
  <c r="E99" i="9" s="1"/>
  <c r="D99" i="9" a="1"/>
  <c r="D99" i="9" s="1"/>
  <c r="E98" i="9" a="1"/>
  <c r="E98" i="9" s="1"/>
  <c r="D98" i="9" a="1"/>
  <c r="D98" i="9" s="1"/>
  <c r="E97" i="9" a="1"/>
  <c r="E97" i="9" s="1"/>
  <c r="D97" i="9" a="1"/>
  <c r="D97" i="9" s="1"/>
  <c r="E96" i="9" a="1"/>
  <c r="E96" i="9" s="1"/>
  <c r="D96" i="9" a="1"/>
  <c r="D96" i="9" s="1"/>
  <c r="G95" i="9" a="1"/>
  <c r="G95" i="9" s="1"/>
  <c r="F95" i="9" a="1"/>
  <c r="F95" i="9" s="1"/>
  <c r="E95" i="9" a="1"/>
  <c r="E95" i="9" s="1"/>
  <c r="D95" i="9" a="1"/>
  <c r="D95" i="9" s="1"/>
  <c r="G94" i="9" a="1"/>
  <c r="G94" i="9" s="1"/>
  <c r="E94" i="9" a="1"/>
  <c r="E94" i="9" s="1"/>
  <c r="D94" i="9" a="1"/>
  <c r="D94" i="9" s="1"/>
  <c r="G93" i="9" a="1"/>
  <c r="G93" i="9" s="1"/>
  <c r="F93" i="9" a="1"/>
  <c r="F93" i="9" s="1"/>
  <c r="E93" i="9" a="1"/>
  <c r="E93" i="9" s="1"/>
  <c r="D93" i="9" a="1"/>
  <c r="D93" i="9" s="1"/>
  <c r="G92" i="9" a="1"/>
  <c r="G92" i="9" s="1"/>
  <c r="F92" i="9" a="1"/>
  <c r="F92" i="9" s="1"/>
  <c r="E92" i="9" a="1"/>
  <c r="E92" i="9" s="1"/>
  <c r="D92" i="9" a="1"/>
  <c r="D92" i="9" s="1"/>
  <c r="G91" i="9" a="1"/>
  <c r="G91" i="9" s="1"/>
  <c r="F91" i="9" a="1"/>
  <c r="F91" i="9" s="1"/>
  <c r="E91" i="9" a="1"/>
  <c r="E91" i="9" s="1"/>
  <c r="D91" i="9" a="1"/>
  <c r="D91" i="9" s="1"/>
  <c r="F90" i="9" a="1"/>
  <c r="F90" i="9" s="1"/>
  <c r="E90" i="9" a="1"/>
  <c r="E90" i="9" s="1"/>
  <c r="D90" i="9" a="1"/>
  <c r="D90" i="9" s="1"/>
  <c r="G89" i="9" a="1"/>
  <c r="G89" i="9" s="1"/>
  <c r="F89" i="9" a="1"/>
  <c r="F89" i="9" s="1"/>
  <c r="E89" i="9" a="1"/>
  <c r="E89" i="9" s="1"/>
  <c r="D89" i="9" a="1"/>
  <c r="D89" i="9" s="1"/>
  <c r="F88" i="9" a="1"/>
  <c r="F88" i="9" s="1"/>
  <c r="E88" i="9" a="1"/>
  <c r="E88" i="9" s="1"/>
  <c r="D88" i="9" a="1"/>
  <c r="D88" i="9" s="1"/>
  <c r="G87" i="9" a="1"/>
  <c r="G87" i="9" s="1"/>
  <c r="F87" i="9" a="1"/>
  <c r="F87" i="9" s="1"/>
  <c r="E87" i="9" a="1"/>
  <c r="E87" i="9" s="1"/>
  <c r="D87" i="9" a="1"/>
  <c r="D87" i="9" s="1"/>
  <c r="E86" i="9" a="1"/>
  <c r="E86" i="9" s="1"/>
  <c r="D86" i="9" a="1"/>
  <c r="D86" i="9" s="1"/>
  <c r="G85" i="9" a="1"/>
  <c r="G85" i="9" s="1"/>
  <c r="F85" i="9" a="1"/>
  <c r="F85" i="9" s="1"/>
  <c r="E85" i="9" a="1"/>
  <c r="E85" i="9" s="1"/>
  <c r="D85" i="9" a="1"/>
  <c r="D85" i="9" s="1"/>
  <c r="G84" i="9" a="1"/>
  <c r="G84" i="9" s="1"/>
  <c r="E84" i="9" a="1"/>
  <c r="E84" i="9" s="1"/>
  <c r="D84" i="9" a="1"/>
  <c r="D84" i="9" s="1"/>
  <c r="G83" i="9" a="1"/>
  <c r="G83" i="9" s="1"/>
  <c r="F83" i="9" a="1"/>
  <c r="F83" i="9" s="1"/>
  <c r="E83" i="9" a="1"/>
  <c r="E83" i="9" s="1"/>
  <c r="D83" i="9" a="1"/>
  <c r="D83" i="9" s="1"/>
  <c r="G82" i="9" a="1"/>
  <c r="G82" i="9" s="1"/>
  <c r="F82" i="9" a="1"/>
  <c r="F82" i="9" s="1"/>
  <c r="E82" i="9" a="1"/>
  <c r="E82" i="9" s="1"/>
  <c r="D82" i="9" a="1"/>
  <c r="D82" i="9" s="1"/>
  <c r="G81" i="9" a="1"/>
  <c r="G81" i="9" s="1"/>
  <c r="F81" i="9" a="1"/>
  <c r="F81" i="9" s="1"/>
  <c r="E81" i="9" a="1"/>
  <c r="E81" i="9" s="1"/>
  <c r="D81" i="9" a="1"/>
  <c r="D81" i="9" s="1"/>
  <c r="G80" i="9" a="1"/>
  <c r="G80" i="9" s="1"/>
  <c r="F80" i="9" a="1"/>
  <c r="F80" i="9" s="1"/>
  <c r="E80" i="9" a="1"/>
  <c r="E80" i="9" s="1"/>
  <c r="D80" i="9" a="1"/>
  <c r="D80" i="9" s="1"/>
  <c r="G79" i="9" a="1"/>
  <c r="G79" i="9" s="1"/>
  <c r="F79" i="9" a="1"/>
  <c r="F79" i="9" s="1"/>
  <c r="E79" i="9" a="1"/>
  <c r="E79" i="9" s="1"/>
  <c r="D79" i="9" a="1"/>
  <c r="D79" i="9" s="1"/>
  <c r="E78" i="9" a="1"/>
  <c r="E78" i="9" s="1"/>
  <c r="D78" i="9" a="1"/>
  <c r="D78" i="9" s="1"/>
  <c r="E77" i="9" a="1"/>
  <c r="E77" i="9" s="1"/>
  <c r="D77" i="9" a="1"/>
  <c r="D77" i="9" s="1"/>
  <c r="E76" i="9" a="1"/>
  <c r="E76" i="9" s="1"/>
  <c r="D76" i="9" a="1"/>
  <c r="D76" i="9" s="1"/>
  <c r="G75" i="9" a="1"/>
  <c r="G75" i="9" s="1"/>
  <c r="F75" i="9" a="1"/>
  <c r="F75" i="9" s="1"/>
  <c r="E75" i="9" a="1"/>
  <c r="E75" i="9" s="1"/>
  <c r="D75" i="9" a="1"/>
  <c r="D75" i="9" s="1"/>
  <c r="G74" i="9" a="1"/>
  <c r="G74" i="9" s="1"/>
  <c r="E74" i="9" a="1"/>
  <c r="E74" i="9" s="1"/>
  <c r="D74" i="9" a="1"/>
  <c r="D74" i="9" s="1"/>
  <c r="E73" i="9" a="1"/>
  <c r="E73" i="9" s="1"/>
  <c r="D73" i="9" a="1"/>
  <c r="D73" i="9" s="1"/>
  <c r="G72" i="9" a="1"/>
  <c r="G72" i="9" s="1"/>
  <c r="F72" i="9" a="1"/>
  <c r="F72" i="9" s="1"/>
  <c r="E72" i="9" a="1"/>
  <c r="E72" i="9" s="1"/>
  <c r="D72" i="9" a="1"/>
  <c r="D72" i="9" s="1"/>
  <c r="E71" i="9" a="1"/>
  <c r="E71" i="9" s="1"/>
  <c r="D71" i="9" a="1"/>
  <c r="D71" i="9" s="1"/>
  <c r="G70" i="9" a="1"/>
  <c r="G70" i="9" s="1"/>
  <c r="F70" i="9" a="1"/>
  <c r="F70" i="9" s="1"/>
  <c r="E70" i="9" a="1"/>
  <c r="E70" i="9" s="1"/>
  <c r="D70" i="9" a="1"/>
  <c r="D70" i="9" s="1"/>
  <c r="G69" i="9" a="1"/>
  <c r="G69" i="9" s="1"/>
  <c r="F69" i="9" a="1"/>
  <c r="F69" i="9" s="1"/>
  <c r="E69" i="9" a="1"/>
  <c r="E69" i="9" s="1"/>
  <c r="D69" i="9" a="1"/>
  <c r="D69" i="9" s="1"/>
  <c r="G68" i="9" a="1"/>
  <c r="G68" i="9" s="1"/>
  <c r="F68" i="9" a="1"/>
  <c r="F68" i="9" s="1"/>
  <c r="E68" i="9" a="1"/>
  <c r="E68" i="9" s="1"/>
  <c r="D68" i="9" a="1"/>
  <c r="D68" i="9" s="1"/>
  <c r="G67" i="9" a="1"/>
  <c r="G67" i="9" s="1"/>
  <c r="F67" i="9" a="1"/>
  <c r="F67" i="9" s="1"/>
  <c r="E67" i="9" a="1"/>
  <c r="E67" i="9" s="1"/>
  <c r="D67" i="9" a="1"/>
  <c r="D67" i="9" s="1"/>
  <c r="G66" i="9" a="1"/>
  <c r="G66" i="9" s="1"/>
  <c r="F66" i="9" a="1"/>
  <c r="F66" i="9" s="1"/>
  <c r="E66" i="9" a="1"/>
  <c r="E66" i="9" s="1"/>
  <c r="D66" i="9" a="1"/>
  <c r="D66" i="9" s="1"/>
  <c r="G65" i="9" a="1"/>
  <c r="G65" i="9" s="1"/>
  <c r="F65" i="9" a="1"/>
  <c r="F65" i="9" s="1"/>
  <c r="E65" i="9" a="1"/>
  <c r="E65" i="9" s="1"/>
  <c r="D65" i="9" a="1"/>
  <c r="D65" i="9" s="1"/>
  <c r="G64" i="9" a="1"/>
  <c r="G64" i="9" s="1"/>
  <c r="F64" i="9" a="1"/>
  <c r="F64" i="9" s="1"/>
  <c r="E64" i="9" a="1"/>
  <c r="E64" i="9" s="1"/>
  <c r="D64" i="9" a="1"/>
  <c r="D64" i="9" s="1"/>
  <c r="G63" i="9" a="1"/>
  <c r="G63" i="9" s="1"/>
  <c r="F63" i="9" a="1"/>
  <c r="F63" i="9" s="1"/>
  <c r="E63" i="9" a="1"/>
  <c r="E63" i="9" s="1"/>
  <c r="D63" i="9" a="1"/>
  <c r="D63" i="9" s="1"/>
  <c r="G62" i="9" a="1"/>
  <c r="G62" i="9" s="1"/>
  <c r="F62" i="9" a="1"/>
  <c r="F62" i="9" s="1"/>
  <c r="E62" i="9" a="1"/>
  <c r="E62" i="9" s="1"/>
  <c r="D62" i="9" a="1"/>
  <c r="D62" i="9" s="1"/>
  <c r="G61" i="9" a="1"/>
  <c r="G61" i="9" s="1"/>
  <c r="F61" i="9" a="1"/>
  <c r="F61" i="9" s="1"/>
  <c r="E61" i="9" a="1"/>
  <c r="E61" i="9" s="1"/>
  <c r="D61" i="9" a="1"/>
  <c r="D61" i="9" s="1"/>
  <c r="G60" i="9" a="1"/>
  <c r="G60" i="9" s="1"/>
  <c r="F60" i="9" a="1"/>
  <c r="F60" i="9" s="1"/>
  <c r="E60" i="9" a="1"/>
  <c r="E60" i="9" s="1"/>
  <c r="D60" i="9" a="1"/>
  <c r="D60" i="9" s="1"/>
  <c r="G59" i="9" a="1"/>
  <c r="G59" i="9" s="1"/>
  <c r="F59" i="9" a="1"/>
  <c r="F59" i="9" s="1"/>
  <c r="E59" i="9" a="1"/>
  <c r="E59" i="9" s="1"/>
  <c r="D59" i="9" a="1"/>
  <c r="D59" i="9" s="1"/>
  <c r="G58" i="9" a="1"/>
  <c r="G58" i="9" s="1"/>
  <c r="F58" i="9" a="1"/>
  <c r="F58" i="9" s="1"/>
  <c r="E58" i="9" a="1"/>
  <c r="E58" i="9" s="1"/>
  <c r="D58" i="9" a="1"/>
  <c r="D58" i="9" s="1"/>
  <c r="G57" i="9" a="1"/>
  <c r="G57" i="9" s="1"/>
  <c r="F57" i="9" a="1"/>
  <c r="F57" i="9" s="1"/>
  <c r="E57" i="9" a="1"/>
  <c r="E57" i="9" s="1"/>
  <c r="D57" i="9" a="1"/>
  <c r="D57" i="9" s="1"/>
  <c r="G56" i="9" a="1"/>
  <c r="G56" i="9" s="1"/>
  <c r="F56" i="9" a="1"/>
  <c r="F56" i="9" s="1"/>
  <c r="E56" i="9" a="1"/>
  <c r="E56" i="9" s="1"/>
  <c r="D56" i="9" a="1"/>
  <c r="D56" i="9" s="1"/>
  <c r="G55" i="9" a="1"/>
  <c r="G55" i="9" s="1"/>
  <c r="F55" i="9" a="1"/>
  <c r="F55" i="9" s="1"/>
  <c r="E55" i="9" a="1"/>
  <c r="E55" i="9" s="1"/>
  <c r="D55" i="9" a="1"/>
  <c r="D55" i="9" s="1"/>
  <c r="G54" i="9" a="1"/>
  <c r="G54" i="9" s="1"/>
  <c r="F54" i="9" a="1"/>
  <c r="F54" i="9" s="1"/>
  <c r="E54" i="9" a="1"/>
  <c r="E54" i="9" s="1"/>
  <c r="D54" i="9" a="1"/>
  <c r="D54" i="9" s="1"/>
  <c r="G53" i="9" a="1"/>
  <c r="G53" i="9" s="1"/>
  <c r="F53" i="9" a="1"/>
  <c r="F53" i="9" s="1"/>
  <c r="E53" i="9" a="1"/>
  <c r="E53" i="9" s="1"/>
  <c r="D53" i="9" a="1"/>
  <c r="D53" i="9" s="1"/>
  <c r="G52" i="9" a="1"/>
  <c r="G52" i="9" s="1"/>
  <c r="F52" i="9" a="1"/>
  <c r="F52" i="9" s="1"/>
  <c r="E52" i="9" a="1"/>
  <c r="E52" i="9" s="1"/>
  <c r="D52" i="9" a="1"/>
  <c r="D52" i="9" s="1"/>
  <c r="G51" i="9" a="1"/>
  <c r="G51" i="9" s="1"/>
  <c r="F51" i="9" a="1"/>
  <c r="F51" i="9" s="1"/>
  <c r="E51" i="9" a="1"/>
  <c r="E51" i="9" s="1"/>
  <c r="D51" i="9" a="1"/>
  <c r="D51" i="9" s="1"/>
  <c r="G50" i="9" a="1"/>
  <c r="G50" i="9" s="1"/>
  <c r="F50" i="9" a="1"/>
  <c r="F50" i="9" s="1"/>
  <c r="E50" i="9" a="1"/>
  <c r="E50" i="9" s="1"/>
  <c r="D50" i="9" a="1"/>
  <c r="D50" i="9" s="1"/>
  <c r="G49" i="9" a="1"/>
  <c r="G49" i="9" s="1"/>
  <c r="F49" i="9" a="1"/>
  <c r="F49" i="9" s="1"/>
  <c r="E49" i="9" a="1"/>
  <c r="E49" i="9" s="1"/>
  <c r="D49" i="9" a="1"/>
  <c r="D49" i="9" s="1"/>
  <c r="G48" i="9" a="1"/>
  <c r="G48" i="9" s="1"/>
  <c r="F48" i="9" a="1"/>
  <c r="F48" i="9" s="1"/>
  <c r="E48" i="9" a="1"/>
  <c r="E48" i="9" s="1"/>
  <c r="D48" i="9" a="1"/>
  <c r="D48" i="9" s="1"/>
  <c r="G47" i="9" a="1"/>
  <c r="G47" i="9" s="1"/>
  <c r="F47" i="9" a="1"/>
  <c r="F47" i="9" s="1"/>
  <c r="E47" i="9" a="1"/>
  <c r="E47" i="9" s="1"/>
  <c r="D47" i="9" a="1"/>
  <c r="D47" i="9" s="1"/>
  <c r="G46" i="9" a="1"/>
  <c r="G46" i="9" s="1"/>
  <c r="F46" i="9" a="1"/>
  <c r="F46" i="9" s="1"/>
  <c r="E46" i="9" a="1"/>
  <c r="E46" i="9" s="1"/>
  <c r="D46" i="9" a="1"/>
  <c r="D46" i="9" s="1"/>
  <c r="G45" i="9" a="1"/>
  <c r="G45" i="9" s="1"/>
  <c r="F45" i="9" a="1"/>
  <c r="F45" i="9" s="1"/>
  <c r="E45" i="9" a="1"/>
  <c r="E45" i="9" s="1"/>
  <c r="D45" i="9" a="1"/>
  <c r="D45" i="9" s="1"/>
  <c r="G44" i="9" a="1"/>
  <c r="G44" i="9" s="1"/>
  <c r="F44" i="9" a="1"/>
  <c r="F44" i="9" s="1"/>
  <c r="E44" i="9" a="1"/>
  <c r="E44" i="9" s="1"/>
  <c r="D44" i="9" a="1"/>
  <c r="D44" i="9" s="1"/>
  <c r="G43" i="9" a="1"/>
  <c r="G43" i="9" s="1"/>
  <c r="F43" i="9" a="1"/>
  <c r="F43" i="9" s="1"/>
  <c r="E43" i="9" a="1"/>
  <c r="E43" i="9" s="1"/>
  <c r="D43" i="9" a="1"/>
  <c r="D43" i="9" s="1"/>
  <c r="G42" i="9" a="1"/>
  <c r="G42" i="9" s="1"/>
  <c r="F42" i="9" a="1"/>
  <c r="F42" i="9" s="1"/>
  <c r="E42" i="9" a="1"/>
  <c r="E42" i="9" s="1"/>
  <c r="D42" i="9" a="1"/>
  <c r="D42" i="9" s="1"/>
  <c r="G41" i="9" a="1"/>
  <c r="G41" i="9" s="1"/>
  <c r="F41" i="9" a="1"/>
  <c r="F41" i="9" s="1"/>
  <c r="E41" i="9" a="1"/>
  <c r="E41" i="9" s="1"/>
  <c r="D41" i="9" a="1"/>
  <c r="D41" i="9" s="1"/>
  <c r="G40" i="9" a="1"/>
  <c r="G40" i="9" s="1"/>
  <c r="F40" i="9" a="1"/>
  <c r="F40" i="9" s="1"/>
  <c r="E40" i="9" a="1"/>
  <c r="E40" i="9" s="1"/>
  <c r="D40" i="9" a="1"/>
  <c r="D40" i="9" s="1"/>
  <c r="G39" i="9" a="1"/>
  <c r="G39" i="9" s="1"/>
  <c r="F39" i="9" a="1"/>
  <c r="F39" i="9" s="1"/>
  <c r="E39" i="9" a="1"/>
  <c r="E39" i="9" s="1"/>
  <c r="D39" i="9" a="1"/>
  <c r="D39" i="9" s="1"/>
  <c r="G38" i="9" a="1"/>
  <c r="G38" i="9" s="1"/>
  <c r="F38" i="9" a="1"/>
  <c r="F38" i="9" s="1"/>
  <c r="E38" i="9" a="1"/>
  <c r="E38" i="9" s="1"/>
  <c r="D38" i="9" a="1"/>
  <c r="D38" i="9" s="1"/>
  <c r="G37" i="9" a="1"/>
  <c r="G37" i="9" s="1"/>
  <c r="F37" i="9" a="1"/>
  <c r="F37" i="9" s="1"/>
  <c r="E37" i="9" a="1"/>
  <c r="E37" i="9" s="1"/>
  <c r="D37" i="9" a="1"/>
  <c r="D37" i="9" s="1"/>
  <c r="G36" i="9" a="1"/>
  <c r="G36" i="9" s="1"/>
  <c r="F36" i="9" a="1"/>
  <c r="F36" i="9" s="1"/>
  <c r="E36" i="9" a="1"/>
  <c r="E36" i="9" s="1"/>
  <c r="D36" i="9" a="1"/>
  <c r="D36" i="9" s="1"/>
  <c r="G35" i="9" a="1"/>
  <c r="G35" i="9" s="1"/>
  <c r="F35" i="9" a="1"/>
  <c r="F35" i="9" s="1"/>
  <c r="E35" i="9" a="1"/>
  <c r="E35" i="9" s="1"/>
  <c r="D35" i="9" a="1"/>
  <c r="D35" i="9" s="1"/>
  <c r="G34" i="9" a="1"/>
  <c r="G34" i="9" s="1"/>
  <c r="F34" i="9" a="1"/>
  <c r="F34" i="9" s="1"/>
  <c r="E34" i="9" a="1"/>
  <c r="E34" i="9" s="1"/>
  <c r="D34" i="9" a="1"/>
  <c r="D34" i="9" s="1"/>
  <c r="G33" i="9" a="1"/>
  <c r="G33" i="9" s="1"/>
  <c r="F33" i="9" a="1"/>
  <c r="F33" i="9" s="1"/>
  <c r="E33" i="9" a="1"/>
  <c r="E33" i="9" s="1"/>
  <c r="D33" i="9" a="1"/>
  <c r="D33" i="9" s="1"/>
  <c r="G32" i="9" a="1"/>
  <c r="G32" i="9" s="1"/>
  <c r="F32" i="9" a="1"/>
  <c r="F32" i="9" s="1"/>
  <c r="E32" i="9" a="1"/>
  <c r="E32" i="9" s="1"/>
  <c r="D32" i="9" a="1"/>
  <c r="D32" i="9" s="1"/>
  <c r="G31" i="9" a="1"/>
  <c r="G31" i="9" s="1"/>
  <c r="F31" i="9" a="1"/>
  <c r="F31" i="9" s="1"/>
  <c r="E31" i="9" a="1"/>
  <c r="E31" i="9" s="1"/>
  <c r="D31" i="9" a="1"/>
  <c r="D31" i="9" s="1"/>
  <c r="G30" i="9" a="1"/>
  <c r="G30" i="9" s="1"/>
  <c r="F30" i="9" a="1"/>
  <c r="F30" i="9" s="1"/>
  <c r="E30" i="9" a="1"/>
  <c r="E30" i="9" s="1"/>
  <c r="D30" i="9" a="1"/>
  <c r="D30" i="9" s="1"/>
  <c r="G29" i="9" a="1"/>
  <c r="G29" i="9" s="1"/>
  <c r="F29" i="9" a="1"/>
  <c r="F29" i="9" s="1"/>
  <c r="E29" i="9" a="1"/>
  <c r="E29" i="9" s="1"/>
  <c r="D29" i="9" a="1"/>
  <c r="D29" i="9" s="1"/>
  <c r="G28" i="9" a="1"/>
  <c r="G28" i="9" s="1"/>
  <c r="F28" i="9" a="1"/>
  <c r="F28" i="9" s="1"/>
  <c r="E28" i="9" a="1"/>
  <c r="E28" i="9" s="1"/>
  <c r="D28" i="9" a="1"/>
  <c r="D28" i="9" s="1"/>
  <c r="G27" i="9" a="1"/>
  <c r="G27" i="9" s="1"/>
  <c r="F27" i="9" a="1"/>
  <c r="F27" i="9" s="1"/>
  <c r="E27" i="9" a="1"/>
  <c r="E27" i="9" s="1"/>
  <c r="D27" i="9" a="1"/>
  <c r="D27" i="9" s="1"/>
  <c r="G26" i="9" a="1"/>
  <c r="G26" i="9" s="1"/>
  <c r="F26" i="9" a="1"/>
  <c r="F26" i="9" s="1"/>
  <c r="E26" i="9" a="1"/>
  <c r="E26" i="9" s="1"/>
  <c r="D26" i="9" a="1"/>
  <c r="D26" i="9" s="1"/>
  <c r="G25" i="9" a="1"/>
  <c r="G25" i="9" s="1"/>
  <c r="F25" i="9" a="1"/>
  <c r="F25" i="9" s="1"/>
  <c r="E25" i="9" a="1"/>
  <c r="E25" i="9" s="1"/>
  <c r="D25" i="9" a="1"/>
  <c r="D25" i="9" s="1"/>
  <c r="G24" i="9" a="1"/>
  <c r="G24" i="9" s="1"/>
  <c r="F24" i="9" a="1"/>
  <c r="F24" i="9" s="1"/>
  <c r="E24" i="9" a="1"/>
  <c r="E24" i="9" s="1"/>
  <c r="D24" i="9" a="1"/>
  <c r="D24" i="9" s="1"/>
  <c r="G23" i="9" a="1"/>
  <c r="G23" i="9" s="1"/>
  <c r="F23" i="9" a="1"/>
  <c r="F23" i="9" s="1"/>
  <c r="E23" i="9" a="1"/>
  <c r="E23" i="9" s="1"/>
  <c r="D23" i="9" a="1"/>
  <c r="D23" i="9" s="1"/>
  <c r="G22" i="9" a="1"/>
  <c r="G22" i="9" s="1"/>
  <c r="F22" i="9" a="1"/>
  <c r="F22" i="9" s="1"/>
  <c r="E22" i="9" a="1"/>
  <c r="E22" i="9" s="1"/>
  <c r="D22" i="9" a="1"/>
  <c r="D22" i="9" s="1"/>
  <c r="G21" i="9" a="1"/>
  <c r="G21" i="9" s="1"/>
  <c r="F21" i="9" a="1"/>
  <c r="F21" i="9" s="1"/>
  <c r="E21" i="9" a="1"/>
  <c r="E21" i="9" s="1"/>
  <c r="D21" i="9" a="1"/>
  <c r="D21" i="9" s="1"/>
  <c r="G20" i="9" a="1"/>
  <c r="G20" i="9" s="1"/>
  <c r="F20" i="9" a="1"/>
  <c r="F20" i="9" s="1"/>
  <c r="E20" i="9" a="1"/>
  <c r="E20" i="9" s="1"/>
  <c r="D20" i="9" a="1"/>
  <c r="D20" i="9" s="1"/>
  <c r="G19" i="9" a="1"/>
  <c r="G19" i="9" s="1"/>
  <c r="F19" i="9" a="1"/>
  <c r="F19" i="9" s="1"/>
  <c r="E19" i="9" a="1"/>
  <c r="E19" i="9" s="1"/>
  <c r="D19" i="9" a="1"/>
  <c r="D19" i="9" s="1"/>
  <c r="G18" i="9" a="1"/>
  <c r="G18" i="9" s="1"/>
  <c r="F18" i="9" a="1"/>
  <c r="F18" i="9" s="1"/>
  <c r="E18" i="9" a="1"/>
  <c r="E18" i="9" s="1"/>
  <c r="D18" i="9" a="1"/>
  <c r="D18" i="9" s="1"/>
  <c r="G17" i="9" a="1"/>
  <c r="G17" i="9" s="1"/>
  <c r="F17" i="9" a="1"/>
  <c r="F17" i="9" s="1"/>
  <c r="E17" i="9" a="1"/>
  <c r="E17" i="9" s="1"/>
  <c r="D17" i="9" a="1"/>
  <c r="D17" i="9" s="1"/>
  <c r="G16" i="9" a="1"/>
  <c r="G16" i="9" s="1"/>
  <c r="F16" i="9" a="1"/>
  <c r="F16" i="9" s="1"/>
  <c r="E16" i="9" a="1"/>
  <c r="E16" i="9" s="1"/>
  <c r="D16" i="9" a="1"/>
  <c r="D16" i="9" s="1"/>
  <c r="G15" i="9" a="1"/>
  <c r="G15" i="9" s="1"/>
  <c r="F15" i="9" a="1"/>
  <c r="F15" i="9" s="1"/>
  <c r="E15" i="9" a="1"/>
  <c r="E15" i="9" s="1"/>
  <c r="D15" i="9" a="1"/>
  <c r="D15" i="9" s="1"/>
  <c r="G14" i="9" a="1"/>
  <c r="G14" i="9" s="1"/>
  <c r="F14" i="9" a="1"/>
  <c r="F14" i="9" s="1"/>
  <c r="E14" i="9" a="1"/>
  <c r="E14" i="9" s="1"/>
  <c r="D14" i="9" a="1"/>
  <c r="D14" i="9" s="1"/>
  <c r="G13" i="9" a="1"/>
  <c r="G13" i="9" s="1"/>
  <c r="F13" i="9" a="1"/>
  <c r="F13" i="9" s="1"/>
  <c r="E13" i="9" a="1"/>
  <c r="E13" i="9" s="1"/>
  <c r="D13" i="9" a="1"/>
  <c r="D13" i="9" s="1"/>
  <c r="G12" i="9" a="1"/>
  <c r="G12" i="9" s="1"/>
  <c r="F12" i="9" a="1"/>
  <c r="F12" i="9" s="1"/>
  <c r="E12" i="9" a="1"/>
  <c r="E12" i="9" s="1"/>
  <c r="D12" i="9" a="1"/>
  <c r="D12" i="9" s="1"/>
  <c r="G11" i="9" a="1"/>
  <c r="G11" i="9" s="1"/>
  <c r="F11" i="9" a="1"/>
  <c r="F11" i="9" s="1"/>
  <c r="E11" i="9" a="1"/>
  <c r="E11" i="9" s="1"/>
  <c r="D11" i="9" a="1"/>
  <c r="D11" i="9" s="1"/>
  <c r="G10" i="9" a="1"/>
  <c r="G10" i="9" s="1"/>
  <c r="F10" i="9" a="1"/>
  <c r="F10" i="9" s="1"/>
  <c r="E10" i="9" a="1"/>
  <c r="E10" i="9" s="1"/>
  <c r="D10" i="9" a="1"/>
  <c r="D10" i="9" s="1"/>
  <c r="G9" i="9" a="1"/>
  <c r="G9" i="9" s="1"/>
  <c r="F9" i="9" a="1"/>
  <c r="F9" i="9" s="1"/>
  <c r="E9" i="9" a="1"/>
  <c r="E9" i="9" s="1"/>
  <c r="D9" i="9" a="1"/>
  <c r="D9" i="9" s="1"/>
  <c r="G8" i="9" a="1"/>
  <c r="G8" i="9" s="1"/>
  <c r="F8" i="9" a="1"/>
  <c r="F8" i="9" s="1"/>
  <c r="E8" i="9" a="1"/>
  <c r="E8" i="9" s="1"/>
  <c r="D8" i="9" a="1"/>
  <c r="D8" i="9" s="1"/>
  <c r="G7" i="9" a="1"/>
  <c r="G7" i="9" s="1"/>
  <c r="F7" i="9" a="1"/>
  <c r="F7" i="9" s="1"/>
  <c r="E7" i="9" a="1"/>
  <c r="E7" i="9" s="1"/>
  <c r="D7" i="9" a="1"/>
  <c r="D7" i="9" s="1"/>
  <c r="G6" i="9" a="1"/>
  <c r="G6" i="9" s="1"/>
  <c r="F6" i="9" a="1"/>
  <c r="F6" i="9" s="1"/>
  <c r="E6" i="9" a="1"/>
  <c r="E6" i="9" s="1"/>
  <c r="D6" i="9" a="1"/>
  <c r="D6" i="9" s="1"/>
  <c r="G5" i="9" a="1"/>
  <c r="G5" i="9" s="1"/>
  <c r="F5" i="9" a="1"/>
  <c r="F5" i="9" s="1"/>
  <c r="E5" i="9" a="1"/>
  <c r="E5" i="9" s="1"/>
  <c r="D5" i="9" a="1"/>
  <c r="D5" i="9" s="1"/>
  <c r="G4" i="9" a="1"/>
  <c r="G4" i="9" s="1"/>
  <c r="F4" i="9" a="1"/>
  <c r="F4" i="9" s="1"/>
  <c r="E4" i="9" a="1"/>
  <c r="E4" i="9" s="1"/>
  <c r="D4" i="9" a="1"/>
  <c r="D4" i="9" s="1"/>
  <c r="G3" i="9" a="1"/>
  <c r="G3" i="9" s="1"/>
  <c r="F3" i="9" a="1"/>
  <c r="F3" i="9" s="1"/>
  <c r="E3" i="9" a="1"/>
  <c r="E3" i="9" s="1"/>
  <c r="D3" i="9" a="1"/>
  <c r="D3" i="9" s="1"/>
  <c r="B1" i="9"/>
  <c r="A1" i="9"/>
  <c r="C1" i="9"/>
  <c r="A3" i="9" s="1" a="1"/>
  <c r="B1" i="7"/>
  <c r="A1" i="7"/>
  <c r="H17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3" i="2"/>
  <c r="H174" i="2"/>
  <c r="H175" i="2"/>
  <c r="H2" i="2"/>
  <c r="B191" i="18" l="1"/>
  <c r="C128" i="18"/>
  <c r="B110" i="18"/>
  <c r="C93" i="18"/>
  <c r="B76" i="18"/>
  <c r="C59" i="18"/>
  <c r="B38" i="18"/>
  <c r="B22" i="18"/>
  <c r="B12" i="18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A3" i="21"/>
  <c r="B45" i="20"/>
  <c r="C4" i="20"/>
  <c r="C231" i="20"/>
  <c r="B4" i="20"/>
  <c r="C62" i="20"/>
  <c r="C57" i="20"/>
  <c r="C8" i="20"/>
  <c r="B12" i="20"/>
  <c r="C12" i="20"/>
  <c r="B25" i="20"/>
  <c r="B38" i="20"/>
  <c r="C38" i="20"/>
  <c r="B39" i="20"/>
  <c r="C16" i="20"/>
  <c r="B57" i="20"/>
  <c r="C132" i="20"/>
  <c r="C225" i="20"/>
  <c r="B5" i="20"/>
  <c r="B9" i="20"/>
  <c r="B13" i="20"/>
  <c r="B26" i="20"/>
  <c r="C39" i="20"/>
  <c r="C5" i="20"/>
  <c r="C9" i="20"/>
  <c r="C13" i="20"/>
  <c r="C26" i="20"/>
  <c r="B44" i="20"/>
  <c r="B153" i="20"/>
  <c r="B202" i="20"/>
  <c r="B238" i="20"/>
  <c r="B27" i="20"/>
  <c r="C402" i="20"/>
  <c r="C401" i="20"/>
  <c r="C400" i="20"/>
  <c r="C399" i="20"/>
  <c r="C398" i="20"/>
  <c r="C397" i="20"/>
  <c r="C396" i="20"/>
  <c r="C395" i="20"/>
  <c r="C394" i="20"/>
  <c r="C393" i="20"/>
  <c r="C392" i="20"/>
  <c r="C391" i="20"/>
  <c r="C390" i="20"/>
  <c r="C389" i="20"/>
  <c r="C388" i="20"/>
  <c r="C387" i="20"/>
  <c r="C386" i="20"/>
  <c r="C385" i="20"/>
  <c r="C384" i="20"/>
  <c r="C383" i="20"/>
  <c r="C382" i="20"/>
  <c r="C381" i="20"/>
  <c r="C380" i="20"/>
  <c r="C379" i="20"/>
  <c r="C378" i="20"/>
  <c r="C377" i="20"/>
  <c r="C376" i="20"/>
  <c r="C375" i="20"/>
  <c r="C374" i="20"/>
  <c r="C373" i="20"/>
  <c r="C372" i="20"/>
  <c r="C371" i="20"/>
  <c r="C370" i="20"/>
  <c r="C369" i="20"/>
  <c r="C368" i="20"/>
  <c r="C367" i="20"/>
  <c r="C366" i="20"/>
  <c r="C365" i="20"/>
  <c r="C364" i="20"/>
  <c r="C363" i="20"/>
  <c r="C362" i="20"/>
  <c r="C361" i="20"/>
  <c r="C360" i="20"/>
  <c r="C359" i="20"/>
  <c r="C358" i="20"/>
  <c r="C357" i="20"/>
  <c r="C356" i="20"/>
  <c r="C355" i="20"/>
  <c r="C354" i="20"/>
  <c r="C353" i="20"/>
  <c r="C352" i="20"/>
  <c r="C351" i="20"/>
  <c r="C350" i="20"/>
  <c r="C349" i="20"/>
  <c r="C348" i="20"/>
  <c r="C347" i="20"/>
  <c r="C346" i="20"/>
  <c r="C345" i="20"/>
  <c r="C344" i="20"/>
  <c r="C343" i="20"/>
  <c r="C342" i="20"/>
  <c r="C341" i="20"/>
  <c r="C340" i="20"/>
  <c r="C339" i="20"/>
  <c r="C338" i="20"/>
  <c r="C337" i="20"/>
  <c r="C336" i="20"/>
  <c r="C335" i="20"/>
  <c r="C334" i="20"/>
  <c r="C333" i="20"/>
  <c r="C332" i="20"/>
  <c r="C331" i="20"/>
  <c r="C330" i="20"/>
  <c r="C329" i="20"/>
  <c r="C328" i="20"/>
  <c r="C327" i="20"/>
  <c r="C326" i="20"/>
  <c r="C325" i="20"/>
  <c r="C324" i="20"/>
  <c r="C323" i="20"/>
  <c r="B402" i="20"/>
  <c r="B401" i="20"/>
  <c r="B400" i="20"/>
  <c r="B399" i="20"/>
  <c r="B398" i="20"/>
  <c r="B397" i="20"/>
  <c r="B396" i="20"/>
  <c r="B395" i="20"/>
  <c r="B394" i="20"/>
  <c r="B393" i="20"/>
  <c r="B392" i="20"/>
  <c r="B391" i="20"/>
  <c r="B390" i="20"/>
  <c r="B389" i="20"/>
  <c r="B388" i="20"/>
  <c r="B387" i="20"/>
  <c r="B386" i="20"/>
  <c r="B385" i="20"/>
  <c r="B384" i="20"/>
  <c r="B383" i="20"/>
  <c r="B382" i="20"/>
  <c r="B381" i="20"/>
  <c r="B380" i="20"/>
  <c r="B379" i="20"/>
  <c r="B378" i="20"/>
  <c r="B377" i="20"/>
  <c r="B376" i="20"/>
  <c r="B375" i="20"/>
  <c r="B374" i="20"/>
  <c r="B373" i="20"/>
  <c r="B372" i="20"/>
  <c r="B371" i="20"/>
  <c r="B370" i="20"/>
  <c r="B369" i="20"/>
  <c r="B368" i="20"/>
  <c r="B367" i="20"/>
  <c r="B366" i="20"/>
  <c r="B365" i="20"/>
  <c r="B364" i="20"/>
  <c r="B363" i="20"/>
  <c r="B362" i="20"/>
  <c r="B361" i="20"/>
  <c r="B360" i="20"/>
  <c r="B359" i="20"/>
  <c r="B358" i="20"/>
  <c r="B357" i="20"/>
  <c r="B356" i="20"/>
  <c r="B355" i="20"/>
  <c r="B354" i="20"/>
  <c r="B353" i="20"/>
  <c r="B352" i="20"/>
  <c r="B351" i="20"/>
  <c r="B350" i="20"/>
  <c r="B349" i="20"/>
  <c r="B348" i="20"/>
  <c r="B347" i="20"/>
  <c r="B346" i="20"/>
  <c r="B345" i="20"/>
  <c r="B344" i="20"/>
  <c r="B343" i="20"/>
  <c r="B342" i="20"/>
  <c r="B341" i="20"/>
  <c r="B340" i="20"/>
  <c r="B339" i="20"/>
  <c r="B338" i="20"/>
  <c r="B337" i="20"/>
  <c r="B336" i="20"/>
  <c r="B335" i="20"/>
  <c r="B334" i="20"/>
  <c r="B333" i="20"/>
  <c r="B332" i="20"/>
  <c r="B331" i="20"/>
  <c r="B330" i="20"/>
  <c r="B329" i="20"/>
  <c r="B328" i="20"/>
  <c r="B327" i="20"/>
  <c r="B326" i="20"/>
  <c r="B325" i="20"/>
  <c r="B324" i="20"/>
  <c r="B323" i="20"/>
  <c r="B322" i="20"/>
  <c r="B321" i="20"/>
  <c r="B320" i="20"/>
  <c r="B319" i="20"/>
  <c r="B318" i="20"/>
  <c r="B317" i="20"/>
  <c r="B316" i="20"/>
  <c r="B315" i="20"/>
  <c r="B314" i="20"/>
  <c r="B313" i="20"/>
  <c r="B312" i="20"/>
  <c r="B311" i="20"/>
  <c r="B310" i="20"/>
  <c r="B309" i="20"/>
  <c r="C304" i="20"/>
  <c r="B303" i="20"/>
  <c r="C292" i="20"/>
  <c r="B291" i="20"/>
  <c r="C280" i="20"/>
  <c r="B279" i="20"/>
  <c r="C268" i="20"/>
  <c r="B267" i="20"/>
  <c r="C256" i="20"/>
  <c r="B255" i="20"/>
  <c r="C306" i="20"/>
  <c r="B305" i="20"/>
  <c r="C294" i="20"/>
  <c r="B293" i="20"/>
  <c r="C282" i="20"/>
  <c r="B281" i="20"/>
  <c r="C270" i="20"/>
  <c r="B269" i="20"/>
  <c r="C258" i="20"/>
  <c r="B257" i="20"/>
  <c r="C307" i="20"/>
  <c r="B306" i="20"/>
  <c r="C295" i="20"/>
  <c r="B294" i="20"/>
  <c r="C283" i="20"/>
  <c r="B282" i="20"/>
  <c r="C320" i="20"/>
  <c r="C316" i="20"/>
  <c r="C312" i="20"/>
  <c r="C308" i="20"/>
  <c r="B307" i="20"/>
  <c r="C296" i="20"/>
  <c r="B295" i="20"/>
  <c r="C284" i="20"/>
  <c r="B283" i="20"/>
  <c r="C272" i="20"/>
  <c r="B271" i="20"/>
  <c r="C260" i="20"/>
  <c r="B259" i="20"/>
  <c r="B308" i="20"/>
  <c r="C297" i="20"/>
  <c r="B296" i="20"/>
  <c r="C285" i="20"/>
  <c r="B284" i="20"/>
  <c r="C273" i="20"/>
  <c r="B272" i="20"/>
  <c r="C261" i="20"/>
  <c r="B260" i="20"/>
  <c r="C298" i="20"/>
  <c r="B297" i="20"/>
  <c r="C286" i="20"/>
  <c r="B285" i="20"/>
  <c r="C274" i="20"/>
  <c r="B273" i="20"/>
  <c r="C262" i="20"/>
  <c r="B261" i="20"/>
  <c r="C322" i="20"/>
  <c r="C318" i="20"/>
  <c r="C314" i="20"/>
  <c r="C310" i="20"/>
  <c r="C302" i="20"/>
  <c r="B301" i="20"/>
  <c r="C290" i="20"/>
  <c r="B289" i="20"/>
  <c r="C317" i="20"/>
  <c r="C311" i="20"/>
  <c r="B300" i="20"/>
  <c r="C279" i="20"/>
  <c r="B277" i="20"/>
  <c r="B275" i="20"/>
  <c r="C251" i="20"/>
  <c r="B246" i="20"/>
  <c r="C239" i="20"/>
  <c r="B234" i="20"/>
  <c r="B187" i="20"/>
  <c r="B181" i="20"/>
  <c r="B175" i="20"/>
  <c r="B169" i="20"/>
  <c r="C158" i="20"/>
  <c r="B157" i="20"/>
  <c r="C146" i="20"/>
  <c r="B145" i="20"/>
  <c r="C134" i="20"/>
  <c r="B133" i="20"/>
  <c r="C305" i="20"/>
  <c r="B292" i="20"/>
  <c r="B251" i="20"/>
  <c r="C244" i="20"/>
  <c r="B239" i="20"/>
  <c r="C232" i="20"/>
  <c r="C229" i="20"/>
  <c r="C226" i="20"/>
  <c r="C223" i="20"/>
  <c r="C220" i="20"/>
  <c r="C217" i="20"/>
  <c r="C214" i="20"/>
  <c r="C211" i="20"/>
  <c r="C208" i="20"/>
  <c r="C204" i="20"/>
  <c r="C200" i="20"/>
  <c r="C196" i="20"/>
  <c r="C192" i="20"/>
  <c r="C188" i="20"/>
  <c r="C182" i="20"/>
  <c r="C176" i="20"/>
  <c r="C170" i="20"/>
  <c r="C159" i="20"/>
  <c r="B158" i="20"/>
  <c r="C147" i="20"/>
  <c r="B146" i="20"/>
  <c r="C135" i="20"/>
  <c r="B134" i="20"/>
  <c r="C289" i="20"/>
  <c r="C271" i="20"/>
  <c r="B258" i="20"/>
  <c r="C249" i="20"/>
  <c r="B244" i="20"/>
  <c r="C237" i="20"/>
  <c r="B232" i="20"/>
  <c r="B229" i="20"/>
  <c r="B226" i="20"/>
  <c r="B223" i="20"/>
  <c r="B220" i="20"/>
  <c r="B217" i="20"/>
  <c r="B214" i="20"/>
  <c r="B211" i="20"/>
  <c r="B208" i="20"/>
  <c r="B204" i="20"/>
  <c r="B200" i="20"/>
  <c r="B196" i="20"/>
  <c r="B192" i="20"/>
  <c r="B188" i="20"/>
  <c r="B182" i="20"/>
  <c r="B176" i="20"/>
  <c r="B170" i="20"/>
  <c r="C160" i="20"/>
  <c r="B159" i="20"/>
  <c r="C148" i="20"/>
  <c r="B147" i="20"/>
  <c r="C136" i="20"/>
  <c r="B135" i="20"/>
  <c r="C124" i="20"/>
  <c r="C123" i="20"/>
  <c r="C122" i="20"/>
  <c r="C121" i="20"/>
  <c r="C120" i="20"/>
  <c r="C119" i="20"/>
  <c r="C118" i="20"/>
  <c r="C117" i="20"/>
  <c r="C116" i="20"/>
  <c r="C115" i="20"/>
  <c r="C114" i="20"/>
  <c r="C113" i="20"/>
  <c r="C112" i="20"/>
  <c r="C111" i="20"/>
  <c r="C110" i="20"/>
  <c r="C313" i="20"/>
  <c r="B302" i="20"/>
  <c r="C299" i="20"/>
  <c r="B286" i="20"/>
  <c r="C281" i="20"/>
  <c r="C269" i="20"/>
  <c r="B256" i="20"/>
  <c r="C254" i="20"/>
  <c r="B249" i="20"/>
  <c r="C242" i="20"/>
  <c r="B237" i="20"/>
  <c r="C183" i="20"/>
  <c r="C177" i="20"/>
  <c r="C171" i="20"/>
  <c r="C161" i="20"/>
  <c r="B160" i="20"/>
  <c r="C149" i="20"/>
  <c r="B148" i="20"/>
  <c r="C137" i="20"/>
  <c r="B136" i="20"/>
  <c r="C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299" i="20"/>
  <c r="C267" i="20"/>
  <c r="C265" i="20"/>
  <c r="C263" i="20"/>
  <c r="B254" i="20"/>
  <c r="C247" i="20"/>
  <c r="B242" i="20"/>
  <c r="C235" i="20"/>
  <c r="C205" i="20"/>
  <c r="C201" i="20"/>
  <c r="C197" i="20"/>
  <c r="C193" i="20"/>
  <c r="C189" i="20"/>
  <c r="B183" i="20"/>
  <c r="B177" i="20"/>
  <c r="B171" i="20"/>
  <c r="C291" i="20"/>
  <c r="C278" i="20"/>
  <c r="C276" i="20"/>
  <c r="B265" i="20"/>
  <c r="B263" i="20"/>
  <c r="C252" i="20"/>
  <c r="B247" i="20"/>
  <c r="C240" i="20"/>
  <c r="B235" i="20"/>
  <c r="C230" i="20"/>
  <c r="C227" i="20"/>
  <c r="C224" i="20"/>
  <c r="C221" i="20"/>
  <c r="C218" i="20"/>
  <c r="C215" i="20"/>
  <c r="C212" i="20"/>
  <c r="C209" i="20"/>
  <c r="B205" i="20"/>
  <c r="B201" i="20"/>
  <c r="B197" i="20"/>
  <c r="B193" i="20"/>
  <c r="B189" i="20"/>
  <c r="C184" i="20"/>
  <c r="C178" i="20"/>
  <c r="C172" i="20"/>
  <c r="C163" i="20"/>
  <c r="B162" i="20"/>
  <c r="C151" i="20"/>
  <c r="B150" i="20"/>
  <c r="C139" i="20"/>
  <c r="B138" i="20"/>
  <c r="C127" i="20"/>
  <c r="B126" i="20"/>
  <c r="C319" i="20"/>
  <c r="C309" i="20"/>
  <c r="B304" i="20"/>
  <c r="C288" i="20"/>
  <c r="B278" i="20"/>
  <c r="B276" i="20"/>
  <c r="B274" i="20"/>
  <c r="B252" i="20"/>
  <c r="C245" i="20"/>
  <c r="B240" i="20"/>
  <c r="C233" i="20"/>
  <c r="B230" i="20"/>
  <c r="B227" i="20"/>
  <c r="B224" i="20"/>
  <c r="B221" i="20"/>
  <c r="B218" i="20"/>
  <c r="B215" i="20"/>
  <c r="B212" i="20"/>
  <c r="B209" i="20"/>
  <c r="B184" i="20"/>
  <c r="B178" i="20"/>
  <c r="B172" i="20"/>
  <c r="C164" i="20"/>
  <c r="B163" i="20"/>
  <c r="C152" i="20"/>
  <c r="B151" i="20"/>
  <c r="C140" i="20"/>
  <c r="B139" i="20"/>
  <c r="C128" i="20"/>
  <c r="B127" i="20"/>
  <c r="C301" i="20"/>
  <c r="B288" i="20"/>
  <c r="C259" i="20"/>
  <c r="C250" i="20"/>
  <c r="B245" i="20"/>
  <c r="C238" i="20"/>
  <c r="B233" i="20"/>
  <c r="C206" i="20"/>
  <c r="C202" i="20"/>
  <c r="C198" i="20"/>
  <c r="C194" i="20"/>
  <c r="C190" i="20"/>
  <c r="C185" i="20"/>
  <c r="C179" i="20"/>
  <c r="C173" i="20"/>
  <c r="C165" i="20"/>
  <c r="B164" i="20"/>
  <c r="C153" i="20"/>
  <c r="B152" i="20"/>
  <c r="C141" i="20"/>
  <c r="B140" i="20"/>
  <c r="C129" i="20"/>
  <c r="B128" i="20"/>
  <c r="C300" i="20"/>
  <c r="B287" i="20"/>
  <c r="C277" i="20"/>
  <c r="C275" i="20"/>
  <c r="B266" i="20"/>
  <c r="B264" i="20"/>
  <c r="B262" i="20"/>
  <c r="B253" i="20"/>
  <c r="C246" i="20"/>
  <c r="B241" i="20"/>
  <c r="C234" i="20"/>
  <c r="B207" i="20"/>
  <c r="B203" i="20"/>
  <c r="B199" i="20"/>
  <c r="B195" i="20"/>
  <c r="B191" i="20"/>
  <c r="C187" i="20"/>
  <c r="C181" i="20"/>
  <c r="C175" i="20"/>
  <c r="C169" i="20"/>
  <c r="B168" i="20"/>
  <c r="B280" i="20"/>
  <c r="C257" i="20"/>
  <c r="B250" i="20"/>
  <c r="C243" i="20"/>
  <c r="B206" i="20"/>
  <c r="B190" i="20"/>
  <c r="B185" i="20"/>
  <c r="B167" i="20"/>
  <c r="C155" i="20"/>
  <c r="B142" i="20"/>
  <c r="C108" i="20"/>
  <c r="B58" i="20"/>
  <c r="B52" i="20"/>
  <c r="B46" i="20"/>
  <c r="B40" i="20"/>
  <c r="C30" i="20"/>
  <c r="B29" i="20"/>
  <c r="C18" i="20"/>
  <c r="B17" i="20"/>
  <c r="C168" i="20"/>
  <c r="B243" i="20"/>
  <c r="C236" i="20"/>
  <c r="C180" i="20"/>
  <c r="B155" i="20"/>
  <c r="C126" i="20"/>
  <c r="C59" i="20"/>
  <c r="C53" i="20"/>
  <c r="C47" i="20"/>
  <c r="C41" i="20"/>
  <c r="C31" i="20"/>
  <c r="B30" i="20"/>
  <c r="C19" i="20"/>
  <c r="B18" i="20"/>
  <c r="B290" i="20"/>
  <c r="C264" i="20"/>
  <c r="B236" i="20"/>
  <c r="C195" i="20"/>
  <c r="B180" i="20"/>
  <c r="C166" i="20"/>
  <c r="C131" i="20"/>
  <c r="C96" i="20"/>
  <c r="C92" i="20"/>
  <c r="C88" i="20"/>
  <c r="C84" i="20"/>
  <c r="C80" i="20"/>
  <c r="C76" i="20"/>
  <c r="C72" i="20"/>
  <c r="C68" i="20"/>
  <c r="C64" i="20"/>
  <c r="B59" i="20"/>
  <c r="B53" i="20"/>
  <c r="B47" i="20"/>
  <c r="B41" i="20"/>
  <c r="C32" i="20"/>
  <c r="B31" i="20"/>
  <c r="C20" i="20"/>
  <c r="B19" i="20"/>
  <c r="B143" i="20"/>
  <c r="B298" i="20"/>
  <c r="B194" i="20"/>
  <c r="B179" i="20"/>
  <c r="B166" i="20"/>
  <c r="C144" i="20"/>
  <c r="B131" i="20"/>
  <c r="C106" i="20"/>
  <c r="C103" i="20"/>
  <c r="C100" i="20"/>
  <c r="C60" i="20"/>
  <c r="C54" i="20"/>
  <c r="C48" i="20"/>
  <c r="C42" i="20"/>
  <c r="C33" i="20"/>
  <c r="B32" i="20"/>
  <c r="C21" i="20"/>
  <c r="B20" i="20"/>
  <c r="C321" i="20"/>
  <c r="B270" i="20"/>
  <c r="C255" i="20"/>
  <c r="C248" i="20"/>
  <c r="C228" i="20"/>
  <c r="C222" i="20"/>
  <c r="C216" i="20"/>
  <c r="C210" i="20"/>
  <c r="C174" i="20"/>
  <c r="C157" i="20"/>
  <c r="C154" i="20"/>
  <c r="B149" i="20"/>
  <c r="B144" i="20"/>
  <c r="B141" i="20"/>
  <c r="B60" i="20"/>
  <c r="B54" i="20"/>
  <c r="B48" i="20"/>
  <c r="B42" i="20"/>
  <c r="C34" i="20"/>
  <c r="B33" i="20"/>
  <c r="C22" i="20"/>
  <c r="B21" i="20"/>
  <c r="C287" i="20"/>
  <c r="B248" i="20"/>
  <c r="C241" i="20"/>
  <c r="B228" i="20"/>
  <c r="B222" i="20"/>
  <c r="B216" i="20"/>
  <c r="B210" i="20"/>
  <c r="C199" i="20"/>
  <c r="B174" i="20"/>
  <c r="C162" i="20"/>
  <c r="B154" i="20"/>
  <c r="C109" i="20"/>
  <c r="C97" i="20"/>
  <c r="C93" i="20"/>
  <c r="C89" i="20"/>
  <c r="C85" i="20"/>
  <c r="C81" i="20"/>
  <c r="C77" i="20"/>
  <c r="C73" i="20"/>
  <c r="C69" i="20"/>
  <c r="C65" i="20"/>
  <c r="C61" i="20"/>
  <c r="C55" i="20"/>
  <c r="C49" i="20"/>
  <c r="C43" i="20"/>
  <c r="C35" i="20"/>
  <c r="B34" i="20"/>
  <c r="C23" i="20"/>
  <c r="B22" i="20"/>
  <c r="B268" i="20"/>
  <c r="C203" i="20"/>
  <c r="C98" i="20"/>
  <c r="C94" i="20"/>
  <c r="C86" i="20"/>
  <c r="B198" i="20"/>
  <c r="B173" i="20"/>
  <c r="B165" i="20"/>
  <c r="C138" i="20"/>
  <c r="C133" i="20"/>
  <c r="C130" i="20"/>
  <c r="B125" i="20"/>
  <c r="B61" i="20"/>
  <c r="B55" i="20"/>
  <c r="B49" i="20"/>
  <c r="B43" i="20"/>
  <c r="C36" i="20"/>
  <c r="B35" i="20"/>
  <c r="C24" i="20"/>
  <c r="B23" i="20"/>
  <c r="C143" i="20"/>
  <c r="B130" i="20"/>
  <c r="C107" i="20"/>
  <c r="C104" i="20"/>
  <c r="C101" i="20"/>
  <c r="C56" i="20"/>
  <c r="C50" i="20"/>
  <c r="C44" i="20"/>
  <c r="C37" i="20"/>
  <c r="B36" i="20"/>
  <c r="C25" i="20"/>
  <c r="B24" i="20"/>
  <c r="C303" i="20"/>
  <c r="C266" i="20"/>
  <c r="B231" i="20"/>
  <c r="B225" i="20"/>
  <c r="B219" i="20"/>
  <c r="B213" i="20"/>
  <c r="C207" i="20"/>
  <c r="C191" i="20"/>
  <c r="B186" i="20"/>
  <c r="C167" i="20"/>
  <c r="C150" i="20"/>
  <c r="C145" i="20"/>
  <c r="C142" i="20"/>
  <c r="B137" i="20"/>
  <c r="B132" i="20"/>
  <c r="B129" i="20"/>
  <c r="C105" i="20"/>
  <c r="C102" i="20"/>
  <c r="C99" i="20"/>
  <c r="C95" i="20"/>
  <c r="C91" i="20"/>
  <c r="C87" i="20"/>
  <c r="C83" i="20"/>
  <c r="C79" i="20"/>
  <c r="C75" i="20"/>
  <c r="C71" i="20"/>
  <c r="C67" i="20"/>
  <c r="C63" i="20"/>
  <c r="C58" i="20"/>
  <c r="C52" i="20"/>
  <c r="C46" i="20"/>
  <c r="C40" i="20"/>
  <c r="C29" i="20"/>
  <c r="B28" i="20"/>
  <c r="C17" i="20"/>
  <c r="B16" i="20"/>
  <c r="C253" i="20"/>
  <c r="C156" i="20"/>
  <c r="C90" i="20"/>
  <c r="C82" i="20"/>
  <c r="C78" i="20"/>
  <c r="C74" i="20"/>
  <c r="B6" i="20"/>
  <c r="B10" i="20"/>
  <c r="B14" i="20"/>
  <c r="C27" i="20"/>
  <c r="C45" i="20"/>
  <c r="C70" i="20"/>
  <c r="B156" i="20"/>
  <c r="C293" i="20"/>
  <c r="C6" i="20"/>
  <c r="C10" i="20"/>
  <c r="C14" i="20"/>
  <c r="B50" i="20"/>
  <c r="C213" i="20"/>
  <c r="A3" i="20"/>
  <c r="B15" i="20"/>
  <c r="C28" i="20"/>
  <c r="B51" i="20"/>
  <c r="B7" i="20"/>
  <c r="B11" i="20"/>
  <c r="C15" i="20"/>
  <c r="C51" i="20"/>
  <c r="C186" i="20"/>
  <c r="C219" i="20"/>
  <c r="C315" i="20"/>
  <c r="C7" i="20"/>
  <c r="C11" i="20"/>
  <c r="B37" i="20"/>
  <c r="B56" i="20"/>
  <c r="C66" i="20"/>
  <c r="B161" i="20"/>
  <c r="B414" i="19"/>
  <c r="B410" i="19"/>
  <c r="B406" i="19"/>
  <c r="B402" i="19"/>
  <c r="B398" i="19"/>
  <c r="B394" i="19"/>
  <c r="B390" i="19"/>
  <c r="B386" i="19"/>
  <c r="B382" i="19"/>
  <c r="C377" i="19"/>
  <c r="C367" i="19"/>
  <c r="B366" i="19"/>
  <c r="B377" i="19"/>
  <c r="C368" i="19"/>
  <c r="B367" i="19"/>
  <c r="C442" i="19"/>
  <c r="C439" i="19"/>
  <c r="C436" i="19"/>
  <c r="C433" i="19"/>
  <c r="C430" i="19"/>
  <c r="C427" i="19"/>
  <c r="C424" i="19"/>
  <c r="C421" i="19"/>
  <c r="C418" i="19"/>
  <c r="C415" i="19"/>
  <c r="C411" i="19"/>
  <c r="C407" i="19"/>
  <c r="C403" i="19"/>
  <c r="C399" i="19"/>
  <c r="C395" i="19"/>
  <c r="C391" i="19"/>
  <c r="C387" i="19"/>
  <c r="C383" i="19"/>
  <c r="C378" i="19"/>
  <c r="B442" i="19"/>
  <c r="B439" i="19"/>
  <c r="B436" i="19"/>
  <c r="B433" i="19"/>
  <c r="B430" i="19"/>
  <c r="B427" i="19"/>
  <c r="B424" i="19"/>
  <c r="B421" i="19"/>
  <c r="B418" i="19"/>
  <c r="B415" i="19"/>
  <c r="C365" i="19"/>
  <c r="C361" i="19"/>
  <c r="C356" i="19"/>
  <c r="C350" i="19"/>
  <c r="C344" i="19"/>
  <c r="C337" i="19"/>
  <c r="B336" i="19"/>
  <c r="C412" i="19"/>
  <c r="C405" i="19"/>
  <c r="C398" i="19"/>
  <c r="C396" i="19"/>
  <c r="C389" i="19"/>
  <c r="C382" i="19"/>
  <c r="C374" i="19"/>
  <c r="C370" i="19"/>
  <c r="B365" i="19"/>
  <c r="B361" i="19"/>
  <c r="B356" i="19"/>
  <c r="B350" i="19"/>
  <c r="B344" i="19"/>
  <c r="C338" i="19"/>
  <c r="B337" i="19"/>
  <c r="C443" i="19"/>
  <c r="C441" i="19"/>
  <c r="C434" i="19"/>
  <c r="C432" i="19"/>
  <c r="C425" i="19"/>
  <c r="C423" i="19"/>
  <c r="C416" i="19"/>
  <c r="B412" i="19"/>
  <c r="B405" i="19"/>
  <c r="B403" i="19"/>
  <c r="B396" i="19"/>
  <c r="B389" i="19"/>
  <c r="B387" i="19"/>
  <c r="C380" i="19"/>
  <c r="B374" i="19"/>
  <c r="B370" i="19"/>
  <c r="C357" i="19"/>
  <c r="C351" i="19"/>
  <c r="C345" i="19"/>
  <c r="C339" i="19"/>
  <c r="B338" i="19"/>
  <c r="B443" i="19"/>
  <c r="B441" i="19"/>
  <c r="B434" i="19"/>
  <c r="B432" i="19"/>
  <c r="B425" i="19"/>
  <c r="B423" i="19"/>
  <c r="B416" i="19"/>
  <c r="C414" i="19"/>
  <c r="B380" i="19"/>
  <c r="C366" i="19"/>
  <c r="C362" i="19"/>
  <c r="B357" i="19"/>
  <c r="B351" i="19"/>
  <c r="B345" i="19"/>
  <c r="B339" i="19"/>
  <c r="C413" i="19"/>
  <c r="C410" i="19"/>
  <c r="B397" i="19"/>
  <c r="C394" i="19"/>
  <c r="B381" i="19"/>
  <c r="B372" i="19"/>
  <c r="B368" i="19"/>
  <c r="B362" i="19"/>
  <c r="C358" i="19"/>
  <c r="C342" i="19"/>
  <c r="C340" i="19"/>
  <c r="B332" i="19"/>
  <c r="B326" i="19"/>
  <c r="B322" i="19"/>
  <c r="B318" i="19"/>
  <c r="C307" i="19"/>
  <c r="B306" i="19"/>
  <c r="C295" i="19"/>
  <c r="B294" i="19"/>
  <c r="C283" i="19"/>
  <c r="B282" i="19"/>
  <c r="C271" i="19"/>
  <c r="B270" i="19"/>
  <c r="C259" i="19"/>
  <c r="B258" i="19"/>
  <c r="C247" i="19"/>
  <c r="B246" i="19"/>
  <c r="B413" i="19"/>
  <c r="B399" i="19"/>
  <c r="B383" i="19"/>
  <c r="B378" i="19"/>
  <c r="C376" i="19"/>
  <c r="C364" i="19"/>
  <c r="C360" i="19"/>
  <c r="B358" i="19"/>
  <c r="B342" i="19"/>
  <c r="B340" i="19"/>
  <c r="C308" i="19"/>
  <c r="B307" i="19"/>
  <c r="C296" i="19"/>
  <c r="B295" i="19"/>
  <c r="C284" i="19"/>
  <c r="B283" i="19"/>
  <c r="C272" i="19"/>
  <c r="B271" i="19"/>
  <c r="C260" i="19"/>
  <c r="B259" i="19"/>
  <c r="C429" i="19"/>
  <c r="C426" i="19"/>
  <c r="C422" i="19"/>
  <c r="C419" i="19"/>
  <c r="C402" i="19"/>
  <c r="C386" i="19"/>
  <c r="B376" i="19"/>
  <c r="B364" i="19"/>
  <c r="B360" i="19"/>
  <c r="C349" i="19"/>
  <c r="C347" i="19"/>
  <c r="C335" i="19"/>
  <c r="C330" i="19"/>
  <c r="C327" i="19"/>
  <c r="C323" i="19"/>
  <c r="C319" i="19"/>
  <c r="C309" i="19"/>
  <c r="B308" i="19"/>
  <c r="C297" i="19"/>
  <c r="B296" i="19"/>
  <c r="C285" i="19"/>
  <c r="B284" i="19"/>
  <c r="B429" i="19"/>
  <c r="B426" i="19"/>
  <c r="B422" i="19"/>
  <c r="B419" i="19"/>
  <c r="B407" i="19"/>
  <c r="C404" i="19"/>
  <c r="B391" i="19"/>
  <c r="C388" i="19"/>
  <c r="B349" i="19"/>
  <c r="B347" i="19"/>
  <c r="B335" i="19"/>
  <c r="B330" i="19"/>
  <c r="B327" i="19"/>
  <c r="B323" i="19"/>
  <c r="B319" i="19"/>
  <c r="C310" i="19"/>
  <c r="B309" i="19"/>
  <c r="C298" i="19"/>
  <c r="B297" i="19"/>
  <c r="C408" i="19"/>
  <c r="B404" i="19"/>
  <c r="C392" i="19"/>
  <c r="B388" i="19"/>
  <c r="C348" i="19"/>
  <c r="C311" i="19"/>
  <c r="C303" i="19"/>
  <c r="B298" i="19"/>
  <c r="B290" i="19"/>
  <c r="C281" i="19"/>
  <c r="C278" i="19"/>
  <c r="C274" i="19"/>
  <c r="B269" i="19"/>
  <c r="B265" i="19"/>
  <c r="B261" i="19"/>
  <c r="B252" i="19"/>
  <c r="C246" i="19"/>
  <c r="C240" i="19"/>
  <c r="C230" i="19"/>
  <c r="B229" i="19"/>
  <c r="B408" i="19"/>
  <c r="B392" i="19"/>
  <c r="B348" i="19"/>
  <c r="C316" i="19"/>
  <c r="B311" i="19"/>
  <c r="B303" i="19"/>
  <c r="C288" i="19"/>
  <c r="B281" i="19"/>
  <c r="B278" i="19"/>
  <c r="B274" i="19"/>
  <c r="C257" i="19"/>
  <c r="C253" i="19"/>
  <c r="B240" i="19"/>
  <c r="C231" i="19"/>
  <c r="B230" i="19"/>
  <c r="C437" i="19"/>
  <c r="C431" i="19"/>
  <c r="C417" i="19"/>
  <c r="C400" i="19"/>
  <c r="C384" i="19"/>
  <c r="C373" i="19"/>
  <c r="C353" i="19"/>
  <c r="B316" i="19"/>
  <c r="C301" i="19"/>
  <c r="C293" i="19"/>
  <c r="B288" i="19"/>
  <c r="B285" i="19"/>
  <c r="C270" i="19"/>
  <c r="C266" i="19"/>
  <c r="C262" i="19"/>
  <c r="B257" i="19"/>
  <c r="B253" i="19"/>
  <c r="B247" i="19"/>
  <c r="C241" i="19"/>
  <c r="C232" i="19"/>
  <c r="B231" i="19"/>
  <c r="B437" i="19"/>
  <c r="B431" i="19"/>
  <c r="B417" i="19"/>
  <c r="B400" i="19"/>
  <c r="B384" i="19"/>
  <c r="B373" i="19"/>
  <c r="B353" i="19"/>
  <c r="C332" i="19"/>
  <c r="C314" i="19"/>
  <c r="C306" i="19"/>
  <c r="B301" i="19"/>
  <c r="B293" i="19"/>
  <c r="C275" i="19"/>
  <c r="B266" i="19"/>
  <c r="B262" i="19"/>
  <c r="C248" i="19"/>
  <c r="B241" i="19"/>
  <c r="C233" i="19"/>
  <c r="B232" i="19"/>
  <c r="B411" i="19"/>
  <c r="C440" i="19"/>
  <c r="C406" i="19"/>
  <c r="C372" i="19"/>
  <c r="B363" i="19"/>
  <c r="B359" i="19"/>
  <c r="B355" i="19"/>
  <c r="B343" i="19"/>
  <c r="B331" i="19"/>
  <c r="B328" i="19"/>
  <c r="C322" i="19"/>
  <c r="C294" i="19"/>
  <c r="B289" i="19"/>
  <c r="B276" i="19"/>
  <c r="B272" i="19"/>
  <c r="C225" i="19"/>
  <c r="C220" i="19"/>
  <c r="C214" i="19"/>
  <c r="C208" i="19"/>
  <c r="C202" i="19"/>
  <c r="C196" i="19"/>
  <c r="C190" i="19"/>
  <c r="C184" i="19"/>
  <c r="C178" i="19"/>
  <c r="C172" i="19"/>
  <c r="C166" i="19"/>
  <c r="B440" i="19"/>
  <c r="C375" i="19"/>
  <c r="C371" i="19"/>
  <c r="C354" i="19"/>
  <c r="C346" i="19"/>
  <c r="C321" i="19"/>
  <c r="C291" i="19"/>
  <c r="C282" i="19"/>
  <c r="C280" i="19"/>
  <c r="C268" i="19"/>
  <c r="C264" i="19"/>
  <c r="C258" i="19"/>
  <c r="C254" i="19"/>
  <c r="C238" i="19"/>
  <c r="B233" i="19"/>
  <c r="B225" i="19"/>
  <c r="B220" i="19"/>
  <c r="B214" i="19"/>
  <c r="B208" i="19"/>
  <c r="B202" i="19"/>
  <c r="B196" i="19"/>
  <c r="C420" i="19"/>
  <c r="B375" i="19"/>
  <c r="B371" i="19"/>
  <c r="B354" i="19"/>
  <c r="B346" i="19"/>
  <c r="C334" i="19"/>
  <c r="C324" i="19"/>
  <c r="B321" i="19"/>
  <c r="B291" i="19"/>
  <c r="C286" i="19"/>
  <c r="B280" i="19"/>
  <c r="B268" i="19"/>
  <c r="B264" i="19"/>
  <c r="B260" i="19"/>
  <c r="B254" i="19"/>
  <c r="B238" i="19"/>
  <c r="C221" i="19"/>
  <c r="C215" i="19"/>
  <c r="C209" i="19"/>
  <c r="C203" i="19"/>
  <c r="C197" i="19"/>
  <c r="C191" i="19"/>
  <c r="C185" i="19"/>
  <c r="C435" i="19"/>
  <c r="C397" i="19"/>
  <c r="C326" i="19"/>
  <c r="B305" i="19"/>
  <c r="B292" i="19"/>
  <c r="C279" i="19"/>
  <c r="C269" i="19"/>
  <c r="C261" i="19"/>
  <c r="B251" i="19"/>
  <c r="B248" i="19"/>
  <c r="B239" i="19"/>
  <c r="C234" i="19"/>
  <c r="B222" i="19"/>
  <c r="B219" i="19"/>
  <c r="C206" i="19"/>
  <c r="B198" i="19"/>
  <c r="B195" i="19"/>
  <c r="C189" i="19"/>
  <c r="C186" i="19"/>
  <c r="B179" i="19"/>
  <c r="C175" i="19"/>
  <c r="C161" i="19"/>
  <c r="B160" i="19"/>
  <c r="C149" i="19"/>
  <c r="C438" i="19"/>
  <c r="B395" i="19"/>
  <c r="C379" i="19"/>
  <c r="B334" i="19"/>
  <c r="C325" i="19"/>
  <c r="B314" i="19"/>
  <c r="B279" i="19"/>
  <c r="C263" i="19"/>
  <c r="C243" i="19"/>
  <c r="C236" i="19"/>
  <c r="B234" i="19"/>
  <c r="C217" i="19"/>
  <c r="B209" i="19"/>
  <c r="B206" i="19"/>
  <c r="B189" i="19"/>
  <c r="B186" i="19"/>
  <c r="B175" i="19"/>
  <c r="C171" i="19"/>
  <c r="C167" i="19"/>
  <c r="C162" i="19"/>
  <c r="B161" i="19"/>
  <c r="B438" i="19"/>
  <c r="B379" i="19"/>
  <c r="C329" i="19"/>
  <c r="B325" i="19"/>
  <c r="C317" i="19"/>
  <c r="B435" i="19"/>
  <c r="C385" i="19"/>
  <c r="C355" i="19"/>
  <c r="C333" i="19"/>
  <c r="B329" i="19"/>
  <c r="B317" i="19"/>
  <c r="B310" i="19"/>
  <c r="B401" i="19"/>
  <c r="B393" i="19"/>
  <c r="B320" i="19"/>
  <c r="B313" i="19"/>
  <c r="B300" i="19"/>
  <c r="C287" i="19"/>
  <c r="B273" i="19"/>
  <c r="C252" i="19"/>
  <c r="B245" i="19"/>
  <c r="C227" i="19"/>
  <c r="B223" i="19"/>
  <c r="C210" i="19"/>
  <c r="C207" i="19"/>
  <c r="B199" i="19"/>
  <c r="B187" i="19"/>
  <c r="C409" i="19"/>
  <c r="C359" i="19"/>
  <c r="C352" i="19"/>
  <c r="C343" i="19"/>
  <c r="C328" i="19"/>
  <c r="C393" i="19"/>
  <c r="B333" i="19"/>
  <c r="B324" i="19"/>
  <c r="B277" i="19"/>
  <c r="C273" i="19"/>
  <c r="B256" i="19"/>
  <c r="C249" i="19"/>
  <c r="B228" i="19"/>
  <c r="C216" i="19"/>
  <c r="B212" i="19"/>
  <c r="C199" i="19"/>
  <c r="C195" i="19"/>
  <c r="C187" i="19"/>
  <c r="B176" i="19"/>
  <c r="B168" i="19"/>
  <c r="B165" i="19"/>
  <c r="C158" i="19"/>
  <c r="C154" i="19"/>
  <c r="C148" i="19"/>
  <c r="B147" i="19"/>
  <c r="C136" i="19"/>
  <c r="B135" i="19"/>
  <c r="C124" i="19"/>
  <c r="B123" i="19"/>
  <c r="B409" i="19"/>
  <c r="B352" i="19"/>
  <c r="C341" i="19"/>
  <c r="B249" i="19"/>
  <c r="B236" i="19"/>
  <c r="C218" i="19"/>
  <c r="B216" i="19"/>
  <c r="C201" i="19"/>
  <c r="B185" i="19"/>
  <c r="C183" i="19"/>
  <c r="C181" i="19"/>
  <c r="B171" i="19"/>
  <c r="B158" i="19"/>
  <c r="B154" i="19"/>
  <c r="B148" i="19"/>
  <c r="C137" i="19"/>
  <c r="B136" i="19"/>
  <c r="C125" i="19"/>
  <c r="B124" i="19"/>
  <c r="B341" i="19"/>
  <c r="C276" i="19"/>
  <c r="C255" i="19"/>
  <c r="C242" i="19"/>
  <c r="B218" i="19"/>
  <c r="C205" i="19"/>
  <c r="B203" i="19"/>
  <c r="B201" i="19"/>
  <c r="B183" i="19"/>
  <c r="B181" i="19"/>
  <c r="C174" i="19"/>
  <c r="C163" i="19"/>
  <c r="B149" i="19"/>
  <c r="C138" i="19"/>
  <c r="B137" i="19"/>
  <c r="C126" i="19"/>
  <c r="B125" i="19"/>
  <c r="C428" i="19"/>
  <c r="C390" i="19"/>
  <c r="C363" i="19"/>
  <c r="C331" i="19"/>
  <c r="C305" i="19"/>
  <c r="C300" i="19"/>
  <c r="C292" i="19"/>
  <c r="B255" i="19"/>
  <c r="C245" i="19"/>
  <c r="B242" i="19"/>
  <c r="C239" i="19"/>
  <c r="C222" i="19"/>
  <c r="B205" i="19"/>
  <c r="C179" i="19"/>
  <c r="B174" i="19"/>
  <c r="B163" i="19"/>
  <c r="C159" i="19"/>
  <c r="C155" i="19"/>
  <c r="C150" i="19"/>
  <c r="C139" i="19"/>
  <c r="B138" i="19"/>
  <c r="C127" i="19"/>
  <c r="B12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B428" i="19"/>
  <c r="C315" i="19"/>
  <c r="C304" i="19"/>
  <c r="B287" i="19"/>
  <c r="B275" i="19"/>
  <c r="C265" i="19"/>
  <c r="B227" i="19"/>
  <c r="B207" i="19"/>
  <c r="C194" i="19"/>
  <c r="C177" i="19"/>
  <c r="C169" i="19"/>
  <c r="B166" i="19"/>
  <c r="B159" i="19"/>
  <c r="B155" i="19"/>
  <c r="B150" i="19"/>
  <c r="B315" i="19"/>
  <c r="B304" i="19"/>
  <c r="C299" i="19"/>
  <c r="B286" i="19"/>
  <c r="C224" i="19"/>
  <c r="C211" i="19"/>
  <c r="B420" i="19"/>
  <c r="B385" i="19"/>
  <c r="C320" i="19"/>
  <c r="B299" i="19"/>
  <c r="C235" i="19"/>
  <c r="B224" i="19"/>
  <c r="B215" i="19"/>
  <c r="B211" i="19"/>
  <c r="C188" i="19"/>
  <c r="B182" i="19"/>
  <c r="B173" i="19"/>
  <c r="C165" i="19"/>
  <c r="B151" i="19"/>
  <c r="C135" i="19"/>
  <c r="B130" i="19"/>
  <c r="B122" i="19"/>
  <c r="B90" i="19"/>
  <c r="B86" i="19"/>
  <c r="B81" i="19"/>
  <c r="B75" i="19"/>
  <c r="C64" i="19"/>
  <c r="B63" i="19"/>
  <c r="C290" i="19"/>
  <c r="B235" i="19"/>
  <c r="C229" i="19"/>
  <c r="C198" i="19"/>
  <c r="B188" i="19"/>
  <c r="C170" i="19"/>
  <c r="B167" i="19"/>
  <c r="C153" i="19"/>
  <c r="C128" i="19"/>
  <c r="C120" i="19"/>
  <c r="B115" i="19"/>
  <c r="B112" i="19"/>
  <c r="B109" i="19"/>
  <c r="B106" i="19"/>
  <c r="B103" i="19"/>
  <c r="B100" i="19"/>
  <c r="B97" i="19"/>
  <c r="B94" i="19"/>
  <c r="C65" i="19"/>
  <c r="B64" i="19"/>
  <c r="C267" i="19"/>
  <c r="B194" i="19"/>
  <c r="B172" i="19"/>
  <c r="B170" i="19"/>
  <c r="C164" i="19"/>
  <c r="B162" i="19"/>
  <c r="B153" i="19"/>
  <c r="C147" i="19"/>
  <c r="C145" i="19"/>
  <c r="C143" i="19"/>
  <c r="C141" i="19"/>
  <c r="C133" i="19"/>
  <c r="B128" i="19"/>
  <c r="B120" i="19"/>
  <c r="B82" i="19"/>
  <c r="B76" i="19"/>
  <c r="C66" i="19"/>
  <c r="B65" i="19"/>
  <c r="C336" i="19"/>
  <c r="B267" i="19"/>
  <c r="C223" i="19"/>
  <c r="C219" i="19"/>
  <c r="B191" i="19"/>
  <c r="B184" i="19"/>
  <c r="B178" i="19"/>
  <c r="B164" i="19"/>
  <c r="B145" i="19"/>
  <c r="B143" i="19"/>
  <c r="B141" i="19"/>
  <c r="B133" i="19"/>
  <c r="C118" i="19"/>
  <c r="B91" i="19"/>
  <c r="B87" i="19"/>
  <c r="C67" i="19"/>
  <c r="B66" i="19"/>
  <c r="C381" i="19"/>
  <c r="C318" i="19"/>
  <c r="C228" i="19"/>
  <c r="B190" i="19"/>
  <c r="C180" i="19"/>
  <c r="B177" i="19"/>
  <c r="B157" i="19"/>
  <c r="B139" i="19"/>
  <c r="B131" i="19"/>
  <c r="C401" i="19"/>
  <c r="C251" i="19"/>
  <c r="C213" i="19"/>
  <c r="B197" i="19"/>
  <c r="B180" i="19"/>
  <c r="C152" i="19"/>
  <c r="C129" i="19"/>
  <c r="C121" i="19"/>
  <c r="B116" i="19"/>
  <c r="B92" i="19"/>
  <c r="B88" i="19"/>
  <c r="B84" i="19"/>
  <c r="B210" i="19"/>
  <c r="B169" i="19"/>
  <c r="C123" i="19"/>
  <c r="B104" i="19"/>
  <c r="B99" i="19"/>
  <c r="C70" i="19"/>
  <c r="B61" i="19"/>
  <c r="C58" i="19"/>
  <c r="C54" i="19"/>
  <c r="C50" i="19"/>
  <c r="C46" i="19"/>
  <c r="C41" i="19"/>
  <c r="B40" i="19"/>
  <c r="C29" i="19"/>
  <c r="B28" i="19"/>
  <c r="C313" i="19"/>
  <c r="C250" i="19"/>
  <c r="C226" i="19"/>
  <c r="B217" i="19"/>
  <c r="C200" i="19"/>
  <c r="C193" i="19"/>
  <c r="B129" i="19"/>
  <c r="C117" i="19"/>
  <c r="B89" i="19"/>
  <c r="B70" i="19"/>
  <c r="B58" i="19"/>
  <c r="B54" i="19"/>
  <c r="B50" i="19"/>
  <c r="B46" i="19"/>
  <c r="C42" i="19"/>
  <c r="B41" i="19"/>
  <c r="C30" i="19"/>
  <c r="B29" i="19"/>
  <c r="B250" i="19"/>
  <c r="B226" i="19"/>
  <c r="B200" i="19"/>
  <c r="B193" i="19"/>
  <c r="C146" i="19"/>
  <c r="C142" i="19"/>
  <c r="B117" i="19"/>
  <c r="B114" i="19"/>
  <c r="B101" i="19"/>
  <c r="B96" i="19"/>
  <c r="C68" i="19"/>
  <c r="B42" i="19"/>
  <c r="C31" i="19"/>
  <c r="B30" i="19"/>
  <c r="C312" i="19"/>
  <c r="C192" i="19"/>
  <c r="B146" i="19"/>
  <c r="B142" i="19"/>
  <c r="C132" i="19"/>
  <c r="C73" i="19"/>
  <c r="B68" i="19"/>
  <c r="C62" i="19"/>
  <c r="C59" i="19"/>
  <c r="C55" i="19"/>
  <c r="C51" i="19"/>
  <c r="C47" i="19"/>
  <c r="C43" i="19"/>
  <c r="C32" i="19"/>
  <c r="B31" i="19"/>
  <c r="C277" i="19"/>
  <c r="B237" i="19"/>
  <c r="C173" i="19"/>
  <c r="C122" i="19"/>
  <c r="B119" i="19"/>
  <c r="C71" i="19"/>
  <c r="C34" i="19"/>
  <c r="B33" i="19"/>
  <c r="C289" i="19"/>
  <c r="C157" i="19"/>
  <c r="C131" i="19"/>
  <c r="B113" i="19"/>
  <c r="B108" i="19"/>
  <c r="B95" i="19"/>
  <c r="B71" i="19"/>
  <c r="C56" i="19"/>
  <c r="C52" i="19"/>
  <c r="C48" i="19"/>
  <c r="C44" i="19"/>
  <c r="C35" i="19"/>
  <c r="B34" i="19"/>
  <c r="B213" i="19"/>
  <c r="C204" i="19"/>
  <c r="B152" i="19"/>
  <c r="C134" i="19"/>
  <c r="C69" i="19"/>
  <c r="C63" i="19"/>
  <c r="C60" i="19"/>
  <c r="B56" i="19"/>
  <c r="B52" i="19"/>
  <c r="B48" i="19"/>
  <c r="B44" i="19"/>
  <c r="C36" i="19"/>
  <c r="B35" i="19"/>
  <c r="C369" i="19"/>
  <c r="C244" i="19"/>
  <c r="B221" i="19"/>
  <c r="B204" i="19"/>
  <c r="C156" i="19"/>
  <c r="C144" i="19"/>
  <c r="B134" i="19"/>
  <c r="B121" i="19"/>
  <c r="B118" i="19"/>
  <c r="B110" i="19"/>
  <c r="B105" i="19"/>
  <c r="B83" i="19"/>
  <c r="C74" i="19"/>
  <c r="B69" i="19"/>
  <c r="B60" i="19"/>
  <c r="C37" i="19"/>
  <c r="B36" i="19"/>
  <c r="B192" i="19"/>
  <c r="C116" i="19"/>
  <c r="B93" i="19"/>
  <c r="B80" i="19"/>
  <c r="C25" i="19"/>
  <c r="C23" i="19"/>
  <c r="C21" i="19"/>
  <c r="C19" i="19"/>
  <c r="C17" i="19"/>
  <c r="C15" i="19"/>
  <c r="C13" i="19"/>
  <c r="C11" i="19"/>
  <c r="C9" i="19"/>
  <c r="C7" i="19"/>
  <c r="C5" i="19"/>
  <c r="B369" i="19"/>
  <c r="B244" i="19"/>
  <c r="B156" i="19"/>
  <c r="B144" i="19"/>
  <c r="B74" i="19"/>
  <c r="B37" i="19"/>
  <c r="B25" i="19"/>
  <c r="B23" i="19"/>
  <c r="B21" i="19"/>
  <c r="B19" i="19"/>
  <c r="B17" i="19"/>
  <c r="B15" i="19"/>
  <c r="B13" i="19"/>
  <c r="B11" i="19"/>
  <c r="B9" i="19"/>
  <c r="B7" i="19"/>
  <c r="B5" i="19"/>
  <c r="B243" i="19"/>
  <c r="B107" i="19"/>
  <c r="B85" i="19"/>
  <c r="B79" i="19"/>
  <c r="C27" i="19"/>
  <c r="A3" i="19"/>
  <c r="C212" i="19"/>
  <c r="C40" i="19"/>
  <c r="B27" i="19"/>
  <c r="C237" i="19"/>
  <c r="C168" i="19"/>
  <c r="B132" i="19"/>
  <c r="B98" i="19"/>
  <c r="B78" i="19"/>
  <c r="B73" i="19"/>
  <c r="B59" i="19"/>
  <c r="B55" i="19"/>
  <c r="B51" i="19"/>
  <c r="B47" i="19"/>
  <c r="B43" i="19"/>
  <c r="C33" i="19"/>
  <c r="C140" i="19"/>
  <c r="B140" i="19"/>
  <c r="B77" i="19"/>
  <c r="C72" i="19"/>
  <c r="B67" i="19"/>
  <c r="C39" i="19"/>
  <c r="C24" i="19"/>
  <c r="C22" i="19"/>
  <c r="C20" i="19"/>
  <c r="C18" i="19"/>
  <c r="C16" i="19"/>
  <c r="C14" i="19"/>
  <c r="C12" i="19"/>
  <c r="C10" i="19"/>
  <c r="C8" i="19"/>
  <c r="C6" i="19"/>
  <c r="C4" i="19"/>
  <c r="C182" i="19"/>
  <c r="C151" i="19"/>
  <c r="C130" i="19"/>
  <c r="B72" i="19"/>
  <c r="B39" i="19"/>
  <c r="C26" i="19"/>
  <c r="B24" i="19"/>
  <c r="B22" i="19"/>
  <c r="B20" i="19"/>
  <c r="B18" i="19"/>
  <c r="B16" i="19"/>
  <c r="B14" i="19"/>
  <c r="B12" i="19"/>
  <c r="B10" i="19"/>
  <c r="B8" i="19"/>
  <c r="B6" i="19"/>
  <c r="B4" i="19"/>
  <c r="B312" i="19"/>
  <c r="B263" i="19"/>
  <c r="C119" i="19"/>
  <c r="B111" i="19"/>
  <c r="B62" i="19"/>
  <c r="B32" i="19"/>
  <c r="B26" i="19"/>
  <c r="B127" i="19"/>
  <c r="C57" i="19"/>
  <c r="C53" i="19"/>
  <c r="C49" i="19"/>
  <c r="C45" i="19"/>
  <c r="C38" i="19"/>
  <c r="C302" i="19"/>
  <c r="B102" i="19"/>
  <c r="B57" i="19"/>
  <c r="B53" i="19"/>
  <c r="B49" i="19"/>
  <c r="B45" i="19"/>
  <c r="B38" i="19"/>
  <c r="B302" i="19"/>
  <c r="C256" i="19"/>
  <c r="C176" i="19"/>
  <c r="C160" i="19"/>
  <c r="C61" i="19"/>
  <c r="C28" i="19"/>
  <c r="B153" i="18"/>
  <c r="C354" i="18"/>
  <c r="B217" i="18"/>
  <c r="C183" i="18"/>
  <c r="B145" i="18"/>
  <c r="B126" i="18"/>
  <c r="B109" i="18"/>
  <c r="C73" i="18"/>
  <c r="C56" i="18"/>
  <c r="B34" i="18"/>
  <c r="B20" i="18"/>
  <c r="C10" i="18"/>
  <c r="C395" i="18"/>
  <c r="C215" i="18"/>
  <c r="C181" i="18"/>
  <c r="C143" i="18"/>
  <c r="B124" i="18"/>
  <c r="C107" i="18"/>
  <c r="B90" i="18"/>
  <c r="B73" i="18"/>
  <c r="B10" i="18"/>
  <c r="C362" i="18"/>
  <c r="B215" i="18"/>
  <c r="B177" i="18"/>
  <c r="B143" i="18"/>
  <c r="B122" i="18"/>
  <c r="C105" i="18"/>
  <c r="B88" i="18"/>
  <c r="C71" i="18"/>
  <c r="B54" i="18"/>
  <c r="B32" i="18"/>
  <c r="C18" i="18"/>
  <c r="C8" i="18"/>
  <c r="B354" i="18"/>
  <c r="C211" i="18"/>
  <c r="B173" i="18"/>
  <c r="C139" i="18"/>
  <c r="C121" i="18"/>
  <c r="C104" i="18"/>
  <c r="B86" i="18"/>
  <c r="C69" i="18"/>
  <c r="B52" i="18"/>
  <c r="B30" i="18"/>
  <c r="B18" i="18"/>
  <c r="B8" i="18"/>
  <c r="B353" i="18"/>
  <c r="C207" i="18"/>
  <c r="B169" i="18"/>
  <c r="B136" i="18"/>
  <c r="B121" i="18"/>
  <c r="B102" i="18"/>
  <c r="C85" i="18"/>
  <c r="C68" i="18"/>
  <c r="B50" i="18"/>
  <c r="B28" i="18"/>
  <c r="C16" i="18"/>
  <c r="C352" i="18"/>
  <c r="C205" i="18"/>
  <c r="C167" i="18"/>
  <c r="B134" i="18"/>
  <c r="C119" i="18"/>
  <c r="B100" i="18"/>
  <c r="B85" i="18"/>
  <c r="B66" i="18"/>
  <c r="B48" i="18"/>
  <c r="B16" i="18"/>
  <c r="C6" i="18"/>
  <c r="C327" i="18"/>
  <c r="B201" i="18"/>
  <c r="B167" i="18"/>
  <c r="C133" i="18"/>
  <c r="C117" i="18"/>
  <c r="B98" i="18"/>
  <c r="C83" i="18"/>
  <c r="B64" i="18"/>
  <c r="B46" i="18"/>
  <c r="B26" i="18"/>
  <c r="B6" i="18"/>
  <c r="B327" i="18"/>
  <c r="B197" i="18"/>
  <c r="C163" i="18"/>
  <c r="B133" i="18"/>
  <c r="C116" i="18"/>
  <c r="C97" i="18"/>
  <c r="C81" i="18"/>
  <c r="B62" i="18"/>
  <c r="B44" i="18"/>
  <c r="B24" i="18"/>
  <c r="C14" i="18"/>
  <c r="C4" i="18"/>
  <c r="B298" i="18"/>
  <c r="B193" i="18"/>
  <c r="C159" i="18"/>
  <c r="C131" i="18"/>
  <c r="B114" i="18"/>
  <c r="B97" i="18"/>
  <c r="C80" i="18"/>
  <c r="C61" i="18"/>
  <c r="B42" i="18"/>
  <c r="B14" i="18"/>
  <c r="B4" i="18"/>
  <c r="C229" i="18"/>
  <c r="C191" i="18"/>
  <c r="C157" i="18"/>
  <c r="C129" i="18"/>
  <c r="B112" i="18"/>
  <c r="C95" i="18"/>
  <c r="B78" i="18"/>
  <c r="B61" i="18"/>
  <c r="B40" i="18"/>
  <c r="C22" i="18"/>
  <c r="C12" i="18"/>
  <c r="B225" i="18"/>
  <c r="C20" i="18"/>
  <c r="B36" i="18"/>
  <c r="C57" i="18"/>
  <c r="B74" i="18"/>
  <c r="C92" i="18"/>
  <c r="C109" i="18"/>
  <c r="B149" i="18"/>
  <c r="C187" i="18"/>
  <c r="B221" i="18"/>
  <c r="C54" i="18"/>
  <c r="B59" i="18"/>
  <c r="C66" i="18"/>
  <c r="B71" i="18"/>
  <c r="C78" i="18"/>
  <c r="B83" i="18"/>
  <c r="C90" i="18"/>
  <c r="B95" i="18"/>
  <c r="C102" i="18"/>
  <c r="B107" i="18"/>
  <c r="C114" i="18"/>
  <c r="B119" i="18"/>
  <c r="C126" i="18"/>
  <c r="B131" i="18"/>
  <c r="C153" i="18"/>
  <c r="B163" i="18"/>
  <c r="C177" i="18"/>
  <c r="B187" i="18"/>
  <c r="C201" i="18"/>
  <c r="B211" i="18"/>
  <c r="C225" i="18"/>
  <c r="C24" i="18"/>
  <c r="C26" i="18"/>
  <c r="C28" i="18"/>
  <c r="C30" i="18"/>
  <c r="C32" i="18"/>
  <c r="C34" i="18"/>
  <c r="C36" i="18"/>
  <c r="C38" i="18"/>
  <c r="C40" i="18"/>
  <c r="C42" i="18"/>
  <c r="C44" i="18"/>
  <c r="C46" i="18"/>
  <c r="C48" i="18"/>
  <c r="C50" i="18"/>
  <c r="C52" i="18"/>
  <c r="B57" i="18"/>
  <c r="C64" i="18"/>
  <c r="B69" i="18"/>
  <c r="C76" i="18"/>
  <c r="B81" i="18"/>
  <c r="C88" i="18"/>
  <c r="B93" i="18"/>
  <c r="C100" i="18"/>
  <c r="B105" i="18"/>
  <c r="C112" i="18"/>
  <c r="B117" i="18"/>
  <c r="C124" i="18"/>
  <c r="B129" i="18"/>
  <c r="C136" i="18"/>
  <c r="C149" i="18"/>
  <c r="B159" i="18"/>
  <c r="C173" i="18"/>
  <c r="B183" i="18"/>
  <c r="C197" i="18"/>
  <c r="B207" i="18"/>
  <c r="C221" i="18"/>
  <c r="C273" i="18"/>
  <c r="B285" i="18"/>
  <c r="C298" i="18"/>
  <c r="C318" i="18"/>
  <c r="C440" i="18"/>
  <c r="C434" i="18"/>
  <c r="C428" i="18"/>
  <c r="C422" i="18"/>
  <c r="C416" i="18"/>
  <c r="C410" i="18"/>
  <c r="C404" i="18"/>
  <c r="C398" i="18"/>
  <c r="B440" i="18"/>
  <c r="B434" i="18"/>
  <c r="B428" i="18"/>
  <c r="B422" i="18"/>
  <c r="B416" i="18"/>
  <c r="B410" i="18"/>
  <c r="B404" i="18"/>
  <c r="B398" i="18"/>
  <c r="C441" i="18"/>
  <c r="C435" i="18"/>
  <c r="C429" i="18"/>
  <c r="C423" i="18"/>
  <c r="C417" i="18"/>
  <c r="C411" i="18"/>
  <c r="C405" i="18"/>
  <c r="C399" i="18"/>
  <c r="B441" i="18"/>
  <c r="B435" i="18"/>
  <c r="B429" i="18"/>
  <c r="B423" i="18"/>
  <c r="B417" i="18"/>
  <c r="B411" i="18"/>
  <c r="B405" i="18"/>
  <c r="B399" i="18"/>
  <c r="C442" i="18"/>
  <c r="C436" i="18"/>
  <c r="C420" i="18"/>
  <c r="C418" i="18"/>
  <c r="C402" i="18"/>
  <c r="C400" i="18"/>
  <c r="B395" i="18"/>
  <c r="B392" i="18"/>
  <c r="B388" i="18"/>
  <c r="C381" i="18"/>
  <c r="B380" i="18"/>
  <c r="C369" i="18"/>
  <c r="B368" i="18"/>
  <c r="C357" i="18"/>
  <c r="B356" i="18"/>
  <c r="C345" i="18"/>
  <c r="B344" i="18"/>
  <c r="B436" i="18"/>
  <c r="B420" i="18"/>
  <c r="B418" i="18"/>
  <c r="B402" i="18"/>
  <c r="B400" i="18"/>
  <c r="C389" i="18"/>
  <c r="C382" i="18"/>
  <c r="B381" i="18"/>
  <c r="C370" i="18"/>
  <c r="B369" i="18"/>
  <c r="C358" i="18"/>
  <c r="B357" i="18"/>
  <c r="C346" i="18"/>
  <c r="B345" i="18"/>
  <c r="B442" i="18"/>
  <c r="C438" i="18"/>
  <c r="C427" i="18"/>
  <c r="C425" i="18"/>
  <c r="C409" i="18"/>
  <c r="C407" i="18"/>
  <c r="B389" i="18"/>
  <c r="C383" i="18"/>
  <c r="B382" i="18"/>
  <c r="C371" i="18"/>
  <c r="B370" i="18"/>
  <c r="C359" i="18"/>
  <c r="B358" i="18"/>
  <c r="C347" i="18"/>
  <c r="B346" i="18"/>
  <c r="B438" i="18"/>
  <c r="B427" i="18"/>
  <c r="B425" i="18"/>
  <c r="B409" i="18"/>
  <c r="B407" i="18"/>
  <c r="C393" i="18"/>
  <c r="C384" i="18"/>
  <c r="B383" i="18"/>
  <c r="C372" i="18"/>
  <c r="B371" i="18"/>
  <c r="C360" i="18"/>
  <c r="B359" i="18"/>
  <c r="C348" i="18"/>
  <c r="B347" i="18"/>
  <c r="C432" i="18"/>
  <c r="C424" i="18"/>
  <c r="C408" i="18"/>
  <c r="C390" i="18"/>
  <c r="C373" i="18"/>
  <c r="C365" i="18"/>
  <c r="B360" i="18"/>
  <c r="B352" i="18"/>
  <c r="C315" i="18"/>
  <c r="C311" i="18"/>
  <c r="C307" i="18"/>
  <c r="C303" i="18"/>
  <c r="C299" i="18"/>
  <c r="C295" i="18"/>
  <c r="C291" i="18"/>
  <c r="C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432" i="18"/>
  <c r="B424" i="18"/>
  <c r="B408" i="18"/>
  <c r="B390" i="18"/>
  <c r="C378" i="18"/>
  <c r="B373" i="18"/>
  <c r="B365" i="18"/>
  <c r="C350" i="18"/>
  <c r="C342" i="18"/>
  <c r="B315" i="18"/>
  <c r="B311" i="18"/>
  <c r="B307" i="18"/>
  <c r="B303" i="18"/>
  <c r="B299" i="18"/>
  <c r="B295" i="18"/>
  <c r="B291" i="18"/>
  <c r="C421" i="18"/>
  <c r="C413" i="18"/>
  <c r="C397" i="18"/>
  <c r="B378" i="18"/>
  <c r="C363" i="18"/>
  <c r="C355" i="18"/>
  <c r="B350" i="18"/>
  <c r="B342" i="18"/>
  <c r="C337" i="18"/>
  <c r="C334" i="18"/>
  <c r="C331" i="18"/>
  <c r="C328" i="18"/>
  <c r="C325" i="18"/>
  <c r="C322" i="18"/>
  <c r="C319" i="18"/>
  <c r="C287" i="18"/>
  <c r="C437" i="18"/>
  <c r="B421" i="18"/>
  <c r="B413" i="18"/>
  <c r="B397" i="18"/>
  <c r="C394" i="18"/>
  <c r="C392" i="18"/>
  <c r="C388" i="18"/>
  <c r="C386" i="18"/>
  <c r="C376" i="18"/>
  <c r="C368" i="18"/>
  <c r="B363" i="18"/>
  <c r="B355" i="18"/>
  <c r="C340" i="18"/>
  <c r="B337" i="18"/>
  <c r="B334" i="18"/>
  <c r="B331" i="18"/>
  <c r="B328" i="18"/>
  <c r="B325" i="18"/>
  <c r="B322" i="18"/>
  <c r="B319" i="18"/>
  <c r="C316" i="18"/>
  <c r="C312" i="18"/>
  <c r="C308" i="18"/>
  <c r="C304" i="18"/>
  <c r="C300" i="18"/>
  <c r="C296" i="18"/>
  <c r="C292" i="18"/>
  <c r="C288" i="18"/>
  <c r="B287" i="18"/>
  <c r="C443" i="18"/>
  <c r="B437" i="18"/>
  <c r="C426" i="18"/>
  <c r="C412" i="18"/>
  <c r="C396" i="18"/>
  <c r="B394" i="18"/>
  <c r="B386" i="18"/>
  <c r="B384" i="18"/>
  <c r="B376" i="18"/>
  <c r="C361" i="18"/>
  <c r="C353" i="18"/>
  <c r="B348" i="18"/>
  <c r="B340" i="18"/>
  <c r="B430" i="18"/>
  <c r="B403" i="18"/>
  <c r="B387" i="18"/>
  <c r="C367" i="18"/>
  <c r="B364" i="18"/>
  <c r="B339" i="18"/>
  <c r="B286" i="18"/>
  <c r="C281" i="18"/>
  <c r="C275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B393" i="18"/>
  <c r="C375" i="18"/>
  <c r="B372" i="18"/>
  <c r="B367" i="18"/>
  <c r="C336" i="18"/>
  <c r="C326" i="18"/>
  <c r="C324" i="18"/>
  <c r="C317" i="18"/>
  <c r="C313" i="18"/>
  <c r="C309" i="18"/>
  <c r="C305" i="18"/>
  <c r="C301" i="18"/>
  <c r="C297" i="18"/>
  <c r="C293" i="18"/>
  <c r="C289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C406" i="18"/>
  <c r="C401" i="18"/>
  <c r="B375" i="18"/>
  <c r="C366" i="18"/>
  <c r="C341" i="18"/>
  <c r="C338" i="18"/>
  <c r="B336" i="18"/>
  <c r="B326" i="18"/>
  <c r="B324" i="18"/>
  <c r="B317" i="18"/>
  <c r="B313" i="18"/>
  <c r="B309" i="18"/>
  <c r="B305" i="18"/>
  <c r="B301" i="18"/>
  <c r="B297" i="18"/>
  <c r="B293" i="18"/>
  <c r="B289" i="18"/>
  <c r="C282" i="18"/>
  <c r="C276" i="18"/>
  <c r="C270" i="18"/>
  <c r="C439" i="18"/>
  <c r="C415" i="18"/>
  <c r="B406" i="18"/>
  <c r="B401" i="18"/>
  <c r="B396" i="18"/>
  <c r="C374" i="18"/>
  <c r="B366" i="18"/>
  <c r="C349" i="18"/>
  <c r="C344" i="18"/>
  <c r="B341" i="18"/>
  <c r="B338" i="18"/>
  <c r="C333" i="18"/>
  <c r="C430" i="18"/>
  <c r="C403" i="18"/>
  <c r="C387" i="18"/>
  <c r="C364" i="18"/>
  <c r="B361" i="18"/>
  <c r="C339" i="18"/>
  <c r="C286" i="18"/>
  <c r="B431" i="18"/>
  <c r="B414" i="18"/>
  <c r="C391" i="18"/>
  <c r="B362" i="18"/>
  <c r="B333" i="18"/>
  <c r="C329" i="18"/>
  <c r="C321" i="18"/>
  <c r="B318" i="18"/>
  <c r="C314" i="18"/>
  <c r="B300" i="18"/>
  <c r="C290" i="18"/>
  <c r="C272" i="18"/>
  <c r="B391" i="18"/>
  <c r="C385" i="18"/>
  <c r="C351" i="18"/>
  <c r="B329" i="18"/>
  <c r="B321" i="18"/>
  <c r="B314" i="18"/>
  <c r="B290" i="18"/>
  <c r="C278" i="18"/>
  <c r="B385" i="18"/>
  <c r="C380" i="18"/>
  <c r="B351" i="18"/>
  <c r="C332" i="18"/>
  <c r="C310" i="18"/>
  <c r="B296" i="18"/>
  <c r="C284" i="18"/>
  <c r="C274" i="18"/>
  <c r="B412" i="18"/>
  <c r="B374" i="18"/>
  <c r="C356" i="18"/>
  <c r="B332" i="18"/>
  <c r="B310" i="18"/>
  <c r="C280" i="18"/>
  <c r="B443" i="18"/>
  <c r="C419" i="18"/>
  <c r="C379" i="18"/>
  <c r="C320" i="18"/>
  <c r="B316" i="18"/>
  <c r="C306" i="18"/>
  <c r="B292" i="18"/>
  <c r="B419" i="18"/>
  <c r="B379" i="18"/>
  <c r="C335" i="18"/>
  <c r="C323" i="18"/>
  <c r="B320" i="18"/>
  <c r="B306" i="18"/>
  <c r="C271" i="18"/>
  <c r="B349" i="18"/>
  <c r="B323" i="18"/>
  <c r="C302" i="18"/>
  <c r="B288" i="18"/>
  <c r="B139" i="18"/>
  <c r="B302" i="18"/>
  <c r="C283" i="18"/>
  <c r="C137" i="18"/>
  <c r="C433" i="18"/>
  <c r="C377" i="18"/>
  <c r="C330" i="18"/>
  <c r="B308" i="18"/>
  <c r="C279" i="18"/>
  <c r="C228" i="18"/>
  <c r="C226" i="18"/>
  <c r="C224" i="18"/>
  <c r="C222" i="18"/>
  <c r="C220" i="18"/>
  <c r="C218" i="18"/>
  <c r="C216" i="18"/>
  <c r="C214" i="18"/>
  <c r="C212" i="18"/>
  <c r="C210" i="18"/>
  <c r="C208" i="18"/>
  <c r="C206" i="18"/>
  <c r="C204" i="18"/>
  <c r="C202" i="18"/>
  <c r="C200" i="18"/>
  <c r="C198" i="18"/>
  <c r="C196" i="18"/>
  <c r="C194" i="18"/>
  <c r="C192" i="18"/>
  <c r="C190" i="18"/>
  <c r="C188" i="18"/>
  <c r="C186" i="18"/>
  <c r="C184" i="18"/>
  <c r="C182" i="18"/>
  <c r="C180" i="18"/>
  <c r="C178" i="18"/>
  <c r="C176" i="18"/>
  <c r="C174" i="18"/>
  <c r="C172" i="18"/>
  <c r="C170" i="18"/>
  <c r="C168" i="18"/>
  <c r="C166" i="18"/>
  <c r="C164" i="18"/>
  <c r="C162" i="18"/>
  <c r="C160" i="18"/>
  <c r="C158" i="18"/>
  <c r="C156" i="18"/>
  <c r="C154" i="18"/>
  <c r="C152" i="18"/>
  <c r="C150" i="18"/>
  <c r="C148" i="18"/>
  <c r="C146" i="18"/>
  <c r="C144" i="18"/>
  <c r="C142" i="18"/>
  <c r="B137" i="18"/>
  <c r="B433" i="18"/>
  <c r="B377" i="18"/>
  <c r="B330" i="18"/>
  <c r="B228" i="18"/>
  <c r="B226" i="18"/>
  <c r="B224" i="18"/>
  <c r="B222" i="18"/>
  <c r="B220" i="18"/>
  <c r="B218" i="18"/>
  <c r="B216" i="18"/>
  <c r="B214" i="18"/>
  <c r="B212" i="18"/>
  <c r="B210" i="18"/>
  <c r="B208" i="18"/>
  <c r="B206" i="18"/>
  <c r="B204" i="18"/>
  <c r="B202" i="18"/>
  <c r="B200" i="18"/>
  <c r="B198" i="18"/>
  <c r="B196" i="18"/>
  <c r="B194" i="18"/>
  <c r="B192" i="18"/>
  <c r="B190" i="18"/>
  <c r="B188" i="18"/>
  <c r="B186" i="18"/>
  <c r="B184" i="18"/>
  <c r="B182" i="18"/>
  <c r="B180" i="18"/>
  <c r="B178" i="18"/>
  <c r="B176" i="18"/>
  <c r="B174" i="18"/>
  <c r="B172" i="18"/>
  <c r="B170" i="18"/>
  <c r="B168" i="18"/>
  <c r="B166" i="18"/>
  <c r="B164" i="18"/>
  <c r="B162" i="18"/>
  <c r="B160" i="18"/>
  <c r="B158" i="18"/>
  <c r="B156" i="18"/>
  <c r="B154" i="18"/>
  <c r="B152" i="18"/>
  <c r="B150" i="18"/>
  <c r="B148" i="18"/>
  <c r="B146" i="18"/>
  <c r="B144" i="18"/>
  <c r="B142" i="18"/>
  <c r="B415" i="18"/>
  <c r="C294" i="18"/>
  <c r="C140" i="18"/>
  <c r="C431" i="18"/>
  <c r="C414" i="18"/>
  <c r="B294" i="18"/>
  <c r="B140" i="18"/>
  <c r="B335" i="18"/>
  <c r="B312" i="18"/>
  <c r="C277" i="18"/>
  <c r="C138" i="18"/>
  <c r="B55" i="18"/>
  <c r="C62" i="18"/>
  <c r="B67" i="18"/>
  <c r="C74" i="18"/>
  <c r="B79" i="18"/>
  <c r="C86" i="18"/>
  <c r="B91" i="18"/>
  <c r="C98" i="18"/>
  <c r="B103" i="18"/>
  <c r="C110" i="18"/>
  <c r="B115" i="18"/>
  <c r="C122" i="18"/>
  <c r="B127" i="18"/>
  <c r="C134" i="18"/>
  <c r="B141" i="18"/>
  <c r="C145" i="18"/>
  <c r="B155" i="18"/>
  <c r="C169" i="18"/>
  <c r="B179" i="18"/>
  <c r="C193" i="18"/>
  <c r="B203" i="18"/>
  <c r="C217" i="18"/>
  <c r="B227" i="18"/>
  <c r="C55" i="18"/>
  <c r="B60" i="18"/>
  <c r="C67" i="18"/>
  <c r="B72" i="18"/>
  <c r="C79" i="18"/>
  <c r="B84" i="18"/>
  <c r="C91" i="18"/>
  <c r="B96" i="18"/>
  <c r="C103" i="18"/>
  <c r="B108" i="18"/>
  <c r="C115" i="18"/>
  <c r="B120" i="18"/>
  <c r="C127" i="18"/>
  <c r="B132" i="18"/>
  <c r="C141" i="18"/>
  <c r="C155" i="18"/>
  <c r="B165" i="18"/>
  <c r="C179" i="18"/>
  <c r="B189" i="18"/>
  <c r="C203" i="18"/>
  <c r="B213" i="18"/>
  <c r="C227" i="18"/>
  <c r="B304" i="18"/>
  <c r="A3" i="18"/>
  <c r="B53" i="18"/>
  <c r="C60" i="18"/>
  <c r="B65" i="18"/>
  <c r="C72" i="18"/>
  <c r="B77" i="18"/>
  <c r="C84" i="18"/>
  <c r="B89" i="18"/>
  <c r="C96" i="18"/>
  <c r="B101" i="18"/>
  <c r="C108" i="18"/>
  <c r="B113" i="18"/>
  <c r="C120" i="18"/>
  <c r="B125" i="18"/>
  <c r="C132" i="18"/>
  <c r="B151" i="18"/>
  <c r="C165" i="18"/>
  <c r="B175" i="18"/>
  <c r="C189" i="18"/>
  <c r="B199" i="18"/>
  <c r="C213" i="18"/>
  <c r="B223" i="18"/>
  <c r="B343" i="18"/>
  <c r="B5" i="18"/>
  <c r="B7" i="18"/>
  <c r="B9" i="18"/>
  <c r="B11" i="18"/>
  <c r="B13" i="18"/>
  <c r="B15" i="18"/>
  <c r="B17" i="18"/>
  <c r="B19" i="18"/>
  <c r="B21" i="18"/>
  <c r="B23" i="18"/>
  <c r="B25" i="18"/>
  <c r="B27" i="18"/>
  <c r="B29" i="18"/>
  <c r="B31" i="18"/>
  <c r="B33" i="18"/>
  <c r="B35" i="18"/>
  <c r="B37" i="18"/>
  <c r="B39" i="18"/>
  <c r="B41" i="18"/>
  <c r="B43" i="18"/>
  <c r="B45" i="18"/>
  <c r="B47" i="18"/>
  <c r="B49" i="18"/>
  <c r="B51" i="18"/>
  <c r="C53" i="18"/>
  <c r="B58" i="18"/>
  <c r="C65" i="18"/>
  <c r="B70" i="18"/>
  <c r="C77" i="18"/>
  <c r="B82" i="18"/>
  <c r="C89" i="18"/>
  <c r="B94" i="18"/>
  <c r="C101" i="18"/>
  <c r="B106" i="18"/>
  <c r="C113" i="18"/>
  <c r="B118" i="18"/>
  <c r="C125" i="18"/>
  <c r="B130" i="18"/>
  <c r="C151" i="18"/>
  <c r="B161" i="18"/>
  <c r="C175" i="18"/>
  <c r="B185" i="18"/>
  <c r="C199" i="18"/>
  <c r="B209" i="18"/>
  <c r="C223" i="18"/>
  <c r="C343" i="18"/>
  <c r="C5" i="18"/>
  <c r="C7" i="18"/>
  <c r="C9" i="18"/>
  <c r="C11" i="18"/>
  <c r="C13" i="18"/>
  <c r="C15" i="18"/>
  <c r="C17" i="18"/>
  <c r="C19" i="18"/>
  <c r="C21" i="18"/>
  <c r="C23" i="18"/>
  <c r="C25" i="18"/>
  <c r="C27" i="18"/>
  <c r="C29" i="18"/>
  <c r="C31" i="18"/>
  <c r="C33" i="18"/>
  <c r="C35" i="18"/>
  <c r="C37" i="18"/>
  <c r="C39" i="18"/>
  <c r="C41" i="18"/>
  <c r="C43" i="18"/>
  <c r="C45" i="18"/>
  <c r="C47" i="18"/>
  <c r="C49" i="18"/>
  <c r="C51" i="18"/>
  <c r="C58" i="18"/>
  <c r="B63" i="18"/>
  <c r="C70" i="18"/>
  <c r="B75" i="18"/>
  <c r="C82" i="18"/>
  <c r="B87" i="18"/>
  <c r="C94" i="18"/>
  <c r="B99" i="18"/>
  <c r="C106" i="18"/>
  <c r="B111" i="18"/>
  <c r="C118" i="18"/>
  <c r="B123" i="18"/>
  <c r="C130" i="18"/>
  <c r="B135" i="18"/>
  <c r="B147" i="18"/>
  <c r="C161" i="18"/>
  <c r="B171" i="18"/>
  <c r="C185" i="18"/>
  <c r="B195" i="18"/>
  <c r="C209" i="18"/>
  <c r="B219" i="18"/>
  <c r="B426" i="18"/>
  <c r="B56" i="18"/>
  <c r="C63" i="18"/>
  <c r="B68" i="18"/>
  <c r="C75" i="18"/>
  <c r="B80" i="18"/>
  <c r="C87" i="18"/>
  <c r="B92" i="18"/>
  <c r="C99" i="18"/>
  <c r="B104" i="18"/>
  <c r="C111" i="18"/>
  <c r="B116" i="18"/>
  <c r="C123" i="18"/>
  <c r="B128" i="18"/>
  <c r="C135" i="18"/>
  <c r="B138" i="18"/>
  <c r="C147" i="18"/>
  <c r="B157" i="18"/>
  <c r="C171" i="18"/>
  <c r="B181" i="18"/>
  <c r="C195" i="18"/>
  <c r="B205" i="18"/>
  <c r="C219" i="18"/>
  <c r="B229" i="18"/>
  <c r="B439" i="18"/>
  <c r="C481" i="17"/>
  <c r="C493" i="17"/>
  <c r="C449" i="17"/>
  <c r="C399" i="17"/>
  <c r="C419" i="17"/>
  <c r="C405" i="17"/>
  <c r="C466" i="17"/>
  <c r="C371" i="17"/>
  <c r="C464" i="17"/>
  <c r="C409" i="17"/>
  <c r="C447" i="17"/>
  <c r="C478" i="17"/>
  <c r="B783" i="17"/>
  <c r="B779" i="17"/>
  <c r="B775" i="17"/>
  <c r="C784" i="17"/>
  <c r="C780" i="17"/>
  <c r="C776" i="17"/>
  <c r="B784" i="17"/>
  <c r="B780" i="17"/>
  <c r="B776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B771" i="17"/>
  <c r="B770" i="17"/>
  <c r="B769" i="17"/>
  <c r="B768" i="17"/>
  <c r="B767" i="17"/>
  <c r="B766" i="17"/>
  <c r="B765" i="17"/>
  <c r="B764" i="17"/>
  <c r="B763" i="17"/>
  <c r="B762" i="17"/>
  <c r="B761" i="17"/>
  <c r="B760" i="17"/>
  <c r="B759" i="17"/>
  <c r="B758" i="17"/>
  <c r="B757" i="17"/>
  <c r="B756" i="17"/>
  <c r="B755" i="17"/>
  <c r="B754" i="17"/>
  <c r="B753" i="17"/>
  <c r="B752" i="17"/>
  <c r="B751" i="17"/>
  <c r="B750" i="17"/>
  <c r="B749" i="17"/>
  <c r="B748" i="17"/>
  <c r="B747" i="17"/>
  <c r="B746" i="17"/>
  <c r="B745" i="17"/>
  <c r="B744" i="17"/>
  <c r="B743" i="17"/>
  <c r="B742" i="17"/>
  <c r="B741" i="17"/>
  <c r="B740" i="17"/>
  <c r="B739" i="17"/>
  <c r="B738" i="17"/>
  <c r="B737" i="17"/>
  <c r="B736" i="17"/>
  <c r="B735" i="17"/>
  <c r="B734" i="17"/>
  <c r="B733" i="17"/>
  <c r="B732" i="17"/>
  <c r="B731" i="17"/>
  <c r="B730" i="17"/>
  <c r="B729" i="17"/>
  <c r="B728" i="17"/>
  <c r="B727" i="17"/>
  <c r="B726" i="17"/>
  <c r="B725" i="17"/>
  <c r="B724" i="17"/>
  <c r="B723" i="17"/>
  <c r="B722" i="17"/>
  <c r="B721" i="17"/>
  <c r="B720" i="17"/>
  <c r="B719" i="17"/>
  <c r="B718" i="17"/>
  <c r="B717" i="17"/>
  <c r="B716" i="17"/>
  <c r="B715" i="17"/>
  <c r="B714" i="17"/>
  <c r="B713" i="17"/>
  <c r="B712" i="17"/>
  <c r="B711" i="17"/>
  <c r="B710" i="17"/>
  <c r="B709" i="17"/>
  <c r="B708" i="17"/>
  <c r="B707" i="17"/>
  <c r="B706" i="17"/>
  <c r="B705" i="17"/>
  <c r="B704" i="17"/>
  <c r="B703" i="17"/>
  <c r="B702" i="17"/>
  <c r="B701" i="17"/>
  <c r="B700" i="17"/>
  <c r="B699" i="17"/>
  <c r="B698" i="17"/>
  <c r="B697" i="17"/>
  <c r="B696" i="17"/>
  <c r="B695" i="17"/>
  <c r="B694" i="17"/>
  <c r="B693" i="17"/>
  <c r="B692" i="17"/>
  <c r="B691" i="17"/>
  <c r="B690" i="17"/>
  <c r="B689" i="17"/>
  <c r="B688" i="17"/>
  <c r="B687" i="17"/>
  <c r="B686" i="17"/>
  <c r="B685" i="17"/>
  <c r="B684" i="17"/>
  <c r="B683" i="17"/>
  <c r="B682" i="17"/>
  <c r="B681" i="17"/>
  <c r="B680" i="17"/>
  <c r="B679" i="17"/>
  <c r="B678" i="17"/>
  <c r="B677" i="17"/>
  <c r="B676" i="17"/>
  <c r="B675" i="17"/>
  <c r="B674" i="17"/>
  <c r="B673" i="17"/>
  <c r="B672" i="17"/>
  <c r="B671" i="17"/>
  <c r="B670" i="17"/>
  <c r="B669" i="17"/>
  <c r="B668" i="17"/>
  <c r="B667" i="17"/>
  <c r="B666" i="17"/>
  <c r="B665" i="17"/>
  <c r="B664" i="17"/>
  <c r="B663" i="17"/>
  <c r="B662" i="17"/>
  <c r="B661" i="17"/>
  <c r="B660" i="17"/>
  <c r="B659" i="17"/>
  <c r="B658" i="17"/>
  <c r="B657" i="17"/>
  <c r="B656" i="17"/>
  <c r="B655" i="17"/>
  <c r="B654" i="17"/>
  <c r="B653" i="17"/>
  <c r="B652" i="17"/>
  <c r="B651" i="17"/>
  <c r="B650" i="17"/>
  <c r="B649" i="17"/>
  <c r="B648" i="17"/>
  <c r="B647" i="17"/>
  <c r="B646" i="17"/>
  <c r="B645" i="17"/>
  <c r="B644" i="17"/>
  <c r="B643" i="17"/>
  <c r="B642" i="17"/>
  <c r="B641" i="17"/>
  <c r="B640" i="17"/>
  <c r="B639" i="17"/>
  <c r="B638" i="17"/>
  <c r="B637" i="17"/>
  <c r="B636" i="17"/>
  <c r="B635" i="17"/>
  <c r="B634" i="17"/>
  <c r="B633" i="17"/>
  <c r="B632" i="17"/>
  <c r="B631" i="17"/>
  <c r="B630" i="17"/>
  <c r="B629" i="17"/>
  <c r="B628" i="17"/>
  <c r="B627" i="17"/>
  <c r="B626" i="17"/>
  <c r="B625" i="17"/>
  <c r="B624" i="17"/>
  <c r="B623" i="17"/>
  <c r="B622" i="17"/>
  <c r="B621" i="17"/>
  <c r="B620" i="17"/>
  <c r="B619" i="17"/>
  <c r="B618" i="17"/>
  <c r="B617" i="17"/>
  <c r="B616" i="17"/>
  <c r="B615" i="17"/>
  <c r="B614" i="17"/>
  <c r="B613" i="17"/>
  <c r="B612" i="17"/>
  <c r="B611" i="17"/>
  <c r="B610" i="17"/>
  <c r="B609" i="17"/>
  <c r="B608" i="17"/>
  <c r="B607" i="17"/>
  <c r="B606" i="17"/>
  <c r="B605" i="17"/>
  <c r="B604" i="17"/>
  <c r="B603" i="17"/>
  <c r="B602" i="17"/>
  <c r="B601" i="17"/>
  <c r="B600" i="17"/>
  <c r="B599" i="17"/>
  <c r="B598" i="17"/>
  <c r="B597" i="17"/>
  <c r="B596" i="17"/>
  <c r="B595" i="17"/>
  <c r="B594" i="17"/>
  <c r="B593" i="17"/>
  <c r="B592" i="17"/>
  <c r="B591" i="17"/>
  <c r="B590" i="17"/>
  <c r="B589" i="17"/>
  <c r="B588" i="17"/>
  <c r="B587" i="17"/>
  <c r="B586" i="17"/>
  <c r="B585" i="17"/>
  <c r="B584" i="17"/>
  <c r="B583" i="17"/>
  <c r="B582" i="17"/>
  <c r="B581" i="17"/>
  <c r="B580" i="17"/>
  <c r="B579" i="17"/>
  <c r="B578" i="17"/>
  <c r="B577" i="17"/>
  <c r="B576" i="17"/>
  <c r="B575" i="17"/>
  <c r="B574" i="17"/>
  <c r="B573" i="17"/>
  <c r="B572" i="17"/>
  <c r="B571" i="17"/>
  <c r="B570" i="17"/>
  <c r="B569" i="17"/>
  <c r="B568" i="17"/>
  <c r="B567" i="17"/>
  <c r="B566" i="17"/>
  <c r="B565" i="17"/>
  <c r="B564" i="17"/>
  <c r="B563" i="17"/>
  <c r="B562" i="17"/>
  <c r="B561" i="17"/>
  <c r="B560" i="17"/>
  <c r="B559" i="17"/>
  <c r="B558" i="17"/>
  <c r="B557" i="17"/>
  <c r="B556" i="17"/>
  <c r="B555" i="17"/>
  <c r="B554" i="17"/>
  <c r="B553" i="17"/>
  <c r="B552" i="17"/>
  <c r="B551" i="17"/>
  <c r="B550" i="17"/>
  <c r="B549" i="17"/>
  <c r="B548" i="17"/>
  <c r="B547" i="17"/>
  <c r="B546" i="17"/>
  <c r="B545" i="17"/>
  <c r="B544" i="17"/>
  <c r="B543" i="17"/>
  <c r="B542" i="17"/>
  <c r="B541" i="17"/>
  <c r="C785" i="17"/>
  <c r="C781" i="17"/>
  <c r="C777" i="17"/>
  <c r="C772" i="17"/>
  <c r="B785" i="17"/>
  <c r="B781" i="17"/>
  <c r="B777" i="17"/>
  <c r="B772" i="17"/>
  <c r="B786" i="17"/>
  <c r="C783" i="17"/>
  <c r="C773" i="17"/>
  <c r="B540" i="17"/>
  <c r="B539" i="17"/>
  <c r="B538" i="17"/>
  <c r="B537" i="17"/>
  <c r="B536" i="17"/>
  <c r="B535" i="17"/>
  <c r="B534" i="17"/>
  <c r="B533" i="17"/>
  <c r="B532" i="17"/>
  <c r="B531" i="17"/>
  <c r="B530" i="17"/>
  <c r="B529" i="17"/>
  <c r="B528" i="17"/>
  <c r="B527" i="17"/>
  <c r="B526" i="17"/>
  <c r="B525" i="17"/>
  <c r="B524" i="17"/>
  <c r="B523" i="17"/>
  <c r="B522" i="17"/>
  <c r="B521" i="17"/>
  <c r="B520" i="17"/>
  <c r="B519" i="17"/>
  <c r="B518" i="17"/>
  <c r="B517" i="17"/>
  <c r="B516" i="17"/>
  <c r="B515" i="17"/>
  <c r="B514" i="17"/>
  <c r="B513" i="17"/>
  <c r="B512" i="17"/>
  <c r="B511" i="17"/>
  <c r="B510" i="17"/>
  <c r="B509" i="17"/>
  <c r="B508" i="17"/>
  <c r="B507" i="17"/>
  <c r="B506" i="17"/>
  <c r="B505" i="17"/>
  <c r="B504" i="17"/>
  <c r="B503" i="17"/>
  <c r="B502" i="17"/>
  <c r="B501" i="17"/>
  <c r="B500" i="17"/>
  <c r="B499" i="17"/>
  <c r="B498" i="17"/>
  <c r="B497" i="17"/>
  <c r="B496" i="17"/>
  <c r="B495" i="17"/>
  <c r="B494" i="17"/>
  <c r="B493" i="17"/>
  <c r="B492" i="17"/>
  <c r="B491" i="17"/>
  <c r="B490" i="17"/>
  <c r="B489" i="17"/>
  <c r="B488" i="17"/>
  <c r="B487" i="17"/>
  <c r="B486" i="17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773" i="17"/>
  <c r="C541" i="17"/>
  <c r="C782" i="17"/>
  <c r="B782" i="17"/>
  <c r="C779" i="17"/>
  <c r="C542" i="17"/>
  <c r="C778" i="17"/>
  <c r="B778" i="17"/>
  <c r="C775" i="17"/>
  <c r="C786" i="17"/>
  <c r="C540" i="17"/>
  <c r="C528" i="17"/>
  <c r="C516" i="17"/>
  <c r="C504" i="17"/>
  <c r="C492" i="17"/>
  <c r="C480" i="17"/>
  <c r="C468" i="17"/>
  <c r="C456" i="17"/>
  <c r="C444" i="17"/>
  <c r="C432" i="17"/>
  <c r="C535" i="17"/>
  <c r="C523" i="17"/>
  <c r="C511" i="17"/>
  <c r="C499" i="17"/>
  <c r="C487" i="17"/>
  <c r="C475" i="17"/>
  <c r="C463" i="17"/>
  <c r="C451" i="17"/>
  <c r="C439" i="17"/>
  <c r="C427" i="17"/>
  <c r="C420" i="17"/>
  <c r="C418" i="17"/>
  <c r="C416" i="17"/>
  <c r="C414" i="17"/>
  <c r="C412" i="17"/>
  <c r="C410" i="17"/>
  <c r="C408" i="17"/>
  <c r="C406" i="17"/>
  <c r="C404" i="17"/>
  <c r="C402" i="17"/>
  <c r="C400" i="17"/>
  <c r="C398" i="17"/>
  <c r="C393" i="17"/>
  <c r="C390" i="17"/>
  <c r="C387" i="17"/>
  <c r="C384" i="17"/>
  <c r="C381" i="17"/>
  <c r="C378" i="17"/>
  <c r="C375" i="17"/>
  <c r="C372" i="17"/>
  <c r="C369" i="17"/>
  <c r="C366" i="17"/>
  <c r="C363" i="17"/>
  <c r="C530" i="17"/>
  <c r="C518" i="17"/>
  <c r="C506" i="17"/>
  <c r="C494" i="17"/>
  <c r="C482" i="17"/>
  <c r="C470" i="17"/>
  <c r="C458" i="17"/>
  <c r="C446" i="17"/>
  <c r="C434" i="17"/>
  <c r="C422" i="17"/>
  <c r="C537" i="17"/>
  <c r="C525" i="17"/>
  <c r="C513" i="17"/>
  <c r="C501" i="17"/>
  <c r="C489" i="17"/>
  <c r="C477" i="17"/>
  <c r="C465" i="17"/>
  <c r="C453" i="17"/>
  <c r="C441" i="17"/>
  <c r="C429" i="17"/>
  <c r="C396" i="17"/>
  <c r="C532" i="17"/>
  <c r="C520" i="17"/>
  <c r="C508" i="17"/>
  <c r="C496" i="17"/>
  <c r="C484" i="17"/>
  <c r="C472" i="17"/>
  <c r="C460" i="17"/>
  <c r="C448" i="17"/>
  <c r="C436" i="17"/>
  <c r="C424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539" i="17"/>
  <c r="C527" i="17"/>
  <c r="C515" i="17"/>
  <c r="C503" i="17"/>
  <c r="C491" i="17"/>
  <c r="C479" i="17"/>
  <c r="C467" i="17"/>
  <c r="C455" i="17"/>
  <c r="C443" i="17"/>
  <c r="C431" i="17"/>
  <c r="C394" i="17"/>
  <c r="C391" i="17"/>
  <c r="C388" i="17"/>
  <c r="C385" i="17"/>
  <c r="C382" i="17"/>
  <c r="C379" i="17"/>
  <c r="C376" i="17"/>
  <c r="C373" i="17"/>
  <c r="C370" i="17"/>
  <c r="C367" i="17"/>
  <c r="C364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C774" i="17"/>
  <c r="C534" i="17"/>
  <c r="C522" i="17"/>
  <c r="C510" i="17"/>
  <c r="C498" i="17"/>
  <c r="C486" i="17"/>
  <c r="C474" i="17"/>
  <c r="C462" i="17"/>
  <c r="C450" i="17"/>
  <c r="C438" i="17"/>
  <c r="C426" i="17"/>
  <c r="C361" i="17"/>
  <c r="C469" i="17"/>
  <c r="C452" i="17"/>
  <c r="C435" i="17"/>
  <c r="C413" i="17"/>
  <c r="C395" i="17"/>
  <c r="C533" i="17"/>
  <c r="C457" i="17"/>
  <c r="C440" i="17"/>
  <c r="C423" i="17"/>
  <c r="C403" i="17"/>
  <c r="C380" i="17"/>
  <c r="C362" i="17"/>
  <c r="C538" i="17"/>
  <c r="C521" i="17"/>
  <c r="C445" i="17"/>
  <c r="C428" i="17"/>
  <c r="C417" i="17"/>
  <c r="C526" i="17"/>
  <c r="C509" i="17"/>
  <c r="C433" i="17"/>
  <c r="C407" i="17"/>
  <c r="C383" i="17"/>
  <c r="C365" i="17"/>
  <c r="C512" i="17"/>
  <c r="C543" i="17"/>
  <c r="C531" i="17"/>
  <c r="C514" i="17"/>
  <c r="C497" i="17"/>
  <c r="C421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536" i="17"/>
  <c r="C519" i="17"/>
  <c r="C502" i="17"/>
  <c r="C485" i="17"/>
  <c r="C411" i="17"/>
  <c r="C397" i="17"/>
  <c r="C386" i="17"/>
  <c r="C368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774" i="17"/>
  <c r="C524" i="17"/>
  <c r="C507" i="17"/>
  <c r="C490" i="17"/>
  <c r="C473" i="17"/>
  <c r="C401" i="17"/>
  <c r="A3" i="17"/>
  <c r="C529" i="17"/>
  <c r="C495" i="17"/>
  <c r="C461" i="17"/>
  <c r="C459" i="17"/>
  <c r="C430" i="17"/>
  <c r="C377" i="17"/>
  <c r="C505" i="17"/>
  <c r="C488" i="17"/>
  <c r="C442" i="17"/>
  <c r="C471" i="17"/>
  <c r="C392" i="17"/>
  <c r="C173" i="17"/>
  <c r="C454" i="17"/>
  <c r="C374" i="17"/>
  <c r="C517" i="17"/>
  <c r="C500" i="17"/>
  <c r="C483" i="17"/>
  <c r="C425" i="17"/>
  <c r="C437" i="17"/>
  <c r="C389" i="17"/>
  <c r="C476" i="17"/>
  <c r="C415" i="17"/>
  <c r="C1" i="11"/>
  <c r="A3" i="11" s="1" a="1"/>
  <c r="C101" i="11" s="1"/>
  <c r="F77" i="9" a="1"/>
  <c r="F77" i="9" s="1"/>
  <c r="F97" i="9" a="1"/>
  <c r="F97" i="9" s="1"/>
  <c r="G88" i="9" a="1"/>
  <c r="G88" i="9" s="1"/>
  <c r="G71" i="9" a="1"/>
  <c r="G71" i="9" s="1"/>
  <c r="F76" i="9" a="1"/>
  <c r="F76" i="9" s="1"/>
  <c r="F86" i="9" a="1"/>
  <c r="F86" i="9" s="1"/>
  <c r="F96" i="9" a="1"/>
  <c r="F96" i="9" s="1"/>
  <c r="G101" i="9" a="1"/>
  <c r="G101" i="9" s="1"/>
  <c r="F78" i="9" a="1"/>
  <c r="F78" i="9" s="1"/>
  <c r="G73" i="9" a="1"/>
  <c r="G73" i="9" s="1"/>
  <c r="G86" i="9" a="1"/>
  <c r="G86" i="9" s="1"/>
  <c r="F102" i="9" a="1"/>
  <c r="F102" i="9" s="1"/>
  <c r="F98" i="9" a="1"/>
  <c r="F98" i="9" s="1"/>
  <c r="F71" i="9" a="1"/>
  <c r="F71" i="9" s="1"/>
  <c r="G76" i="9" a="1"/>
  <c r="G76" i="9" s="1"/>
  <c r="G96" i="9" a="1"/>
  <c r="G96" i="9" s="1"/>
  <c r="D101" i="9" a="1"/>
  <c r="D101" i="9" s="1"/>
  <c r="E101" i="9" a="1"/>
  <c r="E101" i="9" s="1"/>
  <c r="D102" i="9" a="1"/>
  <c r="D102" i="9" s="1"/>
  <c r="E102" i="9" a="1"/>
  <c r="E102" i="9" s="1"/>
  <c r="B30" i="9"/>
  <c r="C35" i="9"/>
  <c r="C8" i="9"/>
  <c r="B8" i="9"/>
  <c r="C11" i="9"/>
  <c r="C30" i="9"/>
  <c r="B54" i="9"/>
  <c r="B59" i="9"/>
  <c r="C49" i="9"/>
  <c r="C25" i="9"/>
  <c r="C5" i="9"/>
  <c r="C65" i="9"/>
  <c r="B49" i="9"/>
  <c r="B25" i="9"/>
  <c r="B5" i="9"/>
  <c r="B65" i="9"/>
  <c r="C47" i="9"/>
  <c r="C23" i="9"/>
  <c r="C63" i="9"/>
  <c r="B44" i="9"/>
  <c r="B20" i="9"/>
  <c r="B56" i="9"/>
  <c r="C59" i="9"/>
  <c r="C13" i="9"/>
  <c r="B15" i="9"/>
  <c r="C37" i="9"/>
  <c r="B61" i="9"/>
  <c r="B18" i="9"/>
  <c r="B42" i="9"/>
  <c r="C61" i="9"/>
  <c r="C18" i="9"/>
  <c r="B63" i="9"/>
  <c r="C54" i="9"/>
  <c r="B32" i="9"/>
  <c r="B13" i="9"/>
  <c r="B37" i="9"/>
  <c r="C42" i="9"/>
  <c r="B27" i="9"/>
  <c r="B7" i="9"/>
  <c r="C22" i="9"/>
  <c r="C46" i="9"/>
  <c r="C17" i="9"/>
  <c r="C29" i="9"/>
  <c r="B60" i="9"/>
  <c r="C24" i="9"/>
  <c r="B31" i="9"/>
  <c r="B43" i="9"/>
  <c r="C48" i="9"/>
  <c r="B55" i="9"/>
  <c r="C60" i="9"/>
  <c r="A3" i="9"/>
  <c r="B9" i="9"/>
  <c r="B14" i="9"/>
  <c r="C19" i="9"/>
  <c r="B26" i="9"/>
  <c r="C31" i="9"/>
  <c r="B38" i="9"/>
  <c r="C43" i="9"/>
  <c r="B50" i="9"/>
  <c r="C55" i="9"/>
  <c r="C20" i="9"/>
  <c r="B39" i="9"/>
  <c r="B51" i="9"/>
  <c r="C56" i="9"/>
  <c r="C27" i="9"/>
  <c r="C10" i="9"/>
  <c r="B29" i="9"/>
  <c r="B53" i="9"/>
  <c r="C58" i="9"/>
  <c r="B24" i="9"/>
  <c r="B36" i="9"/>
  <c r="C53" i="9"/>
  <c r="B62" i="9"/>
  <c r="C12" i="9"/>
  <c r="B19" i="9"/>
  <c r="C62" i="9"/>
  <c r="C9" i="9"/>
  <c r="C14" i="9"/>
  <c r="B21" i="9"/>
  <c r="C26" i="9"/>
  <c r="B33" i="9"/>
  <c r="C38" i="9"/>
  <c r="B45" i="9"/>
  <c r="C50" i="9"/>
  <c r="B57" i="9"/>
  <c r="C32" i="9"/>
  <c r="C44" i="9"/>
  <c r="C15" i="9"/>
  <c r="B34" i="9"/>
  <c r="B46" i="9"/>
  <c r="C51" i="9"/>
  <c r="B58" i="9"/>
  <c r="B4" i="9"/>
  <c r="B17" i="9"/>
  <c r="C7" i="9"/>
  <c r="B12" i="9"/>
  <c r="C41" i="9"/>
  <c r="B66" i="9"/>
  <c r="C36" i="9"/>
  <c r="C64" i="9"/>
  <c r="B6" i="9"/>
  <c r="C6" i="9"/>
  <c r="B16" i="9"/>
  <c r="C21" i="9"/>
  <c r="B28" i="9"/>
  <c r="C33" i="9"/>
  <c r="B40" i="9"/>
  <c r="C45" i="9"/>
  <c r="B52" i="9"/>
  <c r="C57" i="9"/>
  <c r="B10" i="9"/>
  <c r="B22" i="9"/>
  <c r="C39" i="9"/>
  <c r="C34" i="9"/>
  <c r="B41" i="9"/>
  <c r="C4" i="9"/>
  <c r="B48" i="9"/>
  <c r="B64" i="9"/>
  <c r="C66" i="9"/>
  <c r="B11" i="9"/>
  <c r="C16" i="9"/>
  <c r="B23" i="9"/>
  <c r="C28" i="9"/>
  <c r="B35" i="9"/>
  <c r="C40" i="9"/>
  <c r="B47" i="9"/>
  <c r="C52" i="9"/>
  <c r="C1" i="7"/>
  <c r="A3" i="7" s="1" a="1"/>
  <c r="D195" i="18" l="1" a="1"/>
  <c r="D195" i="18" s="1"/>
  <c r="H195" i="18" a="1"/>
  <c r="H195" i="18" s="1"/>
  <c r="E195" i="18" a="1"/>
  <c r="E195" i="18" s="1"/>
  <c r="G9" i="18" a="1"/>
  <c r="G9" i="18" s="1"/>
  <c r="F9" i="18" a="1"/>
  <c r="F9" i="18" s="1"/>
  <c r="H21" i="18" a="1"/>
  <c r="H21" i="18" s="1"/>
  <c r="E21" i="18" a="1"/>
  <c r="E21" i="18" s="1"/>
  <c r="D21" i="18" a="1"/>
  <c r="D21" i="18" s="1"/>
  <c r="G141" i="18" a="1"/>
  <c r="G141" i="18" s="1"/>
  <c r="F141" i="18" a="1"/>
  <c r="F141" i="18" s="1"/>
  <c r="D312" i="18" a="1"/>
  <c r="D312" i="18" s="1"/>
  <c r="E312" i="18" a="1"/>
  <c r="E312" i="18" s="1"/>
  <c r="H312" i="18" a="1"/>
  <c r="H312" i="18" s="1"/>
  <c r="E164" i="18" a="1"/>
  <c r="E164" i="18" s="1"/>
  <c r="D164" i="18" a="1"/>
  <c r="D164" i="18" s="1"/>
  <c r="H164" i="18" a="1"/>
  <c r="H164" i="18" s="1"/>
  <c r="G148" i="18" a="1"/>
  <c r="G148" i="18" s="1"/>
  <c r="F148" i="18" a="1"/>
  <c r="F148" i="18" s="1"/>
  <c r="G188" i="18" a="1"/>
  <c r="G188" i="18" s="1"/>
  <c r="F188" i="18" a="1"/>
  <c r="F188" i="18" s="1"/>
  <c r="G228" i="18" a="1"/>
  <c r="G228" i="18" s="1"/>
  <c r="F228" i="18" a="1"/>
  <c r="F228" i="18" s="1"/>
  <c r="H419" i="18" a="1"/>
  <c r="H419" i="18" s="1"/>
  <c r="E419" i="18" a="1"/>
  <c r="E419" i="18" s="1"/>
  <c r="D419" i="18" a="1"/>
  <c r="D419" i="18" s="1"/>
  <c r="G380" i="18" a="1"/>
  <c r="G380" i="18" s="1"/>
  <c r="F380" i="18" a="1"/>
  <c r="F380" i="18" s="1"/>
  <c r="F439" i="18" a="1"/>
  <c r="F439" i="18" s="1"/>
  <c r="G439" i="18" a="1"/>
  <c r="G439" i="18" s="1"/>
  <c r="G406" i="18" a="1"/>
  <c r="G406" i="18" s="1"/>
  <c r="F406" i="18" a="1"/>
  <c r="F406" i="18" s="1"/>
  <c r="H249" i="18" a="1"/>
  <c r="H249" i="18" s="1"/>
  <c r="E249" i="18" a="1"/>
  <c r="E249" i="18" s="1"/>
  <c r="D249" i="18" a="1"/>
  <c r="D249" i="18" s="1"/>
  <c r="H269" i="18" a="1"/>
  <c r="H269" i="18" s="1"/>
  <c r="E269" i="18" a="1"/>
  <c r="E269" i="18" s="1"/>
  <c r="D269" i="18" a="1"/>
  <c r="D269" i="18" s="1"/>
  <c r="F234" i="18" a="1"/>
  <c r="F234" i="18" s="1"/>
  <c r="G234" i="18" a="1"/>
  <c r="G234" i="18" s="1"/>
  <c r="G254" i="18" a="1"/>
  <c r="G254" i="18" s="1"/>
  <c r="F254" i="18" a="1"/>
  <c r="F254" i="18" s="1"/>
  <c r="H364" i="18" a="1"/>
  <c r="H364" i="18" s="1"/>
  <c r="E364" i="18" a="1"/>
  <c r="E364" i="18" s="1"/>
  <c r="D364" i="18" a="1"/>
  <c r="D364" i="18" s="1"/>
  <c r="G292" i="18" a="1"/>
  <c r="G292" i="18" s="1"/>
  <c r="F292" i="18" a="1"/>
  <c r="F292" i="18" s="1"/>
  <c r="G388" i="18" a="1"/>
  <c r="G388" i="18" s="1"/>
  <c r="F388" i="18" a="1"/>
  <c r="F388" i="18" s="1"/>
  <c r="G397" i="18" a="1"/>
  <c r="G397" i="18" s="1"/>
  <c r="F397" i="18" a="1"/>
  <c r="F397" i="18" s="1"/>
  <c r="H271" i="18" a="1"/>
  <c r="H271" i="18" s="1"/>
  <c r="E271" i="18" a="1"/>
  <c r="E271" i="18" s="1"/>
  <c r="D271" i="18" a="1"/>
  <c r="D271" i="18" s="1"/>
  <c r="G311" i="18" a="1"/>
  <c r="G311" i="18" s="1"/>
  <c r="F311" i="18" a="1"/>
  <c r="F311" i="18" s="1"/>
  <c r="H409" i="18" a="1"/>
  <c r="H409" i="18" s="1"/>
  <c r="D409" i="18" a="1"/>
  <c r="D409" i="18" s="1"/>
  <c r="E409" i="18" a="1"/>
  <c r="E409" i="18" s="1"/>
  <c r="G346" i="18" a="1"/>
  <c r="G346" i="18" s="1"/>
  <c r="F346" i="18" a="1"/>
  <c r="F346" i="18" s="1"/>
  <c r="G381" i="18" a="1"/>
  <c r="G381" i="18" s="1"/>
  <c r="F381" i="18" a="1"/>
  <c r="F381" i="18" s="1"/>
  <c r="G411" i="18" a="1"/>
  <c r="G411" i="18" s="1"/>
  <c r="F411" i="18" a="1"/>
  <c r="F411" i="18" s="1"/>
  <c r="H93" i="18" a="1"/>
  <c r="H93" i="18" s="1"/>
  <c r="D93" i="18" a="1"/>
  <c r="D93" i="18" s="1"/>
  <c r="E93" i="18" a="1"/>
  <c r="E93" i="18" s="1"/>
  <c r="G26" i="18" a="1"/>
  <c r="G26" i="18" s="1"/>
  <c r="F26" i="18" a="1"/>
  <c r="F26" i="18" s="1"/>
  <c r="G66" i="18" a="1"/>
  <c r="G66" i="18" s="1"/>
  <c r="F66" i="18" a="1"/>
  <c r="F66" i="18" s="1"/>
  <c r="G129" i="18" a="1"/>
  <c r="G129" i="18" s="1"/>
  <c r="F129" i="18" a="1"/>
  <c r="F129" i="18" s="1"/>
  <c r="G81" i="18" a="1"/>
  <c r="G81" i="18" s="1"/>
  <c r="F81" i="18" a="1"/>
  <c r="F81" i="18" s="1"/>
  <c r="D48" i="18" a="1"/>
  <c r="D48" i="18" s="1"/>
  <c r="H48" i="18" a="1"/>
  <c r="H48" i="18" s="1"/>
  <c r="E48" i="18" a="1"/>
  <c r="E48" i="18" s="1"/>
  <c r="H8" i="18" a="1"/>
  <c r="H8" i="18" s="1"/>
  <c r="E8" i="18" a="1"/>
  <c r="E8" i="18" s="1"/>
  <c r="D8" i="18" a="1"/>
  <c r="D8" i="18" s="1"/>
  <c r="H143" i="18" a="1"/>
  <c r="H143" i="18" s="1"/>
  <c r="E143" i="18" a="1"/>
  <c r="E143" i="18" s="1"/>
  <c r="D143" i="18" a="1"/>
  <c r="D143" i="18" s="1"/>
  <c r="E145" i="18" a="1"/>
  <c r="E145" i="18" s="1"/>
  <c r="D145" i="18" a="1"/>
  <c r="D145" i="18" s="1"/>
  <c r="H145" i="18" a="1"/>
  <c r="H145" i="18" s="1"/>
  <c r="E168" i="18" a="1"/>
  <c r="E168" i="18" s="1"/>
  <c r="H168" i="18" a="1"/>
  <c r="H168" i="18" s="1"/>
  <c r="D168" i="18" a="1"/>
  <c r="D168" i="18" s="1"/>
  <c r="D157" i="18" a="1"/>
  <c r="D157" i="18" s="1"/>
  <c r="H157" i="18" a="1"/>
  <c r="H157" i="18" s="1"/>
  <c r="E157" i="18" a="1"/>
  <c r="E157" i="18" s="1"/>
  <c r="G49" i="18" a="1"/>
  <c r="G49" i="18" s="1"/>
  <c r="F49" i="18" a="1"/>
  <c r="F49" i="18" s="1"/>
  <c r="G77" i="18" a="1"/>
  <c r="G77" i="18" s="1"/>
  <c r="F77" i="18" a="1"/>
  <c r="F77" i="18" s="1"/>
  <c r="D113" i="18" a="1"/>
  <c r="D113" i="18" s="1"/>
  <c r="H113" i="18" a="1"/>
  <c r="H113" i="18" s="1"/>
  <c r="E113" i="18" a="1"/>
  <c r="E113" i="18" s="1"/>
  <c r="G169" i="18" a="1"/>
  <c r="G169" i="18" s="1"/>
  <c r="F169" i="18" a="1"/>
  <c r="F169" i="18" s="1"/>
  <c r="D204" i="18" a="1"/>
  <c r="D204" i="18" s="1"/>
  <c r="H204" i="18" a="1"/>
  <c r="H204" i="18" s="1"/>
  <c r="E204" i="18" a="1"/>
  <c r="E204" i="18" s="1"/>
  <c r="D414" i="18" a="1"/>
  <c r="D414" i="18" s="1"/>
  <c r="H414" i="18" a="1"/>
  <c r="H414" i="18" s="1"/>
  <c r="E414" i="18" a="1"/>
  <c r="E414" i="18" s="1"/>
  <c r="G434" i="18" a="1"/>
  <c r="G434" i="18" s="1"/>
  <c r="F434" i="18" a="1"/>
  <c r="F434" i="18" s="1"/>
  <c r="F147" i="18" a="1"/>
  <c r="F147" i="18" s="1"/>
  <c r="G147" i="18" a="1"/>
  <c r="G147" i="18" s="1"/>
  <c r="G185" i="18" a="1"/>
  <c r="G185" i="18" s="1"/>
  <c r="F185" i="18" a="1"/>
  <c r="F185" i="18" s="1"/>
  <c r="G47" i="18" a="1"/>
  <c r="G47" i="18" s="1"/>
  <c r="F47" i="18" a="1"/>
  <c r="F47" i="18" s="1"/>
  <c r="G7" i="18" a="1"/>
  <c r="G7" i="18" s="1"/>
  <c r="F7" i="18" a="1"/>
  <c r="F7" i="18" s="1"/>
  <c r="H70" i="18" a="1"/>
  <c r="H70" i="18" s="1"/>
  <c r="E70" i="18" a="1"/>
  <c r="E70" i="18" s="1"/>
  <c r="D70" i="18" a="1"/>
  <c r="D70" i="18" s="1"/>
  <c r="E19" i="18" a="1"/>
  <c r="E19" i="18" s="1"/>
  <c r="D19" i="18" a="1"/>
  <c r="D19" i="18" s="1"/>
  <c r="H19" i="18" a="1"/>
  <c r="H19" i="18" s="1"/>
  <c r="F108" i="18" a="1"/>
  <c r="F108" i="18" s="1"/>
  <c r="G108" i="18" a="1"/>
  <c r="G108" i="18" s="1"/>
  <c r="H132" i="18" a="1"/>
  <c r="H132" i="18" s="1"/>
  <c r="D132" i="18" a="1"/>
  <c r="D132" i="18" s="1"/>
  <c r="E132" i="18" a="1"/>
  <c r="E132" i="18" s="1"/>
  <c r="E155" i="18" a="1"/>
  <c r="E155" i="18" s="1"/>
  <c r="H155" i="18" a="1"/>
  <c r="H155" i="18" s="1"/>
  <c r="D155" i="18" a="1"/>
  <c r="D155" i="18" s="1"/>
  <c r="D335" i="18" a="1"/>
  <c r="D335" i="18" s="1"/>
  <c r="H335" i="18" a="1"/>
  <c r="H335" i="18" s="1"/>
  <c r="E335" i="18" a="1"/>
  <c r="E335" i="18" s="1"/>
  <c r="E166" i="18" a="1"/>
  <c r="E166" i="18" s="1"/>
  <c r="H166" i="18" a="1"/>
  <c r="H166" i="18" s="1"/>
  <c r="D166" i="18" a="1"/>
  <c r="D166" i="18" s="1"/>
  <c r="E206" i="18" a="1"/>
  <c r="E206" i="18" s="1"/>
  <c r="H206" i="18" a="1"/>
  <c r="H206" i="18" s="1"/>
  <c r="D206" i="18" a="1"/>
  <c r="D206" i="18" s="1"/>
  <c r="F150" i="18" a="1"/>
  <c r="F150" i="18" s="1"/>
  <c r="G150" i="18" a="1"/>
  <c r="G150" i="18" s="1"/>
  <c r="G190" i="18" a="1"/>
  <c r="G190" i="18" s="1"/>
  <c r="F190" i="18" a="1"/>
  <c r="F190" i="18" s="1"/>
  <c r="G279" i="18" a="1"/>
  <c r="G279" i="18" s="1"/>
  <c r="F279" i="18" a="1"/>
  <c r="F279" i="18" s="1"/>
  <c r="H292" i="18" a="1"/>
  <c r="H292" i="18" s="1"/>
  <c r="E292" i="18" a="1"/>
  <c r="E292" i="18" s="1"/>
  <c r="D292" i="18" a="1"/>
  <c r="D292" i="18" s="1"/>
  <c r="H385" i="18" a="1"/>
  <c r="H385" i="18" s="1"/>
  <c r="D385" i="18" a="1"/>
  <c r="D385" i="18" s="1"/>
  <c r="E385" i="18" a="1"/>
  <c r="E385" i="18" s="1"/>
  <c r="H431" i="18" a="1"/>
  <c r="H431" i="18" s="1"/>
  <c r="D431" i="18" a="1"/>
  <c r="D431" i="18" s="1"/>
  <c r="E431" i="18" a="1"/>
  <c r="E431" i="18" s="1"/>
  <c r="G270" i="18" a="1"/>
  <c r="G270" i="18" s="1"/>
  <c r="F270" i="18" a="1"/>
  <c r="F270" i="18" s="1"/>
  <c r="H230" i="18" a="1"/>
  <c r="H230" i="18" s="1"/>
  <c r="E230" i="18" a="1"/>
  <c r="E230" i="18" s="1"/>
  <c r="D230" i="18" a="1"/>
  <c r="D230" i="18" s="1"/>
  <c r="H250" i="18" a="1"/>
  <c r="H250" i="18" s="1"/>
  <c r="E250" i="18" a="1"/>
  <c r="E250" i="18" s="1"/>
  <c r="D250" i="18" a="1"/>
  <c r="D250" i="18" s="1"/>
  <c r="G289" i="18" a="1"/>
  <c r="G289" i="18" s="1"/>
  <c r="F289" i="18" a="1"/>
  <c r="F289" i="18" s="1"/>
  <c r="G235" i="18" a="1"/>
  <c r="G235" i="18" s="1"/>
  <c r="F235" i="18" a="1"/>
  <c r="F235" i="18" s="1"/>
  <c r="G255" i="18" a="1"/>
  <c r="G255" i="18" s="1"/>
  <c r="F255" i="18" a="1"/>
  <c r="F255" i="18" s="1"/>
  <c r="G367" i="18" a="1"/>
  <c r="G367" i="18" s="1"/>
  <c r="F367" i="18" a="1"/>
  <c r="F367" i="18" s="1"/>
  <c r="G296" i="18" a="1"/>
  <c r="G296" i="18" s="1"/>
  <c r="F296" i="18" a="1"/>
  <c r="F296" i="18" s="1"/>
  <c r="G392" i="18" a="1"/>
  <c r="G392" i="18" s="1"/>
  <c r="F392" i="18" a="1"/>
  <c r="F392" i="18" s="1"/>
  <c r="G413" i="18" a="1"/>
  <c r="G413" i="18" s="1"/>
  <c r="F413" i="18" a="1"/>
  <c r="F413" i="18" s="1"/>
  <c r="E272" i="18" a="1"/>
  <c r="E272" i="18" s="1"/>
  <c r="H272" i="18" a="1"/>
  <c r="H272" i="18" s="1"/>
  <c r="D272" i="18" a="1"/>
  <c r="D272" i="18" s="1"/>
  <c r="G315" i="18" a="1"/>
  <c r="G315" i="18" s="1"/>
  <c r="F315" i="18" a="1"/>
  <c r="F315" i="18" s="1"/>
  <c r="H425" i="18" a="1"/>
  <c r="H425" i="18" s="1"/>
  <c r="E425" i="18" a="1"/>
  <c r="E425" i="18" s="1"/>
  <c r="D425" i="18" a="1"/>
  <c r="D425" i="18" s="1"/>
  <c r="H357" i="18" a="1"/>
  <c r="H357" i="18" s="1"/>
  <c r="E357" i="18" a="1"/>
  <c r="E357" i="18" s="1"/>
  <c r="D357" i="18" a="1"/>
  <c r="D357" i="18" s="1"/>
  <c r="H388" i="18" a="1"/>
  <c r="H388" i="18" s="1"/>
  <c r="E388" i="18" a="1"/>
  <c r="E388" i="18" s="1"/>
  <c r="D388" i="18" a="1"/>
  <c r="D388" i="18" s="1"/>
  <c r="F417" i="18" a="1"/>
  <c r="F417" i="18" s="1"/>
  <c r="G417" i="18" a="1"/>
  <c r="G417" i="18" s="1"/>
  <c r="G440" i="18" a="1"/>
  <c r="G440" i="18" s="1"/>
  <c r="F440" i="18" a="1"/>
  <c r="F440" i="18" s="1"/>
  <c r="G88" i="18" a="1"/>
  <c r="G88" i="18" s="1"/>
  <c r="F88" i="18" a="1"/>
  <c r="F88" i="18" s="1"/>
  <c r="G24" i="18" a="1"/>
  <c r="G24" i="18" s="1"/>
  <c r="F24" i="18" a="1"/>
  <c r="F24" i="18" s="1"/>
  <c r="D59" i="18" a="1"/>
  <c r="D59" i="18" s="1"/>
  <c r="H59" i="18" a="1"/>
  <c r="H59" i="18" s="1"/>
  <c r="E59" i="18" a="1"/>
  <c r="E59" i="18" s="1"/>
  <c r="G157" i="18" a="1"/>
  <c r="G157" i="18" s="1"/>
  <c r="F157" i="18" a="1"/>
  <c r="F157" i="18" s="1"/>
  <c r="F97" i="18" a="1"/>
  <c r="F97" i="18" s="1"/>
  <c r="G97" i="18" a="1"/>
  <c r="G97" i="18" s="1"/>
  <c r="H66" i="18" a="1"/>
  <c r="H66" i="18" s="1"/>
  <c r="E66" i="18" a="1"/>
  <c r="E66" i="18" s="1"/>
  <c r="D66" i="18" a="1"/>
  <c r="D66" i="18" s="1"/>
  <c r="H18" i="18" a="1"/>
  <c r="H18" i="18" s="1"/>
  <c r="E18" i="18" a="1"/>
  <c r="E18" i="18" s="1"/>
  <c r="D18" i="18" a="1"/>
  <c r="D18" i="18" s="1"/>
  <c r="E177" i="18" a="1"/>
  <c r="E177" i="18" s="1"/>
  <c r="D177" i="18" a="1"/>
  <c r="D177" i="18" s="1"/>
  <c r="H177" i="18" a="1"/>
  <c r="H177" i="18" s="1"/>
  <c r="G183" i="18" a="1"/>
  <c r="G183" i="18" s="1"/>
  <c r="F183" i="18" a="1"/>
  <c r="F183" i="18" s="1"/>
  <c r="F306" i="18" a="1"/>
  <c r="F306" i="18" s="1"/>
  <c r="G306" i="18" a="1"/>
  <c r="G306" i="18" s="1"/>
  <c r="G229" i="18" a="1"/>
  <c r="G229" i="18" s="1"/>
  <c r="F229" i="18" a="1"/>
  <c r="F229" i="18" s="1"/>
  <c r="H128" i="18" a="1"/>
  <c r="H128" i="18" s="1"/>
  <c r="E128" i="18" a="1"/>
  <c r="E128" i="18" s="1"/>
  <c r="D128" i="18" a="1"/>
  <c r="D128" i="18" s="1"/>
  <c r="H147" i="18" a="1"/>
  <c r="H147" i="18" s="1"/>
  <c r="E147" i="18" a="1"/>
  <c r="E147" i="18" s="1"/>
  <c r="D147" i="18" a="1"/>
  <c r="D147" i="18" s="1"/>
  <c r="G41" i="18" a="1"/>
  <c r="G41" i="18" s="1"/>
  <c r="F41" i="18" a="1"/>
  <c r="F41" i="18" s="1"/>
  <c r="G53" i="18" a="1"/>
  <c r="G53" i="18" s="1"/>
  <c r="F53" i="18" a="1"/>
  <c r="F53" i="18" s="1"/>
  <c r="D89" i="18" a="1"/>
  <c r="D89" i="18" s="1"/>
  <c r="E89" i="18" a="1"/>
  <c r="E89" i="18" s="1"/>
  <c r="H89" i="18" a="1"/>
  <c r="H89" i="18" s="1"/>
  <c r="G115" i="18" a="1"/>
  <c r="G115" i="18" s="1"/>
  <c r="F115" i="18" a="1"/>
  <c r="F115" i="18" s="1"/>
  <c r="F134" i="18" a="1"/>
  <c r="F134" i="18" s="1"/>
  <c r="G134" i="18" a="1"/>
  <c r="G134" i="18" s="1"/>
  <c r="G414" i="18" a="1"/>
  <c r="G414" i="18" s="1"/>
  <c r="F414" i="18" a="1"/>
  <c r="F414" i="18" s="1"/>
  <c r="E172" i="18" a="1"/>
  <c r="E172" i="18" s="1"/>
  <c r="H172" i="18" a="1"/>
  <c r="H172" i="18" s="1"/>
  <c r="D172" i="18" a="1"/>
  <c r="D172" i="18" s="1"/>
  <c r="H212" i="18" a="1"/>
  <c r="H212" i="18" s="1"/>
  <c r="E212" i="18" a="1"/>
  <c r="E212" i="18" s="1"/>
  <c r="D212" i="18" a="1"/>
  <c r="D212" i="18" s="1"/>
  <c r="F156" i="18" a="1"/>
  <c r="F156" i="18" s="1"/>
  <c r="G156" i="18" a="1"/>
  <c r="G156" i="18" s="1"/>
  <c r="F196" i="18" a="1"/>
  <c r="F196" i="18" s="1"/>
  <c r="G196" i="18" a="1"/>
  <c r="G196" i="18" s="1"/>
  <c r="G377" i="18" a="1"/>
  <c r="G377" i="18" s="1"/>
  <c r="F377" i="18" a="1"/>
  <c r="F377" i="18" s="1"/>
  <c r="G320" i="18" a="1"/>
  <c r="G320" i="18" s="1"/>
  <c r="F320" i="18" a="1"/>
  <c r="F320" i="18" s="1"/>
  <c r="E314" i="18" a="1"/>
  <c r="E314" i="18" s="1"/>
  <c r="D314" i="18" a="1"/>
  <c r="D314" i="18" s="1"/>
  <c r="H314" i="18" a="1"/>
  <c r="H314" i="18" s="1"/>
  <c r="H361" i="18" a="1"/>
  <c r="H361" i="18" s="1"/>
  <c r="E361" i="18" a="1"/>
  <c r="E361" i="18" s="1"/>
  <c r="D361" i="18" a="1"/>
  <c r="D361" i="18" s="1"/>
  <c r="E289" i="18" a="1"/>
  <c r="E289" i="18" s="1"/>
  <c r="D289" i="18" a="1"/>
  <c r="D289" i="18" s="1"/>
  <c r="H289" i="18" a="1"/>
  <c r="H289" i="18" s="1"/>
  <c r="H233" i="18" a="1"/>
  <c r="H233" i="18" s="1"/>
  <c r="E233" i="18" a="1"/>
  <c r="E233" i="18" s="1"/>
  <c r="D233" i="18" a="1"/>
  <c r="D233" i="18" s="1"/>
  <c r="G301" i="18" a="1"/>
  <c r="G301" i="18" s="1"/>
  <c r="F301" i="18" a="1"/>
  <c r="F301" i="18" s="1"/>
  <c r="F258" i="18" a="1"/>
  <c r="F258" i="18" s="1"/>
  <c r="G258" i="18" a="1"/>
  <c r="G258" i="18" s="1"/>
  <c r="H430" i="18" a="1"/>
  <c r="H430" i="18" s="1"/>
  <c r="E430" i="18" a="1"/>
  <c r="E430" i="18" s="1"/>
  <c r="D430" i="18" a="1"/>
  <c r="D430" i="18" s="1"/>
  <c r="G308" i="18" a="1"/>
  <c r="G308" i="18" s="1"/>
  <c r="F308" i="18" a="1"/>
  <c r="F308" i="18" s="1"/>
  <c r="H413" i="18" a="1"/>
  <c r="H413" i="18" s="1"/>
  <c r="E413" i="18" a="1"/>
  <c r="E413" i="18" s="1"/>
  <c r="D413" i="18" a="1"/>
  <c r="D413" i="18" s="1"/>
  <c r="H295" i="18" a="1"/>
  <c r="H295" i="18" s="1"/>
  <c r="D295" i="18" a="1"/>
  <c r="D295" i="18" s="1"/>
  <c r="E295" i="18" a="1"/>
  <c r="E295" i="18" s="1"/>
  <c r="D275" i="18" a="1"/>
  <c r="D275" i="18" s="1"/>
  <c r="H275" i="18" a="1"/>
  <c r="H275" i="18" s="1"/>
  <c r="E275" i="18" a="1"/>
  <c r="E275" i="18" s="1"/>
  <c r="G365" i="18" a="1"/>
  <c r="G365" i="18" s="1"/>
  <c r="F365" i="18" a="1"/>
  <c r="F365" i="18" s="1"/>
  <c r="H346" i="18" a="1"/>
  <c r="H346" i="18" s="1"/>
  <c r="E346" i="18" a="1"/>
  <c r="E346" i="18" s="1"/>
  <c r="D346" i="18" a="1"/>
  <c r="D346" i="18" s="1"/>
  <c r="G370" i="18" a="1"/>
  <c r="G370" i="18" s="1"/>
  <c r="F370" i="18" a="1"/>
  <c r="F370" i="18" s="1"/>
  <c r="G400" i="18" a="1"/>
  <c r="G400" i="18" s="1"/>
  <c r="F400" i="18" a="1"/>
  <c r="F400" i="18" s="1"/>
  <c r="G435" i="18" a="1"/>
  <c r="G435" i="18" s="1"/>
  <c r="F435" i="18" a="1"/>
  <c r="F435" i="18" s="1"/>
  <c r="E285" i="18" a="1"/>
  <c r="E285" i="18" s="1"/>
  <c r="D285" i="18" a="1"/>
  <c r="D285" i="18" s="1"/>
  <c r="H285" i="18" a="1"/>
  <c r="H285" i="18" s="1"/>
  <c r="H69" i="18" a="1"/>
  <c r="H69" i="18" s="1"/>
  <c r="E69" i="18" a="1"/>
  <c r="E69" i="18" s="1"/>
  <c r="D69" i="18" a="1"/>
  <c r="D69" i="18" s="1"/>
  <c r="G201" i="18" a="1"/>
  <c r="G201" i="18" s="1"/>
  <c r="F201" i="18" a="1"/>
  <c r="F201" i="18" s="1"/>
  <c r="F187" i="18" a="1"/>
  <c r="F187" i="18" s="1"/>
  <c r="G187" i="18" a="1"/>
  <c r="G187" i="18" s="1"/>
  <c r="H4" i="18" a="1"/>
  <c r="H4" i="18" s="1"/>
  <c r="E4" i="18" a="1"/>
  <c r="E4" i="18" s="1"/>
  <c r="D4" i="18" a="1"/>
  <c r="D4" i="18" s="1"/>
  <c r="F163" i="18" a="1"/>
  <c r="F163" i="18" s="1"/>
  <c r="G163" i="18" a="1"/>
  <c r="G163" i="18" s="1"/>
  <c r="G119" i="18" a="1"/>
  <c r="G119" i="18" s="1"/>
  <c r="F119" i="18" a="1"/>
  <c r="F119" i="18" s="1"/>
  <c r="G69" i="18" a="1"/>
  <c r="G69" i="18" s="1"/>
  <c r="F69" i="18" a="1"/>
  <c r="F69" i="18" s="1"/>
  <c r="H10" i="18" a="1"/>
  <c r="H10" i="18" s="1"/>
  <c r="E10" i="18" a="1"/>
  <c r="E10" i="18" s="1"/>
  <c r="D10" i="18" a="1"/>
  <c r="D10" i="18" s="1"/>
  <c r="E153" i="18" a="1"/>
  <c r="E153" i="18" s="1"/>
  <c r="D153" i="18" a="1"/>
  <c r="D153" i="18" s="1"/>
  <c r="H153" i="18" a="1"/>
  <c r="H153" i="18" s="1"/>
  <c r="H138" i="18" a="1"/>
  <c r="H138" i="18" s="1"/>
  <c r="E138" i="18" a="1"/>
  <c r="E138" i="18" s="1"/>
  <c r="D138" i="18" a="1"/>
  <c r="D138" i="18" s="1"/>
  <c r="G152" i="18" a="1"/>
  <c r="G152" i="18" s="1"/>
  <c r="F152" i="18" a="1"/>
  <c r="F152" i="18" s="1"/>
  <c r="G256" i="18" a="1"/>
  <c r="G256" i="18" s="1"/>
  <c r="F256" i="18" a="1"/>
  <c r="F256" i="18" s="1"/>
  <c r="G191" i="18" a="1"/>
  <c r="G191" i="18" s="1"/>
  <c r="F191" i="18" a="1"/>
  <c r="F191" i="18" s="1"/>
  <c r="E15" i="18" a="1"/>
  <c r="E15" i="18" s="1"/>
  <c r="D15" i="18" a="1"/>
  <c r="D15" i="18" s="1"/>
  <c r="H15" i="18" a="1"/>
  <c r="H15" i="18" s="1"/>
  <c r="D170" i="18" a="1"/>
  <c r="D170" i="18" s="1"/>
  <c r="H170" i="18" a="1"/>
  <c r="H170" i="18" s="1"/>
  <c r="E170" i="18" a="1"/>
  <c r="E170" i="18" s="1"/>
  <c r="H290" i="18" a="1"/>
  <c r="H290" i="18" s="1"/>
  <c r="E290" i="18" a="1"/>
  <c r="E290" i="18" s="1"/>
  <c r="D290" i="18" a="1"/>
  <c r="D290" i="18" s="1"/>
  <c r="D252" i="18" a="1"/>
  <c r="D252" i="18" s="1"/>
  <c r="H252" i="18" a="1"/>
  <c r="H252" i="18" s="1"/>
  <c r="E252" i="18" a="1"/>
  <c r="E252" i="18" s="1"/>
  <c r="G237" i="18" a="1"/>
  <c r="G237" i="18" s="1"/>
  <c r="F237" i="18" a="1"/>
  <c r="F237" i="18" s="1"/>
  <c r="H397" i="18" a="1"/>
  <c r="H397" i="18" s="1"/>
  <c r="D397" i="18" a="1"/>
  <c r="D397" i="18" s="1"/>
  <c r="E397" i="18" a="1"/>
  <c r="E397" i="18" s="1"/>
  <c r="H369" i="18" a="1"/>
  <c r="H369" i="18" s="1"/>
  <c r="E369" i="18" a="1"/>
  <c r="E369" i="18" s="1"/>
  <c r="D369" i="18" a="1"/>
  <c r="D369" i="18" s="1"/>
  <c r="G298" i="18" a="1"/>
  <c r="G298" i="18" s="1"/>
  <c r="F298" i="18" a="1"/>
  <c r="F298" i="18" s="1"/>
  <c r="D211" i="18" a="1"/>
  <c r="D211" i="18" s="1"/>
  <c r="H211" i="18" a="1"/>
  <c r="H211" i="18" s="1"/>
  <c r="E211" i="18" a="1"/>
  <c r="E211" i="18" s="1"/>
  <c r="E133" i="18" a="1"/>
  <c r="E133" i="18" s="1"/>
  <c r="H133" i="18" a="1"/>
  <c r="H133" i="18" s="1"/>
  <c r="D133" i="18" a="1"/>
  <c r="D133" i="18" s="1"/>
  <c r="G362" i="18" a="1"/>
  <c r="G362" i="18" s="1"/>
  <c r="F362" i="18" a="1"/>
  <c r="F362" i="18" s="1"/>
  <c r="G223" i="18" a="1"/>
  <c r="G223" i="18" s="1"/>
  <c r="F223" i="18" a="1"/>
  <c r="F223" i="18" s="1"/>
  <c r="H253" i="18" a="1"/>
  <c r="H253" i="18" s="1"/>
  <c r="E253" i="18" a="1"/>
  <c r="E253" i="18" s="1"/>
  <c r="D253" i="18" a="1"/>
  <c r="D253" i="18" s="1"/>
  <c r="G123" i="18" a="1"/>
  <c r="G123" i="18" s="1"/>
  <c r="F123" i="18" a="1"/>
  <c r="F123" i="18" s="1"/>
  <c r="H135" i="18" a="1"/>
  <c r="H135" i="18" s="1"/>
  <c r="E135" i="18" a="1"/>
  <c r="E135" i="18" s="1"/>
  <c r="D135" i="18" a="1"/>
  <c r="D135" i="18" s="1"/>
  <c r="F39" i="18" a="1"/>
  <c r="F39" i="18" s="1"/>
  <c r="G39" i="18" a="1"/>
  <c r="G39" i="18" s="1"/>
  <c r="H51" i="18" a="1"/>
  <c r="H51" i="18" s="1"/>
  <c r="E51" i="18" a="1"/>
  <c r="E51" i="18" s="1"/>
  <c r="D51" i="18" a="1"/>
  <c r="D51" i="18" s="1"/>
  <c r="H11" i="18" a="1"/>
  <c r="H11" i="18" s="1"/>
  <c r="E11" i="18" a="1"/>
  <c r="E11" i="18" s="1"/>
  <c r="D11" i="18" a="1"/>
  <c r="D11" i="18" s="1"/>
  <c r="G84" i="18" a="1"/>
  <c r="G84" i="18" s="1"/>
  <c r="F84" i="18" a="1"/>
  <c r="F84" i="18" s="1"/>
  <c r="E108" i="18" a="1"/>
  <c r="E108" i="18" s="1"/>
  <c r="D108" i="18" a="1"/>
  <c r="D108" i="18" s="1"/>
  <c r="H108" i="18" a="1"/>
  <c r="H108" i="18" s="1"/>
  <c r="H127" i="18" a="1"/>
  <c r="H127" i="18" s="1"/>
  <c r="D127" i="18" a="1"/>
  <c r="D127" i="18" s="1"/>
  <c r="E127" i="18" a="1"/>
  <c r="E127" i="18" s="1"/>
  <c r="G431" i="18" a="1"/>
  <c r="G431" i="18" s="1"/>
  <c r="F431" i="18" a="1"/>
  <c r="F431" i="18" s="1"/>
  <c r="E174" i="18" a="1"/>
  <c r="E174" i="18" s="1"/>
  <c r="D174" i="18" a="1"/>
  <c r="D174" i="18" s="1"/>
  <c r="H174" i="18" a="1"/>
  <c r="H174" i="18" s="1"/>
  <c r="D214" i="18" a="1"/>
  <c r="D214" i="18" s="1"/>
  <c r="H214" i="18" a="1"/>
  <c r="H214" i="18" s="1"/>
  <c r="E214" i="18" a="1"/>
  <c r="E214" i="18" s="1"/>
  <c r="G158" i="18" a="1"/>
  <c r="G158" i="18" s="1"/>
  <c r="F158" i="18" a="1"/>
  <c r="F158" i="18" s="1"/>
  <c r="G198" i="18" a="1"/>
  <c r="G198" i="18" s="1"/>
  <c r="F198" i="18" a="1"/>
  <c r="F198" i="18" s="1"/>
  <c r="G433" i="18" a="1"/>
  <c r="G433" i="18" s="1"/>
  <c r="F433" i="18" a="1"/>
  <c r="F433" i="18" s="1"/>
  <c r="G379" i="18" a="1"/>
  <c r="G379" i="18" s="1"/>
  <c r="F379" i="18" a="1"/>
  <c r="F379" i="18" s="1"/>
  <c r="H321" i="18" a="1"/>
  <c r="H321" i="18" s="1"/>
  <c r="D321" i="18" a="1"/>
  <c r="D321" i="18" s="1"/>
  <c r="E321" i="18" a="1"/>
  <c r="E321" i="18" s="1"/>
  <c r="G364" i="18" a="1"/>
  <c r="G364" i="18" s="1"/>
  <c r="F364" i="18" a="1"/>
  <c r="F364" i="18" s="1"/>
  <c r="E234" i="18" a="1"/>
  <c r="E234" i="18" s="1"/>
  <c r="D234" i="18" a="1"/>
  <c r="D234" i="18" s="1"/>
  <c r="H234" i="18" a="1"/>
  <c r="H234" i="18" s="1"/>
  <c r="E254" i="18" a="1"/>
  <c r="E254" i="18" s="1"/>
  <c r="D254" i="18" a="1"/>
  <c r="D254" i="18" s="1"/>
  <c r="H254" i="18" a="1"/>
  <c r="H254" i="18" s="1"/>
  <c r="G305" i="18" a="1"/>
  <c r="G305" i="18" s="1"/>
  <c r="F305" i="18" a="1"/>
  <c r="F305" i="18" s="1"/>
  <c r="G239" i="18" a="1"/>
  <c r="G239" i="18" s="1"/>
  <c r="F239" i="18" a="1"/>
  <c r="F239" i="18" s="1"/>
  <c r="F259" i="18" a="1"/>
  <c r="F259" i="18" s="1"/>
  <c r="G259" i="18" a="1"/>
  <c r="G259" i="18" s="1"/>
  <c r="E340" i="18" a="1"/>
  <c r="E340" i="18" s="1"/>
  <c r="H340" i="18" a="1"/>
  <c r="H340" i="18" s="1"/>
  <c r="D340" i="18" a="1"/>
  <c r="D340" i="18" s="1"/>
  <c r="G312" i="18" a="1"/>
  <c r="G312" i="18" s="1"/>
  <c r="F312" i="18" a="1"/>
  <c r="F312" i="18" s="1"/>
  <c r="H421" i="18" a="1"/>
  <c r="H421" i="18" s="1"/>
  <c r="E421" i="18" a="1"/>
  <c r="E421" i="18" s="1"/>
  <c r="D421" i="18" a="1"/>
  <c r="D421" i="18" s="1"/>
  <c r="H299" i="18" a="1"/>
  <c r="H299" i="18" s="1"/>
  <c r="E299" i="18" a="1"/>
  <c r="E299" i="18" s="1"/>
  <c r="D299" i="18" a="1"/>
  <c r="D299" i="18" s="1"/>
  <c r="D276" i="18" a="1"/>
  <c r="D276" i="18" s="1"/>
  <c r="H276" i="18" a="1"/>
  <c r="H276" i="18" s="1"/>
  <c r="E276" i="18" a="1"/>
  <c r="E276" i="18" s="1"/>
  <c r="G373" i="18" a="1"/>
  <c r="G373" i="18" s="1"/>
  <c r="F373" i="18" a="1"/>
  <c r="F373" i="18" s="1"/>
  <c r="G347" i="18" a="1"/>
  <c r="G347" i="18" s="1"/>
  <c r="F347" i="18" a="1"/>
  <c r="F347" i="18" s="1"/>
  <c r="H381" i="18" a="1"/>
  <c r="H381" i="18" s="1"/>
  <c r="E381" i="18" a="1"/>
  <c r="E381" i="18" s="1"/>
  <c r="D381" i="18" a="1"/>
  <c r="D381" i="18" s="1"/>
  <c r="G402" i="18" a="1"/>
  <c r="G402" i="18" s="1"/>
  <c r="F402" i="18" a="1"/>
  <c r="F402" i="18" s="1"/>
  <c r="G441" i="18" a="1"/>
  <c r="G441" i="18" s="1"/>
  <c r="F441" i="18" a="1"/>
  <c r="F441" i="18" s="1"/>
  <c r="G273" i="18" a="1"/>
  <c r="G273" i="18" s="1"/>
  <c r="F273" i="18" a="1"/>
  <c r="F273" i="18" s="1"/>
  <c r="G64" i="18" a="1"/>
  <c r="G64" i="18" s="1"/>
  <c r="F64" i="18" a="1"/>
  <c r="F64" i="18" s="1"/>
  <c r="E187" i="18" a="1"/>
  <c r="E187" i="18" s="1"/>
  <c r="D187" i="18" a="1"/>
  <c r="D187" i="18" s="1"/>
  <c r="H187" i="18" a="1"/>
  <c r="H187" i="18" s="1"/>
  <c r="H149" i="18" a="1"/>
  <c r="H149" i="18" s="1"/>
  <c r="D149" i="18" a="1"/>
  <c r="D149" i="18" s="1"/>
  <c r="E149" i="18" a="1"/>
  <c r="E149" i="18" s="1"/>
  <c r="H14" i="18" a="1"/>
  <c r="H14" i="18" s="1"/>
  <c r="E14" i="18" a="1"/>
  <c r="E14" i="18" s="1"/>
  <c r="D14" i="18" a="1"/>
  <c r="D14" i="18" s="1"/>
  <c r="H197" i="18" a="1"/>
  <c r="H197" i="18" s="1"/>
  <c r="E197" i="18" a="1"/>
  <c r="E197" i="18" s="1"/>
  <c r="D197" i="18" a="1"/>
  <c r="D197" i="18" s="1"/>
  <c r="H134" i="18" a="1"/>
  <c r="H134" i="18" s="1"/>
  <c r="E134" i="18" a="1"/>
  <c r="E134" i="18" s="1"/>
  <c r="D134" i="18" a="1"/>
  <c r="D134" i="18" s="1"/>
  <c r="H86" i="18" a="1"/>
  <c r="H86" i="18" s="1"/>
  <c r="E86" i="18" a="1"/>
  <c r="E86" i="18" s="1"/>
  <c r="D86" i="18" a="1"/>
  <c r="D86" i="18" s="1"/>
  <c r="D73" i="18" a="1"/>
  <c r="D73" i="18" s="1"/>
  <c r="H73" i="18" a="1"/>
  <c r="H73" i="18" s="1"/>
  <c r="E73" i="18" a="1"/>
  <c r="E73" i="18" s="1"/>
  <c r="F65" i="18" a="1"/>
  <c r="F65" i="18" s="1"/>
  <c r="G65" i="18" a="1"/>
  <c r="G65" i="18" s="1"/>
  <c r="G192" i="18" a="1"/>
  <c r="G192" i="18" s="1"/>
  <c r="F192" i="18" a="1"/>
  <c r="F192" i="18" s="1"/>
  <c r="G276" i="18" a="1"/>
  <c r="G276" i="18" s="1"/>
  <c r="F276" i="18" a="1"/>
  <c r="F276" i="18" s="1"/>
  <c r="G394" i="18" a="1"/>
  <c r="G394" i="18" s="1"/>
  <c r="F394" i="18" a="1"/>
  <c r="F394" i="18" s="1"/>
  <c r="G423" i="18" a="1"/>
  <c r="G423" i="18" s="1"/>
  <c r="F423" i="18" a="1"/>
  <c r="F423" i="18" s="1"/>
  <c r="G116" i="18" a="1"/>
  <c r="G116" i="18" s="1"/>
  <c r="F116" i="18" a="1"/>
  <c r="F116" i="18" s="1"/>
  <c r="G161" i="18" a="1"/>
  <c r="G161" i="18" s="1"/>
  <c r="F161" i="18" a="1"/>
  <c r="F161" i="18" s="1"/>
  <c r="H120" i="18" a="1"/>
  <c r="H120" i="18" s="1"/>
  <c r="D120" i="18" a="1"/>
  <c r="D120" i="18" s="1"/>
  <c r="E120" i="18" a="1"/>
  <c r="E120" i="18" s="1"/>
  <c r="D210" i="18" a="1"/>
  <c r="D210" i="18" s="1"/>
  <c r="H210" i="18" a="1"/>
  <c r="H210" i="18" s="1"/>
  <c r="E210" i="18" a="1"/>
  <c r="E210" i="18" s="1"/>
  <c r="D232" i="18" a="1"/>
  <c r="D232" i="18" s="1"/>
  <c r="H232" i="18" a="1"/>
  <c r="H232" i="18" s="1"/>
  <c r="E232" i="18" a="1"/>
  <c r="E232" i="18" s="1"/>
  <c r="F297" i="18" a="1"/>
  <c r="F297" i="18" s="1"/>
  <c r="G297" i="18" a="1"/>
  <c r="G297" i="18" s="1"/>
  <c r="H403" i="18" a="1"/>
  <c r="H403" i="18" s="1"/>
  <c r="E403" i="18" a="1"/>
  <c r="E403" i="18" s="1"/>
  <c r="D403" i="18" a="1"/>
  <c r="D403" i="18" s="1"/>
  <c r="H291" i="18" a="1"/>
  <c r="H291" i="18" s="1"/>
  <c r="E291" i="18" a="1"/>
  <c r="E291" i="18" s="1"/>
  <c r="D291" i="18" a="1"/>
  <c r="D291" i="18" s="1"/>
  <c r="G429" i="18" a="1"/>
  <c r="G429" i="18" s="1"/>
  <c r="F429" i="18" a="1"/>
  <c r="F429" i="18" s="1"/>
  <c r="F76" i="18" a="1"/>
  <c r="F76" i="18" s="1"/>
  <c r="G76" i="18" a="1"/>
  <c r="G76" i="18" s="1"/>
  <c r="H221" i="18" a="1"/>
  <c r="H221" i="18" s="1"/>
  <c r="D221" i="18" a="1"/>
  <c r="D221" i="18" s="1"/>
  <c r="E221" i="18" a="1"/>
  <c r="E221" i="18" s="1"/>
  <c r="E100" i="18" a="1"/>
  <c r="E100" i="18" s="1"/>
  <c r="H100" i="18" a="1"/>
  <c r="H100" i="18" s="1"/>
  <c r="D100" i="18" a="1"/>
  <c r="D100" i="18" s="1"/>
  <c r="E52" i="18" a="1"/>
  <c r="E52" i="18" s="1"/>
  <c r="H52" i="18" a="1"/>
  <c r="H52" i="18" s="1"/>
  <c r="D52" i="18" a="1"/>
  <c r="D52" i="18" s="1"/>
  <c r="H13" i="18" a="1"/>
  <c r="H13" i="18" s="1"/>
  <c r="E13" i="18" a="1"/>
  <c r="E13" i="18" s="1"/>
  <c r="D13" i="18" a="1"/>
  <c r="D13" i="18" s="1"/>
  <c r="F238" i="18" a="1"/>
  <c r="F238" i="18" s="1"/>
  <c r="G238" i="18" a="1"/>
  <c r="G238" i="18" s="1"/>
  <c r="H209" i="18" a="1"/>
  <c r="H209" i="18" s="1"/>
  <c r="D209" i="18" a="1"/>
  <c r="D209" i="18" s="1"/>
  <c r="E209" i="18" a="1"/>
  <c r="E209" i="18" s="1"/>
  <c r="E293" i="18" a="1"/>
  <c r="E293" i="18" s="1"/>
  <c r="D293" i="18" a="1"/>
  <c r="D293" i="18" s="1"/>
  <c r="H293" i="18" a="1"/>
  <c r="H293" i="18" s="1"/>
  <c r="D116" i="18" a="1"/>
  <c r="D116" i="18" s="1"/>
  <c r="H116" i="18" a="1"/>
  <c r="H116" i="18" s="1"/>
  <c r="E116" i="18" a="1"/>
  <c r="E116" i="18" s="1"/>
  <c r="G130" i="18" a="1"/>
  <c r="G130" i="18" s="1"/>
  <c r="F130" i="18" a="1"/>
  <c r="F130" i="18" s="1"/>
  <c r="G37" i="18" a="1"/>
  <c r="G37" i="18" s="1"/>
  <c r="F37" i="18" a="1"/>
  <c r="F37" i="18" s="1"/>
  <c r="G199" i="18" a="1"/>
  <c r="G199" i="18" s="1"/>
  <c r="F199" i="18" a="1"/>
  <c r="F199" i="18" s="1"/>
  <c r="H49" i="18" a="1"/>
  <c r="H49" i="18" s="1"/>
  <c r="E49" i="18" a="1"/>
  <c r="E49" i="18" s="1"/>
  <c r="D49" i="18" a="1"/>
  <c r="D49" i="18" s="1"/>
  <c r="D9" i="18" a="1"/>
  <c r="D9" i="18" s="1"/>
  <c r="H9" i="18" a="1"/>
  <c r="H9" i="18" s="1"/>
  <c r="E9" i="18" a="1"/>
  <c r="E9" i="18" s="1"/>
  <c r="H77" i="18" a="1"/>
  <c r="H77" i="18" s="1"/>
  <c r="E77" i="18" a="1"/>
  <c r="E77" i="18" s="1"/>
  <c r="D77" i="18" a="1"/>
  <c r="D77" i="18" s="1"/>
  <c r="G103" i="18" a="1"/>
  <c r="G103" i="18" s="1"/>
  <c r="F103" i="18" a="1"/>
  <c r="F103" i="18" s="1"/>
  <c r="G122" i="18" a="1"/>
  <c r="G122" i="18" s="1"/>
  <c r="F122" i="18" a="1"/>
  <c r="F122" i="18" s="1"/>
  <c r="F140" i="18" a="1"/>
  <c r="F140" i="18" s="1"/>
  <c r="G140" i="18" a="1"/>
  <c r="G140" i="18" s="1"/>
  <c r="D176" i="18" a="1"/>
  <c r="D176" i="18" s="1"/>
  <c r="H176" i="18" a="1"/>
  <c r="H176" i="18" s="1"/>
  <c r="E176" i="18" a="1"/>
  <c r="E176" i="18" s="1"/>
  <c r="D216" i="18" a="1"/>
  <c r="D216" i="18" s="1"/>
  <c r="H216" i="18" a="1"/>
  <c r="H216" i="18" s="1"/>
  <c r="E216" i="18" a="1"/>
  <c r="E216" i="18" s="1"/>
  <c r="F160" i="18" a="1"/>
  <c r="F160" i="18" s="1"/>
  <c r="G160" i="18" a="1"/>
  <c r="G160" i="18" s="1"/>
  <c r="G200" i="18" a="1"/>
  <c r="G200" i="18" s="1"/>
  <c r="F200" i="18" a="1"/>
  <c r="F200" i="18" s="1"/>
  <c r="G137" i="18" a="1"/>
  <c r="G137" i="18" s="1"/>
  <c r="F137" i="18" a="1"/>
  <c r="F137" i="18" s="1"/>
  <c r="F419" i="18" a="1"/>
  <c r="F419" i="18" s="1"/>
  <c r="G419" i="18" a="1"/>
  <c r="G419" i="18" s="1"/>
  <c r="H329" i="18" a="1"/>
  <c r="H329" i="18" s="1"/>
  <c r="E329" i="18" a="1"/>
  <c r="E329" i="18" s="1"/>
  <c r="D329" i="18" a="1"/>
  <c r="D329" i="18" s="1"/>
  <c r="F387" i="18" a="1"/>
  <c r="F387" i="18" s="1"/>
  <c r="G387" i="18" a="1"/>
  <c r="G387" i="18" s="1"/>
  <c r="E297" i="18" a="1"/>
  <c r="E297" i="18" s="1"/>
  <c r="D297" i="18" a="1"/>
  <c r="D297" i="18" s="1"/>
  <c r="H297" i="18" a="1"/>
  <c r="H297" i="18" s="1"/>
  <c r="D235" i="18" a="1"/>
  <c r="D235" i="18" s="1"/>
  <c r="H235" i="18" a="1"/>
  <c r="H235" i="18" s="1"/>
  <c r="E235" i="18" a="1"/>
  <c r="E235" i="18" s="1"/>
  <c r="E255" i="18" a="1"/>
  <c r="E255" i="18" s="1"/>
  <c r="D255" i="18" a="1"/>
  <c r="D255" i="18" s="1"/>
  <c r="H255" i="18" a="1"/>
  <c r="H255" i="18" s="1"/>
  <c r="G309" i="18" a="1"/>
  <c r="G309" i="18" s="1"/>
  <c r="F309" i="18" a="1"/>
  <c r="F309" i="18" s="1"/>
  <c r="G240" i="18" a="1"/>
  <c r="G240" i="18" s="1"/>
  <c r="F240" i="18" a="1"/>
  <c r="F240" i="18" s="1"/>
  <c r="G260" i="18" a="1"/>
  <c r="G260" i="18" s="1"/>
  <c r="F260" i="18" a="1"/>
  <c r="F260" i="18" s="1"/>
  <c r="D348" i="18" a="1"/>
  <c r="D348" i="18" s="1"/>
  <c r="H348" i="18" a="1"/>
  <c r="H348" i="18" s="1"/>
  <c r="E348" i="18" a="1"/>
  <c r="E348" i="18" s="1"/>
  <c r="G316" i="18" a="1"/>
  <c r="G316" i="18" s="1"/>
  <c r="F316" i="18" a="1"/>
  <c r="F316" i="18" s="1"/>
  <c r="G437" i="18" a="1"/>
  <c r="G437" i="18" s="1"/>
  <c r="F437" i="18" a="1"/>
  <c r="F437" i="18" s="1"/>
  <c r="D303" i="18" a="1"/>
  <c r="D303" i="18" s="1"/>
  <c r="H303" i="18" a="1"/>
  <c r="H303" i="18" s="1"/>
  <c r="E303" i="18" a="1"/>
  <c r="E303" i="18" s="1"/>
  <c r="H277" i="18" a="1"/>
  <c r="H277" i="18" s="1"/>
  <c r="E277" i="18" a="1"/>
  <c r="E277" i="18" s="1"/>
  <c r="D277" i="18" a="1"/>
  <c r="D277" i="18" s="1"/>
  <c r="G390" i="18" a="1"/>
  <c r="G390" i="18" s="1"/>
  <c r="F390" i="18" a="1"/>
  <c r="F390" i="18" s="1"/>
  <c r="E358" i="18" a="1"/>
  <c r="E358" i="18" s="1"/>
  <c r="H358" i="18" a="1"/>
  <c r="H358" i="18" s="1"/>
  <c r="D358" i="18" a="1"/>
  <c r="D358" i="18" s="1"/>
  <c r="G382" i="18" a="1"/>
  <c r="G382" i="18" s="1"/>
  <c r="F382" i="18" a="1"/>
  <c r="F382" i="18" s="1"/>
  <c r="G418" i="18" a="1"/>
  <c r="G418" i="18" s="1"/>
  <c r="F418" i="18" a="1"/>
  <c r="F418" i="18" s="1"/>
  <c r="D398" i="18" a="1"/>
  <c r="D398" i="18" s="1"/>
  <c r="H398" i="18" a="1"/>
  <c r="H398" i="18" s="1"/>
  <c r="E398" i="18" a="1"/>
  <c r="E398" i="18" s="1"/>
  <c r="G221" i="18" a="1"/>
  <c r="G221" i="18" s="1"/>
  <c r="F221" i="18" a="1"/>
  <c r="F221" i="18" s="1"/>
  <c r="E57" i="18" a="1"/>
  <c r="E57" i="18" s="1"/>
  <c r="D57" i="18" a="1"/>
  <c r="D57" i="18" s="1"/>
  <c r="H57" i="18" a="1"/>
  <c r="H57" i="18" s="1"/>
  <c r="F177" i="18" a="1"/>
  <c r="F177" i="18" s="1"/>
  <c r="G177" i="18" a="1"/>
  <c r="G177" i="18" s="1"/>
  <c r="G109" i="18" a="1"/>
  <c r="G109" i="18" s="1"/>
  <c r="F109" i="18" a="1"/>
  <c r="F109" i="18" s="1"/>
  <c r="E42" i="18" a="1"/>
  <c r="E42" i="18" s="1"/>
  <c r="D42" i="18" a="1"/>
  <c r="D42" i="18" s="1"/>
  <c r="H42" i="18" a="1"/>
  <c r="H42" i="18" s="1"/>
  <c r="E327" i="18" a="1"/>
  <c r="E327" i="18" s="1"/>
  <c r="D327" i="18" a="1"/>
  <c r="D327" i="18" s="1"/>
  <c r="H327" i="18" a="1"/>
  <c r="H327" i="18" s="1"/>
  <c r="G167" i="18" a="1"/>
  <c r="G167" i="18" s="1"/>
  <c r="F167" i="18" a="1"/>
  <c r="F167" i="18" s="1"/>
  <c r="F104" i="18" a="1"/>
  <c r="F104" i="18" s="1"/>
  <c r="G104" i="18" a="1"/>
  <c r="G104" i="18" s="1"/>
  <c r="E90" i="18" a="1"/>
  <c r="E90" i="18" s="1"/>
  <c r="D90" i="18" a="1"/>
  <c r="D90" i="18" s="1"/>
  <c r="H90" i="18" a="1"/>
  <c r="H90" i="18" s="1"/>
  <c r="H218" i="18" a="1"/>
  <c r="H218" i="18" s="1"/>
  <c r="E218" i="18" a="1"/>
  <c r="E218" i="18" s="1"/>
  <c r="D218" i="18" a="1"/>
  <c r="D218" i="18" s="1"/>
  <c r="G261" i="18" a="1"/>
  <c r="G261" i="18" s="1"/>
  <c r="F261" i="18" a="1"/>
  <c r="F261" i="18" s="1"/>
  <c r="G359" i="18" a="1"/>
  <c r="G359" i="18" s="1"/>
  <c r="F359" i="18" a="1"/>
  <c r="F359" i="18" s="1"/>
  <c r="E404" i="18" a="1"/>
  <c r="E404" i="18" s="1"/>
  <c r="D404" i="18" a="1"/>
  <c r="D404" i="18" s="1"/>
  <c r="H404" i="18" a="1"/>
  <c r="H404" i="18" s="1"/>
  <c r="G107" i="18" a="1"/>
  <c r="G107" i="18" s="1"/>
  <c r="F107" i="18" a="1"/>
  <c r="F107" i="18" s="1"/>
  <c r="G317" i="18" a="1"/>
  <c r="G317" i="18" s="1"/>
  <c r="F317" i="18" a="1"/>
  <c r="F317" i="18" s="1"/>
  <c r="E17" i="18" a="1"/>
  <c r="E17" i="18" s="1"/>
  <c r="H17" i="18" a="1"/>
  <c r="H17" i="18" s="1"/>
  <c r="D17" i="18" a="1"/>
  <c r="D17" i="18" s="1"/>
  <c r="H308" i="18" a="1"/>
  <c r="H308" i="18" s="1"/>
  <c r="D308" i="18" a="1"/>
  <c r="D308" i="18" s="1"/>
  <c r="E308" i="18" a="1"/>
  <c r="E308" i="18" s="1"/>
  <c r="F293" i="18" a="1"/>
  <c r="F293" i="18" s="1"/>
  <c r="G293" i="18" a="1"/>
  <c r="G293" i="18" s="1"/>
  <c r="H392" i="18" a="1"/>
  <c r="H392" i="18" s="1"/>
  <c r="E392" i="18" a="1"/>
  <c r="E392" i="18" s="1"/>
  <c r="D392" i="18" a="1"/>
  <c r="D392" i="18" s="1"/>
  <c r="D217" i="18" a="1"/>
  <c r="D217" i="18" s="1"/>
  <c r="H217" i="18" a="1"/>
  <c r="H217" i="18" s="1"/>
  <c r="E217" i="18" a="1"/>
  <c r="E217" i="18" s="1"/>
  <c r="G135" i="18" a="1"/>
  <c r="G135" i="18" s="1"/>
  <c r="F135" i="18" a="1"/>
  <c r="F135" i="18" s="1"/>
  <c r="E141" i="18" a="1"/>
  <c r="E141" i="18" s="1"/>
  <c r="H141" i="18" a="1"/>
  <c r="H141" i="18" s="1"/>
  <c r="D141" i="18" a="1"/>
  <c r="D141" i="18" s="1"/>
  <c r="G282" i="18" a="1"/>
  <c r="G282" i="18" s="1"/>
  <c r="F282" i="18" a="1"/>
  <c r="F282" i="18" s="1"/>
  <c r="D395" i="18" a="1"/>
  <c r="D395" i="18" s="1"/>
  <c r="H395" i="18" a="1"/>
  <c r="H395" i="18" s="1"/>
  <c r="E395" i="18" a="1"/>
  <c r="E395" i="18" s="1"/>
  <c r="E185" i="18" a="1"/>
  <c r="E185" i="18" s="1"/>
  <c r="D185" i="18" a="1"/>
  <c r="D185" i="18" s="1"/>
  <c r="H185" i="18" a="1"/>
  <c r="H185" i="18" s="1"/>
  <c r="G294" i="18" a="1"/>
  <c r="G294" i="18" s="1"/>
  <c r="F294" i="18" a="1"/>
  <c r="F294" i="18" s="1"/>
  <c r="G351" i="18" a="1"/>
  <c r="G351" i="18" s="1"/>
  <c r="F351" i="18" a="1"/>
  <c r="F351" i="18" s="1"/>
  <c r="E319" i="18" a="1"/>
  <c r="E319" i="18" s="1"/>
  <c r="H319" i="18" a="1"/>
  <c r="H319" i="18" s="1"/>
  <c r="D319" i="18" a="1"/>
  <c r="D319" i="18" s="1"/>
  <c r="G121" i="18" a="1"/>
  <c r="G121" i="18" s="1"/>
  <c r="F121" i="18" a="1"/>
  <c r="F121" i="18" s="1"/>
  <c r="F118" i="18" a="1"/>
  <c r="F118" i="18" s="1"/>
  <c r="G118" i="18" a="1"/>
  <c r="G118" i="18" s="1"/>
  <c r="G175" i="18" a="1"/>
  <c r="G175" i="18" s="1"/>
  <c r="F175" i="18" a="1"/>
  <c r="F175" i="18" s="1"/>
  <c r="H5" i="18" a="1"/>
  <c r="H5" i="18" s="1"/>
  <c r="E5" i="18" a="1"/>
  <c r="E5" i="18" s="1"/>
  <c r="D5" i="18" a="1"/>
  <c r="D5" i="18" s="1"/>
  <c r="G91" i="18" a="1"/>
  <c r="G91" i="18" s="1"/>
  <c r="F91" i="18" a="1"/>
  <c r="F91" i="18" s="1"/>
  <c r="H415" i="18" a="1"/>
  <c r="H415" i="18" s="1"/>
  <c r="E415" i="18" a="1"/>
  <c r="E415" i="18" s="1"/>
  <c r="D415" i="18" a="1"/>
  <c r="D415" i="18" s="1"/>
  <c r="E220" i="18" a="1"/>
  <c r="E220" i="18" s="1"/>
  <c r="D220" i="18" a="1"/>
  <c r="D220" i="18" s="1"/>
  <c r="H220" i="18" a="1"/>
  <c r="H220" i="18" s="1"/>
  <c r="G204" i="18" a="1"/>
  <c r="G204" i="18" s="1"/>
  <c r="F204" i="18" a="1"/>
  <c r="F204" i="18" s="1"/>
  <c r="F280" i="18" a="1"/>
  <c r="F280" i="18" s="1"/>
  <c r="G280" i="18" a="1"/>
  <c r="G280" i="18" s="1"/>
  <c r="G430" i="18" a="1"/>
  <c r="G430" i="18" s="1"/>
  <c r="F430" i="18" a="1"/>
  <c r="F430" i="18" s="1"/>
  <c r="H237" i="18" a="1"/>
  <c r="H237" i="18" s="1"/>
  <c r="E237" i="18" a="1"/>
  <c r="E237" i="18" s="1"/>
  <c r="D237" i="18" a="1"/>
  <c r="D237" i="18" s="1"/>
  <c r="G242" i="18" a="1"/>
  <c r="G242" i="18" s="1"/>
  <c r="F242" i="18" a="1"/>
  <c r="F242" i="18" s="1"/>
  <c r="G361" i="18" a="1"/>
  <c r="G361" i="18" s="1"/>
  <c r="F361" i="18" a="1"/>
  <c r="F361" i="18" s="1"/>
  <c r="F319" i="18" a="1"/>
  <c r="F319" i="18" s="1"/>
  <c r="G319" i="18" a="1"/>
  <c r="G319" i="18" s="1"/>
  <c r="H279" i="18" a="1"/>
  <c r="H279" i="18" s="1"/>
  <c r="E279" i="18" a="1"/>
  <c r="E279" i="18" s="1"/>
  <c r="D279" i="18" a="1"/>
  <c r="D279" i="18" s="1"/>
  <c r="F424" i="18" a="1"/>
  <c r="F424" i="18" s="1"/>
  <c r="G424" i="18" a="1"/>
  <c r="G424" i="18" s="1"/>
  <c r="H400" i="18" a="1"/>
  <c r="H400" i="18" s="1"/>
  <c r="E400" i="18" a="1"/>
  <c r="E400" i="18" s="1"/>
  <c r="D400" i="18" a="1"/>
  <c r="D400" i="18" s="1"/>
  <c r="E410" i="18" a="1"/>
  <c r="E410" i="18" s="1"/>
  <c r="D410" i="18" a="1"/>
  <c r="D410" i="18" s="1"/>
  <c r="H410" i="18" a="1"/>
  <c r="H410" i="18" s="1"/>
  <c r="G50" i="18" a="1"/>
  <c r="G50" i="18" s="1"/>
  <c r="F50" i="18" a="1"/>
  <c r="F50" i="18" s="1"/>
  <c r="H74" i="18" a="1"/>
  <c r="H74" i="18" s="1"/>
  <c r="E74" i="18" a="1"/>
  <c r="E74" i="18" s="1"/>
  <c r="D74" i="18" a="1"/>
  <c r="D74" i="18" s="1"/>
  <c r="E26" i="18" a="1"/>
  <c r="E26" i="18" s="1"/>
  <c r="D26" i="18" a="1"/>
  <c r="D26" i="18" s="1"/>
  <c r="H26" i="18" a="1"/>
  <c r="H26" i="18" s="1"/>
  <c r="G139" i="18" a="1"/>
  <c r="G139" i="18" s="1"/>
  <c r="F139" i="18" a="1"/>
  <c r="F139" i="18" s="1"/>
  <c r="G99" i="18" a="1"/>
  <c r="G99" i="18" s="1"/>
  <c r="F99" i="18" a="1"/>
  <c r="F99" i="18" s="1"/>
  <c r="H111" i="18" a="1"/>
  <c r="H111" i="18" s="1"/>
  <c r="E111" i="18" a="1"/>
  <c r="E111" i="18" s="1"/>
  <c r="D111" i="18" a="1"/>
  <c r="D111" i="18" s="1"/>
  <c r="F31" i="18" a="1"/>
  <c r="F31" i="18" s="1"/>
  <c r="G31" i="18" a="1"/>
  <c r="G31" i="18" s="1"/>
  <c r="E161" i="18" a="1"/>
  <c r="E161" i="18" s="1"/>
  <c r="H161" i="18" a="1"/>
  <c r="H161" i="18" s="1"/>
  <c r="D161" i="18" a="1"/>
  <c r="D161" i="18" s="1"/>
  <c r="H43" i="18" a="1"/>
  <c r="H43" i="18" s="1"/>
  <c r="E43" i="18" a="1"/>
  <c r="E43" i="18" s="1"/>
  <c r="D43" i="18" a="1"/>
  <c r="D43" i="18" s="1"/>
  <c r="E343" i="18" a="1"/>
  <c r="E343" i="18" s="1"/>
  <c r="D343" i="18" a="1"/>
  <c r="D343" i="18" s="1"/>
  <c r="H343" i="18" a="1"/>
  <c r="H343" i="18" s="1"/>
  <c r="G60" i="18" a="1"/>
  <c r="G60" i="18" s="1"/>
  <c r="F60" i="18" a="1"/>
  <c r="F60" i="18" s="1"/>
  <c r="H84" i="18" a="1"/>
  <c r="H84" i="18" s="1"/>
  <c r="D84" i="18" a="1"/>
  <c r="D84" i="18" s="1"/>
  <c r="E84" i="18" a="1"/>
  <c r="E84" i="18" s="1"/>
  <c r="E103" i="18" a="1"/>
  <c r="E103" i="18" s="1"/>
  <c r="D103" i="18" a="1"/>
  <c r="D103" i="18" s="1"/>
  <c r="H103" i="18" a="1"/>
  <c r="H103" i="18" s="1"/>
  <c r="E142" i="18" a="1"/>
  <c r="E142" i="18" s="1"/>
  <c r="H142" i="18" a="1"/>
  <c r="H142" i="18" s="1"/>
  <c r="D142" i="18" a="1"/>
  <c r="D142" i="18" s="1"/>
  <c r="H182" i="18" a="1"/>
  <c r="H182" i="18" s="1"/>
  <c r="E182" i="18" a="1"/>
  <c r="E182" i="18" s="1"/>
  <c r="D182" i="18" a="1"/>
  <c r="D182" i="18" s="1"/>
  <c r="H222" i="18" a="1"/>
  <c r="H222" i="18" s="1"/>
  <c r="D222" i="18" a="1"/>
  <c r="D222" i="18" s="1"/>
  <c r="E222" i="18" a="1"/>
  <c r="E222" i="18" s="1"/>
  <c r="F166" i="18" a="1"/>
  <c r="F166" i="18" s="1"/>
  <c r="G166" i="18" a="1"/>
  <c r="G166" i="18" s="1"/>
  <c r="G206" i="18" a="1"/>
  <c r="G206" i="18" s="1"/>
  <c r="F206" i="18" a="1"/>
  <c r="F206" i="18" s="1"/>
  <c r="H139" i="18" a="1"/>
  <c r="H139" i="18" s="1"/>
  <c r="E139" i="18" a="1"/>
  <c r="E139" i="18" s="1"/>
  <c r="D139" i="18" a="1"/>
  <c r="D139" i="18" s="1"/>
  <c r="H310" i="18" a="1"/>
  <c r="H310" i="18" s="1"/>
  <c r="E310" i="18" a="1"/>
  <c r="E310" i="18" s="1"/>
  <c r="D310" i="18" a="1"/>
  <c r="D310" i="18" s="1"/>
  <c r="H391" i="18" a="1"/>
  <c r="H391" i="18" s="1"/>
  <c r="E391" i="18" a="1"/>
  <c r="E391" i="18" s="1"/>
  <c r="D391" i="18" a="1"/>
  <c r="D391" i="18" s="1"/>
  <c r="G333" i="18" a="1"/>
  <c r="G333" i="18" s="1"/>
  <c r="F333" i="18" a="1"/>
  <c r="F333" i="18" s="1"/>
  <c r="D309" i="18" a="1"/>
  <c r="D309" i="18" s="1"/>
  <c r="H309" i="18" a="1"/>
  <c r="H309" i="18" s="1"/>
  <c r="E309" i="18" a="1"/>
  <c r="E309" i="18" s="1"/>
  <c r="H238" i="18" a="1"/>
  <c r="H238" i="18" s="1"/>
  <c r="E238" i="18" a="1"/>
  <c r="E238" i="18" s="1"/>
  <c r="D238" i="18" a="1"/>
  <c r="D238" i="18" s="1"/>
  <c r="H258" i="18" a="1"/>
  <c r="H258" i="18" s="1"/>
  <c r="E258" i="18" a="1"/>
  <c r="E258" i="18" s="1"/>
  <c r="D258" i="18" a="1"/>
  <c r="D258" i="18" s="1"/>
  <c r="G324" i="18" a="1"/>
  <c r="G324" i="18" s="1"/>
  <c r="F324" i="18" a="1"/>
  <c r="F324" i="18" s="1"/>
  <c r="G243" i="18" a="1"/>
  <c r="G243" i="18" s="1"/>
  <c r="F243" i="18" a="1"/>
  <c r="F243" i="18" s="1"/>
  <c r="G263" i="18" a="1"/>
  <c r="G263" i="18" s="1"/>
  <c r="F263" i="18" a="1"/>
  <c r="F263" i="18" s="1"/>
  <c r="E376" i="18" a="1"/>
  <c r="E376" i="18" s="1"/>
  <c r="D376" i="18" a="1"/>
  <c r="D376" i="18" s="1"/>
  <c r="H376" i="18" a="1"/>
  <c r="H376" i="18" s="1"/>
  <c r="E325" i="18" a="1"/>
  <c r="E325" i="18" s="1"/>
  <c r="D325" i="18" a="1"/>
  <c r="D325" i="18" s="1"/>
  <c r="H325" i="18" a="1"/>
  <c r="H325" i="18" s="1"/>
  <c r="F322" i="18" a="1"/>
  <c r="F322" i="18" s="1"/>
  <c r="G322" i="18" a="1"/>
  <c r="G322" i="18" s="1"/>
  <c r="E315" i="18" a="1"/>
  <c r="E315" i="18" s="1"/>
  <c r="D315" i="18" a="1"/>
  <c r="D315" i="18" s="1"/>
  <c r="H315" i="18" a="1"/>
  <c r="H315" i="18" s="1"/>
  <c r="E280" i="18" a="1"/>
  <c r="E280" i="18" s="1"/>
  <c r="D280" i="18" a="1"/>
  <c r="D280" i="18" s="1"/>
  <c r="H280" i="18" a="1"/>
  <c r="H280" i="18" s="1"/>
  <c r="G432" i="18" a="1"/>
  <c r="G432" i="18" s="1"/>
  <c r="F432" i="18" a="1"/>
  <c r="F432" i="18" s="1"/>
  <c r="G371" i="18" a="1"/>
  <c r="G371" i="18" s="1"/>
  <c r="F371" i="18" a="1"/>
  <c r="F371" i="18" s="1"/>
  <c r="H402" i="18" a="1"/>
  <c r="H402" i="18" s="1"/>
  <c r="E402" i="18" a="1"/>
  <c r="E402" i="18" s="1"/>
  <c r="D402" i="18" a="1"/>
  <c r="D402" i="18" s="1"/>
  <c r="G442" i="18" a="1"/>
  <c r="G442" i="18" s="1"/>
  <c r="F442" i="18" a="1"/>
  <c r="F442" i="18" s="1"/>
  <c r="H416" i="18" a="1"/>
  <c r="H416" i="18" s="1"/>
  <c r="E416" i="18" a="1"/>
  <c r="E416" i="18" s="1"/>
  <c r="D416" i="18" a="1"/>
  <c r="D416" i="18" s="1"/>
  <c r="H183" i="18" a="1"/>
  <c r="H183" i="18" s="1"/>
  <c r="E183" i="18" a="1"/>
  <c r="E183" i="18" s="1"/>
  <c r="D183" i="18" a="1"/>
  <c r="D183" i="18" s="1"/>
  <c r="G48" i="18" a="1"/>
  <c r="G48" i="18" s="1"/>
  <c r="F48" i="18" a="1"/>
  <c r="F48" i="18" s="1"/>
  <c r="E131" i="18" a="1"/>
  <c r="E131" i="18" s="1"/>
  <c r="D131" i="18" a="1"/>
  <c r="D131" i="18" s="1"/>
  <c r="H131" i="18" a="1"/>
  <c r="H131" i="18" s="1"/>
  <c r="G57" i="18" a="1"/>
  <c r="G57" i="18" s="1"/>
  <c r="F57" i="18" a="1"/>
  <c r="F57" i="18" s="1"/>
  <c r="E97" i="18" a="1"/>
  <c r="E97" i="18" s="1"/>
  <c r="H97" i="18" a="1"/>
  <c r="H97" i="18" s="1"/>
  <c r="D97" i="18" a="1"/>
  <c r="D97" i="18" s="1"/>
  <c r="H46" i="18" a="1"/>
  <c r="H46" i="18" s="1"/>
  <c r="D46" i="18" a="1"/>
  <c r="D46" i="18" s="1"/>
  <c r="E46" i="18" a="1"/>
  <c r="E46" i="18" s="1"/>
  <c r="G16" i="18" a="1"/>
  <c r="G16" i="18" s="1"/>
  <c r="F16" i="18" a="1"/>
  <c r="F16" i="18" s="1"/>
  <c r="E173" i="18" a="1"/>
  <c r="E173" i="18" s="1"/>
  <c r="H173" i="18" a="1"/>
  <c r="H173" i="18" s="1"/>
  <c r="D173" i="18" a="1"/>
  <c r="D173" i="18" s="1"/>
  <c r="G143" i="18" a="1"/>
  <c r="G143" i="18" s="1"/>
  <c r="F143" i="18" a="1"/>
  <c r="F143" i="18" s="1"/>
  <c r="G127" i="18" a="1"/>
  <c r="G127" i="18" s="1"/>
  <c r="F127" i="18" a="1"/>
  <c r="F127" i="18" s="1"/>
  <c r="E251" i="18" a="1"/>
  <c r="E251" i="18" s="1"/>
  <c r="H251" i="18" a="1"/>
  <c r="H251" i="18" s="1"/>
  <c r="D251" i="18" a="1"/>
  <c r="D251" i="18" s="1"/>
  <c r="G358" i="18" a="1"/>
  <c r="G358" i="18" s="1"/>
  <c r="F358" i="18" a="1"/>
  <c r="F358" i="18" s="1"/>
  <c r="H215" i="18" a="1"/>
  <c r="H215" i="18" s="1"/>
  <c r="E215" i="18" a="1"/>
  <c r="E215" i="18" s="1"/>
  <c r="D215" i="18" a="1"/>
  <c r="D215" i="18" s="1"/>
  <c r="G43" i="18" a="1"/>
  <c r="G43" i="18" s="1"/>
  <c r="F43" i="18" a="1"/>
  <c r="F43" i="18" s="1"/>
  <c r="G154" i="18" a="1"/>
  <c r="G154" i="18" s="1"/>
  <c r="F154" i="18" a="1"/>
  <c r="F154" i="18" s="1"/>
  <c r="H274" i="18" a="1"/>
  <c r="H274" i="18" s="1"/>
  <c r="E274" i="18" a="1"/>
  <c r="E274" i="18" s="1"/>
  <c r="D274" i="18" a="1"/>
  <c r="D274" i="18" s="1"/>
  <c r="G111" i="18" a="1"/>
  <c r="G111" i="18" s="1"/>
  <c r="F111" i="18" a="1"/>
  <c r="F111" i="18" s="1"/>
  <c r="H47" i="18" a="1"/>
  <c r="H47" i="18" s="1"/>
  <c r="E47" i="18" a="1"/>
  <c r="E47" i="18" s="1"/>
  <c r="D47" i="18" a="1"/>
  <c r="D47" i="18" s="1"/>
  <c r="E178" i="18" a="1"/>
  <c r="E178" i="18" s="1"/>
  <c r="H178" i="18" a="1"/>
  <c r="H178" i="18" s="1"/>
  <c r="D178" i="18" a="1"/>
  <c r="D178" i="18" s="1"/>
  <c r="H443" i="18" a="1"/>
  <c r="H443" i="18" s="1"/>
  <c r="E443" i="18" a="1"/>
  <c r="E443" i="18" s="1"/>
  <c r="D443" i="18" a="1"/>
  <c r="D443" i="18" s="1"/>
  <c r="G313" i="18" a="1"/>
  <c r="G313" i="18" s="1"/>
  <c r="F313" i="18" a="1"/>
  <c r="F313" i="18" s="1"/>
  <c r="F408" i="18" a="1"/>
  <c r="F408" i="18" s="1"/>
  <c r="G408" i="18" a="1"/>
  <c r="G408" i="18" s="1"/>
  <c r="G205" i="18" a="1"/>
  <c r="G205" i="18" s="1"/>
  <c r="F205" i="18" a="1"/>
  <c r="F205" i="18" s="1"/>
  <c r="E104" i="18" a="1"/>
  <c r="E104" i="18" s="1"/>
  <c r="H104" i="18" a="1"/>
  <c r="H104" i="18" s="1"/>
  <c r="D104" i="18" a="1"/>
  <c r="D104" i="18" s="1"/>
  <c r="G33" i="18" a="1"/>
  <c r="G33" i="18" s="1"/>
  <c r="F33" i="18" a="1"/>
  <c r="F33" i="18" s="1"/>
  <c r="D45" i="18" a="1"/>
  <c r="D45" i="18" s="1"/>
  <c r="E45" i="18" a="1"/>
  <c r="E45" i="18" s="1"/>
  <c r="H45" i="18" a="1"/>
  <c r="H45" i="18" s="1"/>
  <c r="H65" i="18" a="1"/>
  <c r="H65" i="18" s="1"/>
  <c r="E65" i="18" a="1"/>
  <c r="E65" i="18" s="1"/>
  <c r="D65" i="18" a="1"/>
  <c r="D65" i="18" s="1"/>
  <c r="G110" i="18" a="1"/>
  <c r="G110" i="18" s="1"/>
  <c r="F110" i="18" a="1"/>
  <c r="F110" i="18" s="1"/>
  <c r="H180" i="18" a="1"/>
  <c r="H180" i="18" s="1"/>
  <c r="D180" i="18" a="1"/>
  <c r="D180" i="18" s="1"/>
  <c r="E180" i="18" a="1"/>
  <c r="E180" i="18" s="1"/>
  <c r="F164" i="18" a="1"/>
  <c r="F164" i="18" s="1"/>
  <c r="G164" i="18" a="1"/>
  <c r="G164" i="18" s="1"/>
  <c r="E302" i="18" a="1"/>
  <c r="E302" i="18" s="1"/>
  <c r="D302" i="18" a="1"/>
  <c r="D302" i="18" s="1"/>
  <c r="H302" i="18" a="1"/>
  <c r="H302" i="18" s="1"/>
  <c r="G385" i="18" a="1"/>
  <c r="G385" i="18" s="1"/>
  <c r="F385" i="18" a="1"/>
  <c r="F385" i="18" s="1"/>
  <c r="E305" i="18" a="1"/>
  <c r="E305" i="18" s="1"/>
  <c r="D305" i="18" a="1"/>
  <c r="D305" i="18" s="1"/>
  <c r="H305" i="18" a="1"/>
  <c r="H305" i="18" s="1"/>
  <c r="H257" i="18" a="1"/>
  <c r="H257" i="18" s="1"/>
  <c r="E257" i="18" a="1"/>
  <c r="E257" i="18" s="1"/>
  <c r="D257" i="18" a="1"/>
  <c r="D257" i="18" s="1"/>
  <c r="F262" i="18" a="1"/>
  <c r="F262" i="18" s="1"/>
  <c r="G262" i="18" a="1"/>
  <c r="G262" i="18" s="1"/>
  <c r="D322" i="18" a="1"/>
  <c r="D322" i="18" s="1"/>
  <c r="H322" i="18" a="1"/>
  <c r="H322" i="18" s="1"/>
  <c r="E322" i="18" a="1"/>
  <c r="E322" i="18" s="1"/>
  <c r="E311" i="18" a="1"/>
  <c r="E311" i="18" s="1"/>
  <c r="H311" i="18" a="1"/>
  <c r="H311" i="18" s="1"/>
  <c r="D311" i="18" a="1"/>
  <c r="D311" i="18" s="1"/>
  <c r="D370" i="18" a="1"/>
  <c r="D370" i="18" s="1"/>
  <c r="H370" i="18" a="1"/>
  <c r="H370" i="18" s="1"/>
  <c r="E370" i="18" a="1"/>
  <c r="E370" i="18" s="1"/>
  <c r="G436" i="18" a="1"/>
  <c r="G436" i="18" s="1"/>
  <c r="F436" i="18" a="1"/>
  <c r="F436" i="18" s="1"/>
  <c r="F197" i="18" a="1"/>
  <c r="F197" i="18" s="1"/>
  <c r="G197" i="18" a="1"/>
  <c r="G197" i="18" s="1"/>
  <c r="G153" i="18" a="1"/>
  <c r="G153" i="18" s="1"/>
  <c r="F153" i="18" a="1"/>
  <c r="F153" i="18" s="1"/>
  <c r="G80" i="18" a="1"/>
  <c r="G80" i="18" s="1"/>
  <c r="F80" i="18" a="1"/>
  <c r="F80" i="18" s="1"/>
  <c r="G352" i="18" a="1"/>
  <c r="G352" i="18" s="1"/>
  <c r="F352" i="18" a="1"/>
  <c r="F352" i="18" s="1"/>
  <c r="H124" i="18" a="1"/>
  <c r="H124" i="18" s="1"/>
  <c r="D124" i="18" a="1"/>
  <c r="D124" i="18" s="1"/>
  <c r="E124" i="18" a="1"/>
  <c r="E124" i="18" s="1"/>
  <c r="H92" i="18" a="1"/>
  <c r="H92" i="18" s="1"/>
  <c r="E92" i="18" a="1"/>
  <c r="E92" i="18" s="1"/>
  <c r="D92" i="18" a="1"/>
  <c r="D92" i="18" s="1"/>
  <c r="G106" i="18" a="1"/>
  <c r="G106" i="18" s="1"/>
  <c r="F106" i="18" a="1"/>
  <c r="F106" i="18" s="1"/>
  <c r="G29" i="18" a="1"/>
  <c r="G29" i="18" s="1"/>
  <c r="F29" i="18" a="1"/>
  <c r="F29" i="18" s="1"/>
  <c r="G151" i="18" a="1"/>
  <c r="G151" i="18" s="1"/>
  <c r="F151" i="18" a="1"/>
  <c r="F151" i="18" s="1"/>
  <c r="E41" i="18" a="1"/>
  <c r="E41" i="18" s="1"/>
  <c r="D41" i="18" a="1"/>
  <c r="D41" i="18" s="1"/>
  <c r="H41" i="18" a="1"/>
  <c r="H41" i="18" s="1"/>
  <c r="H223" i="18" a="1"/>
  <c r="H223" i="18" s="1"/>
  <c r="E223" i="18" a="1"/>
  <c r="E223" i="18" s="1"/>
  <c r="D223" i="18" a="1"/>
  <c r="D223" i="18" s="1"/>
  <c r="E53" i="18" a="1"/>
  <c r="E53" i="18" s="1"/>
  <c r="D53" i="18" a="1"/>
  <c r="D53" i="18" s="1"/>
  <c r="H53" i="18" a="1"/>
  <c r="H53" i="18" s="1"/>
  <c r="G79" i="18" a="1"/>
  <c r="G79" i="18" s="1"/>
  <c r="F79" i="18" a="1"/>
  <c r="F79" i="18" s="1"/>
  <c r="G98" i="18" a="1"/>
  <c r="G98" i="18" s="1"/>
  <c r="F98" i="18" a="1"/>
  <c r="F98" i="18" s="1"/>
  <c r="E144" i="18" a="1"/>
  <c r="E144" i="18" s="1"/>
  <c r="D144" i="18" a="1"/>
  <c r="D144" i="18" s="1"/>
  <c r="H144" i="18" a="1"/>
  <c r="H144" i="18" s="1"/>
  <c r="H184" i="18" a="1"/>
  <c r="H184" i="18" s="1"/>
  <c r="E184" i="18" a="1"/>
  <c r="E184" i="18" s="1"/>
  <c r="D184" i="18" a="1"/>
  <c r="D184" i="18" s="1"/>
  <c r="E224" i="18" a="1"/>
  <c r="E224" i="18" s="1"/>
  <c r="H224" i="18" a="1"/>
  <c r="H224" i="18" s="1"/>
  <c r="D224" i="18" a="1"/>
  <c r="D224" i="18" s="1"/>
  <c r="F168" i="18" a="1"/>
  <c r="F168" i="18" s="1"/>
  <c r="G168" i="18" a="1"/>
  <c r="G168" i="18" s="1"/>
  <c r="G208" i="18" a="1"/>
  <c r="G208" i="18" s="1"/>
  <c r="F208" i="18" a="1"/>
  <c r="F208" i="18" s="1"/>
  <c r="E288" i="18" a="1"/>
  <c r="E288" i="18" s="1"/>
  <c r="D288" i="18" a="1"/>
  <c r="D288" i="18" s="1"/>
  <c r="H288" i="18" a="1"/>
  <c r="H288" i="18" s="1"/>
  <c r="E332" i="18" a="1"/>
  <c r="E332" i="18" s="1"/>
  <c r="H332" i="18" a="1"/>
  <c r="H332" i="18" s="1"/>
  <c r="D332" i="18" a="1"/>
  <c r="D332" i="18" s="1"/>
  <c r="F272" i="18" a="1"/>
  <c r="F272" i="18" s="1"/>
  <c r="G272" i="18" a="1"/>
  <c r="G272" i="18" s="1"/>
  <c r="H338" i="18" a="1"/>
  <c r="H338" i="18" s="1"/>
  <c r="E338" i="18" a="1"/>
  <c r="E338" i="18" s="1"/>
  <c r="D338" i="18" a="1"/>
  <c r="D338" i="18" s="1"/>
  <c r="H313" i="18" a="1"/>
  <c r="H313" i="18" s="1"/>
  <c r="E313" i="18" a="1"/>
  <c r="E313" i="18" s="1"/>
  <c r="D313" i="18" a="1"/>
  <c r="D313" i="18" s="1"/>
  <c r="H239" i="18" a="1"/>
  <c r="H239" i="18" s="1"/>
  <c r="E239" i="18" a="1"/>
  <c r="E239" i="18" s="1"/>
  <c r="D239" i="18" a="1"/>
  <c r="D239" i="18" s="1"/>
  <c r="E259" i="18" a="1"/>
  <c r="E259" i="18" s="1"/>
  <c r="H259" i="18" a="1"/>
  <c r="H259" i="18" s="1"/>
  <c r="D259" i="18" a="1"/>
  <c r="D259" i="18" s="1"/>
  <c r="G326" i="18" a="1"/>
  <c r="G326" i="18" s="1"/>
  <c r="F326" i="18" a="1"/>
  <c r="F326" i="18" s="1"/>
  <c r="G244" i="18" a="1"/>
  <c r="G244" i="18" s="1"/>
  <c r="F244" i="18" a="1"/>
  <c r="F244" i="18" s="1"/>
  <c r="G264" i="18" a="1"/>
  <c r="G264" i="18" s="1"/>
  <c r="F264" i="18" a="1"/>
  <c r="F264" i="18" s="1"/>
  <c r="E384" i="18" a="1"/>
  <c r="E384" i="18" s="1"/>
  <c r="D384" i="18" a="1"/>
  <c r="D384" i="18" s="1"/>
  <c r="H384" i="18" a="1"/>
  <c r="H384" i="18" s="1"/>
  <c r="E328" i="18" a="1"/>
  <c r="E328" i="18" s="1"/>
  <c r="D328" i="18" a="1"/>
  <c r="D328" i="18" s="1"/>
  <c r="H328" i="18" a="1"/>
  <c r="H328" i="18" s="1"/>
  <c r="G325" i="18" a="1"/>
  <c r="G325" i="18" s="1"/>
  <c r="F325" i="18" a="1"/>
  <c r="F325" i="18" s="1"/>
  <c r="G342" i="18" a="1"/>
  <c r="G342" i="18" s="1"/>
  <c r="F342" i="18" a="1"/>
  <c r="F342" i="18" s="1"/>
  <c r="H281" i="18" a="1"/>
  <c r="H281" i="18" s="1"/>
  <c r="E281" i="18" a="1"/>
  <c r="E281" i="18" s="1"/>
  <c r="D281" i="18" a="1"/>
  <c r="D281" i="18" s="1"/>
  <c r="D347" i="18" a="1"/>
  <c r="D347" i="18" s="1"/>
  <c r="H347" i="18" a="1"/>
  <c r="H347" i="18" s="1"/>
  <c r="E347" i="18" a="1"/>
  <c r="E347" i="18" s="1"/>
  <c r="H382" i="18" a="1"/>
  <c r="H382" i="18" s="1"/>
  <c r="E382" i="18" a="1"/>
  <c r="E382" i="18" s="1"/>
  <c r="D382" i="18" a="1"/>
  <c r="D382" i="18" s="1"/>
  <c r="E418" i="18" a="1"/>
  <c r="E418" i="18" s="1"/>
  <c r="D418" i="18" a="1"/>
  <c r="D418" i="18" s="1"/>
  <c r="H418" i="18" a="1"/>
  <c r="H418" i="18" s="1"/>
  <c r="H399" i="18" a="1"/>
  <c r="H399" i="18" s="1"/>
  <c r="D399" i="18" a="1"/>
  <c r="D399" i="18" s="1"/>
  <c r="E399" i="18" a="1"/>
  <c r="E399" i="18" s="1"/>
  <c r="H422" i="18" a="1"/>
  <c r="H422" i="18" s="1"/>
  <c r="E422" i="18" a="1"/>
  <c r="E422" i="18" s="1"/>
  <c r="D422" i="18" a="1"/>
  <c r="D422" i="18" s="1"/>
  <c r="G173" i="18" a="1"/>
  <c r="G173" i="18" s="1"/>
  <c r="F173" i="18" a="1"/>
  <c r="F173" i="18" s="1"/>
  <c r="G46" i="18" a="1"/>
  <c r="G46" i="18" s="1"/>
  <c r="F46" i="18" a="1"/>
  <c r="F46" i="18" s="1"/>
  <c r="G126" i="18" a="1"/>
  <c r="G126" i="18" s="1"/>
  <c r="F126" i="18" a="1"/>
  <c r="F126" i="18" s="1"/>
  <c r="H36" i="18" a="1"/>
  <c r="H36" i="18" s="1"/>
  <c r="E36" i="18" a="1"/>
  <c r="E36" i="18" s="1"/>
  <c r="D36" i="18" a="1"/>
  <c r="D36" i="18" s="1"/>
  <c r="H114" i="18" a="1"/>
  <c r="H114" i="18" s="1"/>
  <c r="D114" i="18" a="1"/>
  <c r="D114" i="18" s="1"/>
  <c r="E114" i="18" a="1"/>
  <c r="E114" i="18" s="1"/>
  <c r="H64" i="18" a="1"/>
  <c r="H64" i="18" s="1"/>
  <c r="D64" i="18" a="1"/>
  <c r="D64" i="18" s="1"/>
  <c r="E64" i="18" a="1"/>
  <c r="E64" i="18" s="1"/>
  <c r="H28" i="18" a="1"/>
  <c r="H28" i="18" s="1"/>
  <c r="E28" i="18" a="1"/>
  <c r="E28" i="18" s="1"/>
  <c r="D28" i="18" a="1"/>
  <c r="D28" i="18" s="1"/>
  <c r="G211" i="18" a="1"/>
  <c r="G211" i="18" s="1"/>
  <c r="F211" i="18" a="1"/>
  <c r="F211" i="18" s="1"/>
  <c r="G181" i="18" a="1"/>
  <c r="G181" i="18" s="1"/>
  <c r="F181" i="18" a="1"/>
  <c r="F181" i="18" s="1"/>
  <c r="H352" i="18" a="1"/>
  <c r="H352" i="18" s="1"/>
  <c r="D352" i="18" a="1"/>
  <c r="D352" i="18" s="1"/>
  <c r="E352" i="18" a="1"/>
  <c r="E352" i="18" s="1"/>
  <c r="H207" i="18" a="1"/>
  <c r="H207" i="18" s="1"/>
  <c r="E207" i="18" a="1"/>
  <c r="E207" i="18" s="1"/>
  <c r="D207" i="18" a="1"/>
  <c r="D207" i="18" s="1"/>
  <c r="H72" i="18" a="1"/>
  <c r="H72" i="18" s="1"/>
  <c r="D72" i="18" a="1"/>
  <c r="D72" i="18" s="1"/>
  <c r="E72" i="18" a="1"/>
  <c r="E72" i="18" s="1"/>
  <c r="G290" i="18" a="1"/>
  <c r="G290" i="18" s="1"/>
  <c r="F290" i="18" a="1"/>
  <c r="F290" i="18" s="1"/>
  <c r="G265" i="18" a="1"/>
  <c r="G265" i="18" s="1"/>
  <c r="F265" i="18" a="1"/>
  <c r="F265" i="18" s="1"/>
  <c r="G383" i="18" a="1"/>
  <c r="G383" i="18" s="1"/>
  <c r="F383" i="18" a="1"/>
  <c r="F383" i="18" s="1"/>
  <c r="H428" i="18" a="1"/>
  <c r="H428" i="18" s="1"/>
  <c r="E428" i="18" a="1"/>
  <c r="E428" i="18" s="1"/>
  <c r="D428" i="18" a="1"/>
  <c r="D428" i="18" s="1"/>
  <c r="E159" i="18" a="1"/>
  <c r="E159" i="18" s="1"/>
  <c r="D159" i="18" a="1"/>
  <c r="D159" i="18" s="1"/>
  <c r="H159" i="18" a="1"/>
  <c r="H159" i="18" s="1"/>
  <c r="H354" i="18" a="1"/>
  <c r="H354" i="18" s="1"/>
  <c r="E354" i="18" a="1"/>
  <c r="E354" i="18" s="1"/>
  <c r="D354" i="18" a="1"/>
  <c r="D354" i="18" s="1"/>
  <c r="G215" i="18" a="1"/>
  <c r="G215" i="18" s="1"/>
  <c r="F215" i="18" a="1"/>
  <c r="F215" i="18" s="1"/>
  <c r="D12" i="18" a="1"/>
  <c r="D12" i="18" s="1"/>
  <c r="H12" i="18" a="1"/>
  <c r="H12" i="18" s="1"/>
  <c r="E12" i="18" a="1"/>
  <c r="E12" i="18" s="1"/>
  <c r="G5" i="18" a="1"/>
  <c r="G5" i="18" s="1"/>
  <c r="F5" i="18" a="1"/>
  <c r="F5" i="18" s="1"/>
  <c r="F300" i="18" a="1"/>
  <c r="F300" i="18" s="1"/>
  <c r="G300" i="18" a="1"/>
  <c r="G300" i="18" s="1"/>
  <c r="F339" i="18" a="1"/>
  <c r="F339" i="18" s="1"/>
  <c r="G339" i="18" a="1"/>
  <c r="G339" i="18" s="1"/>
  <c r="G354" i="18" a="1"/>
  <c r="G354" i="18" s="1"/>
  <c r="F354" i="18" a="1"/>
  <c r="F354" i="18" s="1"/>
  <c r="F72" i="18" a="1"/>
  <c r="F72" i="18" s="1"/>
  <c r="G72" i="18" a="1"/>
  <c r="G72" i="18" s="1"/>
  <c r="E301" i="18" a="1"/>
  <c r="E301" i="18" s="1"/>
  <c r="D301" i="18" a="1"/>
  <c r="D301" i="18" s="1"/>
  <c r="H301" i="18" a="1"/>
  <c r="H301" i="18" s="1"/>
  <c r="E163" i="18" a="1"/>
  <c r="E163" i="18" s="1"/>
  <c r="H163" i="18" a="1"/>
  <c r="H163" i="18" s="1"/>
  <c r="D163" i="18" a="1"/>
  <c r="D163" i="18" s="1"/>
  <c r="G27" i="18" a="1"/>
  <c r="G27" i="18" s="1"/>
  <c r="F27" i="18" a="1"/>
  <c r="F27" i="18" s="1"/>
  <c r="D186" i="18" a="1"/>
  <c r="D186" i="18" s="1"/>
  <c r="H186" i="18" a="1"/>
  <c r="H186" i="18" s="1"/>
  <c r="E186" i="18" a="1"/>
  <c r="E186" i="18" s="1"/>
  <c r="G356" i="18" a="1"/>
  <c r="G356" i="18" s="1"/>
  <c r="F356" i="18" a="1"/>
  <c r="F356" i="18" s="1"/>
  <c r="H240" i="18" a="1"/>
  <c r="H240" i="18" s="1"/>
  <c r="E240" i="18" a="1"/>
  <c r="E240" i="18" s="1"/>
  <c r="D240" i="18" a="1"/>
  <c r="D240" i="18" s="1"/>
  <c r="H331" i="18" a="1"/>
  <c r="H331" i="18" s="1"/>
  <c r="E331" i="18" a="1"/>
  <c r="E331" i="18" s="1"/>
  <c r="D331" i="18" a="1"/>
  <c r="D331" i="18" s="1"/>
  <c r="D119" i="18" a="1"/>
  <c r="D119" i="18" s="1"/>
  <c r="H119" i="18" a="1"/>
  <c r="H119" i="18" s="1"/>
  <c r="E119" i="18" a="1"/>
  <c r="E119" i="18" s="1"/>
  <c r="F25" i="18" a="1"/>
  <c r="F25" i="18" s="1"/>
  <c r="G25" i="18" a="1"/>
  <c r="G25" i="18" s="1"/>
  <c r="E199" i="18" a="1"/>
  <c r="E199" i="18" s="1"/>
  <c r="H199" i="18" a="1"/>
  <c r="H199" i="18" s="1"/>
  <c r="D199" i="18" a="1"/>
  <c r="D199" i="18" s="1"/>
  <c r="G86" i="18" a="1"/>
  <c r="G86" i="18" s="1"/>
  <c r="F86" i="18" a="1"/>
  <c r="F86" i="18" s="1"/>
  <c r="E188" i="18" a="1"/>
  <c r="E188" i="18" s="1"/>
  <c r="H188" i="18" a="1"/>
  <c r="H188" i="18" s="1"/>
  <c r="D188" i="18" a="1"/>
  <c r="D188" i="18" s="1"/>
  <c r="E323" i="18" a="1"/>
  <c r="E323" i="18" s="1"/>
  <c r="D323" i="18" a="1"/>
  <c r="D323" i="18" s="1"/>
  <c r="H323" i="18" a="1"/>
  <c r="H323" i="18" s="1"/>
  <c r="H300" i="18" a="1"/>
  <c r="H300" i="18" s="1"/>
  <c r="D300" i="18" a="1"/>
  <c r="D300" i="18" s="1"/>
  <c r="E300" i="18" a="1"/>
  <c r="E300" i="18" s="1"/>
  <c r="H241" i="18" a="1"/>
  <c r="H241" i="18" s="1"/>
  <c r="E241" i="18" a="1"/>
  <c r="E241" i="18" s="1"/>
  <c r="D241" i="18" a="1"/>
  <c r="D241" i="18" s="1"/>
  <c r="H261" i="18" a="1"/>
  <c r="H261" i="18" s="1"/>
  <c r="E261" i="18" a="1"/>
  <c r="E261" i="18" s="1"/>
  <c r="D261" i="18" a="1"/>
  <c r="D261" i="18" s="1"/>
  <c r="H367" i="18" a="1"/>
  <c r="H367" i="18" s="1"/>
  <c r="E367" i="18" a="1"/>
  <c r="E367" i="18" s="1"/>
  <c r="D367" i="18" a="1"/>
  <c r="D367" i="18" s="1"/>
  <c r="G266" i="18" a="1"/>
  <c r="G266" i="18" s="1"/>
  <c r="F266" i="18" a="1"/>
  <c r="F266" i="18" s="1"/>
  <c r="H394" i="18" a="1"/>
  <c r="H394" i="18" s="1"/>
  <c r="D394" i="18" a="1"/>
  <c r="D394" i="18" s="1"/>
  <c r="E394" i="18" a="1"/>
  <c r="E394" i="18" s="1"/>
  <c r="H334" i="18" a="1"/>
  <c r="H334" i="18" s="1"/>
  <c r="E334" i="18" a="1"/>
  <c r="E334" i="18" s="1"/>
  <c r="D334" i="18" a="1"/>
  <c r="D334" i="18" s="1"/>
  <c r="F331" i="18" a="1"/>
  <c r="F331" i="18" s="1"/>
  <c r="G331" i="18" a="1"/>
  <c r="G331" i="18" s="1"/>
  <c r="E365" i="18" a="1"/>
  <c r="E365" i="18" s="1"/>
  <c r="H365" i="18" a="1"/>
  <c r="H365" i="18" s="1"/>
  <c r="D365" i="18" a="1"/>
  <c r="D365" i="18" s="1"/>
  <c r="D283" i="18" a="1"/>
  <c r="D283" i="18" s="1"/>
  <c r="H283" i="18" a="1"/>
  <c r="H283" i="18" s="1"/>
  <c r="E283" i="18" a="1"/>
  <c r="E283" i="18" s="1"/>
  <c r="H359" i="18" a="1"/>
  <c r="H359" i="18" s="1"/>
  <c r="E359" i="18" a="1"/>
  <c r="E359" i="18" s="1"/>
  <c r="D359" i="18" a="1"/>
  <c r="D359" i="18" s="1"/>
  <c r="D389" i="18" a="1"/>
  <c r="D389" i="18" s="1"/>
  <c r="H389" i="18" a="1"/>
  <c r="H389" i="18" s="1"/>
  <c r="E389" i="18" a="1"/>
  <c r="E389" i="18" s="1"/>
  <c r="E436" i="18" a="1"/>
  <c r="E436" i="18" s="1"/>
  <c r="D436" i="18" a="1"/>
  <c r="D436" i="18" s="1"/>
  <c r="H436" i="18" a="1"/>
  <c r="H436" i="18" s="1"/>
  <c r="H434" i="18" a="1"/>
  <c r="H434" i="18" s="1"/>
  <c r="E434" i="18" a="1"/>
  <c r="E434" i="18" s="1"/>
  <c r="D434" i="18" a="1"/>
  <c r="D434" i="18" s="1"/>
  <c r="G114" i="18" a="1"/>
  <c r="G114" i="18" s="1"/>
  <c r="F114" i="18" a="1"/>
  <c r="F114" i="18" s="1"/>
  <c r="G159" i="18" a="1"/>
  <c r="G159" i="18" s="1"/>
  <c r="F159" i="18" a="1"/>
  <c r="F159" i="18" s="1"/>
  <c r="E98" i="18" a="1"/>
  <c r="E98" i="18" s="1"/>
  <c r="D98" i="18" a="1"/>
  <c r="D98" i="18" s="1"/>
  <c r="H98" i="18" a="1"/>
  <c r="H98" i="18" s="1"/>
  <c r="F68" i="18" a="1"/>
  <c r="F68" i="18" s="1"/>
  <c r="G68" i="18" a="1"/>
  <c r="G68" i="18" s="1"/>
  <c r="G8" i="18" a="1"/>
  <c r="G8" i="18" s="1"/>
  <c r="F8" i="18" a="1"/>
  <c r="F8" i="18" s="1"/>
  <c r="G395" i="18" a="1"/>
  <c r="G395" i="18" s="1"/>
  <c r="F395" i="18" a="1"/>
  <c r="F395" i="18" s="1"/>
  <c r="H22" i="18" a="1"/>
  <c r="H22" i="18" s="1"/>
  <c r="E22" i="18" a="1"/>
  <c r="E22" i="18" s="1"/>
  <c r="D22" i="18" a="1"/>
  <c r="D22" i="18" s="1"/>
  <c r="F45" i="18" a="1"/>
  <c r="F45" i="18" s="1"/>
  <c r="G45" i="18" a="1"/>
  <c r="G45" i="18" s="1"/>
  <c r="E140" i="18" a="1"/>
  <c r="E140" i="18" s="1"/>
  <c r="D140" i="18" a="1"/>
  <c r="D140" i="18" s="1"/>
  <c r="H140" i="18" a="1"/>
  <c r="H140" i="18" s="1"/>
  <c r="G278" i="18" a="1"/>
  <c r="G278" i="18" s="1"/>
  <c r="F278" i="18" a="1"/>
  <c r="F278" i="18" s="1"/>
  <c r="H387" i="18" a="1"/>
  <c r="H387" i="18" s="1"/>
  <c r="E387" i="18" a="1"/>
  <c r="E387" i="18" s="1"/>
  <c r="D387" i="18" a="1"/>
  <c r="D387" i="18" s="1"/>
  <c r="F318" i="18" a="1"/>
  <c r="F318" i="18" s="1"/>
  <c r="G318" i="18" a="1"/>
  <c r="G318" i="18" s="1"/>
  <c r="E30" i="18" a="1"/>
  <c r="E30" i="18" s="1"/>
  <c r="D30" i="18" a="1"/>
  <c r="D30" i="18" s="1"/>
  <c r="H30" i="18" a="1"/>
  <c r="H30" i="18" s="1"/>
  <c r="H58" i="18" a="1"/>
  <c r="H58" i="18" s="1"/>
  <c r="D58" i="18" a="1"/>
  <c r="D58" i="18" s="1"/>
  <c r="E58" i="18" a="1"/>
  <c r="E58" i="18" s="1"/>
  <c r="G257" i="18" a="1"/>
  <c r="G257" i="18" s="1"/>
  <c r="F257" i="18" a="1"/>
  <c r="F257" i="18" s="1"/>
  <c r="G35" i="18" a="1"/>
  <c r="G35" i="18" s="1"/>
  <c r="F35" i="18" a="1"/>
  <c r="F35" i="18" s="1"/>
  <c r="F202" i="18" a="1"/>
  <c r="F202" i="18" s="1"/>
  <c r="G202" i="18" a="1"/>
  <c r="G202" i="18" s="1"/>
  <c r="F353" i="18" a="1"/>
  <c r="F353" i="18" s="1"/>
  <c r="G353" i="18" a="1"/>
  <c r="G353" i="18" s="1"/>
  <c r="G52" i="18" a="1"/>
  <c r="G52" i="18" s="1"/>
  <c r="F52" i="18" a="1"/>
  <c r="F52" i="18" s="1"/>
  <c r="E226" i="18" a="1"/>
  <c r="E226" i="18" s="1"/>
  <c r="H226" i="18" a="1"/>
  <c r="H226" i="18" s="1"/>
  <c r="D226" i="18" a="1"/>
  <c r="D226" i="18" s="1"/>
  <c r="G348" i="18" a="1"/>
  <c r="G348" i="18" s="1"/>
  <c r="F348" i="18" a="1"/>
  <c r="F348" i="18" s="1"/>
  <c r="H38" i="18" a="1"/>
  <c r="H38" i="18" s="1"/>
  <c r="D38" i="18" a="1"/>
  <c r="D38" i="18" s="1"/>
  <c r="E38" i="18" a="1"/>
  <c r="E38" i="18" s="1"/>
  <c r="H101" i="18" a="1"/>
  <c r="H101" i="18" s="1"/>
  <c r="E101" i="18" a="1"/>
  <c r="E101" i="18" s="1"/>
  <c r="D101" i="18" a="1"/>
  <c r="D101" i="18" s="1"/>
  <c r="D231" i="18" a="1"/>
  <c r="D231" i="18" s="1"/>
  <c r="H231" i="18" a="1"/>
  <c r="H231" i="18" s="1"/>
  <c r="E231" i="18" a="1"/>
  <c r="E231" i="18" s="1"/>
  <c r="H427" i="18" a="1"/>
  <c r="H427" i="18" s="1"/>
  <c r="E427" i="18" a="1"/>
  <c r="E427" i="18" s="1"/>
  <c r="D427" i="18" a="1"/>
  <c r="D427" i="18" s="1"/>
  <c r="D85" i="18" a="1"/>
  <c r="D85" i="18" s="1"/>
  <c r="H85" i="18" a="1"/>
  <c r="H85" i="18" s="1"/>
  <c r="E85" i="18" a="1"/>
  <c r="E85" i="18" s="1"/>
  <c r="F96" i="18" a="1"/>
  <c r="F96" i="18" s="1"/>
  <c r="G96" i="18" a="1"/>
  <c r="G96" i="18" s="1"/>
  <c r="H316" i="18" a="1"/>
  <c r="H316" i="18" s="1"/>
  <c r="D316" i="18" a="1"/>
  <c r="D316" i="18" s="1"/>
  <c r="E316" i="18" a="1"/>
  <c r="E316" i="18" s="1"/>
  <c r="E360" i="18" a="1"/>
  <c r="E360" i="18" s="1"/>
  <c r="D360" i="18" a="1"/>
  <c r="D360" i="18" s="1"/>
  <c r="H360" i="18" a="1"/>
  <c r="H360" i="18" s="1"/>
  <c r="D123" i="18" a="1"/>
  <c r="D123" i="18" s="1"/>
  <c r="H123" i="18" a="1"/>
  <c r="H123" i="18" s="1"/>
  <c r="E123" i="18" a="1"/>
  <c r="E123" i="18" s="1"/>
  <c r="E96" i="18" a="1"/>
  <c r="E96" i="18" s="1"/>
  <c r="D96" i="18" a="1"/>
  <c r="D96" i="18" s="1"/>
  <c r="H96" i="18" a="1"/>
  <c r="H96" i="18" s="1"/>
  <c r="G283" i="18" a="1"/>
  <c r="G283" i="18" s="1"/>
  <c r="F283" i="18" a="1"/>
  <c r="F283" i="18" s="1"/>
  <c r="H256" i="18" a="1"/>
  <c r="H256" i="18" s="1"/>
  <c r="D256" i="18" a="1"/>
  <c r="D256" i="18" s="1"/>
  <c r="E256" i="18" a="1"/>
  <c r="E256" i="18" s="1"/>
  <c r="H307" i="18" a="1"/>
  <c r="H307" i="18" s="1"/>
  <c r="E307" i="18" a="1"/>
  <c r="E307" i="18" s="1"/>
  <c r="D307" i="18" a="1"/>
  <c r="D307" i="18" s="1"/>
  <c r="H6" i="18" a="1"/>
  <c r="H6" i="18" s="1"/>
  <c r="E6" i="18" a="1"/>
  <c r="E6" i="18" s="1"/>
  <c r="D6" i="18" a="1"/>
  <c r="D6" i="18" s="1"/>
  <c r="G87" i="18" a="1"/>
  <c r="G87" i="18" s="1"/>
  <c r="F87" i="18" a="1"/>
  <c r="F87" i="18" s="1"/>
  <c r="E39" i="18" a="1"/>
  <c r="E39" i="18" s="1"/>
  <c r="H39" i="18" a="1"/>
  <c r="H39" i="18" s="1"/>
  <c r="D39" i="18" a="1"/>
  <c r="D39" i="18" s="1"/>
  <c r="E91" i="18" a="1"/>
  <c r="E91" i="18" s="1"/>
  <c r="D91" i="18" a="1"/>
  <c r="D91" i="18" s="1"/>
  <c r="H91" i="18" a="1"/>
  <c r="H91" i="18" s="1"/>
  <c r="G210" i="18" a="1"/>
  <c r="G210" i="18" s="1"/>
  <c r="F210" i="18" a="1"/>
  <c r="F210" i="18" s="1"/>
  <c r="H341" i="18" a="1"/>
  <c r="H341" i="18" s="1"/>
  <c r="E341" i="18" a="1"/>
  <c r="E341" i="18" s="1"/>
  <c r="D341" i="18" a="1"/>
  <c r="D341" i="18" s="1"/>
  <c r="G336" i="18" a="1"/>
  <c r="G336" i="18" s="1"/>
  <c r="F336" i="18" a="1"/>
  <c r="F336" i="18" s="1"/>
  <c r="G328" i="18" a="1"/>
  <c r="G328" i="18" s="1"/>
  <c r="F328" i="18" a="1"/>
  <c r="F328" i="18" s="1"/>
  <c r="H420" i="18" a="1"/>
  <c r="H420" i="18" s="1"/>
  <c r="E420" i="18" a="1"/>
  <c r="E420" i="18" s="1"/>
  <c r="D420" i="18" a="1"/>
  <c r="D420" i="18" s="1"/>
  <c r="G83" i="18" a="1"/>
  <c r="G83" i="18" s="1"/>
  <c r="F83" i="18" a="1"/>
  <c r="F83" i="18" s="1"/>
  <c r="H80" i="18" a="1"/>
  <c r="H80" i="18" s="1"/>
  <c r="E80" i="18" a="1"/>
  <c r="E80" i="18" s="1"/>
  <c r="D80" i="18" a="1"/>
  <c r="D80" i="18" s="1"/>
  <c r="G67" i="18" a="1"/>
  <c r="G67" i="18" s="1"/>
  <c r="F67" i="18" a="1"/>
  <c r="F67" i="18" s="1"/>
  <c r="G344" i="18" a="1"/>
  <c r="G344" i="18" s="1"/>
  <c r="F344" i="18" a="1"/>
  <c r="F344" i="18" s="1"/>
  <c r="F149" i="18" a="1"/>
  <c r="F149" i="18" s="1"/>
  <c r="G149" i="18" a="1"/>
  <c r="G149" i="18" s="1"/>
  <c r="G75" i="18" a="1"/>
  <c r="G75" i="18" s="1"/>
  <c r="F75" i="18" a="1"/>
  <c r="F75" i="18" s="1"/>
  <c r="H35" i="18" a="1"/>
  <c r="H35" i="18" s="1"/>
  <c r="E35" i="18" a="1"/>
  <c r="E35" i="18" s="1"/>
  <c r="D35" i="18" a="1"/>
  <c r="D35" i="18" s="1"/>
  <c r="E150" i="18" a="1"/>
  <c r="E150" i="18" s="1"/>
  <c r="D150" i="18" a="1"/>
  <c r="D150" i="18" s="1"/>
  <c r="H150" i="18" a="1"/>
  <c r="H150" i="18" s="1"/>
  <c r="H349" i="18" a="1"/>
  <c r="H349" i="18" s="1"/>
  <c r="E349" i="18" a="1"/>
  <c r="E349" i="18" s="1"/>
  <c r="D349" i="18" a="1"/>
  <c r="D349" i="18" s="1"/>
  <c r="H326" i="18" a="1"/>
  <c r="H326" i="18" s="1"/>
  <c r="E326" i="18" a="1"/>
  <c r="E326" i="18" s="1"/>
  <c r="D326" i="18" a="1"/>
  <c r="D326" i="18" s="1"/>
  <c r="H372" i="18" a="1"/>
  <c r="H372" i="18" s="1"/>
  <c r="E372" i="18" a="1"/>
  <c r="E372" i="18" s="1"/>
  <c r="D372" i="18" a="1"/>
  <c r="D372" i="18" s="1"/>
  <c r="F396" i="18" a="1"/>
  <c r="F396" i="18" s="1"/>
  <c r="G396" i="18" a="1"/>
  <c r="G396" i="18" s="1"/>
  <c r="G334" i="18" a="1"/>
  <c r="G334" i="18" s="1"/>
  <c r="F334" i="18" a="1"/>
  <c r="F334" i="18" s="1"/>
  <c r="E284" i="18" a="1"/>
  <c r="E284" i="18" s="1"/>
  <c r="D284" i="18" a="1"/>
  <c r="D284" i="18" s="1"/>
  <c r="H284" i="18" a="1"/>
  <c r="H284" i="18" s="1"/>
  <c r="G407" i="18" a="1"/>
  <c r="G407" i="18" s="1"/>
  <c r="F407" i="18" a="1"/>
  <c r="F407" i="18" s="1"/>
  <c r="H344" i="18" a="1"/>
  <c r="H344" i="18" s="1"/>
  <c r="E344" i="18" a="1"/>
  <c r="E344" i="18" s="1"/>
  <c r="D344" i="18" a="1"/>
  <c r="D344" i="18" s="1"/>
  <c r="E417" i="18" a="1"/>
  <c r="E417" i="18" s="1"/>
  <c r="D417" i="18" a="1"/>
  <c r="D417" i="18" s="1"/>
  <c r="H417" i="18" a="1"/>
  <c r="H417" i="18" s="1"/>
  <c r="G136" i="18" a="1"/>
  <c r="G136" i="18" s="1"/>
  <c r="F136" i="18" a="1"/>
  <c r="F136" i="18" s="1"/>
  <c r="G40" i="18" a="1"/>
  <c r="G40" i="18" s="1"/>
  <c r="F40" i="18" a="1"/>
  <c r="F40" i="18" s="1"/>
  <c r="H107" i="18" a="1"/>
  <c r="H107" i="18" s="1"/>
  <c r="E107" i="18" a="1"/>
  <c r="E107" i="18" s="1"/>
  <c r="D107" i="18" a="1"/>
  <c r="D107" i="18" s="1"/>
  <c r="G12" i="18" a="1"/>
  <c r="G12" i="18" s="1"/>
  <c r="F12" i="18" a="1"/>
  <c r="F12" i="18" s="1"/>
  <c r="H193" i="18" a="1"/>
  <c r="H193" i="18" s="1"/>
  <c r="E193" i="18" a="1"/>
  <c r="E193" i="18" s="1"/>
  <c r="D193" i="18" a="1"/>
  <c r="D193" i="18" s="1"/>
  <c r="F85" i="18" a="1"/>
  <c r="F85" i="18" s="1"/>
  <c r="G85" i="18" a="1"/>
  <c r="G85" i="18" s="1"/>
  <c r="G10" i="18" a="1"/>
  <c r="G10" i="18" s="1"/>
  <c r="F10" i="18" a="1"/>
  <c r="F10" i="18" s="1"/>
  <c r="E229" i="18" a="1"/>
  <c r="E229" i="18" s="1"/>
  <c r="D229" i="18" a="1"/>
  <c r="D229" i="18" s="1"/>
  <c r="H229" i="18" a="1"/>
  <c r="H229" i="18" s="1"/>
  <c r="H68" i="18" a="1"/>
  <c r="H68" i="18" s="1"/>
  <c r="E68" i="18" a="1"/>
  <c r="E68" i="18" s="1"/>
  <c r="D68" i="18" a="1"/>
  <c r="D68" i="18" s="1"/>
  <c r="G82" i="18" a="1"/>
  <c r="G82" i="18" s="1"/>
  <c r="F82" i="18" a="1"/>
  <c r="F82" i="18" s="1"/>
  <c r="G21" i="18" a="1"/>
  <c r="G21" i="18" s="1"/>
  <c r="F21" i="18" a="1"/>
  <c r="F21" i="18" s="1"/>
  <c r="G113" i="18" a="1"/>
  <c r="G113" i="18" s="1"/>
  <c r="F113" i="18" a="1"/>
  <c r="F113" i="18" s="1"/>
  <c r="E33" i="18" a="1"/>
  <c r="E33" i="18" s="1"/>
  <c r="H33" i="18" a="1"/>
  <c r="H33" i="18" s="1"/>
  <c r="D33" i="18" a="1"/>
  <c r="D33" i="18" s="1"/>
  <c r="E175" i="18" a="1"/>
  <c r="E175" i="18" s="1"/>
  <c r="H175" i="18" a="1"/>
  <c r="H175" i="18" s="1"/>
  <c r="D175" i="18" a="1"/>
  <c r="D175" i="18" s="1"/>
  <c r="D213" i="18" a="1"/>
  <c r="D213" i="18" s="1"/>
  <c r="H213" i="18" a="1"/>
  <c r="H213" i="18" s="1"/>
  <c r="E213" i="18" a="1"/>
  <c r="E213" i="18" s="1"/>
  <c r="F55" i="18" a="1"/>
  <c r="F55" i="18" s="1"/>
  <c r="G55" i="18" a="1"/>
  <c r="G55" i="18" s="1"/>
  <c r="F74" i="18" a="1"/>
  <c r="F74" i="18" s="1"/>
  <c r="G74" i="18" a="1"/>
  <c r="G74" i="18" s="1"/>
  <c r="H152" i="18" a="1"/>
  <c r="H152" i="18" s="1"/>
  <c r="E152" i="18" a="1"/>
  <c r="E152" i="18" s="1"/>
  <c r="D152" i="18" a="1"/>
  <c r="D152" i="18" s="1"/>
  <c r="H192" i="18" a="1"/>
  <c r="H192" i="18" s="1"/>
  <c r="E192" i="18" a="1"/>
  <c r="E192" i="18" s="1"/>
  <c r="D192" i="18" a="1"/>
  <c r="D192" i="18" s="1"/>
  <c r="E377" i="18" a="1"/>
  <c r="E377" i="18" s="1"/>
  <c r="D377" i="18" a="1"/>
  <c r="D377" i="18" s="1"/>
  <c r="H377" i="18" a="1"/>
  <c r="H377" i="18" s="1"/>
  <c r="G176" i="18" a="1"/>
  <c r="G176" i="18" s="1"/>
  <c r="F176" i="18" a="1"/>
  <c r="F176" i="18" s="1"/>
  <c r="F216" i="18" a="1"/>
  <c r="F216" i="18" s="1"/>
  <c r="G216" i="18" a="1"/>
  <c r="G216" i="18" s="1"/>
  <c r="F271" i="18" a="1"/>
  <c r="F271" i="18" s="1"/>
  <c r="G271" i="18" a="1"/>
  <c r="G271" i="18" s="1"/>
  <c r="G274" i="18" a="1"/>
  <c r="G274" i="18" s="1"/>
  <c r="F274" i="18" a="1"/>
  <c r="F274" i="18" s="1"/>
  <c r="H318" i="18" a="1"/>
  <c r="H318" i="18" s="1"/>
  <c r="E318" i="18" a="1"/>
  <c r="E318" i="18" s="1"/>
  <c r="D318" i="18" a="1"/>
  <c r="D318" i="18" s="1"/>
  <c r="H366" i="18" a="1"/>
  <c r="H366" i="18" s="1"/>
  <c r="D366" i="18" a="1"/>
  <c r="D366" i="18" s="1"/>
  <c r="E366" i="18" a="1"/>
  <c r="E366" i="18" s="1"/>
  <c r="D336" i="18" a="1"/>
  <c r="D336" i="18" s="1"/>
  <c r="E336" i="18" a="1"/>
  <c r="E336" i="18" s="1"/>
  <c r="H336" i="18" a="1"/>
  <c r="H336" i="18" s="1"/>
  <c r="H243" i="18" a="1"/>
  <c r="H243" i="18" s="1"/>
  <c r="E243" i="18" a="1"/>
  <c r="E243" i="18" s="1"/>
  <c r="D243" i="18" a="1"/>
  <c r="D243" i="18" s="1"/>
  <c r="E263" i="18" a="1"/>
  <c r="E263" i="18" s="1"/>
  <c r="D263" i="18" a="1"/>
  <c r="D263" i="18" s="1"/>
  <c r="H263" i="18" a="1"/>
  <c r="H263" i="18" s="1"/>
  <c r="G375" i="18" a="1"/>
  <c r="G375" i="18" s="1"/>
  <c r="F375" i="18" a="1"/>
  <c r="F375" i="18" s="1"/>
  <c r="G248" i="18" a="1"/>
  <c r="G248" i="18" s="1"/>
  <c r="F248" i="18" a="1"/>
  <c r="F248" i="18" s="1"/>
  <c r="G268" i="18" a="1"/>
  <c r="G268" i="18" s="1"/>
  <c r="F268" i="18" a="1"/>
  <c r="F268" i="18" s="1"/>
  <c r="F412" i="18" a="1"/>
  <c r="F412" i="18" s="1"/>
  <c r="G412" i="18" a="1"/>
  <c r="G412" i="18" s="1"/>
  <c r="G340" i="18" a="1"/>
  <c r="G340" i="18" s="1"/>
  <c r="F340" i="18" a="1"/>
  <c r="F340" i="18" s="1"/>
  <c r="G337" i="18" a="1"/>
  <c r="G337" i="18" s="1"/>
  <c r="F337" i="18" a="1"/>
  <c r="F337" i="18" s="1"/>
  <c r="G378" i="18" a="1"/>
  <c r="G378" i="18" s="1"/>
  <c r="F378" i="18" a="1"/>
  <c r="F378" i="18" s="1"/>
  <c r="F285" i="18" a="1"/>
  <c r="F285" i="18" s="1"/>
  <c r="G285" i="18" a="1"/>
  <c r="G285" i="18" s="1"/>
  <c r="H371" i="18" a="1"/>
  <c r="H371" i="18" s="1"/>
  <c r="E371" i="18" a="1"/>
  <c r="E371" i="18" s="1"/>
  <c r="D371" i="18" a="1"/>
  <c r="D371" i="18" s="1"/>
  <c r="G409" i="18" a="1"/>
  <c r="G409" i="18" s="1"/>
  <c r="F409" i="18" a="1"/>
  <c r="F409" i="18" s="1"/>
  <c r="F345" i="18" a="1"/>
  <c r="F345" i="18" s="1"/>
  <c r="G345" i="18" a="1"/>
  <c r="G345" i="18" s="1"/>
  <c r="E423" i="18" a="1"/>
  <c r="E423" i="18" s="1"/>
  <c r="D423" i="18" a="1"/>
  <c r="D423" i="18" s="1"/>
  <c r="H423" i="18" a="1"/>
  <c r="H423" i="18" s="1"/>
  <c r="G398" i="18" a="1"/>
  <c r="G398" i="18" s="1"/>
  <c r="F398" i="18" a="1"/>
  <c r="F398" i="18" s="1"/>
  <c r="H129" i="18" a="1"/>
  <c r="H129" i="18" s="1"/>
  <c r="E129" i="18" a="1"/>
  <c r="E129" i="18" s="1"/>
  <c r="D129" i="18" a="1"/>
  <c r="D129" i="18" s="1"/>
  <c r="G38" i="18" a="1"/>
  <c r="G38" i="18" s="1"/>
  <c r="F38" i="18" a="1"/>
  <c r="F38" i="18" s="1"/>
  <c r="G102" i="18" a="1"/>
  <c r="G102" i="18" s="1"/>
  <c r="F102" i="18" a="1"/>
  <c r="F102" i="18" s="1"/>
  <c r="G22" i="18" a="1"/>
  <c r="G22" i="18" s="1"/>
  <c r="F22" i="18" a="1"/>
  <c r="F22" i="18" s="1"/>
  <c r="E298" i="18" a="1"/>
  <c r="E298" i="18" s="1"/>
  <c r="D298" i="18" a="1"/>
  <c r="D298" i="18" s="1"/>
  <c r="H298" i="18" a="1"/>
  <c r="H298" i="18" s="1"/>
  <c r="G133" i="18" a="1"/>
  <c r="G133" i="18" s="1"/>
  <c r="F133" i="18" a="1"/>
  <c r="F133" i="18" s="1"/>
  <c r="E102" i="18" a="1"/>
  <c r="E102" i="18" s="1"/>
  <c r="H102" i="18" a="1"/>
  <c r="H102" i="18" s="1"/>
  <c r="D102" i="18" a="1"/>
  <c r="D102" i="18" s="1"/>
  <c r="H32" i="18" a="1"/>
  <c r="H32" i="18" s="1"/>
  <c r="E32" i="18" a="1"/>
  <c r="E32" i="18" s="1"/>
  <c r="D32" i="18" a="1"/>
  <c r="D32" i="18" s="1"/>
  <c r="E20" i="18" a="1"/>
  <c r="E20" i="18" s="1"/>
  <c r="D20" i="18" a="1"/>
  <c r="D20" i="18" s="1"/>
  <c r="H20" i="18" a="1"/>
  <c r="H20" i="18" s="1"/>
  <c r="G59" i="18" a="1"/>
  <c r="G59" i="18" s="1"/>
  <c r="F59" i="18" a="1"/>
  <c r="F59" i="18" s="1"/>
  <c r="G225" i="18" a="1"/>
  <c r="G225" i="18" s="1"/>
  <c r="F225" i="18" a="1"/>
  <c r="F225" i="18" s="1"/>
  <c r="G330" i="18" a="1"/>
  <c r="G330" i="18" s="1"/>
  <c r="F330" i="18" a="1"/>
  <c r="F330" i="18" s="1"/>
  <c r="H260" i="18" a="1"/>
  <c r="H260" i="18" s="1"/>
  <c r="E260" i="18" a="1"/>
  <c r="E260" i="18" s="1"/>
  <c r="D260" i="18" a="1"/>
  <c r="D260" i="18" s="1"/>
  <c r="H282" i="18" a="1"/>
  <c r="H282" i="18" s="1"/>
  <c r="E282" i="18" a="1"/>
  <c r="E282" i="18" s="1"/>
  <c r="D282" i="18" a="1"/>
  <c r="D282" i="18" s="1"/>
  <c r="G20" i="18" a="1"/>
  <c r="G20" i="18" s="1"/>
  <c r="F20" i="18" a="1"/>
  <c r="F20" i="18" s="1"/>
  <c r="F94" i="18" a="1"/>
  <c r="F94" i="18" s="1"/>
  <c r="G94" i="18" a="1"/>
  <c r="G94" i="18" s="1"/>
  <c r="E37" i="18" a="1"/>
  <c r="E37" i="18" s="1"/>
  <c r="D37" i="18" a="1"/>
  <c r="D37" i="18" s="1"/>
  <c r="H37" i="18" a="1"/>
  <c r="H37" i="18" s="1"/>
  <c r="E304" i="18" a="1"/>
  <c r="E304" i="18" s="1"/>
  <c r="D304" i="18" a="1"/>
  <c r="D304" i="18" s="1"/>
  <c r="H304" i="18" a="1"/>
  <c r="H304" i="18" s="1"/>
  <c r="E148" i="18" a="1"/>
  <c r="E148" i="18" s="1"/>
  <c r="D148" i="18" a="1"/>
  <c r="D148" i="18" s="1"/>
  <c r="H148" i="18" a="1"/>
  <c r="H148" i="18" s="1"/>
  <c r="G212" i="18" a="1"/>
  <c r="G212" i="18" s="1"/>
  <c r="F212" i="18" a="1"/>
  <c r="F212" i="18" s="1"/>
  <c r="H324" i="18" a="1"/>
  <c r="H324" i="18" s="1"/>
  <c r="E324" i="18" a="1"/>
  <c r="E324" i="18" s="1"/>
  <c r="D324" i="18" a="1"/>
  <c r="D324" i="18" s="1"/>
  <c r="H411" i="18" a="1"/>
  <c r="H411" i="18" s="1"/>
  <c r="E411" i="18" a="1"/>
  <c r="E411" i="18" s="1"/>
  <c r="D411" i="18" a="1"/>
  <c r="D411" i="18" s="1"/>
  <c r="H60" i="18" a="1"/>
  <c r="H60" i="18" s="1"/>
  <c r="E60" i="18" a="1"/>
  <c r="E60" i="18" s="1"/>
  <c r="D60" i="18" a="1"/>
  <c r="D60" i="18" s="1"/>
  <c r="H337" i="18" a="1"/>
  <c r="H337" i="18" s="1"/>
  <c r="E337" i="18" a="1"/>
  <c r="E337" i="18" s="1"/>
  <c r="D337" i="18" a="1"/>
  <c r="D337" i="18" s="1"/>
  <c r="G219" i="18" a="1"/>
  <c r="G219" i="18" s="1"/>
  <c r="F219" i="18" a="1"/>
  <c r="F219" i="18" s="1"/>
  <c r="F63" i="18" a="1"/>
  <c r="F63" i="18" s="1"/>
  <c r="G63" i="18" a="1"/>
  <c r="G63" i="18" s="1"/>
  <c r="D75" i="18" a="1"/>
  <c r="D75" i="18" s="1"/>
  <c r="H75" i="18" a="1"/>
  <c r="H75" i="18" s="1"/>
  <c r="E75" i="18" a="1"/>
  <c r="E75" i="18" s="1"/>
  <c r="G19" i="18" a="1"/>
  <c r="G19" i="18" s="1"/>
  <c r="F19" i="18" a="1"/>
  <c r="F19" i="18" s="1"/>
  <c r="H106" i="18" a="1"/>
  <c r="H106" i="18" s="1"/>
  <c r="D106" i="18" a="1"/>
  <c r="D106" i="18" s="1"/>
  <c r="E106" i="18" a="1"/>
  <c r="E106" i="18" s="1"/>
  <c r="E31" i="18" a="1"/>
  <c r="E31" i="18" s="1"/>
  <c r="H31" i="18" a="1"/>
  <c r="H31" i="18" s="1"/>
  <c r="D31" i="18" a="1"/>
  <c r="D31" i="18" s="1"/>
  <c r="G165" i="18" a="1"/>
  <c r="G165" i="18" s="1"/>
  <c r="F165" i="18" a="1"/>
  <c r="F165" i="18" s="1"/>
  <c r="G203" i="18" a="1"/>
  <c r="G203" i="18" s="1"/>
  <c r="F203" i="18" a="1"/>
  <c r="F203" i="18" s="1"/>
  <c r="H227" i="18" a="1"/>
  <c r="H227" i="18" s="1"/>
  <c r="D227" i="18" a="1"/>
  <c r="D227" i="18" s="1"/>
  <c r="E227" i="18" a="1"/>
  <c r="E227" i="18" s="1"/>
  <c r="H67" i="18" a="1"/>
  <c r="H67" i="18" s="1"/>
  <c r="E67" i="18" a="1"/>
  <c r="E67" i="18" s="1"/>
  <c r="D67" i="18" a="1"/>
  <c r="D67" i="18" s="1"/>
  <c r="E154" i="18" a="1"/>
  <c r="E154" i="18" s="1"/>
  <c r="D154" i="18" a="1"/>
  <c r="D154" i="18" s="1"/>
  <c r="H154" i="18" a="1"/>
  <c r="H154" i="18" s="1"/>
  <c r="H194" i="18" a="1"/>
  <c r="H194" i="18" s="1"/>
  <c r="D194" i="18" a="1"/>
  <c r="D194" i="18" s="1"/>
  <c r="E194" i="18" a="1"/>
  <c r="E194" i="18" s="1"/>
  <c r="E433" i="18" a="1"/>
  <c r="E433" i="18" s="1"/>
  <c r="D433" i="18" a="1"/>
  <c r="D433" i="18" s="1"/>
  <c r="H433" i="18" a="1"/>
  <c r="H433" i="18" s="1"/>
  <c r="F178" i="18" a="1"/>
  <c r="F178" i="18" s="1"/>
  <c r="G178" i="18" a="1"/>
  <c r="G178" i="18" s="1"/>
  <c r="G218" i="18" a="1"/>
  <c r="G218" i="18" s="1"/>
  <c r="F218" i="18" a="1"/>
  <c r="F218" i="18" s="1"/>
  <c r="E306" i="18" a="1"/>
  <c r="E306" i="18" s="1"/>
  <c r="D306" i="18" a="1"/>
  <c r="D306" i="18" s="1"/>
  <c r="H306" i="18" a="1"/>
  <c r="H306" i="18" s="1"/>
  <c r="F284" i="18" a="1"/>
  <c r="F284" i="18" s="1"/>
  <c r="G284" i="18" a="1"/>
  <c r="G284" i="18" s="1"/>
  <c r="G321" i="18" a="1"/>
  <c r="G321" i="18" s="1"/>
  <c r="F321" i="18" a="1"/>
  <c r="F321" i="18" s="1"/>
  <c r="F374" i="18" a="1"/>
  <c r="F374" i="18" s="1"/>
  <c r="G374" i="18" a="1"/>
  <c r="G374" i="18" s="1"/>
  <c r="G338" i="18" a="1"/>
  <c r="G338" i="18" s="1"/>
  <c r="F338" i="18" a="1"/>
  <c r="F338" i="18" s="1"/>
  <c r="D244" i="18" a="1"/>
  <c r="D244" i="18" s="1"/>
  <c r="E244" i="18" a="1"/>
  <c r="E244" i="18" s="1"/>
  <c r="H244" i="18" a="1"/>
  <c r="H244" i="18" s="1"/>
  <c r="H264" i="18" a="1"/>
  <c r="H264" i="18" s="1"/>
  <c r="E264" i="18" a="1"/>
  <c r="E264" i="18" s="1"/>
  <c r="D264" i="18" a="1"/>
  <c r="D264" i="18" s="1"/>
  <c r="E393" i="18" a="1"/>
  <c r="E393" i="18" s="1"/>
  <c r="H393" i="18" a="1"/>
  <c r="H393" i="18" s="1"/>
  <c r="D393" i="18" a="1"/>
  <c r="D393" i="18" s="1"/>
  <c r="G249" i="18" a="1"/>
  <c r="G249" i="18" s="1"/>
  <c r="F249" i="18" a="1"/>
  <c r="F249" i="18" s="1"/>
  <c r="G269" i="18" a="1"/>
  <c r="G269" i="18" s="1"/>
  <c r="F269" i="18" a="1"/>
  <c r="F269" i="18" s="1"/>
  <c r="G426" i="18" a="1"/>
  <c r="G426" i="18" s="1"/>
  <c r="F426" i="18" a="1"/>
  <c r="F426" i="18" s="1"/>
  <c r="H355" i="18" a="1"/>
  <c r="H355" i="18" s="1"/>
  <c r="E355" i="18" a="1"/>
  <c r="E355" i="18" s="1"/>
  <c r="D355" i="18" a="1"/>
  <c r="D355" i="18" s="1"/>
  <c r="E342" i="18" a="1"/>
  <c r="E342" i="18" s="1"/>
  <c r="D342" i="18" a="1"/>
  <c r="D342" i="18" s="1"/>
  <c r="H342" i="18" a="1"/>
  <c r="H342" i="18" s="1"/>
  <c r="H390" i="18" a="1"/>
  <c r="H390" i="18" s="1"/>
  <c r="E390" i="18" a="1"/>
  <c r="E390" i="18" s="1"/>
  <c r="D390" i="18" a="1"/>
  <c r="D390" i="18" s="1"/>
  <c r="G291" i="18" a="1"/>
  <c r="G291" i="18" s="1"/>
  <c r="F291" i="18" a="1"/>
  <c r="F291" i="18" s="1"/>
  <c r="G372" i="18" a="1"/>
  <c r="G372" i="18" s="1"/>
  <c r="F372" i="18" a="1"/>
  <c r="F372" i="18" s="1"/>
  <c r="F425" i="18" a="1"/>
  <c r="F425" i="18" s="1"/>
  <c r="G425" i="18" a="1"/>
  <c r="G425" i="18" s="1"/>
  <c r="E356" i="18" a="1"/>
  <c r="E356" i="18" s="1"/>
  <c r="D356" i="18" a="1"/>
  <c r="D356" i="18" s="1"/>
  <c r="H356" i="18" a="1"/>
  <c r="H356" i="18" s="1"/>
  <c r="H429" i="18" a="1"/>
  <c r="H429" i="18" s="1"/>
  <c r="E429" i="18" a="1"/>
  <c r="E429" i="18" s="1"/>
  <c r="D429" i="18" a="1"/>
  <c r="D429" i="18" s="1"/>
  <c r="F404" i="18" a="1"/>
  <c r="F404" i="18" s="1"/>
  <c r="G404" i="18" a="1"/>
  <c r="G404" i="18" s="1"/>
  <c r="G124" i="18" a="1"/>
  <c r="G124" i="18" s="1"/>
  <c r="F124" i="18" a="1"/>
  <c r="F124" i="18" s="1"/>
  <c r="G36" i="18" a="1"/>
  <c r="G36" i="18" s="1"/>
  <c r="F36" i="18" a="1"/>
  <c r="F36" i="18" s="1"/>
  <c r="H95" i="18" a="1"/>
  <c r="H95" i="18" s="1"/>
  <c r="E95" i="18" a="1"/>
  <c r="E95" i="18" s="1"/>
  <c r="D95" i="18" a="1"/>
  <c r="D95" i="18" s="1"/>
  <c r="H40" i="18" a="1"/>
  <c r="H40" i="18" s="1"/>
  <c r="E40" i="18" a="1"/>
  <c r="E40" i="18" s="1"/>
  <c r="D40" i="18" a="1"/>
  <c r="D40" i="18" s="1"/>
  <c r="G4" i="18" a="1"/>
  <c r="G4" i="18" s="1"/>
  <c r="F4" i="18" a="1"/>
  <c r="F4" i="18" s="1"/>
  <c r="E167" i="18" a="1"/>
  <c r="E167" i="18" s="1"/>
  <c r="H167" i="18" a="1"/>
  <c r="H167" i="18" s="1"/>
  <c r="D167" i="18" a="1"/>
  <c r="D167" i="18" s="1"/>
  <c r="E121" i="18" a="1"/>
  <c r="E121" i="18" s="1"/>
  <c r="H121" i="18" a="1"/>
  <c r="H121" i="18" s="1"/>
  <c r="D121" i="18" a="1"/>
  <c r="D121" i="18" s="1"/>
  <c r="H54" i="18" a="1"/>
  <c r="H54" i="18" s="1"/>
  <c r="D54" i="18" a="1"/>
  <c r="D54" i="18" s="1"/>
  <c r="E54" i="18" a="1"/>
  <c r="E54" i="18" s="1"/>
  <c r="E34" i="18" a="1"/>
  <c r="E34" i="18" s="1"/>
  <c r="D34" i="18" a="1"/>
  <c r="D34" i="18" s="1"/>
  <c r="H34" i="18" a="1"/>
  <c r="H34" i="18" s="1"/>
  <c r="H76" i="18" a="1"/>
  <c r="H76" i="18" s="1"/>
  <c r="E76" i="18" a="1"/>
  <c r="E76" i="18" s="1"/>
  <c r="D76" i="18" a="1"/>
  <c r="D76" i="18" s="1"/>
  <c r="E171" i="18" a="1"/>
  <c r="E171" i="18" s="1"/>
  <c r="H171" i="18" a="1"/>
  <c r="H171" i="18" s="1"/>
  <c r="D171" i="18" a="1"/>
  <c r="D171" i="18" s="1"/>
  <c r="G145" i="18" a="1"/>
  <c r="G145" i="18" s="1"/>
  <c r="F145" i="18" a="1"/>
  <c r="F145" i="18" s="1"/>
  <c r="F286" i="18" a="1"/>
  <c r="F286" i="18" s="1"/>
  <c r="G286" i="18" a="1"/>
  <c r="G286" i="18" s="1"/>
  <c r="G421" i="18" a="1"/>
  <c r="G421" i="18" s="1"/>
  <c r="F421" i="18" a="1"/>
  <c r="F421" i="18" s="1"/>
  <c r="G54" i="18" a="1"/>
  <c r="G54" i="18" s="1"/>
  <c r="F54" i="18" a="1"/>
  <c r="F54" i="18" s="1"/>
  <c r="G343" i="18" a="1"/>
  <c r="G343" i="18" s="1"/>
  <c r="F343" i="18" a="1"/>
  <c r="F343" i="18" s="1"/>
  <c r="G194" i="18" a="1"/>
  <c r="G194" i="18" s="1"/>
  <c r="F194" i="18" a="1"/>
  <c r="F194" i="18" s="1"/>
  <c r="H438" i="18" a="1"/>
  <c r="H438" i="18" s="1"/>
  <c r="E438" i="18" a="1"/>
  <c r="E438" i="18" s="1"/>
  <c r="D438" i="18" a="1"/>
  <c r="D438" i="18" s="1"/>
  <c r="H7" i="18" a="1"/>
  <c r="H7" i="18" s="1"/>
  <c r="E7" i="18" a="1"/>
  <c r="E7" i="18" s="1"/>
  <c r="D7" i="18" a="1"/>
  <c r="D7" i="18" s="1"/>
  <c r="G162" i="18" a="1"/>
  <c r="G162" i="18" s="1"/>
  <c r="F162" i="18" a="1"/>
  <c r="F162" i="18" s="1"/>
  <c r="G403" i="18" a="1"/>
  <c r="G403" i="18" s="1"/>
  <c r="F403" i="18" a="1"/>
  <c r="F403" i="18" s="1"/>
  <c r="F241" i="18" a="1"/>
  <c r="F241" i="18" s="1"/>
  <c r="G241" i="18" a="1"/>
  <c r="G241" i="18" s="1"/>
  <c r="H278" i="18" a="1"/>
  <c r="H278" i="18" s="1"/>
  <c r="E278" i="18" a="1"/>
  <c r="E278" i="18" s="1"/>
  <c r="D278" i="18" a="1"/>
  <c r="D278" i="18" s="1"/>
  <c r="G61" i="18" a="1"/>
  <c r="G61" i="18" s="1"/>
  <c r="F61" i="18" a="1"/>
  <c r="F61" i="18" s="1"/>
  <c r="H130" i="18" a="1"/>
  <c r="H130" i="18" s="1"/>
  <c r="E130" i="18" a="1"/>
  <c r="E130" i="18" s="1"/>
  <c r="D130" i="18" a="1"/>
  <c r="D130" i="18" s="1"/>
  <c r="E146" i="18" a="1"/>
  <c r="E146" i="18" s="1"/>
  <c r="H146" i="18" a="1"/>
  <c r="H146" i="18" s="1"/>
  <c r="D146" i="18" a="1"/>
  <c r="D146" i="18" s="1"/>
  <c r="G302" i="18" a="1"/>
  <c r="G302" i="18" s="1"/>
  <c r="F302" i="18" a="1"/>
  <c r="F302" i="18" s="1"/>
  <c r="H317" i="18" a="1"/>
  <c r="H317" i="18" s="1"/>
  <c r="E317" i="18" a="1"/>
  <c r="E317" i="18" s="1"/>
  <c r="D317" i="18" a="1"/>
  <c r="D317" i="18" s="1"/>
  <c r="G245" i="18" a="1"/>
  <c r="G245" i="18" s="1"/>
  <c r="F245" i="18" a="1"/>
  <c r="F245" i="18" s="1"/>
  <c r="G350" i="18" a="1"/>
  <c r="G350" i="18" s="1"/>
  <c r="F350" i="18" a="1"/>
  <c r="F350" i="18" s="1"/>
  <c r="H405" i="18" a="1"/>
  <c r="H405" i="18" s="1"/>
  <c r="E405" i="18" a="1"/>
  <c r="E405" i="18" s="1"/>
  <c r="D405" i="18" a="1"/>
  <c r="D405" i="18" s="1"/>
  <c r="D50" i="18" a="1"/>
  <c r="D50" i="18" s="1"/>
  <c r="H50" i="18" a="1"/>
  <c r="H50" i="18" s="1"/>
  <c r="E50" i="18" a="1"/>
  <c r="E50" i="18" s="1"/>
  <c r="G125" i="18" a="1"/>
  <c r="G125" i="18" s="1"/>
  <c r="F125" i="18" a="1"/>
  <c r="F125" i="18" s="1"/>
  <c r="H374" i="18" a="1"/>
  <c r="H374" i="18" s="1"/>
  <c r="E374" i="18" a="1"/>
  <c r="E374" i="18" s="1"/>
  <c r="D374" i="18" a="1"/>
  <c r="D374" i="18" s="1"/>
  <c r="G42" i="18" a="1"/>
  <c r="G42" i="18" s="1"/>
  <c r="F42" i="18" a="1"/>
  <c r="F42" i="18" s="1"/>
  <c r="E439" i="18" a="1"/>
  <c r="E439" i="18" s="1"/>
  <c r="D439" i="18" a="1"/>
  <c r="D439" i="18" s="1"/>
  <c r="H439" i="18" a="1"/>
  <c r="H439" i="18" s="1"/>
  <c r="G23" i="18" a="1"/>
  <c r="G23" i="18" s="1"/>
  <c r="F23" i="18" a="1"/>
  <c r="F23" i="18" s="1"/>
  <c r="G227" i="18" a="1"/>
  <c r="G227" i="18" s="1"/>
  <c r="F227" i="18" a="1"/>
  <c r="F227" i="18" s="1"/>
  <c r="D330" i="18" a="1"/>
  <c r="D330" i="18" s="1"/>
  <c r="H330" i="18" a="1"/>
  <c r="H330" i="18" s="1"/>
  <c r="E330" i="18" a="1"/>
  <c r="E330" i="18" s="1"/>
  <c r="G314" i="18" a="1"/>
  <c r="G314" i="18" s="1"/>
  <c r="F314" i="18" a="1"/>
  <c r="F314" i="18" s="1"/>
  <c r="F247" i="18" a="1"/>
  <c r="F247" i="18" s="1"/>
  <c r="G247" i="18" a="1"/>
  <c r="G247" i="18" s="1"/>
  <c r="F360" i="18" a="1"/>
  <c r="F360" i="18" s="1"/>
  <c r="G360" i="18" a="1"/>
  <c r="G360" i="18" s="1"/>
  <c r="G117" i="18" a="1"/>
  <c r="G117" i="18" s="1"/>
  <c r="F117" i="18" a="1"/>
  <c r="F117" i="18" s="1"/>
  <c r="H205" i="18" a="1"/>
  <c r="H205" i="18" s="1"/>
  <c r="E205" i="18" a="1"/>
  <c r="E205" i="18" s="1"/>
  <c r="D205" i="18" a="1"/>
  <c r="D205" i="18" s="1"/>
  <c r="E56" i="18" a="1"/>
  <c r="E56" i="18" s="1"/>
  <c r="D56" i="18" a="1"/>
  <c r="D56" i="18" s="1"/>
  <c r="H56" i="18" a="1"/>
  <c r="H56" i="18" s="1"/>
  <c r="G70" i="18" a="1"/>
  <c r="G70" i="18" s="1"/>
  <c r="F70" i="18" a="1"/>
  <c r="F70" i="18" s="1"/>
  <c r="F17" i="18" a="1"/>
  <c r="F17" i="18" s="1"/>
  <c r="G17" i="18" a="1"/>
  <c r="G17" i="18" s="1"/>
  <c r="G101" i="18" a="1"/>
  <c r="G101" i="18" s="1"/>
  <c r="F101" i="18" a="1"/>
  <c r="F101" i="18" s="1"/>
  <c r="D29" i="18" a="1"/>
  <c r="D29" i="18" s="1"/>
  <c r="H29" i="18" a="1"/>
  <c r="H29" i="18" s="1"/>
  <c r="E29" i="18" a="1"/>
  <c r="E29" i="18" s="1"/>
  <c r="E151" i="18" a="1"/>
  <c r="E151" i="18" s="1"/>
  <c r="D151" i="18" a="1"/>
  <c r="D151" i="18" s="1"/>
  <c r="H151" i="18" a="1"/>
  <c r="H151" i="18" s="1"/>
  <c r="H189" i="18" a="1"/>
  <c r="H189" i="18" s="1"/>
  <c r="E189" i="18" a="1"/>
  <c r="E189" i="18" s="1"/>
  <c r="D189" i="18" a="1"/>
  <c r="D189" i="18" s="1"/>
  <c r="G217" i="18" a="1"/>
  <c r="G217" i="18" s="1"/>
  <c r="F217" i="18" a="1"/>
  <c r="F217" i="18" s="1"/>
  <c r="G62" i="18" a="1"/>
  <c r="G62" i="18" s="1"/>
  <c r="F62" i="18" a="1"/>
  <c r="F62" i="18" s="1"/>
  <c r="H156" i="18" a="1"/>
  <c r="H156" i="18" s="1"/>
  <c r="E156" i="18" a="1"/>
  <c r="E156" i="18" s="1"/>
  <c r="D156" i="18" a="1"/>
  <c r="D156" i="18" s="1"/>
  <c r="D196" i="18" a="1"/>
  <c r="D196" i="18" s="1"/>
  <c r="E196" i="18" a="1"/>
  <c r="E196" i="18" s="1"/>
  <c r="H196" i="18" a="1"/>
  <c r="H196" i="18" s="1"/>
  <c r="H137" i="18" a="1"/>
  <c r="H137" i="18" s="1"/>
  <c r="D137" i="18" a="1"/>
  <c r="D137" i="18" s="1"/>
  <c r="E137" i="18" a="1"/>
  <c r="E137" i="18" s="1"/>
  <c r="G180" i="18" a="1"/>
  <c r="G180" i="18" s="1"/>
  <c r="F180" i="18" a="1"/>
  <c r="F180" i="18" s="1"/>
  <c r="G220" i="18" a="1"/>
  <c r="G220" i="18" s="1"/>
  <c r="F220" i="18" a="1"/>
  <c r="F220" i="18" s="1"/>
  <c r="H320" i="18" a="1"/>
  <c r="H320" i="18" s="1"/>
  <c r="E320" i="18" a="1"/>
  <c r="E320" i="18" s="1"/>
  <c r="D320" i="18" a="1"/>
  <c r="D320" i="18" s="1"/>
  <c r="D296" i="18" a="1"/>
  <c r="D296" i="18" s="1"/>
  <c r="H296" i="18" a="1"/>
  <c r="H296" i="18" s="1"/>
  <c r="E296" i="18" a="1"/>
  <c r="E296" i="18" s="1"/>
  <c r="G329" i="18" a="1"/>
  <c r="G329" i="18" s="1"/>
  <c r="F329" i="18" a="1"/>
  <c r="F329" i="18" s="1"/>
  <c r="E396" i="18" a="1"/>
  <c r="E396" i="18" s="1"/>
  <c r="D396" i="18" a="1"/>
  <c r="D396" i="18" s="1"/>
  <c r="H396" i="18" a="1"/>
  <c r="H396" i="18" s="1"/>
  <c r="G341" i="18" a="1"/>
  <c r="G341" i="18" s="1"/>
  <c r="F341" i="18" a="1"/>
  <c r="F341" i="18" s="1"/>
  <c r="H245" i="18" a="1"/>
  <c r="H245" i="18" s="1"/>
  <c r="D245" i="18" a="1"/>
  <c r="D245" i="18" s="1"/>
  <c r="E245" i="18" a="1"/>
  <c r="E245" i="18" s="1"/>
  <c r="E265" i="18" a="1"/>
  <c r="E265" i="18" s="1"/>
  <c r="D265" i="18" a="1"/>
  <c r="D265" i="18" s="1"/>
  <c r="H265" i="18" a="1"/>
  <c r="H265" i="18" s="1"/>
  <c r="G230" i="18" a="1"/>
  <c r="G230" i="18" s="1"/>
  <c r="F230" i="18" a="1"/>
  <c r="F230" i="18" s="1"/>
  <c r="F250" i="18" a="1"/>
  <c r="F250" i="18" s="1"/>
  <c r="G250" i="18" a="1"/>
  <c r="G250" i="18" s="1"/>
  <c r="G275" i="18" a="1"/>
  <c r="G275" i="18" s="1"/>
  <c r="F275" i="18" a="1"/>
  <c r="F275" i="18" s="1"/>
  <c r="H437" i="18" a="1"/>
  <c r="H437" i="18" s="1"/>
  <c r="E437" i="18" a="1"/>
  <c r="E437" i="18" s="1"/>
  <c r="D437" i="18" a="1"/>
  <c r="D437" i="18" s="1"/>
  <c r="E363" i="18" a="1"/>
  <c r="E363" i="18" s="1"/>
  <c r="D363" i="18" a="1"/>
  <c r="D363" i="18" s="1"/>
  <c r="H363" i="18" a="1"/>
  <c r="H363" i="18" s="1"/>
  <c r="D350" i="18" a="1"/>
  <c r="D350" i="18" s="1"/>
  <c r="H350" i="18" a="1"/>
  <c r="H350" i="18" s="1"/>
  <c r="E350" i="18" a="1"/>
  <c r="E350" i="18" s="1"/>
  <c r="H408" i="18" a="1"/>
  <c r="H408" i="18" s="1"/>
  <c r="E408" i="18" a="1"/>
  <c r="E408" i="18" s="1"/>
  <c r="D408" i="18" a="1"/>
  <c r="D408" i="18" s="1"/>
  <c r="G295" i="18" a="1"/>
  <c r="G295" i="18" s="1"/>
  <c r="F295" i="18" a="1"/>
  <c r="F295" i="18" s="1"/>
  <c r="D383" i="18" a="1"/>
  <c r="D383" i="18" s="1"/>
  <c r="H383" i="18" a="1"/>
  <c r="H383" i="18" s="1"/>
  <c r="E383" i="18" a="1"/>
  <c r="E383" i="18" s="1"/>
  <c r="F427" i="18" a="1"/>
  <c r="F427" i="18" s="1"/>
  <c r="G427" i="18" a="1"/>
  <c r="G427" i="18" s="1"/>
  <c r="G357" i="18" a="1"/>
  <c r="G357" i="18" s="1"/>
  <c r="F357" i="18" a="1"/>
  <c r="F357" i="18" s="1"/>
  <c r="H435" i="18" a="1"/>
  <c r="H435" i="18" s="1"/>
  <c r="E435" i="18" a="1"/>
  <c r="E435" i="18" s="1"/>
  <c r="D435" i="18" a="1"/>
  <c r="D435" i="18" s="1"/>
  <c r="G410" i="18" a="1"/>
  <c r="G410" i="18" s="1"/>
  <c r="F410" i="18" a="1"/>
  <c r="F410" i="18" s="1"/>
  <c r="H117" i="18" a="1"/>
  <c r="H117" i="18" s="1"/>
  <c r="D117" i="18" a="1"/>
  <c r="D117" i="18" s="1"/>
  <c r="E117" i="18" a="1"/>
  <c r="E117" i="18" s="1"/>
  <c r="F34" i="18" a="1"/>
  <c r="F34" i="18" s="1"/>
  <c r="G34" i="18" a="1"/>
  <c r="G34" i="18" s="1"/>
  <c r="G90" i="18" a="1"/>
  <c r="G90" i="18" s="1"/>
  <c r="F90" i="18" a="1"/>
  <c r="F90" i="18" s="1"/>
  <c r="H61" i="18" a="1"/>
  <c r="H61" i="18" s="1"/>
  <c r="D61" i="18" a="1"/>
  <c r="D61" i="18" s="1"/>
  <c r="E61" i="18" a="1"/>
  <c r="E61" i="18" s="1"/>
  <c r="G14" i="18" a="1"/>
  <c r="G14" i="18" s="1"/>
  <c r="F14" i="18" a="1"/>
  <c r="F14" i="18" s="1"/>
  <c r="D201" i="18" a="1"/>
  <c r="D201" i="18" s="1"/>
  <c r="H201" i="18" a="1"/>
  <c r="H201" i="18" s="1"/>
  <c r="E201" i="18" a="1"/>
  <c r="E201" i="18" s="1"/>
  <c r="H136" i="18" a="1"/>
  <c r="H136" i="18" s="1"/>
  <c r="D136" i="18" a="1"/>
  <c r="D136" i="18" s="1"/>
  <c r="E136" i="18" a="1"/>
  <c r="E136" i="18" s="1"/>
  <c r="G71" i="18" a="1"/>
  <c r="G71" i="18" s="1"/>
  <c r="F71" i="18" a="1"/>
  <c r="F71" i="18" s="1"/>
  <c r="G56" i="18" a="1"/>
  <c r="G56" i="18" s="1"/>
  <c r="F56" i="18" a="1"/>
  <c r="F56" i="18" s="1"/>
  <c r="G93" i="18" a="1"/>
  <c r="G93" i="18" s="1"/>
  <c r="F93" i="18" a="1"/>
  <c r="F93" i="18" s="1"/>
  <c r="E208" i="18" a="1"/>
  <c r="E208" i="18" s="1"/>
  <c r="H208" i="18" a="1"/>
  <c r="H208" i="18" s="1"/>
  <c r="D208" i="18" a="1"/>
  <c r="D208" i="18" s="1"/>
  <c r="G236" i="18" a="1"/>
  <c r="G236" i="18" s="1"/>
  <c r="F236" i="18" a="1"/>
  <c r="F236" i="18" s="1"/>
  <c r="H81" i="18" a="1"/>
  <c r="H81" i="18" s="1"/>
  <c r="E81" i="18" a="1"/>
  <c r="E81" i="18" s="1"/>
  <c r="D81" i="18" a="1"/>
  <c r="D81" i="18" s="1"/>
  <c r="H294" i="18" a="1"/>
  <c r="H294" i="18" s="1"/>
  <c r="E294" i="18" a="1"/>
  <c r="E294" i="18" s="1"/>
  <c r="D294" i="18" a="1"/>
  <c r="D294" i="18" s="1"/>
  <c r="G304" i="18" a="1"/>
  <c r="G304" i="18" s="1"/>
  <c r="F304" i="18" a="1"/>
  <c r="F304" i="18" s="1"/>
  <c r="H115" i="18" a="1"/>
  <c r="H115" i="18" s="1"/>
  <c r="E115" i="18" a="1"/>
  <c r="E115" i="18" s="1"/>
  <c r="D115" i="18" a="1"/>
  <c r="D115" i="18" s="1"/>
  <c r="H236" i="18" a="1"/>
  <c r="H236" i="18" s="1"/>
  <c r="E236" i="18" a="1"/>
  <c r="E236" i="18" s="1"/>
  <c r="D236" i="18" a="1"/>
  <c r="D236" i="18" s="1"/>
  <c r="F287" i="18" a="1"/>
  <c r="F287" i="18" s="1"/>
  <c r="G287" i="18" a="1"/>
  <c r="G287" i="18" s="1"/>
  <c r="G92" i="18" a="1"/>
  <c r="G92" i="18" s="1"/>
  <c r="F92" i="18" a="1"/>
  <c r="F92" i="18" s="1"/>
  <c r="F213" i="18" a="1"/>
  <c r="F213" i="18" s="1"/>
  <c r="G213" i="18" a="1"/>
  <c r="G213" i="18" s="1"/>
  <c r="F170" i="18" a="1"/>
  <c r="F170" i="18" s="1"/>
  <c r="G170" i="18" a="1"/>
  <c r="G170" i="18" s="1"/>
  <c r="H386" i="18" a="1"/>
  <c r="H386" i="18" s="1"/>
  <c r="E386" i="18" a="1"/>
  <c r="E386" i="18" s="1"/>
  <c r="D386" i="18" a="1"/>
  <c r="D386" i="18" s="1"/>
  <c r="F131" i="18" a="1"/>
  <c r="F131" i="18" s="1"/>
  <c r="G131" i="18" a="1"/>
  <c r="G131" i="18" s="1"/>
  <c r="H228" i="18" a="1"/>
  <c r="H228" i="18" s="1"/>
  <c r="E228" i="18" a="1"/>
  <c r="E228" i="18" s="1"/>
  <c r="D228" i="18" a="1"/>
  <c r="D228" i="18" s="1"/>
  <c r="H225" i="18" a="1"/>
  <c r="H225" i="18" s="1"/>
  <c r="D225" i="18" a="1"/>
  <c r="D225" i="18" s="1"/>
  <c r="E225" i="18" a="1"/>
  <c r="E225" i="18" s="1"/>
  <c r="H87" i="18" a="1"/>
  <c r="H87" i="18" s="1"/>
  <c r="D87" i="18" a="1"/>
  <c r="D87" i="18" s="1"/>
  <c r="E87" i="18" a="1"/>
  <c r="E87" i="18" s="1"/>
  <c r="H118" i="18" a="1"/>
  <c r="H118" i="18" s="1"/>
  <c r="E118" i="18" a="1"/>
  <c r="E118" i="18" s="1"/>
  <c r="D118" i="18" a="1"/>
  <c r="D118" i="18" s="1"/>
  <c r="F189" i="18" a="1"/>
  <c r="F189" i="18" s="1"/>
  <c r="G189" i="18" a="1"/>
  <c r="G189" i="18" s="1"/>
  <c r="D79" i="18" a="1"/>
  <c r="D79" i="18" s="1"/>
  <c r="H79" i="18" a="1"/>
  <c r="H79" i="18" s="1"/>
  <c r="E79" i="18" a="1"/>
  <c r="E79" i="18" s="1"/>
  <c r="H190" i="18" a="1"/>
  <c r="H190" i="18" s="1"/>
  <c r="E190" i="18" a="1"/>
  <c r="E190" i="18" s="1"/>
  <c r="D190" i="18" a="1"/>
  <c r="D190" i="18" s="1"/>
  <c r="F174" i="18" a="1"/>
  <c r="F174" i="18" s="1"/>
  <c r="G174" i="18" a="1"/>
  <c r="G174" i="18" s="1"/>
  <c r="H412" i="18" a="1"/>
  <c r="H412" i="18" s="1"/>
  <c r="E412" i="18" a="1"/>
  <c r="E412" i="18" s="1"/>
  <c r="D412" i="18" a="1"/>
  <c r="D412" i="18" s="1"/>
  <c r="G349" i="18" a="1"/>
  <c r="G349" i="18" s="1"/>
  <c r="F349" i="18" a="1"/>
  <c r="F349" i="18" s="1"/>
  <c r="H242" i="18" a="1"/>
  <c r="H242" i="18" s="1"/>
  <c r="E242" i="18" a="1"/>
  <c r="E242" i="18" s="1"/>
  <c r="D242" i="18" a="1"/>
  <c r="D242" i="18" s="1"/>
  <c r="D262" i="18" a="1"/>
  <c r="D262" i="18" s="1"/>
  <c r="H262" i="18" a="1"/>
  <c r="H262" i="18" s="1"/>
  <c r="E262" i="18" a="1"/>
  <c r="E262" i="18" s="1"/>
  <c r="G267" i="18" a="1"/>
  <c r="G267" i="18" s="1"/>
  <c r="F267" i="18" a="1"/>
  <c r="F267" i="18" s="1"/>
  <c r="E373" i="18" a="1"/>
  <c r="E373" i="18" s="1"/>
  <c r="D373" i="18" a="1"/>
  <c r="D373" i="18" s="1"/>
  <c r="H373" i="18" a="1"/>
  <c r="H373" i="18" s="1"/>
  <c r="H440" i="18" a="1"/>
  <c r="H440" i="18" s="1"/>
  <c r="E440" i="18" a="1"/>
  <c r="E440" i="18" s="1"/>
  <c r="D440" i="18" a="1"/>
  <c r="D440" i="18" s="1"/>
  <c r="G18" i="18" a="1"/>
  <c r="G18" i="18" s="1"/>
  <c r="F18" i="18" a="1"/>
  <c r="F18" i="18" s="1"/>
  <c r="G195" i="18" a="1"/>
  <c r="G195" i="18" s="1"/>
  <c r="F195" i="18" a="1"/>
  <c r="F195" i="18" s="1"/>
  <c r="E426" i="18" a="1"/>
  <c r="E426" i="18" s="1"/>
  <c r="D426" i="18" a="1"/>
  <c r="D426" i="18" s="1"/>
  <c r="H426" i="18" a="1"/>
  <c r="H426" i="18" s="1"/>
  <c r="H63" i="18" a="1"/>
  <c r="H63" i="18" s="1"/>
  <c r="E63" i="18" a="1"/>
  <c r="E63" i="18" s="1"/>
  <c r="D63" i="18" a="1"/>
  <c r="D63" i="18" s="1"/>
  <c r="G15" i="18" a="1"/>
  <c r="G15" i="18" s="1"/>
  <c r="F15" i="18" a="1"/>
  <c r="F15" i="18" s="1"/>
  <c r="D94" i="18" a="1"/>
  <c r="D94" i="18" s="1"/>
  <c r="H94" i="18" a="1"/>
  <c r="H94" i="18" s="1"/>
  <c r="E94" i="18" a="1"/>
  <c r="E94" i="18" s="1"/>
  <c r="E27" i="18" a="1"/>
  <c r="E27" i="18" s="1"/>
  <c r="D27" i="18" a="1"/>
  <c r="D27" i="18" s="1"/>
  <c r="H27" i="18" a="1"/>
  <c r="H27" i="18" s="1"/>
  <c r="G132" i="18" a="1"/>
  <c r="G132" i="18" s="1"/>
  <c r="F132" i="18" a="1"/>
  <c r="F132" i="18" s="1"/>
  <c r="F179" i="18" a="1"/>
  <c r="F179" i="18" s="1"/>
  <c r="G179" i="18" a="1"/>
  <c r="G179" i="18" s="1"/>
  <c r="H203" i="18" a="1"/>
  <c r="H203" i="18" s="1"/>
  <c r="E203" i="18" a="1"/>
  <c r="E203" i="18" s="1"/>
  <c r="D203" i="18" a="1"/>
  <c r="D203" i="18" s="1"/>
  <c r="H55" i="18" a="1"/>
  <c r="H55" i="18" s="1"/>
  <c r="E55" i="18" a="1"/>
  <c r="E55" i="18" s="1"/>
  <c r="D55" i="18" a="1"/>
  <c r="D55" i="18" s="1"/>
  <c r="H158" i="18" a="1"/>
  <c r="H158" i="18" s="1"/>
  <c r="D158" i="18" a="1"/>
  <c r="D158" i="18" s="1"/>
  <c r="E158" i="18" a="1"/>
  <c r="E158" i="18" s="1"/>
  <c r="D198" i="18" a="1"/>
  <c r="D198" i="18" s="1"/>
  <c r="H198" i="18" a="1"/>
  <c r="H198" i="18" s="1"/>
  <c r="E198" i="18" a="1"/>
  <c r="E198" i="18" s="1"/>
  <c r="G142" i="18" a="1"/>
  <c r="G142" i="18" s="1"/>
  <c r="F142" i="18" a="1"/>
  <c r="F142" i="18" s="1"/>
  <c r="G182" i="18" a="1"/>
  <c r="G182" i="18" s="1"/>
  <c r="F182" i="18" a="1"/>
  <c r="F182" i="18" s="1"/>
  <c r="G222" i="18" a="1"/>
  <c r="G222" i="18" s="1"/>
  <c r="F222" i="18" a="1"/>
  <c r="F222" i="18" s="1"/>
  <c r="G323" i="18" a="1"/>
  <c r="G323" i="18" s="1"/>
  <c r="F323" i="18" a="1"/>
  <c r="F323" i="18" s="1"/>
  <c r="F310" i="18" a="1"/>
  <c r="F310" i="18" s="1"/>
  <c r="G310" i="18" a="1"/>
  <c r="G310" i="18" s="1"/>
  <c r="H333" i="18" a="1"/>
  <c r="H333" i="18" s="1"/>
  <c r="E333" i="18" a="1"/>
  <c r="E333" i="18" s="1"/>
  <c r="D333" i="18" a="1"/>
  <c r="D333" i="18" s="1"/>
  <c r="E401" i="18" a="1"/>
  <c r="E401" i="18" s="1"/>
  <c r="D401" i="18" a="1"/>
  <c r="D401" i="18" s="1"/>
  <c r="H401" i="18" a="1"/>
  <c r="H401" i="18" s="1"/>
  <c r="G366" i="18" a="1"/>
  <c r="G366" i="18" s="1"/>
  <c r="F366" i="18" a="1"/>
  <c r="F366" i="18" s="1"/>
  <c r="D246" i="18" a="1"/>
  <c r="D246" i="18" s="1"/>
  <c r="H246" i="18" a="1"/>
  <c r="H246" i="18" s="1"/>
  <c r="E246" i="18" a="1"/>
  <c r="E246" i="18" s="1"/>
  <c r="H266" i="18" a="1"/>
  <c r="H266" i="18" s="1"/>
  <c r="E266" i="18" a="1"/>
  <c r="E266" i="18" s="1"/>
  <c r="D266" i="18" a="1"/>
  <c r="D266" i="18" s="1"/>
  <c r="G231" i="18" a="1"/>
  <c r="G231" i="18" s="1"/>
  <c r="F231" i="18" a="1"/>
  <c r="F231" i="18" s="1"/>
  <c r="G251" i="18" a="1"/>
  <c r="G251" i="18" s="1"/>
  <c r="F251" i="18" a="1"/>
  <c r="F251" i="18" s="1"/>
  <c r="G281" i="18" a="1"/>
  <c r="G281" i="18" s="1"/>
  <c r="F281" i="18" a="1"/>
  <c r="F281" i="18" s="1"/>
  <c r="G443" i="18" a="1"/>
  <c r="G443" i="18" s="1"/>
  <c r="F443" i="18" a="1"/>
  <c r="F443" i="18" s="1"/>
  <c r="G368" i="18" a="1"/>
  <c r="G368" i="18" s="1"/>
  <c r="F368" i="18" a="1"/>
  <c r="F368" i="18" s="1"/>
  <c r="G355" i="18" a="1"/>
  <c r="G355" i="18" s="1"/>
  <c r="F355" i="18" a="1"/>
  <c r="F355" i="18" s="1"/>
  <c r="H424" i="18" a="1"/>
  <c r="H424" i="18" s="1"/>
  <c r="E424" i="18" a="1"/>
  <c r="E424" i="18" s="1"/>
  <c r="D424" i="18" a="1"/>
  <c r="D424" i="18" s="1"/>
  <c r="G299" i="18" a="1"/>
  <c r="G299" i="18" s="1"/>
  <c r="F299" i="18" a="1"/>
  <c r="F299" i="18" s="1"/>
  <c r="F384" i="18" a="1"/>
  <c r="F384" i="18" s="1"/>
  <c r="G384" i="18" a="1"/>
  <c r="G384" i="18" s="1"/>
  <c r="G438" i="18" a="1"/>
  <c r="G438" i="18" s="1"/>
  <c r="F438" i="18" a="1"/>
  <c r="F438" i="18" s="1"/>
  <c r="H368" i="18" a="1"/>
  <c r="H368" i="18" s="1"/>
  <c r="D368" i="18" a="1"/>
  <c r="D368" i="18" s="1"/>
  <c r="E368" i="18" a="1"/>
  <c r="E368" i="18" s="1"/>
  <c r="H441" i="18" a="1"/>
  <c r="H441" i="18" s="1"/>
  <c r="E441" i="18" a="1"/>
  <c r="E441" i="18" s="1"/>
  <c r="D441" i="18" a="1"/>
  <c r="D441" i="18" s="1"/>
  <c r="G416" i="18" a="1"/>
  <c r="G416" i="18" s="1"/>
  <c r="F416" i="18" a="1"/>
  <c r="F416" i="18" s="1"/>
  <c r="G112" i="18" a="1"/>
  <c r="G112" i="18" s="1"/>
  <c r="F112" i="18" a="1"/>
  <c r="F112" i="18" s="1"/>
  <c r="G32" i="18" a="1"/>
  <c r="G32" i="18" s="1"/>
  <c r="F32" i="18" a="1"/>
  <c r="F32" i="18" s="1"/>
  <c r="D83" i="18" a="1"/>
  <c r="D83" i="18" s="1"/>
  <c r="H83" i="18" a="1"/>
  <c r="H83" i="18" s="1"/>
  <c r="E83" i="18" a="1"/>
  <c r="E83" i="18" s="1"/>
  <c r="H78" i="18" a="1"/>
  <c r="H78" i="18" s="1"/>
  <c r="E78" i="18" a="1"/>
  <c r="E78" i="18" s="1"/>
  <c r="D78" i="18" a="1"/>
  <c r="D78" i="18" s="1"/>
  <c r="H24" i="18" a="1"/>
  <c r="H24" i="18" s="1"/>
  <c r="E24" i="18" a="1"/>
  <c r="E24" i="18" s="1"/>
  <c r="D24" i="18" a="1"/>
  <c r="D24" i="18" s="1"/>
  <c r="G327" i="18" a="1"/>
  <c r="G327" i="18" s="1"/>
  <c r="F327" i="18" a="1"/>
  <c r="F327" i="18" s="1"/>
  <c r="E169" i="18" a="1"/>
  <c r="E169" i="18" s="1"/>
  <c r="H169" i="18" a="1"/>
  <c r="H169" i="18" s="1"/>
  <c r="D169" i="18" a="1"/>
  <c r="D169" i="18" s="1"/>
  <c r="E88" i="18" a="1"/>
  <c r="E88" i="18" s="1"/>
  <c r="D88" i="18" a="1"/>
  <c r="D88" i="18" s="1"/>
  <c r="H88" i="18" a="1"/>
  <c r="H88" i="18" s="1"/>
  <c r="G73" i="18" a="1"/>
  <c r="G73" i="18" s="1"/>
  <c r="F73" i="18" a="1"/>
  <c r="F73" i="18" s="1"/>
  <c r="H110" i="18" a="1"/>
  <c r="H110" i="18" s="1"/>
  <c r="E110" i="18" a="1"/>
  <c r="E110" i="18" s="1"/>
  <c r="D110" i="18" a="1"/>
  <c r="D110" i="18" s="1"/>
  <c r="G389" i="18" a="1"/>
  <c r="G389" i="18" s="1"/>
  <c r="F389" i="18" a="1"/>
  <c r="F389" i="18" s="1"/>
  <c r="D99" i="18" a="1"/>
  <c r="D99" i="18" s="1"/>
  <c r="E99" i="18" a="1"/>
  <c r="E99" i="18" s="1"/>
  <c r="H99" i="18" a="1"/>
  <c r="H99" i="18" s="1"/>
  <c r="F172" i="18" a="1"/>
  <c r="F172" i="18" s="1"/>
  <c r="G172" i="18" a="1"/>
  <c r="G172" i="18" s="1"/>
  <c r="G214" i="18" a="1"/>
  <c r="G214" i="18" s="1"/>
  <c r="F214" i="18" a="1"/>
  <c r="F214" i="18" s="1"/>
  <c r="H181" i="18" a="1"/>
  <c r="H181" i="18" s="1"/>
  <c r="D181" i="18" a="1"/>
  <c r="D181" i="18" s="1"/>
  <c r="E181" i="18" a="1"/>
  <c r="E181" i="18" s="1"/>
  <c r="H219" i="18" a="1"/>
  <c r="H219" i="18" s="1"/>
  <c r="E219" i="18" a="1"/>
  <c r="E219" i="18" s="1"/>
  <c r="D219" i="18" a="1"/>
  <c r="D219" i="18" s="1"/>
  <c r="F58" i="18" a="1"/>
  <c r="F58" i="18" s="1"/>
  <c r="G58" i="18" a="1"/>
  <c r="G58" i="18" s="1"/>
  <c r="G13" i="18" a="1"/>
  <c r="G13" i="18" s="1"/>
  <c r="F13" i="18" a="1"/>
  <c r="F13" i="18" s="1"/>
  <c r="G89" i="18" a="1"/>
  <c r="G89" i="18" s="1"/>
  <c r="F89" i="18" a="1"/>
  <c r="F89" i="18" s="1"/>
  <c r="H25" i="18" a="1"/>
  <c r="H25" i="18" s="1"/>
  <c r="E25" i="18" a="1"/>
  <c r="E25" i="18" s="1"/>
  <c r="D25" i="18" a="1"/>
  <c r="D25" i="18" s="1"/>
  <c r="D125" i="18" a="1"/>
  <c r="D125" i="18" s="1"/>
  <c r="H125" i="18" a="1"/>
  <c r="H125" i="18" s="1"/>
  <c r="E125" i="18" a="1"/>
  <c r="E125" i="18" s="1"/>
  <c r="E165" i="18" a="1"/>
  <c r="E165" i="18" s="1"/>
  <c r="H165" i="18" a="1"/>
  <c r="H165" i="18" s="1"/>
  <c r="D165" i="18" a="1"/>
  <c r="D165" i="18" s="1"/>
  <c r="G193" i="18" a="1"/>
  <c r="G193" i="18" s="1"/>
  <c r="F193" i="18" a="1"/>
  <c r="F193" i="18" s="1"/>
  <c r="G138" i="18" a="1"/>
  <c r="G138" i="18" s="1"/>
  <c r="F138" i="18" a="1"/>
  <c r="F138" i="18" s="1"/>
  <c r="E160" i="18" a="1"/>
  <c r="E160" i="18" s="1"/>
  <c r="D160" i="18" a="1"/>
  <c r="D160" i="18" s="1"/>
  <c r="H160" i="18" a="1"/>
  <c r="H160" i="18" s="1"/>
  <c r="H200" i="18" a="1"/>
  <c r="H200" i="18" s="1"/>
  <c r="E200" i="18" a="1"/>
  <c r="E200" i="18" s="1"/>
  <c r="D200" i="18" a="1"/>
  <c r="D200" i="18" s="1"/>
  <c r="F144" i="18" a="1"/>
  <c r="F144" i="18" s="1"/>
  <c r="G144" i="18" a="1"/>
  <c r="G144" i="18" s="1"/>
  <c r="G184" i="18" a="1"/>
  <c r="G184" i="18" s="1"/>
  <c r="F184" i="18" a="1"/>
  <c r="F184" i="18" s="1"/>
  <c r="G224" i="18" a="1"/>
  <c r="G224" i="18" s="1"/>
  <c r="F224" i="18" a="1"/>
  <c r="F224" i="18" s="1"/>
  <c r="G335" i="18" a="1"/>
  <c r="G335" i="18" s="1"/>
  <c r="F335" i="18" a="1"/>
  <c r="F335" i="18" s="1"/>
  <c r="F332" i="18" a="1"/>
  <c r="F332" i="18" s="1"/>
  <c r="G332" i="18" a="1"/>
  <c r="G332" i="18" s="1"/>
  <c r="D362" i="18" a="1"/>
  <c r="D362" i="18" s="1"/>
  <c r="E362" i="18" a="1"/>
  <c r="E362" i="18" s="1"/>
  <c r="H362" i="18" a="1"/>
  <c r="H362" i="18" s="1"/>
  <c r="H406" i="18" a="1"/>
  <c r="H406" i="18" s="1"/>
  <c r="D406" i="18" a="1"/>
  <c r="D406" i="18" s="1"/>
  <c r="E406" i="18" a="1"/>
  <c r="E406" i="18" s="1"/>
  <c r="H375" i="18" a="1"/>
  <c r="H375" i="18" s="1"/>
  <c r="D375" i="18" a="1"/>
  <c r="D375" i="18" s="1"/>
  <c r="E375" i="18" a="1"/>
  <c r="E375" i="18" s="1"/>
  <c r="D247" i="18" a="1"/>
  <c r="D247" i="18" s="1"/>
  <c r="H247" i="18" a="1"/>
  <c r="H247" i="18" s="1"/>
  <c r="E247" i="18" a="1"/>
  <c r="E247" i="18" s="1"/>
  <c r="E267" i="18" a="1"/>
  <c r="E267" i="18" s="1"/>
  <c r="D267" i="18" a="1"/>
  <c r="D267" i="18" s="1"/>
  <c r="H267" i="18" a="1"/>
  <c r="H267" i="18" s="1"/>
  <c r="G232" i="18" a="1"/>
  <c r="G232" i="18" s="1"/>
  <c r="F232" i="18" a="1"/>
  <c r="F232" i="18" s="1"/>
  <c r="G252" i="18" a="1"/>
  <c r="G252" i="18" s="1"/>
  <c r="F252" i="18" a="1"/>
  <c r="F252" i="18" s="1"/>
  <c r="H286" i="18" a="1"/>
  <c r="H286" i="18" s="1"/>
  <c r="E286" i="18" a="1"/>
  <c r="E286" i="18" s="1"/>
  <c r="D286" i="18" a="1"/>
  <c r="D286" i="18" s="1"/>
  <c r="H287" i="18" a="1"/>
  <c r="H287" i="18" s="1"/>
  <c r="D287" i="18" a="1"/>
  <c r="D287" i="18" s="1"/>
  <c r="E287" i="18" a="1"/>
  <c r="E287" i="18" s="1"/>
  <c r="G376" i="18" a="1"/>
  <c r="G376" i="18" s="1"/>
  <c r="F376" i="18" a="1"/>
  <c r="F376" i="18" s="1"/>
  <c r="G363" i="18" a="1"/>
  <c r="G363" i="18" s="1"/>
  <c r="F363" i="18" a="1"/>
  <c r="F363" i="18" s="1"/>
  <c r="H432" i="18" a="1"/>
  <c r="H432" i="18" s="1"/>
  <c r="E432" i="18" a="1"/>
  <c r="E432" i="18" s="1"/>
  <c r="D432" i="18" a="1"/>
  <c r="D432" i="18" s="1"/>
  <c r="G303" i="18" a="1"/>
  <c r="G303" i="18" s="1"/>
  <c r="F303" i="18" a="1"/>
  <c r="F303" i="18" s="1"/>
  <c r="G393" i="18" a="1"/>
  <c r="G393" i="18" s="1"/>
  <c r="F393" i="18" a="1"/>
  <c r="F393" i="18" s="1"/>
  <c r="E442" i="18" a="1"/>
  <c r="E442" i="18" s="1"/>
  <c r="D442" i="18" a="1"/>
  <c r="D442" i="18" s="1"/>
  <c r="H442" i="18" a="1"/>
  <c r="H442" i="18" s="1"/>
  <c r="G369" i="18" a="1"/>
  <c r="G369" i="18" s="1"/>
  <c r="F369" i="18" a="1"/>
  <c r="F369" i="18" s="1"/>
  <c r="G399" i="18" a="1"/>
  <c r="G399" i="18" s="1"/>
  <c r="F399" i="18" a="1"/>
  <c r="F399" i="18" s="1"/>
  <c r="F422" i="18" a="1"/>
  <c r="F422" i="18" s="1"/>
  <c r="G422" i="18" a="1"/>
  <c r="G422" i="18" s="1"/>
  <c r="H105" i="18" a="1"/>
  <c r="H105" i="18" s="1"/>
  <c r="E105" i="18" a="1"/>
  <c r="E105" i="18" s="1"/>
  <c r="D105" i="18" a="1"/>
  <c r="D105" i="18" s="1"/>
  <c r="G30" i="18" a="1"/>
  <c r="G30" i="18" s="1"/>
  <c r="F30" i="18" a="1"/>
  <c r="F30" i="18" s="1"/>
  <c r="G78" i="18" a="1"/>
  <c r="G78" i="18" s="1"/>
  <c r="F78" i="18" a="1"/>
  <c r="F78" i="18" s="1"/>
  <c r="G95" i="18" a="1"/>
  <c r="G95" i="18" s="1"/>
  <c r="F95" i="18" a="1"/>
  <c r="F95" i="18" s="1"/>
  <c r="H44" i="18" a="1"/>
  <c r="H44" i="18" s="1"/>
  <c r="D44" i="18" a="1"/>
  <c r="D44" i="18" s="1"/>
  <c r="E44" i="18" a="1"/>
  <c r="E44" i="18" s="1"/>
  <c r="G6" i="18" a="1"/>
  <c r="G6" i="18" s="1"/>
  <c r="F6" i="18" a="1"/>
  <c r="F6" i="18" s="1"/>
  <c r="G207" i="18" a="1"/>
  <c r="G207" i="18" s="1"/>
  <c r="F207" i="18" a="1"/>
  <c r="F207" i="18" s="1"/>
  <c r="G105" i="18" a="1"/>
  <c r="G105" i="18" s="1"/>
  <c r="F105" i="18" a="1"/>
  <c r="F105" i="18" s="1"/>
  <c r="H109" i="18" a="1"/>
  <c r="H109" i="18" s="1"/>
  <c r="E109" i="18" a="1"/>
  <c r="E109" i="18" s="1"/>
  <c r="D109" i="18" a="1"/>
  <c r="D109" i="18" s="1"/>
  <c r="G128" i="18" a="1"/>
  <c r="G128" i="18" s="1"/>
  <c r="F128" i="18" a="1"/>
  <c r="F128" i="18" s="1"/>
  <c r="H273" i="18" a="1"/>
  <c r="H273" i="18" s="1"/>
  <c r="E273" i="18" a="1"/>
  <c r="E273" i="18" s="1"/>
  <c r="D273" i="18" a="1"/>
  <c r="D273" i="18" s="1"/>
  <c r="G420" i="18" a="1"/>
  <c r="G420" i="18" s="1"/>
  <c r="F420" i="18" a="1"/>
  <c r="F420" i="18" s="1"/>
  <c r="G44" i="18" a="1"/>
  <c r="G44" i="18" s="1"/>
  <c r="F44" i="18" a="1"/>
  <c r="F44" i="18" s="1"/>
  <c r="F246" i="18" a="1"/>
  <c r="F246" i="18" s="1"/>
  <c r="G246" i="18" a="1"/>
  <c r="G246" i="18" s="1"/>
  <c r="G171" i="18" a="1"/>
  <c r="G171" i="18" s="1"/>
  <c r="F171" i="18" a="1"/>
  <c r="F171" i="18" s="1"/>
  <c r="G209" i="18" a="1"/>
  <c r="G209" i="18" s="1"/>
  <c r="F209" i="18" a="1"/>
  <c r="F209" i="18" s="1"/>
  <c r="G51" i="18" a="1"/>
  <c r="G51" i="18" s="1"/>
  <c r="F51" i="18" a="1"/>
  <c r="F51" i="18" s="1"/>
  <c r="G11" i="18" a="1"/>
  <c r="G11" i="18" s="1"/>
  <c r="F11" i="18" a="1"/>
  <c r="F11" i="18" s="1"/>
  <c r="D82" i="18" a="1"/>
  <c r="D82" i="18" s="1"/>
  <c r="H82" i="18" a="1"/>
  <c r="H82" i="18" s="1"/>
  <c r="E82" i="18" a="1"/>
  <c r="E82" i="18" s="1"/>
  <c r="H23" i="18" a="1"/>
  <c r="H23" i="18" s="1"/>
  <c r="E23" i="18" a="1"/>
  <c r="E23" i="18" s="1"/>
  <c r="D23" i="18" a="1"/>
  <c r="D23" i="18" s="1"/>
  <c r="G120" i="18" a="1"/>
  <c r="G120" i="18" s="1"/>
  <c r="F120" i="18" a="1"/>
  <c r="F120" i="18" s="1"/>
  <c r="G155" i="18" a="1"/>
  <c r="G155" i="18" s="1"/>
  <c r="F155" i="18" a="1"/>
  <c r="F155" i="18" s="1"/>
  <c r="H179" i="18" a="1"/>
  <c r="H179" i="18" s="1"/>
  <c r="E179" i="18" a="1"/>
  <c r="E179" i="18" s="1"/>
  <c r="D179" i="18" a="1"/>
  <c r="D179" i="18" s="1"/>
  <c r="G277" i="18" a="1"/>
  <c r="G277" i="18" s="1"/>
  <c r="F277" i="18" a="1"/>
  <c r="F277" i="18" s="1"/>
  <c r="E162" i="18" a="1"/>
  <c r="E162" i="18" s="1"/>
  <c r="D162" i="18" a="1"/>
  <c r="D162" i="18" s="1"/>
  <c r="H162" i="18" a="1"/>
  <c r="H162" i="18" s="1"/>
  <c r="E202" i="18" a="1"/>
  <c r="E202" i="18" s="1"/>
  <c r="D202" i="18" a="1"/>
  <c r="D202" i="18" s="1"/>
  <c r="H202" i="18" a="1"/>
  <c r="H202" i="18" s="1"/>
  <c r="G146" i="18" a="1"/>
  <c r="G146" i="18" s="1"/>
  <c r="F146" i="18" a="1"/>
  <c r="F146" i="18" s="1"/>
  <c r="F186" i="18" a="1"/>
  <c r="F186" i="18" s="1"/>
  <c r="G186" i="18" a="1"/>
  <c r="G186" i="18" s="1"/>
  <c r="G226" i="18" a="1"/>
  <c r="G226" i="18" s="1"/>
  <c r="F226" i="18" a="1"/>
  <c r="F226" i="18" s="1"/>
  <c r="E379" i="18" a="1"/>
  <c r="E379" i="18" s="1"/>
  <c r="D379" i="18" a="1"/>
  <c r="D379" i="18" s="1"/>
  <c r="H379" i="18" a="1"/>
  <c r="H379" i="18" s="1"/>
  <c r="H351" i="18" a="1"/>
  <c r="H351" i="18" s="1"/>
  <c r="E351" i="18" a="1"/>
  <c r="E351" i="18" s="1"/>
  <c r="D351" i="18" a="1"/>
  <c r="D351" i="18" s="1"/>
  <c r="G391" i="18" a="1"/>
  <c r="G391" i="18" s="1"/>
  <c r="F391" i="18" a="1"/>
  <c r="F391" i="18" s="1"/>
  <c r="G415" i="18" a="1"/>
  <c r="G415" i="18" s="1"/>
  <c r="F415" i="18" a="1"/>
  <c r="F415" i="18" s="1"/>
  <c r="G401" i="18" a="1"/>
  <c r="G401" i="18" s="1"/>
  <c r="F401" i="18" a="1"/>
  <c r="F401" i="18" s="1"/>
  <c r="H248" i="18" a="1"/>
  <c r="H248" i="18" s="1"/>
  <c r="D248" i="18" a="1"/>
  <c r="D248" i="18" s="1"/>
  <c r="E248" i="18" a="1"/>
  <c r="E248" i="18" s="1"/>
  <c r="E268" i="18" a="1"/>
  <c r="E268" i="18" s="1"/>
  <c r="D268" i="18" a="1"/>
  <c r="D268" i="18" s="1"/>
  <c r="H268" i="18" a="1"/>
  <c r="H268" i="18" s="1"/>
  <c r="G233" i="18" a="1"/>
  <c r="G233" i="18" s="1"/>
  <c r="F233" i="18" a="1"/>
  <c r="F233" i="18" s="1"/>
  <c r="G253" i="18" a="1"/>
  <c r="G253" i="18" s="1"/>
  <c r="F253" i="18" a="1"/>
  <c r="F253" i="18" s="1"/>
  <c r="H339" i="18" a="1"/>
  <c r="H339" i="18" s="1"/>
  <c r="E339" i="18" a="1"/>
  <c r="E339" i="18" s="1"/>
  <c r="D339" i="18" a="1"/>
  <c r="D339" i="18" s="1"/>
  <c r="G288" i="18" a="1"/>
  <c r="G288" i="18" s="1"/>
  <c r="F288" i="18" a="1"/>
  <c r="F288" i="18" s="1"/>
  <c r="G386" i="18" a="1"/>
  <c r="G386" i="18" s="1"/>
  <c r="F386" i="18" a="1"/>
  <c r="F386" i="18" s="1"/>
  <c r="E378" i="18" a="1"/>
  <c r="E378" i="18" s="1"/>
  <c r="D378" i="18" a="1"/>
  <c r="D378" i="18" s="1"/>
  <c r="H378" i="18" a="1"/>
  <c r="H378" i="18" s="1"/>
  <c r="D270" i="18" a="1"/>
  <c r="D270" i="18" s="1"/>
  <c r="H270" i="18" a="1"/>
  <c r="H270" i="18" s="1"/>
  <c r="E270" i="18" a="1"/>
  <c r="E270" i="18" s="1"/>
  <c r="G307" i="18" a="1"/>
  <c r="G307" i="18" s="1"/>
  <c r="F307" i="18" a="1"/>
  <c r="F307" i="18" s="1"/>
  <c r="E407" i="18" a="1"/>
  <c r="E407" i="18" s="1"/>
  <c r="D407" i="18" a="1"/>
  <c r="D407" i="18" s="1"/>
  <c r="H407" i="18" a="1"/>
  <c r="H407" i="18" s="1"/>
  <c r="E345" i="18" a="1"/>
  <c r="E345" i="18" s="1"/>
  <c r="H345" i="18" a="1"/>
  <c r="H345" i="18" s="1"/>
  <c r="D345" i="18" a="1"/>
  <c r="D345" i="18" s="1"/>
  <c r="E380" i="18" a="1"/>
  <c r="E380" i="18" s="1"/>
  <c r="D380" i="18" a="1"/>
  <c r="D380" i="18" s="1"/>
  <c r="H380" i="18" a="1"/>
  <c r="H380" i="18" s="1"/>
  <c r="G405" i="18" a="1"/>
  <c r="G405" i="18" s="1"/>
  <c r="F405" i="18" a="1"/>
  <c r="F405" i="18" s="1"/>
  <c r="G428" i="18" a="1"/>
  <c r="G428" i="18" s="1"/>
  <c r="F428" i="18" a="1"/>
  <c r="F428" i="18" s="1"/>
  <c r="G100" i="18" a="1"/>
  <c r="G100" i="18" s="1"/>
  <c r="F100" i="18" a="1"/>
  <c r="F100" i="18" s="1"/>
  <c r="G28" i="18" a="1"/>
  <c r="G28" i="18" s="1"/>
  <c r="F28" i="18" a="1"/>
  <c r="F28" i="18" s="1"/>
  <c r="E71" i="18" a="1"/>
  <c r="E71" i="18" s="1"/>
  <c r="D71" i="18" a="1"/>
  <c r="D71" i="18" s="1"/>
  <c r="H71" i="18" a="1"/>
  <c r="H71" i="18" s="1"/>
  <c r="H112" i="18" a="1"/>
  <c r="H112" i="18" s="1"/>
  <c r="E112" i="18" a="1"/>
  <c r="E112" i="18" s="1"/>
  <c r="D112" i="18" a="1"/>
  <c r="D112" i="18" s="1"/>
  <c r="E62" i="18" a="1"/>
  <c r="E62" i="18" s="1"/>
  <c r="D62" i="18" a="1"/>
  <c r="D62" i="18" s="1"/>
  <c r="H62" i="18" a="1"/>
  <c r="H62" i="18" s="1"/>
  <c r="H16" i="18" a="1"/>
  <c r="H16" i="18" s="1"/>
  <c r="E16" i="18" a="1"/>
  <c r="E16" i="18" s="1"/>
  <c r="D16" i="18" a="1"/>
  <c r="D16" i="18" s="1"/>
  <c r="E353" i="18" a="1"/>
  <c r="E353" i="18" s="1"/>
  <c r="D353" i="18" a="1"/>
  <c r="D353" i="18" s="1"/>
  <c r="H353" i="18" a="1"/>
  <c r="H353" i="18" s="1"/>
  <c r="E122" i="18" a="1"/>
  <c r="E122" i="18" s="1"/>
  <c r="D122" i="18" a="1"/>
  <c r="D122" i="18" s="1"/>
  <c r="H122" i="18" a="1"/>
  <c r="H122" i="18" s="1"/>
  <c r="H126" i="18" a="1"/>
  <c r="H126" i="18" s="1"/>
  <c r="E126" i="18" a="1"/>
  <c r="E126" i="18" s="1"/>
  <c r="D126" i="18" a="1"/>
  <c r="D126" i="18" s="1"/>
  <c r="H191" i="18" a="1"/>
  <c r="H191" i="18" s="1"/>
  <c r="D191" i="18" a="1"/>
  <c r="D191" i="18" s="1"/>
  <c r="E191" i="18" a="1"/>
  <c r="E191" i="18" s="1"/>
  <c r="C3" i="21"/>
  <c r="B3" i="21"/>
  <c r="C3" i="20"/>
  <c r="B3" i="20"/>
  <c r="C3" i="19"/>
  <c r="B3" i="19"/>
  <c r="C3" i="18"/>
  <c r="B3" i="18"/>
  <c r="C3" i="17"/>
  <c r="B3" i="17"/>
  <c r="C15" i="11"/>
  <c r="C97" i="11"/>
  <c r="C54" i="11"/>
  <c r="B91" i="11"/>
  <c r="C50" i="11"/>
  <c r="C16" i="11"/>
  <c r="C58" i="11"/>
  <c r="C20" i="11"/>
  <c r="B9" i="11"/>
  <c r="B68" i="11"/>
  <c r="B79" i="11"/>
  <c r="B25" i="11"/>
  <c r="B67" i="11"/>
  <c r="B100" i="11"/>
  <c r="B12" i="11"/>
  <c r="C96" i="11"/>
  <c r="B28" i="11"/>
  <c r="B74" i="11"/>
  <c r="B17" i="11"/>
  <c r="C77" i="11"/>
  <c r="B76" i="11"/>
  <c r="B42" i="11"/>
  <c r="B44" i="11"/>
  <c r="C67" i="11"/>
  <c r="B58" i="11"/>
  <c r="C39" i="11"/>
  <c r="B87" i="11"/>
  <c r="C34" i="11"/>
  <c r="B30" i="11"/>
  <c r="B23" i="11"/>
  <c r="C42" i="11"/>
  <c r="B89" i="11"/>
  <c r="B21" i="11"/>
  <c r="C90" i="11"/>
  <c r="B24" i="11"/>
  <c r="C24" i="11"/>
  <c r="C69" i="11"/>
  <c r="C29" i="11"/>
  <c r="B70" i="11"/>
  <c r="C28" i="11"/>
  <c r="C13" i="11"/>
  <c r="C92" i="11"/>
  <c r="C40" i="11"/>
  <c r="C25" i="11"/>
  <c r="B35" i="11"/>
  <c r="B48" i="11"/>
  <c r="B55" i="11"/>
  <c r="C36" i="11"/>
  <c r="C82" i="11"/>
  <c r="B15" i="11"/>
  <c r="C63" i="11"/>
  <c r="B37" i="11"/>
  <c r="C37" i="11"/>
  <c r="C47" i="11"/>
  <c r="B98" i="11"/>
  <c r="C4" i="11"/>
  <c r="B66" i="11"/>
  <c r="B61" i="11"/>
  <c r="C19" i="11"/>
  <c r="B4" i="11"/>
  <c r="C83" i="11"/>
  <c r="C70" i="11"/>
  <c r="C55" i="11"/>
  <c r="C21" i="11"/>
  <c r="B40" i="11"/>
  <c r="C100" i="11"/>
  <c r="C49" i="11"/>
  <c r="B47" i="11"/>
  <c r="C53" i="11"/>
  <c r="B22" i="11"/>
  <c r="C84" i="11"/>
  <c r="B95" i="11"/>
  <c r="C5" i="11"/>
  <c r="C57" i="11"/>
  <c r="C35" i="11"/>
  <c r="B86" i="11"/>
  <c r="B38" i="11"/>
  <c r="C9" i="11"/>
  <c r="C60" i="11"/>
  <c r="B46" i="11"/>
  <c r="B16" i="11"/>
  <c r="B41" i="11"/>
  <c r="C95" i="11"/>
  <c r="C65" i="11"/>
  <c r="B94" i="11"/>
  <c r="A3" i="11"/>
  <c r="B83" i="11"/>
  <c r="B14" i="11"/>
  <c r="B10" i="11"/>
  <c r="B27" i="11"/>
  <c r="B80" i="11"/>
  <c r="B56" i="11"/>
  <c r="C30" i="11"/>
  <c r="B18" i="11"/>
  <c r="C74" i="11"/>
  <c r="C64" i="11"/>
  <c r="C78" i="11"/>
  <c r="B82" i="11"/>
  <c r="C41" i="11"/>
  <c r="C6" i="11"/>
  <c r="B33" i="11"/>
  <c r="C88" i="11"/>
  <c r="C45" i="11"/>
  <c r="B7" i="11"/>
  <c r="C44" i="11"/>
  <c r="C91" i="11"/>
  <c r="C71" i="11"/>
  <c r="C32" i="11"/>
  <c r="C51" i="11"/>
  <c r="C31" i="11"/>
  <c r="B8" i="11"/>
  <c r="B36" i="11"/>
  <c r="C76" i="11"/>
  <c r="C56" i="11"/>
  <c r="C86" i="11"/>
  <c r="C52" i="11"/>
  <c r="C46" i="11"/>
  <c r="B101" i="11"/>
  <c r="B20" i="11"/>
  <c r="C8" i="11"/>
  <c r="B73" i="11"/>
  <c r="C66" i="11"/>
  <c r="C22" i="11"/>
  <c r="C7" i="11"/>
  <c r="C87" i="11"/>
  <c r="C81" i="11"/>
  <c r="B54" i="11"/>
  <c r="B57" i="11"/>
  <c r="B43" i="11"/>
  <c r="B45" i="11"/>
  <c r="B62" i="11"/>
  <c r="B53" i="11"/>
  <c r="C59" i="11"/>
  <c r="C23" i="11"/>
  <c r="B96" i="11"/>
  <c r="B71" i="11"/>
  <c r="C75" i="11"/>
  <c r="C33" i="11"/>
  <c r="B65" i="11"/>
  <c r="B88" i="11"/>
  <c r="B26" i="11"/>
  <c r="C61" i="11"/>
  <c r="B39" i="11"/>
  <c r="B13" i="11"/>
  <c r="B72" i="11"/>
  <c r="B29" i="11"/>
  <c r="C79" i="11"/>
  <c r="B6" i="11"/>
  <c r="B52" i="11"/>
  <c r="B32" i="11"/>
  <c r="C17" i="11"/>
  <c r="B31" i="11"/>
  <c r="B90" i="11"/>
  <c r="C85" i="11"/>
  <c r="C99" i="11"/>
  <c r="B19" i="11"/>
  <c r="C38" i="11"/>
  <c r="B92" i="11"/>
  <c r="B99" i="11"/>
  <c r="B84" i="11"/>
  <c r="C93" i="11"/>
  <c r="C26" i="11"/>
  <c r="B63" i="11"/>
  <c r="B102" i="11"/>
  <c r="C68" i="11"/>
  <c r="C98" i="11"/>
  <c r="B51" i="11"/>
  <c r="C10" i="11"/>
  <c r="C72" i="11"/>
  <c r="B69" i="11"/>
  <c r="B11" i="11"/>
  <c r="B77" i="11"/>
  <c r="C14" i="11"/>
  <c r="B97" i="11"/>
  <c r="C43" i="11"/>
  <c r="C94" i="11"/>
  <c r="B93" i="11"/>
  <c r="C48" i="11"/>
  <c r="B81" i="11"/>
  <c r="C18" i="11"/>
  <c r="C102" i="11"/>
  <c r="C80" i="11"/>
  <c r="C27" i="11"/>
  <c r="C12" i="11"/>
  <c r="B75" i="11"/>
  <c r="C73" i="11"/>
  <c r="B50" i="11"/>
  <c r="C11" i="11"/>
  <c r="C89" i="11"/>
  <c r="B85" i="11"/>
  <c r="C62" i="11"/>
  <c r="B60" i="11"/>
  <c r="B49" i="11"/>
  <c r="B5" i="11"/>
  <c r="B78" i="11"/>
  <c r="B59" i="11"/>
  <c r="B64" i="11"/>
  <c r="B34" i="11"/>
  <c r="C3" i="11"/>
  <c r="B3" i="11"/>
  <c r="C3" i="9"/>
  <c r="B3" i="9"/>
  <c r="A3" i="7"/>
  <c r="C4" i="7"/>
  <c r="C16" i="7"/>
  <c r="C28" i="7"/>
  <c r="C40" i="7"/>
  <c r="C52" i="7"/>
  <c r="C64" i="7"/>
  <c r="B12" i="7"/>
  <c r="B24" i="7"/>
  <c r="B36" i="7"/>
  <c r="B48" i="7"/>
  <c r="B60" i="7"/>
  <c r="C17" i="7"/>
  <c r="C29" i="7"/>
  <c r="C41" i="7"/>
  <c r="C53" i="7"/>
  <c r="B13" i="7"/>
  <c r="B25" i="7"/>
  <c r="B37" i="7"/>
  <c r="B61" i="7"/>
  <c r="C8" i="7"/>
  <c r="C44" i="7"/>
  <c r="B4" i="7"/>
  <c r="B52" i="7"/>
  <c r="B7" i="7"/>
  <c r="C24" i="7"/>
  <c r="B56" i="7"/>
  <c r="C5" i="7"/>
  <c r="C65" i="7"/>
  <c r="B49" i="7"/>
  <c r="B40" i="7"/>
  <c r="C48" i="7"/>
  <c r="C6" i="7"/>
  <c r="C18" i="7"/>
  <c r="C30" i="7"/>
  <c r="C42" i="7"/>
  <c r="C54" i="7"/>
  <c r="C66" i="7"/>
  <c r="B14" i="7"/>
  <c r="B26" i="7"/>
  <c r="B38" i="7"/>
  <c r="B50" i="7"/>
  <c r="B62" i="7"/>
  <c r="C32" i="7"/>
  <c r="C56" i="7"/>
  <c r="B16" i="7"/>
  <c r="B64" i="7"/>
  <c r="B19" i="7"/>
  <c r="C36" i="7"/>
  <c r="C7" i="7"/>
  <c r="C19" i="7"/>
  <c r="C31" i="7"/>
  <c r="C43" i="7"/>
  <c r="C55" i="7"/>
  <c r="B15" i="7"/>
  <c r="B27" i="7"/>
  <c r="B39" i="7"/>
  <c r="B51" i="7"/>
  <c r="B63" i="7"/>
  <c r="C20" i="7"/>
  <c r="B28" i="7"/>
  <c r="C12" i="7"/>
  <c r="B44" i="7"/>
  <c r="C13" i="7"/>
  <c r="C9" i="7"/>
  <c r="C21" i="7"/>
  <c r="C33" i="7"/>
  <c r="C45" i="7"/>
  <c r="C57" i="7"/>
  <c r="B5" i="7"/>
  <c r="B17" i="7"/>
  <c r="B29" i="7"/>
  <c r="B41" i="7"/>
  <c r="B53" i="7"/>
  <c r="B65" i="7"/>
  <c r="C22" i="7"/>
  <c r="C34" i="7"/>
  <c r="C46" i="7"/>
  <c r="C58" i="7"/>
  <c r="B18" i="7"/>
  <c r="B30" i="7"/>
  <c r="B42" i="7"/>
  <c r="B66" i="7"/>
  <c r="B20" i="7"/>
  <c r="C10" i="7"/>
  <c r="B6" i="7"/>
  <c r="B54" i="7"/>
  <c r="C11" i="7"/>
  <c r="C35" i="7"/>
  <c r="C59" i="7"/>
  <c r="B31" i="7"/>
  <c r="B55" i="7"/>
  <c r="B8" i="7"/>
  <c r="C23" i="7"/>
  <c r="C47" i="7"/>
  <c r="B43" i="7"/>
  <c r="C60" i="7"/>
  <c r="B32" i="7"/>
  <c r="C50" i="7"/>
  <c r="B34" i="7"/>
  <c r="C51" i="7"/>
  <c r="B35" i="7"/>
  <c r="C61" i="7"/>
  <c r="B45" i="7"/>
  <c r="C14" i="7"/>
  <c r="C62" i="7"/>
  <c r="B46" i="7"/>
  <c r="C15" i="7"/>
  <c r="C63" i="7"/>
  <c r="B47" i="7"/>
  <c r="C25" i="7"/>
  <c r="B9" i="7"/>
  <c r="C26" i="7"/>
  <c r="B10" i="7"/>
  <c r="C37" i="7"/>
  <c r="B57" i="7"/>
  <c r="B11" i="7"/>
  <c r="C38" i="7"/>
  <c r="C39" i="7"/>
  <c r="B33" i="7"/>
  <c r="B58" i="7"/>
  <c r="C27" i="7"/>
  <c r="B59" i="7"/>
  <c r="B21" i="7"/>
  <c r="B22" i="7"/>
  <c r="B23" i="7"/>
  <c r="C49" i="7"/>
  <c r="H3" i="18" l="1" a="1"/>
  <c r="H3" i="18" s="1"/>
  <c r="E3" i="18" a="1"/>
  <c r="E3" i="18" s="1"/>
  <c r="D3" i="18" a="1"/>
  <c r="D3" i="18" s="1"/>
  <c r="G3" i="18" a="1"/>
  <c r="G3" i="18" s="1"/>
  <c r="F3" i="18" a="1"/>
  <c r="F3" i="18" s="1"/>
  <c r="G15" i="7" a="1"/>
  <c r="G15" i="7" s="1"/>
  <c r="F15" i="7" a="1"/>
  <c r="F15" i="7" s="1"/>
  <c r="F20" i="7" a="1"/>
  <c r="F20" i="7" s="1"/>
  <c r="G20" i="7" a="1"/>
  <c r="G20" i="7" s="1"/>
  <c r="F39" i="7" a="1"/>
  <c r="F39" i="7" s="1"/>
  <c r="G39" i="7" a="1"/>
  <c r="G39" i="7" s="1"/>
  <c r="G23" i="7" a="1"/>
  <c r="G23" i="7" s="1"/>
  <c r="F23" i="7" a="1"/>
  <c r="F23" i="7" s="1"/>
  <c r="F42" i="7" a="1"/>
  <c r="F42" i="7" s="1"/>
  <c r="G42" i="7" a="1"/>
  <c r="G42" i="7" s="1"/>
  <c r="F47" i="7" a="1"/>
  <c r="F47" i="7" s="1"/>
  <c r="G47" i="7" a="1"/>
  <c r="G47" i="7" s="1"/>
  <c r="F30" i="7" a="1"/>
  <c r="F30" i="7" s="1"/>
  <c r="G30" i="7" a="1"/>
  <c r="G30" i="7" s="1"/>
  <c r="F38" i="7" a="1"/>
  <c r="F38" i="7" s="1"/>
  <c r="G38" i="7" a="1"/>
  <c r="G38" i="7" s="1"/>
  <c r="G44" i="7" a="1"/>
  <c r="G44" i="7" s="1"/>
  <c r="F44" i="7" a="1"/>
  <c r="F44" i="7" s="1"/>
  <c r="F57" i="7" a="1"/>
  <c r="F57" i="7" s="1"/>
  <c r="G57" i="7" a="1"/>
  <c r="G57" i="7" s="1"/>
  <c r="G48" i="7" a="1"/>
  <c r="G48" i="7" s="1"/>
  <c r="F48" i="7" a="1"/>
  <c r="F48" i="7" s="1"/>
  <c r="F37" i="7" a="1"/>
  <c r="F37" i="7" s="1"/>
  <c r="G37" i="7" a="1"/>
  <c r="G37" i="7" s="1"/>
  <c r="F33" i="7" a="1"/>
  <c r="F33" i="7" s="1"/>
  <c r="G33" i="7" a="1"/>
  <c r="G33" i="7" s="1"/>
  <c r="G21" i="7" a="1"/>
  <c r="G21" i="7" s="1"/>
  <c r="F21" i="7" a="1"/>
  <c r="F21" i="7" s="1"/>
  <c r="F26" i="7" a="1"/>
  <c r="F26" i="7" s="1"/>
  <c r="G26" i="7" a="1"/>
  <c r="G26" i="7" s="1"/>
  <c r="G9" i="7" a="1"/>
  <c r="G9" i="7" s="1"/>
  <c r="F9" i="7" a="1"/>
  <c r="F9" i="7" s="1"/>
  <c r="G11" i="7" a="1"/>
  <c r="G11" i="7" s="1"/>
  <c r="F11" i="7" a="1"/>
  <c r="F11" i="7" s="1"/>
  <c r="G5" i="7" a="1"/>
  <c r="G5" i="7" s="1"/>
  <c r="F5" i="7" a="1"/>
  <c r="F5" i="7" s="1"/>
  <c r="F19" i="7" a="1"/>
  <c r="F19" i="7" s="1"/>
  <c r="G19" i="7" a="1"/>
  <c r="G19" i="7" s="1"/>
  <c r="F41" i="7" a="1"/>
  <c r="F41" i="7" s="1"/>
  <c r="G41" i="7" a="1"/>
  <c r="G41" i="7" s="1"/>
  <c r="G16" i="7" a="1"/>
  <c r="G16" i="7" s="1"/>
  <c r="F16" i="7" a="1"/>
  <c r="F16" i="7" s="1"/>
  <c r="G14" i="7" a="1"/>
  <c r="G14" i="7" s="1"/>
  <c r="F14" i="7" a="1"/>
  <c r="F14" i="7" s="1"/>
  <c r="G6" i="7" a="1"/>
  <c r="G6" i="7" s="1"/>
  <c r="F6" i="7" a="1"/>
  <c r="F6" i="7" s="1"/>
  <c r="G45" i="7" a="1"/>
  <c r="G45" i="7" s="1"/>
  <c r="F45" i="7" a="1"/>
  <c r="F45" i="7" s="1"/>
  <c r="F64" i="7" a="1"/>
  <c r="F64" i="7" s="1"/>
  <c r="G64" i="7" a="1"/>
  <c r="G64" i="7" s="1"/>
  <c r="G46" i="7" a="1"/>
  <c r="G46" i="7" s="1"/>
  <c r="F46" i="7" a="1"/>
  <c r="F46" i="7" s="1"/>
  <c r="G52" i="7" a="1"/>
  <c r="G52" i="7" s="1"/>
  <c r="F52" i="7" a="1"/>
  <c r="F52" i="7" s="1"/>
  <c r="F51" i="7" a="1"/>
  <c r="F51" i="7" s="1"/>
  <c r="G51" i="7" a="1"/>
  <c r="G51" i="7" s="1"/>
  <c r="G34" i="7" a="1"/>
  <c r="G34" i="7" s="1"/>
  <c r="F34" i="7" a="1"/>
  <c r="F34" i="7" s="1"/>
  <c r="F65" i="7" a="1"/>
  <c r="F65" i="7" s="1"/>
  <c r="G65" i="7" a="1"/>
  <c r="G65" i="7" s="1"/>
  <c r="F13" i="7" a="1"/>
  <c r="F13" i="7" s="1"/>
  <c r="G13" i="7" a="1"/>
  <c r="G13" i="7" s="1"/>
  <c r="G53" i="7" a="1"/>
  <c r="G53" i="7" s="1"/>
  <c r="F53" i="7" a="1"/>
  <c r="F53" i="7" s="1"/>
  <c r="F25" i="7" a="1"/>
  <c r="F25" i="7" s="1"/>
  <c r="G25" i="7" a="1"/>
  <c r="G25" i="7" s="1"/>
  <c r="G27" i="7" a="1"/>
  <c r="G27" i="7" s="1"/>
  <c r="F27" i="7" a="1"/>
  <c r="F27" i="7" s="1"/>
  <c r="G12" i="7" a="1"/>
  <c r="G12" i="7" s="1"/>
  <c r="F12" i="7" a="1"/>
  <c r="F12" i="7" s="1"/>
  <c r="F7" i="7" a="1"/>
  <c r="F7" i="7" s="1"/>
  <c r="G7" i="7" a="1"/>
  <c r="G7" i="7" s="1"/>
  <c r="F66" i="7" a="1"/>
  <c r="F66" i="7" s="1"/>
  <c r="G66" i="7" a="1"/>
  <c r="G66" i="7" s="1"/>
  <c r="F24" i="7" a="1"/>
  <c r="F24" i="7" s="1"/>
  <c r="G24" i="7" a="1"/>
  <c r="G24" i="7" s="1"/>
  <c r="G29" i="7" a="1"/>
  <c r="G29" i="7" s="1"/>
  <c r="F29" i="7" a="1"/>
  <c r="F29" i="7" s="1"/>
  <c r="G4" i="7" a="1"/>
  <c r="G4" i="7" s="1"/>
  <c r="F4" i="7" a="1"/>
  <c r="F4" i="7" s="1"/>
  <c r="F62" i="7" a="1"/>
  <c r="F62" i="7" s="1"/>
  <c r="G62" i="7" a="1"/>
  <c r="G62" i="7" s="1"/>
  <c r="F18" i="7" a="1"/>
  <c r="F18" i="7" s="1"/>
  <c r="G18" i="7" a="1"/>
  <c r="G18" i="7" s="1"/>
  <c r="G56" i="7" a="1"/>
  <c r="G56" i="7" s="1"/>
  <c r="F56" i="7" a="1"/>
  <c r="F56" i="7" s="1"/>
  <c r="F8" i="7" a="1"/>
  <c r="F8" i="7" s="1"/>
  <c r="G8" i="7" a="1"/>
  <c r="G8" i="7" s="1"/>
  <c r="F32" i="7" a="1"/>
  <c r="F32" i="7" s="1"/>
  <c r="G32" i="7" a="1"/>
  <c r="G32" i="7" s="1"/>
  <c r="F49" i="7" a="1"/>
  <c r="F49" i="7" s="1"/>
  <c r="G49" i="7" a="1"/>
  <c r="G49" i="7" s="1"/>
  <c r="G61" i="7" a="1"/>
  <c r="G61" i="7" s="1"/>
  <c r="F61" i="7" a="1"/>
  <c r="F61" i="7" s="1"/>
  <c r="G58" i="7" a="1"/>
  <c r="G58" i="7" s="1"/>
  <c r="F58" i="7" a="1"/>
  <c r="F58" i="7" s="1"/>
  <c r="G59" i="7" a="1"/>
  <c r="G59" i="7" s="1"/>
  <c r="F59" i="7" a="1"/>
  <c r="F59" i="7" s="1"/>
  <c r="F55" i="7" a="1"/>
  <c r="F55" i="7" s="1"/>
  <c r="G55" i="7" a="1"/>
  <c r="G55" i="7" s="1"/>
  <c r="G35" i="7" a="1"/>
  <c r="G35" i="7" s="1"/>
  <c r="F35" i="7" a="1"/>
  <c r="F35" i="7" s="1"/>
  <c r="F43" i="7" a="1"/>
  <c r="F43" i="7" s="1"/>
  <c r="G43" i="7" a="1"/>
  <c r="G43" i="7" s="1"/>
  <c r="G40" i="7" a="1"/>
  <c r="G40" i="7" s="1"/>
  <c r="F40" i="7" a="1"/>
  <c r="F40" i="7" s="1"/>
  <c r="F22" i="7" a="1"/>
  <c r="F22" i="7" s="1"/>
  <c r="G22" i="7" a="1"/>
  <c r="G22" i="7" s="1"/>
  <c r="F31" i="7" a="1"/>
  <c r="F31" i="7" s="1"/>
  <c r="G31" i="7" a="1"/>
  <c r="G31" i="7" s="1"/>
  <c r="G28" i="7" a="1"/>
  <c r="G28" i="7" s="1"/>
  <c r="F28" i="7" a="1"/>
  <c r="F28" i="7" s="1"/>
  <c r="G50" i="7" a="1"/>
  <c r="G50" i="7" s="1"/>
  <c r="F50" i="7" a="1"/>
  <c r="F50" i="7" s="1"/>
  <c r="G63" i="7" a="1"/>
  <c r="G63" i="7" s="1"/>
  <c r="F63" i="7" a="1"/>
  <c r="F63" i="7" s="1"/>
  <c r="G60" i="7" a="1"/>
  <c r="G60" i="7" s="1"/>
  <c r="F60" i="7" a="1"/>
  <c r="F60" i="7" s="1"/>
  <c r="G10" i="7" a="1"/>
  <c r="G10" i="7" s="1"/>
  <c r="F10" i="7" a="1"/>
  <c r="F10" i="7" s="1"/>
  <c r="G36" i="7" a="1"/>
  <c r="G36" i="7" s="1"/>
  <c r="F36" i="7" a="1"/>
  <c r="F36" i="7" s="1"/>
  <c r="F54" i="7" a="1"/>
  <c r="F54" i="7" s="1"/>
  <c r="G54" i="7" a="1"/>
  <c r="G54" i="7" s="1"/>
  <c r="G17" i="7" a="1"/>
  <c r="G17" i="7" s="1"/>
  <c r="F17" i="7" a="1"/>
  <c r="F17" i="7" s="1"/>
  <c r="E19" i="7" a="1"/>
  <c r="E19" i="7" s="1"/>
  <c r="D19" i="7" a="1"/>
  <c r="D19" i="7" s="1"/>
  <c r="D36" i="7" a="1"/>
  <c r="D36" i="7" s="1"/>
  <c r="E36" i="7" a="1"/>
  <c r="E36" i="7" s="1"/>
  <c r="E33" i="7" a="1"/>
  <c r="E33" i="7" s="1"/>
  <c r="D33" i="7" a="1"/>
  <c r="D33" i="7" s="1"/>
  <c r="E60" i="7" a="1"/>
  <c r="E60" i="7" s="1"/>
  <c r="D60" i="7" a="1"/>
  <c r="D60" i="7" s="1"/>
  <c r="E63" i="7" a="1"/>
  <c r="E63" i="7" s="1"/>
  <c r="D63" i="7" a="1"/>
  <c r="D63" i="7" s="1"/>
  <c r="E24" i="7" a="1"/>
  <c r="E24" i="7" s="1"/>
  <c r="D24" i="7" a="1"/>
  <c r="D24" i="7" s="1"/>
  <c r="D5" i="7" a="1"/>
  <c r="D5" i="7" s="1"/>
  <c r="E5" i="7" a="1"/>
  <c r="E5" i="7" s="1"/>
  <c r="E4" i="7" a="1"/>
  <c r="E4" i="7" s="1"/>
  <c r="D4" i="7" a="1"/>
  <c r="D4" i="7" s="1"/>
  <c r="D51" i="7" a="1"/>
  <c r="D51" i="7" s="1"/>
  <c r="E51" i="7" a="1"/>
  <c r="E51" i="7" s="1"/>
  <c r="E8" i="7" a="1"/>
  <c r="E8" i="7" s="1"/>
  <c r="D8" i="7" a="1"/>
  <c r="D8" i="7" s="1"/>
  <c r="E18" i="7" a="1"/>
  <c r="E18" i="7" s="1"/>
  <c r="D18" i="7" a="1"/>
  <c r="D18" i="7" s="1"/>
  <c r="E38" i="7" a="1"/>
  <c r="E38" i="7" s="1"/>
  <c r="D38" i="7" a="1"/>
  <c r="D38" i="7" s="1"/>
  <c r="E43" i="7" a="1"/>
  <c r="E43" i="7" s="1"/>
  <c r="D43" i="7" a="1"/>
  <c r="D43" i="7" s="1"/>
  <c r="D29" i="7" a="1"/>
  <c r="D29" i="7" s="1"/>
  <c r="E29" i="7" a="1"/>
  <c r="E29" i="7" s="1"/>
  <c r="D46" i="7" a="1"/>
  <c r="D46" i="7" s="1"/>
  <c r="E46" i="7" a="1"/>
  <c r="E46" i="7" s="1"/>
  <c r="E48" i="7" a="1"/>
  <c r="E48" i="7" s="1"/>
  <c r="D48" i="7" a="1"/>
  <c r="D48" i="7" s="1"/>
  <c r="E16" i="7" a="1"/>
  <c r="E16" i="7" s="1"/>
  <c r="D16" i="7" a="1"/>
  <c r="D16" i="7" s="1"/>
  <c r="E11" i="7" a="1"/>
  <c r="E11" i="7" s="1"/>
  <c r="D11" i="7" a="1"/>
  <c r="D11" i="7" s="1"/>
  <c r="E45" i="7" a="1"/>
  <c r="E45" i="7" s="1"/>
  <c r="D45" i="7" a="1"/>
  <c r="D45" i="7" s="1"/>
  <c r="D27" i="7" a="1"/>
  <c r="D27" i="7" s="1"/>
  <c r="E27" i="7" a="1"/>
  <c r="E27" i="7" s="1"/>
  <c r="E61" i="7" a="1"/>
  <c r="E61" i="7" s="1"/>
  <c r="D61" i="7" a="1"/>
  <c r="D61" i="7" s="1"/>
  <c r="E40" i="7" a="1"/>
  <c r="E40" i="7" s="1"/>
  <c r="D40" i="7" a="1"/>
  <c r="D40" i="7" s="1"/>
  <c r="D10" i="7" a="1"/>
  <c r="D10" i="7" s="1"/>
  <c r="E10" i="7" a="1"/>
  <c r="E10" i="7" s="1"/>
  <c r="E49" i="7" a="1"/>
  <c r="E49" i="7" s="1"/>
  <c r="D49" i="7" a="1"/>
  <c r="D49" i="7" s="1"/>
  <c r="E52" i="7" a="1"/>
  <c r="E52" i="7" s="1"/>
  <c r="D52" i="7" a="1"/>
  <c r="D52" i="7" s="1"/>
  <c r="E66" i="7" a="1"/>
  <c r="E66" i="7" s="1"/>
  <c r="D66" i="7" a="1"/>
  <c r="D66" i="7" s="1"/>
  <c r="E30" i="7" a="1"/>
  <c r="E30" i="7" s="1"/>
  <c r="D30" i="7" a="1"/>
  <c r="D30" i="7" s="1"/>
  <c r="E55" i="7" a="1"/>
  <c r="E55" i="7" s="1"/>
  <c r="D55" i="7" a="1"/>
  <c r="D55" i="7" s="1"/>
  <c r="D12" i="7" a="1"/>
  <c r="D12" i="7" s="1"/>
  <c r="E12" i="7" a="1"/>
  <c r="E12" i="7" s="1"/>
  <c r="E62" i="7" a="1"/>
  <c r="E62" i="7" s="1"/>
  <c r="D62" i="7" a="1"/>
  <c r="D62" i="7" s="1"/>
  <c r="D37" i="7" a="1"/>
  <c r="D37" i="7" s="1"/>
  <c r="E37" i="7" a="1"/>
  <c r="E37" i="7" s="1"/>
  <c r="E23" i="7" a="1"/>
  <c r="E23" i="7" s="1"/>
  <c r="D23" i="7" a="1"/>
  <c r="D23" i="7" s="1"/>
  <c r="E50" i="7" a="1"/>
  <c r="E50" i="7" s="1"/>
  <c r="D50" i="7" a="1"/>
  <c r="D50" i="7" s="1"/>
  <c r="E25" i="7" a="1"/>
  <c r="E25" i="7" s="1"/>
  <c r="D25" i="7" a="1"/>
  <c r="D25" i="7" s="1"/>
  <c r="D22" i="7" a="1"/>
  <c r="D22" i="7" s="1"/>
  <c r="E22" i="7" a="1"/>
  <c r="E22" i="7" s="1"/>
  <c r="E13" i="7" a="1"/>
  <c r="E13" i="7" s="1"/>
  <c r="D13" i="7" a="1"/>
  <c r="D13" i="7" s="1"/>
  <c r="E21" i="7" a="1"/>
  <c r="E21" i="7" s="1"/>
  <c r="D21" i="7" a="1"/>
  <c r="D21" i="7" s="1"/>
  <c r="E20" i="7" a="1"/>
  <c r="E20" i="7" s="1"/>
  <c r="D20" i="7" a="1"/>
  <c r="D20" i="7" s="1"/>
  <c r="E17" i="7" a="1"/>
  <c r="E17" i="7" s="1"/>
  <c r="D17" i="7" a="1"/>
  <c r="D17" i="7" s="1"/>
  <c r="E64" i="7" a="1"/>
  <c r="E64" i="7" s="1"/>
  <c r="D64" i="7" a="1"/>
  <c r="D64" i="7" s="1"/>
  <c r="E42" i="7" a="1"/>
  <c r="E42" i="7" s="1"/>
  <c r="D42" i="7" a="1"/>
  <c r="D42" i="7" s="1"/>
  <c r="E39" i="7" a="1"/>
  <c r="E39" i="7" s="1"/>
  <c r="D39" i="7" a="1"/>
  <c r="D39" i="7" s="1"/>
  <c r="E57" i="7" a="1"/>
  <c r="E57" i="7" s="1"/>
  <c r="D57" i="7" a="1"/>
  <c r="D57" i="7" s="1"/>
  <c r="E31" i="7" a="1"/>
  <c r="E31" i="7" s="1"/>
  <c r="D31" i="7" a="1"/>
  <c r="D31" i="7" s="1"/>
  <c r="D15" i="7" a="1"/>
  <c r="D15" i="7" s="1"/>
  <c r="E15" i="7" a="1"/>
  <c r="E15" i="7" s="1"/>
  <c r="E35" i="7" a="1"/>
  <c r="E35" i="7" s="1"/>
  <c r="D35" i="7" a="1"/>
  <c r="D35" i="7" s="1"/>
  <c r="E9" i="7" a="1"/>
  <c r="E9" i="7" s="1"/>
  <c r="D9" i="7" a="1"/>
  <c r="D9" i="7" s="1"/>
  <c r="E34" i="7" a="1"/>
  <c r="E34" i="7" s="1"/>
  <c r="D34" i="7" a="1"/>
  <c r="D34" i="7" s="1"/>
  <c r="E26" i="7" a="1"/>
  <c r="E26" i="7" s="1"/>
  <c r="D26" i="7" a="1"/>
  <c r="D26" i="7" s="1"/>
  <c r="E59" i="7" a="1"/>
  <c r="E59" i="7" s="1"/>
  <c r="D59" i="7" a="1"/>
  <c r="D59" i="7" s="1"/>
  <c r="E54" i="7" a="1"/>
  <c r="E54" i="7" s="1"/>
  <c r="D54" i="7" a="1"/>
  <c r="D54" i="7" s="1"/>
  <c r="D65" i="7" a="1"/>
  <c r="D65" i="7" s="1"/>
  <c r="E65" i="7" a="1"/>
  <c r="E65" i="7" s="1"/>
  <c r="E44" i="7" a="1"/>
  <c r="E44" i="7" s="1"/>
  <c r="D44" i="7" a="1"/>
  <c r="D44" i="7" s="1"/>
  <c r="E14" i="7" a="1"/>
  <c r="E14" i="7" s="1"/>
  <c r="D14" i="7" a="1"/>
  <c r="D14" i="7" s="1"/>
  <c r="E56" i="7" a="1"/>
  <c r="E56" i="7" s="1"/>
  <c r="D56" i="7" a="1"/>
  <c r="D56" i="7" s="1"/>
  <c r="E47" i="7" a="1"/>
  <c r="E47" i="7" s="1"/>
  <c r="D47" i="7" a="1"/>
  <c r="D47" i="7" s="1"/>
  <c r="E32" i="7" a="1"/>
  <c r="E32" i="7" s="1"/>
  <c r="D32" i="7" a="1"/>
  <c r="D32" i="7" s="1"/>
  <c r="E6" i="7" a="1"/>
  <c r="E6" i="7" s="1"/>
  <c r="D6" i="7" a="1"/>
  <c r="D6" i="7" s="1"/>
  <c r="D53" i="7" a="1"/>
  <c r="D53" i="7" s="1"/>
  <c r="E53" i="7" a="1"/>
  <c r="E53" i="7" s="1"/>
  <c r="D58" i="7" a="1"/>
  <c r="D58" i="7" s="1"/>
  <c r="E58" i="7" a="1"/>
  <c r="E58" i="7" s="1"/>
  <c r="D41" i="7" a="1"/>
  <c r="D41" i="7" s="1"/>
  <c r="E41" i="7" a="1"/>
  <c r="E41" i="7" s="1"/>
  <c r="E28" i="7" a="1"/>
  <c r="E28" i="7" s="1"/>
  <c r="D28" i="7" a="1"/>
  <c r="D28" i="7" s="1"/>
  <c r="E7" i="7" a="1"/>
  <c r="E7" i="7" s="1"/>
  <c r="D7" i="7" a="1"/>
  <c r="D7" i="7" s="1"/>
  <c r="C3" i="7"/>
  <c r="B3" i="7"/>
  <c r="G3" i="7" l="1" a="1"/>
  <c r="G3" i="7" s="1"/>
  <c r="F3" i="7" a="1"/>
  <c r="F3" i="7" s="1"/>
  <c r="D3" i="7" a="1"/>
  <c r="D3" i="7" s="1"/>
  <c r="E3" i="7" a="1"/>
  <c r="E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<sst xmlns="http://schemas.openxmlformats.org/spreadsheetml/2006/main" count="1242" uniqueCount="265">
  <si>
    <t>Descrição                </t>
  </si>
  <si>
    <t>Linha</t>
  </si>
  <si>
    <t>Agua Sanitaria Aquafast Cx/12 X 1l</t>
  </si>
  <si>
    <t>Ln 01</t>
  </si>
  <si>
    <t>Agua Sanitaria Aquafast Cx/06 X 2l</t>
  </si>
  <si>
    <t>Agua Sanitaria Aquafast Cx/04 X 5l</t>
  </si>
  <si>
    <t>Ln 02</t>
  </si>
  <si>
    <t>Agua Sanitaria Verde Ito Cx/04 X 5l</t>
  </si>
  <si>
    <t>Agua Sanitaria Verde Ito Cx/12 X 1l</t>
  </si>
  <si>
    <t>Agua Sanitaria Verde Ito Cx/06 X 2l</t>
  </si>
  <si>
    <t>Agua Sanitaria Myata Cx/12 X 1l</t>
  </si>
  <si>
    <t>Agua Sanitaria Myata Cx/06 X 2l</t>
  </si>
  <si>
    <t>Detergente Aquafast Maca Cx/24 X 500ml</t>
  </si>
  <si>
    <t>Ln 04</t>
  </si>
  <si>
    <t>Detergente Aquafast Limao Cx/24 X 500ml</t>
  </si>
  <si>
    <t>Detergente Aquafast Neutro Cx/24 X 500ml</t>
  </si>
  <si>
    <t>Detergente Aquafast Clear Cx/24 X 500ml (Natural)</t>
  </si>
  <si>
    <t>Detergente Aquafast Limao Cx/04 X 5l (Emb Econ)</t>
  </si>
  <si>
    <t>Ln 05</t>
  </si>
  <si>
    <t>Detergente Aquafast Neutro Cx/04 X 5l (Emb Econ)</t>
  </si>
  <si>
    <t>Detergente Aquafast Clear Cx/04 X 5l (Emb Econ)</t>
  </si>
  <si>
    <t>Detergente Aquafast Maca Cx/12 X 1l</t>
  </si>
  <si>
    <t>Detergente Aquafast Limao Cx/12 X 1l</t>
  </si>
  <si>
    <t>Detergente Aquafast Neutro Cx/12 X 1l</t>
  </si>
  <si>
    <t>Detergente Aquafast Clear Cx/12 X 1l (Natural)</t>
  </si>
  <si>
    <t>Detergente Ito Maca Cx/24 X 500ml</t>
  </si>
  <si>
    <t>Detergente Ito Limao Cx/24 X 500ml</t>
  </si>
  <si>
    <t>Detergente Ito Neutro Cx/24 X 500ml</t>
  </si>
  <si>
    <t>Detergente Ito Clear Cx/24 X 500ml</t>
  </si>
  <si>
    <t>Detergente Ito Neutro Cx/04 X 5l</t>
  </si>
  <si>
    <t>Detergente Myata Maca Cx/24 X 500ml</t>
  </si>
  <si>
    <t>Detergente Myata Limao Cx/24 X 500ml</t>
  </si>
  <si>
    <t>Detergente Myata Neutro Cx/24 X 500ml</t>
  </si>
  <si>
    <t>Detergente Aquafast Coco Cx/24 X 500ml</t>
  </si>
  <si>
    <t>Detergente Ito Clear Cx/04 X 5l</t>
  </si>
  <si>
    <t>Amaciante Aquafast Azul Fresc. Manha Cx/06 X 2l</t>
  </si>
  <si>
    <t>Ln 03</t>
  </si>
  <si>
    <t>Amaciante Aquafast Rosa Jard. Florid Cx/06 X 2l</t>
  </si>
  <si>
    <t>Amaciante Aquafast Branco Pura Caric. Cx/06 X 2l</t>
  </si>
  <si>
    <t>Amaciante Ito Azul Cx/06 X 2l</t>
  </si>
  <si>
    <t>Amaciante Ito Rosa Cx/06 X 2l</t>
  </si>
  <si>
    <t>Amaciante Ito Branco Cx/06 X 2l</t>
  </si>
  <si>
    <t>Amaciante Ito Azul Cx/04 X 5l</t>
  </si>
  <si>
    <t>Amaciante Myata Azul Cx/06 X 2l</t>
  </si>
  <si>
    <t>Amaciante Myata Rosa Cx/06 X 2l</t>
  </si>
  <si>
    <t>Amaciante Aquafast Azul Cx C/04 X 5l (Fresc Manh) Emb. Econ</t>
  </si>
  <si>
    <t>Amaciante Aquafast Rosa Cx C/04 X 5l (Jard Flor) Emb. Econ</t>
  </si>
  <si>
    <t>Amaciante Aquafast Vermelho Seducao Cx C/06 X 2l</t>
  </si>
  <si>
    <t>Amaciante Aquafast Vermelho Cx/04 X 5l (Seducao) Emb. Econ</t>
  </si>
  <si>
    <t>Amaciante Aquafast Roxo Magia Cx/06 X 2l</t>
  </si>
  <si>
    <t>Amaciante Aquafast Roxo Cx/04 X 5l (Magia) Emb. Econ</t>
  </si>
  <si>
    <t>Amaciante Aquafast Energia Cx/06 X 2l</t>
  </si>
  <si>
    <t>Amaciante Aquafast Energia Cx/04 X 5l Emb. Econ</t>
  </si>
  <si>
    <t>Desinfetante Aquafast Campos Lavanda Cx/12 X 500ml</t>
  </si>
  <si>
    <t>Desinfetante Aquafast Campos Lavanda Cx/06 X 2l</t>
  </si>
  <si>
    <t>Desinfetante Aquafast Jardim Florido Cx/06 X 2l</t>
  </si>
  <si>
    <t>Desinfetante Aquafast Marine Cx/06 X 2l</t>
  </si>
  <si>
    <t>Desinfetante Ito Lavanda Cx/12 X 500ml</t>
  </si>
  <si>
    <t>Desinfetante Ito Lavanda Cx/06 X 2l</t>
  </si>
  <si>
    <t>Desinfetante Ito Floral Cx/06 X 2l</t>
  </si>
  <si>
    <t>Desinfetante Ito Eucalipto Cx/06 X 2l</t>
  </si>
  <si>
    <t>Desinfetante Myata Lavanda Cx/06 X 2l</t>
  </si>
  <si>
    <t>Desinfetante Myata Floral Cx/06 X 2l</t>
  </si>
  <si>
    <t>Desinfetante Aquafast Campos Lavanda Cx/04 5l Emb. Econ</t>
  </si>
  <si>
    <t>Desinfetante Aquafast Marine Cx/04 X 5l Emb. Economica</t>
  </si>
  <si>
    <t>Desinfetante Aquafast Paixao Cx/06 X 2l</t>
  </si>
  <si>
    <t>Desinfetante Aquafast Paixao Cx/04 X 5l Emb. Economica</t>
  </si>
  <si>
    <t>Desinfetante Aquafast Harmonia Natural Cx/06 X 2l</t>
  </si>
  <si>
    <t>Desinfetante Aquafast Paixao Cx/12 X 500ml</t>
  </si>
  <si>
    <t>Desinfetante Ito Harmonia Natural Cx/06 X 2l</t>
  </si>
  <si>
    <t>Desinfetante Myata Harmonia Natural Cx/06 X 2l</t>
  </si>
  <si>
    <t>Desinfetante Ito Marine Cx/06 X 2l</t>
  </si>
  <si>
    <t>Desinfetante Ito Lavanda Cx/04 X 5l</t>
  </si>
  <si>
    <t>Desinfetante Ito Marine Cx/04 X 5l</t>
  </si>
  <si>
    <t>Desinfetante Aquafast Harmonia Natural Cx/12 X 500ml</t>
  </si>
  <si>
    <t>Desinfetante Aquafast Campos Lavanda Cx/12 X 1l</t>
  </si>
  <si>
    <t>Desinfetante Aquafast Marine Cx/12 X 1l</t>
  </si>
  <si>
    <t>Desinfetante Aquafast Paixao Cx/12 X 1l</t>
  </si>
  <si>
    <t>Desinfetante Aquafast Harmonia Natural Cx/12 X 1l</t>
  </si>
  <si>
    <t>Desinfetante Ito Harmonia Natural Cx/12 X 500ml</t>
  </si>
  <si>
    <t>Intermed Pack Desinfetante Paixao Cx/12 X 1l</t>
  </si>
  <si>
    <t>Intermed Pack Desinfetante Campos Lavanda Cx/12 X 1l</t>
  </si>
  <si>
    <t>Intermed Pack Desinfetante Marine Cx/12 X 1l</t>
  </si>
  <si>
    <t>Limp Perf Aquafast Magia Seducao Cx/12 X 500ml</t>
  </si>
  <si>
    <t>Ln 06</t>
  </si>
  <si>
    <t>Limp Perf Aquafast Magia Seducao Cx/06 X 2l (Promoc)</t>
  </si>
  <si>
    <t>Limp Perf Aquafast Frescor Da Manha Cx/06 X 2l (Promoc)</t>
  </si>
  <si>
    <t>Limp Perf Aquafast Magia Da Infancia Cx/12 X 500ml</t>
  </si>
  <si>
    <t>Limp Perf Aquafast Frescor Da Manha Cx/12 X 500ml</t>
  </si>
  <si>
    <t>Limp Perf Aquafast Doce Romance Cx/12 X 500ml</t>
  </si>
  <si>
    <t>Limp Perf Aquafast Doce Romance Cx/06 X 2l (Promoc)</t>
  </si>
  <si>
    <t>Limp Perf Aquafast Essencia Natural Cx/12 X 1l</t>
  </si>
  <si>
    <t>Limp Perf Aquafast Essencia Natural Cx06 X 2l</t>
  </si>
  <si>
    <t>Limpa Vidros Aquafast Pulverizador Cx/12 X 500ml</t>
  </si>
  <si>
    <t>Limpa Vidros Aquafast Recarga Cx/12 X 500ml</t>
  </si>
  <si>
    <t>Limpa Vidros Ito Pulverizador Cx/12 X 500ml</t>
  </si>
  <si>
    <t>Limpa Vidros Ito Recarga Cx/12 X 500ml</t>
  </si>
  <si>
    <t>Limpa Vidros Aquafast Squeeze Cx/12 X 500ml</t>
  </si>
  <si>
    <t>Desengordurante Aquafast Pulverizador Cx/12 X 500ml</t>
  </si>
  <si>
    <t>Desengordurante Aquafast Recarga Cx/12 X 500ml</t>
  </si>
  <si>
    <t>Desengordurante Aquafast Squeeze Cx C/12 X 500ml</t>
  </si>
  <si>
    <t>Desengordurante Aquafast Squeeze Cx C/12 X 1l</t>
  </si>
  <si>
    <t>Intermed Pack Desengord Squeeze Cx C/18 X 500ml</t>
  </si>
  <si>
    <t>Intermed Pack Multi Uso Lavand C/Alcool Cx/18 X 500ml</t>
  </si>
  <si>
    <t>Amac. Conc. Aquafast Azul Harmonia Cx/12 X 500ml</t>
  </si>
  <si>
    <t>Amac. Conc. Aquafast Vermelho Seducao Cx/12 X 500ml</t>
  </si>
  <si>
    <t>Amac. Conc. Aquafast Azul Harmonia Cx/ 12 X 1l</t>
  </si>
  <si>
    <t>Amac. Conc. Aquafast Rosa Romance Cx/ 12 X 1l</t>
  </si>
  <si>
    <t>Amac. Conc. Aquafast Vermelho Seducao Cx/ 12 X 1l</t>
  </si>
  <si>
    <t>Amac. Conc. Aquafast Branco Ternura Cx/12 X 500ml</t>
  </si>
  <si>
    <t>Amac. Conc. Aquafast Branco Ternura Cx/ 12 X 1l</t>
  </si>
  <si>
    <t>Amac. Conc. Aquafast Azul Harmonia Cx/ 09 X 1,5l</t>
  </si>
  <si>
    <t>Amac. Conc. Aquafast Branco Ternura Cx C/ 09 X 1,5l</t>
  </si>
  <si>
    <t>Amac. Conc. Aquafast Vermelho Seduc Cx C/ 09 X 1,5l</t>
  </si>
  <si>
    <t>Amac. Conc. Aquafast Branco Ternura Cx/ 04 X 3l</t>
  </si>
  <si>
    <t>Amac. Conc. Aquafast Lilas Misterio Cx/ 12 X 1l</t>
  </si>
  <si>
    <t>Amac. Conc. Aquafast Azul Harmonia Cx/ 04 X 3l</t>
  </si>
  <si>
    <t>Amac. Conc. Aquafast Lilas Misterio Cx C/ 09 X 1,5l</t>
  </si>
  <si>
    <t>Intermed Pack Amac Conc Aquafast Branco Ternura Cx/12 X 1l</t>
  </si>
  <si>
    <t>Alvejante S/ Cloro Aquafast Cx/12 X 1l</t>
  </si>
  <si>
    <t>Alvejante S/ Cloro Aquafast Cx/06 X 2l</t>
  </si>
  <si>
    <t>Alvejante S/ Cloro Aquafast Cx/04 X 5l (Emb Econ)</t>
  </si>
  <si>
    <t>Alvejante S/ Cloro Aquafast Cx/04 X 3l</t>
  </si>
  <si>
    <t>Lava Roupas Aquafast Multi Acao Cx/06 X 2l</t>
  </si>
  <si>
    <t>Lava Roupas Aquafast Glicerina Cx/06 X 2l</t>
  </si>
  <si>
    <t>Lava Roupas Aquafast Multi Acao Cx/04 X 5l (Emb Econ)</t>
  </si>
  <si>
    <t>Lava Roupas Aquafast Glicerina Cx/04 X 5l</t>
  </si>
  <si>
    <t>Lava Roupas Aquafast Glicerina Cx/04 X 3l</t>
  </si>
  <si>
    <t>Lava Roupas Aquafast Multiacao Cx/04 X 3l</t>
  </si>
  <si>
    <t>Lava Roupas Aquafast Ternura Cx/04 X 3l</t>
  </si>
  <si>
    <t>Lava Roupas Aquafast Ternura C/04 X 5l (Emb Econ)</t>
  </si>
  <si>
    <t>Lava Roupas Aquafast Ternura Cx/06 X 2l</t>
  </si>
  <si>
    <t>Lava Roupas Aquafast Flores Brancas E Baunilha Cx/4 X 3l</t>
  </si>
  <si>
    <t>Aromat. Aquafast Difusor Amoras E Baunilha Cx C/ 12un 250ml</t>
  </si>
  <si>
    <t>Ln 10</t>
  </si>
  <si>
    <t>Aromat. Aquafast Difusor Figo E Cedro Cx C/ 12un 250ml</t>
  </si>
  <si>
    <t>Intermed. Aromat. Amoras E Baunilha Cx C/ 12un 250ml</t>
  </si>
  <si>
    <t>Intermed. Aromat. Figo E Cedro Cx C/ 12un 250ml</t>
  </si>
  <si>
    <t>Intermed. Aromat. Rosas E Magnolias Cx C/ 12un 250ml</t>
  </si>
  <si>
    <t>Intermed. Aromat. Flores Exoticas Cx C/ 12un 250ml</t>
  </si>
  <si>
    <t>Intermed. Aromat. Cha Verde E Grapef Cx C/ 12un 250ml</t>
  </si>
  <si>
    <t>Neutralizador De Odores Aquafast Floral Cx/06 X 2l</t>
  </si>
  <si>
    <t>Neutralizador De Odores Aquafast Marine Cx/06 2l</t>
  </si>
  <si>
    <t>Promopack Deseng+Multiuso Squeeze Cx C/6pack C/3un X 500ml</t>
  </si>
  <si>
    <t>Promopack Desinfetante Aquafast Cx C/4pack C/3un X 1l</t>
  </si>
  <si>
    <t>Rendim.</t>
  </si>
  <si>
    <t>Desinfetante Aquafast Cha Branco Cx/04 X 5l Emb. Econo</t>
  </si>
  <si>
    <t>Desinfetante Aquafast Cha Branco Cx/06 X 2l</t>
  </si>
  <si>
    <t>Limp Perf Aquafast Magia Seducao Cx/12 X 1l</t>
  </si>
  <si>
    <t>Limp Perf Aquafast Magia Da Infancia Cx/12 X 1l</t>
  </si>
  <si>
    <t>Limp Perf Aquafast Frescor Da Manha Cx/12 X 1l</t>
  </si>
  <si>
    <t>Limp Perf Aquafast Doce Romance Cx/12 X 1l</t>
  </si>
  <si>
    <t>Multi Uso Aquafast Squeeze Original Cx/12 X 500ml</t>
  </si>
  <si>
    <t>Multi Uso Aquafast Squeeze Lavanda Cx/12 X 500ml</t>
  </si>
  <si>
    <t>Multi Uso Aquafast Squeeze Seducao Cx/12 X 500ml</t>
  </si>
  <si>
    <t>Multi Uso Aquafast Squeeze Original Cx/12 X 1l</t>
  </si>
  <si>
    <t>Multi Uso Aquafast Squeeze Seducao Cx/12 1l</t>
  </si>
  <si>
    <t>Multi Uso Aquafast Squeeze Lavanda Cx/12 X 1l</t>
  </si>
  <si>
    <t>Multi Uso Aquafast Squeeze Cha Branco  Cx/12 X 500ml</t>
  </si>
  <si>
    <t>Multi Uso Aquafast Squeeze Cha Branco Cx12 X 1l</t>
  </si>
  <si>
    <t>Multi Uso Aquafast Pulverizador Original Cx/12 X 1l</t>
  </si>
  <si>
    <t>Multi Uso Aquafast Pulverizador Poder O2 Cx/12 X 1l</t>
  </si>
  <si>
    <t>Multi Uso Aquafast Pulverizador Poder O2 Cx/12 X 500ml</t>
  </si>
  <si>
    <t>Ln 07</t>
  </si>
  <si>
    <t>Amac. Conc. Aquafast Rosa Romance Cx C/ 09 X 1,5l</t>
  </si>
  <si>
    <t>Intermed Pack Amac Conc Aquafast Azul Harmonia Cx/12 X 1l</t>
  </si>
  <si>
    <t>Amac. Conc. Aquafast Br. Ternura Cx C/ 09 X 1,5l Promocional</t>
  </si>
  <si>
    <t>Amac. Conc. Aquafast Az. Harmonia Cxc/ 09 X 1,5l Promocional</t>
  </si>
  <si>
    <t>Amac. Conc. Aquafast Lilas Misterio Cx C/ 09 X 1,5l Promo</t>
  </si>
  <si>
    <t>Amac. Conc. Aquafast Vermelho Seducao Cx C/ 09 X 1,5l Promo</t>
  </si>
  <si>
    <t>Amac. Conc. Aquafast Rosa Romance Cx C/ 09 X 1,5l Promo</t>
  </si>
  <si>
    <t>Lava Roup. Aquafast Baby Cx/12 X 1l</t>
  </si>
  <si>
    <t>Lava Roup. Aquafast Multiacao Cx/12 X 1l</t>
  </si>
  <si>
    <t>Lava Roup. Aquafast Tradicional Cx/12 X 1l</t>
  </si>
  <si>
    <t>Lava Roup. Aquafast Flores B. E Baunilha Cx/12 X 1l</t>
  </si>
  <si>
    <t>Lava Roupas Aquafast Flores B. E Baunilha Cx/06 X 2l</t>
  </si>
  <si>
    <t>Lava Roupas Aquafast Lavagem Rapida Total Clean Cx/12 X 1l</t>
  </si>
  <si>
    <t>Lava Roupas Aquafast Lavagem Rapida Total Clean Cx/9 X 1,5l</t>
  </si>
  <si>
    <t>Lava Roupas Aquafast Lavagem Rapida Fresh Clean Cx/12 X 1l</t>
  </si>
  <si>
    <t>Lava Roupas Aquafast Lavagem Rapida Fresh Clean Cx/9 X 1,5l</t>
  </si>
  <si>
    <t>Lava Roupas Aquafast Alta Performance 7l</t>
  </si>
  <si>
    <t>Aromat. Aquafast Difusor Rosas E Magnolias Cx C/ 12un 250ml</t>
  </si>
  <si>
    <t>Aromat. Aquafast Difusor Flores Exoticas Cx C/ 12un 250ml</t>
  </si>
  <si>
    <t>Aromat. Aquafast Difusor Cha Verde E Grapef Cx C/ 12un 250ml</t>
  </si>
  <si>
    <t>Promopack Amac. Conc. Aquafast 30% Cx C/6pack C/2un X 1l</t>
  </si>
  <si>
    <t>Cód SKU</t>
  </si>
  <si>
    <t>Cód Subgrupo</t>
  </si>
  <si>
    <t>Descrição Subgrupo</t>
  </si>
  <si>
    <t>Litragem</t>
  </si>
  <si>
    <t>AGUA SANITARIA</t>
  </si>
  <si>
    <t>1 LITRO</t>
  </si>
  <si>
    <t>2 LITROS</t>
  </si>
  <si>
    <t>5 LITROS</t>
  </si>
  <si>
    <t>DETERGENTE</t>
  </si>
  <si>
    <t>500 ML</t>
  </si>
  <si>
    <t>7 LITROS</t>
  </si>
  <si>
    <t>AMACIANTE</t>
  </si>
  <si>
    <t>DESINFETANTE</t>
  </si>
  <si>
    <t>LIMPADOR PERFUMADO</t>
  </si>
  <si>
    <t>LIMPA VIDROS</t>
  </si>
  <si>
    <t>500 ML PULVERIZADOR</t>
  </si>
  <si>
    <t>500 ML RECARGA</t>
  </si>
  <si>
    <t>500 ML SQUEEZE</t>
  </si>
  <si>
    <t>DESENGORDURANTE</t>
  </si>
  <si>
    <t>MULTIUSO</t>
  </si>
  <si>
    <t>1 L PULVERIZADOR</t>
  </si>
  <si>
    <t>1 L SQUEEZE</t>
  </si>
  <si>
    <t>AMACIANTE CONCENTRADO</t>
  </si>
  <si>
    <t>1,5 LITROS</t>
  </si>
  <si>
    <t>1,5L PROMOC</t>
  </si>
  <si>
    <t>3 LITROS</t>
  </si>
  <si>
    <t>ALVEJANTE SEM CLORO</t>
  </si>
  <si>
    <t>LAVA ROUPAS</t>
  </si>
  <si>
    <t>1 L LAV. RAP.</t>
  </si>
  <si>
    <t>1,5 L LAV. RAP.</t>
  </si>
  <si>
    <t>AROMATIZANTE</t>
  </si>
  <si>
    <t>250 ML</t>
  </si>
  <si>
    <t>AMACIANTE CONCENTRADO PACK</t>
  </si>
  <si>
    <t>DESENG. / MULTIUSO PACK</t>
  </si>
  <si>
    <t>DESINFETANTE PACK</t>
  </si>
  <si>
    <t>Subgrupo Litragem</t>
  </si>
  <si>
    <t>NEUTRALIZADOR DE ODORES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</si>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</sst>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1" fillId="0" borderId="2" xfId="0" applyFont="1" applyBorder="1"/>
    <xf numFmtId="20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 textRotation="90"/>
    </xf>
    <xf numFmtId="1" fontId="0" fillId="0" borderId="3" xfId="0" applyNumberFormat="1" applyBorder="1" applyAlignment="1">
      <alignment horizontal="center" vertical="center" textRotation="90"/>
    </xf>
    <xf numFmtId="20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0" fontId="0" fillId="0" borderId="5" xfId="0" applyBorder="1" applyAlignment="1">
      <alignment horizontal="center" vertical="center" textRotation="90"/>
    </xf>
    <xf numFmtId="1" fontId="0" fillId="0" borderId="5" xfId="0" applyNumberFormat="1" applyBorder="1" applyAlignment="1">
      <alignment horizontal="center" vertical="center" textRotation="90"/>
    </xf>
    <xf numFmtId="2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1" fontId="0" fillId="0" borderId="9" xfId="0" applyNumberFormat="1" applyBorder="1"/>
    <xf numFmtId="0" fontId="0" fillId="0" borderId="10" xfId="0" applyBorder="1"/>
    <xf numFmtId="20" fontId="0" fillId="0" borderId="10" xfId="0" applyNumberFormat="1" applyBorder="1"/>
    <xf numFmtId="20" fontId="0" fillId="0" borderId="11" xfId="0" applyNumberFormat="1" applyBorder="1"/>
    <xf numFmtId="0" fontId="0" fillId="0" borderId="1" xfId="0" applyBorder="1" applyAlignment="1">
      <alignment textRotation="90"/>
    </xf>
    <xf numFmtId="1" fontId="0" fillId="0" borderId="1" xfId="0" applyNumberFormat="1" applyBorder="1" applyAlignment="1">
      <alignment textRotation="90"/>
    </xf>
    <xf numFmtId="0" fontId="0" fillId="0" borderId="1" xfId="0" applyBorder="1" applyAlignment="1">
      <alignment horizontal="center" textRotation="90"/>
    </xf>
    <xf numFmtId="1" fontId="0" fillId="0" borderId="1" xfId="0" applyNumberFormat="1" applyBorder="1" applyAlignment="1">
      <alignment horizontal="center" textRotation="90"/>
    </xf>
    <xf numFmtId="20" fontId="2" fillId="0" borderId="0" xfId="0" applyNumberFormat="1" applyFont="1"/>
    <xf numFmtId="0" fontId="0" fillId="2" borderId="1" xfId="0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</cellXfs>
  <cellStyles count="1">
    <cellStyle name="Normal" xfId="0" builtinId="0"/>
  </cellStyles>
  <dxfs count="35"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general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numFmt numFmtId="25" formatCode="h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general" vertical="bottom" textRotation="9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67545-A5DB-437B-A940-B936697124ED}" name="Tabela1" displayName="Tabela1" ref="A1:J11" totalsRowShown="0" headerRowDxfId="31" headerRowBorderDxfId="30" tableBorderDxfId="29" totalsRowBorderDxfId="28">
  <autoFilter ref="A1:J11" xr:uid="{A1E67545-A5DB-437B-A940-B936697124ED}"/>
  <tableColumns count="10">
    <tableColumn id="1" xr3:uid="{3ED5395E-B412-4C44-8B00-10F41393C887}" name="Coluna1" dataDxfId="27"/>
    <tableColumn id="2" xr3:uid="{AEBC378D-8CED-413C-B22B-FCB980253EE2}" name="Coluna2" dataDxfId="26"/>
    <tableColumn id="3" xr3:uid="{43C1E2BF-2598-4672-9FC8-A15FEE6D4DEC}" name="Coluna3" dataDxfId="25"/>
    <tableColumn id="4" xr3:uid="{C233E608-AA36-4C70-8B08-F7D1F1ADB9A6}" name="Coluna4" dataDxfId="24"/>
    <tableColumn id="5" xr3:uid="{B0CDE09C-690F-49B9-81A7-DC4E89AF30DA}" name="Coluna5" dataDxfId="23"/>
    <tableColumn id="6" xr3:uid="{FEE0273B-31F1-4B38-A631-BBD6035D9302}" name="Coluna6" dataDxfId="22"/>
    <tableColumn id="7" xr3:uid="{68B9DECA-71D0-4707-A257-D41EB11F1341}" name="Coluna7" dataDxfId="21"/>
    <tableColumn id="8" xr3:uid="{4B0BF344-4D4D-4DB0-97A6-693F4ECDA448}" name="Coluna8" dataDxfId="20"/>
    <tableColumn id="9" xr3:uid="{7D016EC9-6AED-45BF-9E99-3D91C3425366}" name="Coluna9" dataDxfId="19"/>
    <tableColumn id="10" xr3:uid="{EEE87565-2E1D-4F71-A86E-ED31C7B4B0B6}" name="Coluna10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971B5C-AA14-4E7E-8CEB-5B03EC39841D}" name="Tabela2" displayName="Tabela2" ref="A1:L13" totalsRowShown="0" headerRowDxfId="17">
  <autoFilter ref="A1:L13" xr:uid="{67971B5C-AA14-4E7E-8CEB-5B03EC39841D}"/>
  <tableColumns count="12">
    <tableColumn id="1" xr3:uid="{8D24A138-90C3-4F4D-8F2D-359D79B87377}" name="Coluna1" dataDxfId="16"/>
    <tableColumn id="2" xr3:uid="{0DEC41AF-E854-48B8-BDB6-B8D2D479D1D2}" name="Coluna2" dataDxfId="15"/>
    <tableColumn id="3" xr3:uid="{0A60BD3F-BD34-4848-AB63-27BF0889D8EE}" name="Coluna3"/>
    <tableColumn id="4" xr3:uid="{1AB3288C-A498-4C8F-8E35-80BC1AF0EBEB}" name="Coluna4"/>
    <tableColumn id="5" xr3:uid="{1B332286-D9BB-4BAC-8E6E-4F827DE3B434}" name="Coluna5"/>
    <tableColumn id="6" xr3:uid="{36C4FFB5-C714-4F2B-BFA3-F4B09ACAF78B}" name="Coluna6"/>
    <tableColumn id="7" xr3:uid="{5888399C-1288-43EB-A544-12B78A8982AB}" name="Coluna7"/>
    <tableColumn id="8" xr3:uid="{756E29BA-F99B-4058-9DB2-E77C7F1DD694}" name="Coluna8"/>
    <tableColumn id="9" xr3:uid="{9E25904A-2095-4880-9BE1-83EC5A419C8F}" name="Coluna9"/>
    <tableColumn id="10" xr3:uid="{75867DD3-33D5-4F6D-83C4-2AA6C7B8AAC1}" name="Coluna10"/>
    <tableColumn id="11" xr3:uid="{B0B0BDFD-12A3-4710-AB25-08CD977A10E5}" name="Coluna11"/>
    <tableColumn id="12" xr3:uid="{05976514-88C5-4792-9A9F-520AEB300265}" name="Coluna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3CE16-0ACE-410E-BB82-2E534FD91E32}" name="Tabela3" displayName="Tabela3" ref="A1:AQ44" totalsRowShown="0" headerRowDxfId="34">
  <autoFilter ref="A1:AQ44" xr:uid="{DC03CE16-0ACE-410E-BB82-2E534FD91E32}"/>
  <tableColumns count="43">
    <tableColumn id="1" xr3:uid="{9D058770-FFF8-4F40-811F-0C7BAD3A49A1}" name="Coluna1" dataDxfId="33"/>
    <tableColumn id="2" xr3:uid="{7675EFD1-63D2-46B7-9819-37B3D71DC4F4}" name="Coluna2" dataDxfId="32"/>
    <tableColumn id="3" xr3:uid="{FF61030D-1AD8-4145-B2F3-6DA83B6159F0}" name="Coluna3"/>
    <tableColumn id="4" xr3:uid="{8BDCE27E-7DF6-4273-B8EF-5CF659119466}" name="Coluna4"/>
    <tableColumn id="5" xr3:uid="{326010FB-1B2A-40FE-8D76-F57D37ECCEF9}" name="Coluna5"/>
    <tableColumn id="6" xr3:uid="{9AD0B622-EC5B-4EC9-932E-CD2DBA0225A4}" name="Coluna6"/>
    <tableColumn id="7" xr3:uid="{B0C7BCED-BF70-4FDE-BEAE-9408A2B0BD62}" name="Coluna7"/>
    <tableColumn id="8" xr3:uid="{F09B20E8-6B86-4529-B931-477AE40D8966}" name="Coluna8"/>
    <tableColumn id="9" xr3:uid="{95FA6FF7-91C9-4506-AD24-445D24F1D540}" name="Coluna9"/>
    <tableColumn id="10" xr3:uid="{EB828F76-4660-43FF-8D8E-338364C353F6}" name="Coluna10"/>
    <tableColumn id="11" xr3:uid="{CAFCFEF0-82BF-437F-8147-BE5533A82FD4}" name="Coluna11"/>
    <tableColumn id="12" xr3:uid="{199BF500-8EBB-4B78-8DB8-45AF27F0435C}" name="Coluna12"/>
    <tableColumn id="13" xr3:uid="{732E0081-69FC-492B-AC48-36B9550E7E50}" name="Coluna13"/>
    <tableColumn id="14" xr3:uid="{B572B193-4FCF-4135-8191-813E5C5A1142}" name="Coluna14"/>
    <tableColumn id="15" xr3:uid="{1822B3E3-4B9B-4C8D-93D2-A5E552A15A15}" name="Coluna15"/>
    <tableColumn id="16" xr3:uid="{2AEF5BEC-3A49-4746-BC52-98834D95E21B}" name="Coluna16"/>
    <tableColumn id="17" xr3:uid="{E954C85E-D295-4E5E-BA06-C7F099240A60}" name="Coluna17"/>
    <tableColumn id="18" xr3:uid="{3FCBA64F-6385-4264-A512-512DA040C458}" name="Coluna18"/>
    <tableColumn id="19" xr3:uid="{045F094B-E375-47BB-A41A-F632FCA1DE5C}" name="Coluna19"/>
    <tableColumn id="20" xr3:uid="{74E67140-CB65-494C-ADB7-5F7728D176B9}" name="Coluna20"/>
    <tableColumn id="21" xr3:uid="{6CA6FF06-8FDB-4BA3-A2F6-DFBA2651753E}" name="Coluna21"/>
    <tableColumn id="22" xr3:uid="{77B0AE88-18B5-4E1B-9C02-51B4C882BE7E}" name="Coluna22"/>
    <tableColumn id="23" xr3:uid="{7A9C84DB-C310-4FB0-BF78-07181B9323ED}" name="Coluna23"/>
    <tableColumn id="24" xr3:uid="{93EE3B85-2B40-4D9B-AD0D-B4EC736A5D34}" name="Coluna24"/>
    <tableColumn id="25" xr3:uid="{1519A74C-9795-44AD-94D6-7A7DEF18492F}" name="Coluna25"/>
    <tableColumn id="26" xr3:uid="{9B7D8486-52FD-48B7-AA78-24F41FC012CB}" name="Coluna26"/>
    <tableColumn id="27" xr3:uid="{B1979E93-9B21-4A65-AC2C-6C73C1A2FEF3}" name="Coluna27"/>
    <tableColumn id="28" xr3:uid="{EEB0DF93-E26F-4A52-9EC3-6E6FB2C3E86B}" name="Coluna28"/>
    <tableColumn id="29" xr3:uid="{6A491177-1E6C-477F-A34D-24B6AFDDABB6}" name="Coluna29"/>
    <tableColumn id="30" xr3:uid="{1DC30667-DFF1-4CD2-8652-7C5F39716127}" name="Coluna30"/>
    <tableColumn id="31" xr3:uid="{AEC05234-7626-4643-BD1D-438043C5E1F4}" name="Coluna31"/>
    <tableColumn id="32" xr3:uid="{A704C703-5977-4DAA-B4D6-31E7E2C43C58}" name="Coluna32"/>
    <tableColumn id="33" xr3:uid="{01EE0A8E-4C54-4FD0-A20C-6976345CD145}" name="Coluna33"/>
    <tableColumn id="34" xr3:uid="{D13ADE1E-521C-4DDE-8B54-20BC19018447}" name="Coluna34"/>
    <tableColumn id="35" xr3:uid="{85CC5204-CAE3-4743-A327-00BD9A7B9D58}" name="Coluna35"/>
    <tableColumn id="36" xr3:uid="{3996093D-178B-4040-A02D-CD308D3AABFA}" name="Coluna36"/>
    <tableColumn id="37" xr3:uid="{65EF2261-859C-42BA-AF90-B22645B587C4}" name="Coluna37"/>
    <tableColumn id="38" xr3:uid="{7B1FDC72-CCB1-45BC-A4DB-3D0898FACF7D}" name="Coluna38"/>
    <tableColumn id="39" xr3:uid="{F33D9C1E-E950-42A7-81B5-28FF36B2D37E}" name="Coluna39"/>
    <tableColumn id="40" xr3:uid="{0D3228DA-8B8B-4083-9B34-44013BE036DB}" name="Coluna40"/>
    <tableColumn id="41" xr3:uid="{5F6ECABD-A18B-42A7-A067-C1267C8FFF05}" name="Coluna41"/>
    <tableColumn id="42" xr3:uid="{B02AEF2D-9B91-446A-9E29-3229F90B62D3}" name="Coluna42"/>
    <tableColumn id="43" xr3:uid="{366AB312-C628-42AE-ADE3-BF9CBD910C65}" name="Coluna4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381D66-77CE-4B41-A380-DBD2B65CD925}" name="Tabela4" displayName="Tabela4" ref="A1:AD31" totalsRowShown="0" headerRowDxfId="14">
  <autoFilter ref="A1:AD31" xr:uid="{27381D66-77CE-4B41-A380-DBD2B65CD925}"/>
  <tableColumns count="30">
    <tableColumn id="1" xr3:uid="{99CC4691-27AD-45F3-B364-E48CEA864D68}" name="Coluna1" dataDxfId="13"/>
    <tableColumn id="2" xr3:uid="{90783574-ABF8-462B-BBA6-04E995B184BA}" name="Coluna2" dataDxfId="12"/>
    <tableColumn id="3" xr3:uid="{8574FF82-6DA4-41A4-A0FE-E866F6203580}" name="Coluna3"/>
    <tableColumn id="4" xr3:uid="{6D14B8E0-6AB2-40D7-87F8-3B713EAEE030}" name="Coluna4"/>
    <tableColumn id="5" xr3:uid="{D343EF66-74A1-493C-B8D0-F3FABB8067FE}" name="Coluna5"/>
    <tableColumn id="6" xr3:uid="{6A950E7F-EC10-408D-8502-B4F471775830}" name="Coluna6"/>
    <tableColumn id="7" xr3:uid="{16A8D725-82F8-4D52-BF7B-E0437989D9C5}" name="Coluna7"/>
    <tableColumn id="8" xr3:uid="{15CE575E-E5D6-4D64-9537-E1E1642DB381}" name="Coluna8"/>
    <tableColumn id="9" xr3:uid="{5CF50709-6139-404F-A79D-472D044F2CD4}" name="Coluna9"/>
    <tableColumn id="10" xr3:uid="{5C7FAFFE-6B7B-4345-8652-19989A6C6682}" name="Coluna10"/>
    <tableColumn id="11" xr3:uid="{E62F80BF-3B29-4F13-B867-4DFC900ED14F}" name="Coluna11"/>
    <tableColumn id="12" xr3:uid="{C6487F7B-D7C3-4FD6-B63B-010E954CAFAE}" name="Coluna12"/>
    <tableColumn id="13" xr3:uid="{32A6A17C-540E-4DCC-9CDB-DE89368EAB0B}" name="Coluna13"/>
    <tableColumn id="14" xr3:uid="{C946AAC5-3C70-479B-9314-9EC6B6C04E8A}" name="Coluna14"/>
    <tableColumn id="15" xr3:uid="{AED4A948-D64A-4FE9-8889-6BE268D79879}" name="Coluna15"/>
    <tableColumn id="16" xr3:uid="{69EBB183-FD2D-48E8-A628-8CA2E19E3B31}" name="Coluna16"/>
    <tableColumn id="17" xr3:uid="{FB502AA9-2686-40BB-B298-965206FA380A}" name="Coluna17"/>
    <tableColumn id="18" xr3:uid="{4F309B54-10F9-46D0-9493-A4F4CDC2850D}" name="Coluna18"/>
    <tableColumn id="19" xr3:uid="{5EC2ABAF-B013-4E51-9B21-DBCEAEAE2834}" name="Coluna19"/>
    <tableColumn id="20" xr3:uid="{4746A49B-FF19-4B7A-B05E-4E2EEEDB00ED}" name="Coluna20"/>
    <tableColumn id="21" xr3:uid="{8285355F-0E35-409A-BA71-3146D02DAAA6}" name="Coluna21"/>
    <tableColumn id="22" xr3:uid="{BA0988FE-D08A-4980-967A-FBA3087487EA}" name="Coluna22"/>
    <tableColumn id="23" xr3:uid="{33C3BCD7-7329-4BE3-8185-CABEA4ED58F5}" name="Coluna23"/>
    <tableColumn id="24" xr3:uid="{A562391C-9EC8-4FCA-A737-F8CE5CD3CC1C}" name="Coluna24"/>
    <tableColumn id="25" xr3:uid="{83304E26-2223-4829-84B9-710CD4DD6DAE}" name="Coluna25"/>
    <tableColumn id="26" xr3:uid="{AAF34371-E607-441E-8590-21EE95B1D4E7}" name="Coluna26"/>
    <tableColumn id="27" xr3:uid="{DC7B488A-887B-4FE9-9EF9-3BCE85F987DF}" name="Coluna27"/>
    <tableColumn id="28" xr3:uid="{65EE5610-DC5E-4D18-9C8C-CB79E8F82C14}" name="Coluna28"/>
    <tableColumn id="29" xr3:uid="{81CB8C93-FBA1-4F37-B8A0-4DF2C2D1D56E}" name="Coluna29"/>
    <tableColumn id="30" xr3:uid="{7A947115-4BCA-4F29-894F-0F208095EC28}" name="Coluna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FDFCC0-05E7-44A0-9D51-391C2B6DD814}" name="Tabela5" displayName="Tabela5" ref="A1:W24" totalsRowShown="0" headerRowDxfId="11">
  <autoFilter ref="A1:W24" xr:uid="{F8FDFCC0-05E7-44A0-9D51-391C2B6DD814}"/>
  <tableColumns count="23">
    <tableColumn id="1" xr3:uid="{24F063F0-4ABB-46F8-9DAA-381A0CCCF639}" name="Coluna1" dataDxfId="10"/>
    <tableColumn id="2" xr3:uid="{5E4E648B-EB26-41D1-B250-DBE51027DC18}" name="Coluna2" dataDxfId="9"/>
    <tableColumn id="3" xr3:uid="{20362621-9E57-4B06-BFEB-9979AAA66BCE}" name="Coluna3"/>
    <tableColumn id="4" xr3:uid="{4C031EC7-2E29-4CC5-8ED0-FE38426B1F6A}" name="Coluna4"/>
    <tableColumn id="5" xr3:uid="{A4B84859-985D-4CF2-8657-85617872C55F}" name="Coluna5"/>
    <tableColumn id="6" xr3:uid="{DAEBAF96-459E-4E32-B564-D217AF1A4A01}" name="Coluna6"/>
    <tableColumn id="7" xr3:uid="{77FD8498-F138-43F2-B870-48986FD3CD8C}" name="Coluna7"/>
    <tableColumn id="8" xr3:uid="{20ED292F-36E1-45FA-B2B2-8BB29D0C5FD6}" name="Coluna8"/>
    <tableColumn id="9" xr3:uid="{5EE373F5-D20E-4414-B6C2-CBEE14AE4789}" name="Coluna9"/>
    <tableColumn id="10" xr3:uid="{909F5EAC-980D-4EE9-A8B1-2D15084C46C5}" name="Coluna10"/>
    <tableColumn id="11" xr3:uid="{01853C97-66FA-4308-A16A-5BF169585A84}" name="Coluna11"/>
    <tableColumn id="12" xr3:uid="{72F6BA10-BCE4-49C8-9626-73189EBF9E50}" name="Coluna12"/>
    <tableColumn id="13" xr3:uid="{6516722C-B50E-4C83-8926-92D4A9592DF1}" name="Coluna13"/>
    <tableColumn id="14" xr3:uid="{DBF1594F-F419-4FBA-BE0A-5F2E81BBB9DE}" name="Coluna14"/>
    <tableColumn id="15" xr3:uid="{51B9B835-1C7C-406C-A473-B4724AA34459}" name="Coluna15"/>
    <tableColumn id="16" xr3:uid="{1F2668E7-73E4-4BA3-83F0-19AB5E4A036D}" name="Coluna16"/>
    <tableColumn id="17" xr3:uid="{56C708D8-AF9F-45B9-8F70-465514F9EC05}" name="Coluna17"/>
    <tableColumn id="18" xr3:uid="{74EB92C6-0CC9-4A34-9B56-B06AD94E6847}" name="Coluna18"/>
    <tableColumn id="19" xr3:uid="{A63E1E05-6285-4ACA-BDEB-AC4167360D9F}" name="Coluna19"/>
    <tableColumn id="20" xr3:uid="{740AFE7A-6161-4D9F-9DF3-EC5C42B771E8}" name="Coluna20"/>
    <tableColumn id="21" xr3:uid="{E377F550-58F2-491B-8FCA-352D2A43A028}" name="Coluna21"/>
    <tableColumn id="22" xr3:uid="{ACC1396D-3E9A-4DD9-8E37-341228CFD72B}" name="Coluna22"/>
    <tableColumn id="23" xr3:uid="{22D9581C-41BA-44C6-BFD1-32DCD196AC88}" name="Coluna2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69E382-5A7E-4774-B557-6EDBAFB6360F}" name="Tabela6" displayName="Tabela6" ref="A1:AN41" totalsRowShown="0" headerRowDxfId="8">
  <autoFilter ref="A1:AN41" xr:uid="{7D69E382-5A7E-4774-B557-6EDBAFB6360F}"/>
  <tableColumns count="40">
    <tableColumn id="1" xr3:uid="{31ADB095-4423-4ADD-AC77-936EA6DDFC3E}" name="Coluna1" dataDxfId="7"/>
    <tableColumn id="2" xr3:uid="{8548B782-058C-4BFD-A6E2-D9D769FA6E1C}" name="Coluna2" dataDxfId="6"/>
    <tableColumn id="3" xr3:uid="{8577EC56-DB9C-42ED-98F4-3BCE87319BC4}" name="Coluna3"/>
    <tableColumn id="4" xr3:uid="{0EDA7C80-EC01-454D-9901-A8CF3E5366A1}" name="Coluna4"/>
    <tableColumn id="5" xr3:uid="{A439A11A-D2B7-43F2-AA09-4CD19335016D}" name="Coluna5"/>
    <tableColumn id="6" xr3:uid="{FD205BA4-7D5E-47A0-B73D-2A08590DB0A8}" name="Coluna6"/>
    <tableColumn id="7" xr3:uid="{B4D9070F-B0AF-4549-86D1-1DE23371816C}" name="Coluna7"/>
    <tableColumn id="8" xr3:uid="{2519DEC9-B622-4AE1-AF00-66EBDDADF27D}" name="Coluna8"/>
    <tableColumn id="9" xr3:uid="{D111D647-E51C-4A73-BBC2-4BBFE1CACE83}" name="Coluna9"/>
    <tableColumn id="10" xr3:uid="{93BDDD10-381E-4322-988C-B3CE895112BA}" name="Coluna10"/>
    <tableColumn id="11" xr3:uid="{7ACD5EE6-46CC-43E6-84F1-7B563F88F9C1}" name="Coluna11"/>
    <tableColumn id="12" xr3:uid="{7D8C6AC0-027B-4BFC-B2E4-8D2DD8C8590B}" name="Coluna12"/>
    <tableColumn id="13" xr3:uid="{ABDD3F4C-8FCB-44D4-8A59-083967D487F8}" name="Coluna13"/>
    <tableColumn id="14" xr3:uid="{4EF2C74B-B613-4035-9635-C538DB8E2719}" name="Coluna14"/>
    <tableColumn id="15" xr3:uid="{531C61AB-D69D-41F8-A0D1-D16CE2BA4214}" name="Coluna15"/>
    <tableColumn id="16" xr3:uid="{6412BDC4-04A1-4746-9047-43E75A872954}" name="Coluna16"/>
    <tableColumn id="17" xr3:uid="{2AE17EE9-509F-4674-9E56-D7FCC789831C}" name="Coluna17"/>
    <tableColumn id="18" xr3:uid="{1F4BF4D0-065F-4F06-A0BD-AA692994EAA4}" name="Coluna18"/>
    <tableColumn id="19" xr3:uid="{77505918-0654-4FFF-87C9-0B6B45565522}" name="Coluna19"/>
    <tableColumn id="20" xr3:uid="{547F9D4F-1DA0-43C1-B764-A863848D9411}" name="Coluna20"/>
    <tableColumn id="21" xr3:uid="{87C2B0B4-0E72-4B53-B8E3-30E6FB5AA6B1}" name="Coluna21"/>
    <tableColumn id="22" xr3:uid="{4138FC05-EA17-4039-A454-A0FF651F6851}" name="Coluna22"/>
    <tableColumn id="23" xr3:uid="{3183E587-5AAB-46B3-8933-7ED2F95C9244}" name="Coluna23"/>
    <tableColumn id="24" xr3:uid="{EDE361FC-28F0-4509-BA6B-DD383DB80DBB}" name="Coluna24"/>
    <tableColumn id="25" xr3:uid="{1CD84F62-14E2-4C83-B746-EEAA4A0C7D8E}" name="Coluna25"/>
    <tableColumn id="26" xr3:uid="{B1CF51DF-6D7F-43A6-89F9-65FA2343F42C}" name="Coluna26"/>
    <tableColumn id="27" xr3:uid="{76F64E2D-A6AE-4F6B-BFFA-98CA6E46D6E1}" name="Coluna27"/>
    <tableColumn id="28" xr3:uid="{F935765F-E81E-482C-B246-DD874A935BE2}" name="Coluna28"/>
    <tableColumn id="29" xr3:uid="{E5AC972B-374D-43BE-A2A3-8E83F863FD48}" name="Coluna29"/>
    <tableColumn id="30" xr3:uid="{F6B6CBF9-E0D0-4A06-A630-73BB21945885}" name="Coluna30"/>
    <tableColumn id="31" xr3:uid="{C2B60DB5-93B8-4D9C-8769-1008CAD7734D}" name="Coluna31"/>
    <tableColumn id="32" xr3:uid="{BC6D30D3-4C8E-4A4E-9920-13B79C9B1793}" name="Coluna32"/>
    <tableColumn id="33" xr3:uid="{5FFDA2CC-DD61-450B-A1EB-DDA60A569945}" name="Coluna33"/>
    <tableColumn id="34" xr3:uid="{6FD02995-5940-472E-ADE4-C5F97E4F33E4}" name="Coluna34"/>
    <tableColumn id="35" xr3:uid="{E6803F96-67B5-4AB2-A3DD-A5F4DDFAC3D2}" name="Coluna35"/>
    <tableColumn id="36" xr3:uid="{34A670F5-4210-4B04-9014-34DCF3B7050E}" name="Coluna36"/>
    <tableColumn id="37" xr3:uid="{6D7AC009-C1F7-437E-92B9-10D4BA8B5AED}" name="Coluna37"/>
    <tableColumn id="38" xr3:uid="{54607BB5-2586-4B32-9BBB-B17D05EF3A46}" name="Coluna38"/>
    <tableColumn id="39" xr3:uid="{21721372-4F45-4A57-9CE3-973B48391743}" name="Coluna39"/>
    <tableColumn id="40" xr3:uid="{BFE8DC98-76DC-4D17-87EF-AB378082AC0C}" name="Coluna4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0B562-2229-441D-AE26-4B3FF29A2532}" name="Tabela7" displayName="Tabela7" ref="A1:V23" totalsRowShown="0" headerRowDxfId="5">
  <autoFilter ref="A1:V23" xr:uid="{EB20B562-2229-441D-AE26-4B3FF29A2532}"/>
  <tableColumns count="22">
    <tableColumn id="1" xr3:uid="{6B10247A-0DE8-467E-A6B3-57F1954FBB11}" name="Coluna1" dataDxfId="4"/>
    <tableColumn id="2" xr3:uid="{8E6E2C13-F399-4246-80C5-8DF2EEECE0EA}" name="Coluna2" dataDxfId="3"/>
    <tableColumn id="3" xr3:uid="{07A64852-0623-4768-B4E9-8EC8E589EB3D}" name="Coluna3"/>
    <tableColumn id="4" xr3:uid="{6D938634-0A26-47F2-95EC-F7530E01C52D}" name="Coluna4"/>
    <tableColumn id="5" xr3:uid="{DF2E3EB2-91E9-4DA3-A51F-5DD7BE240E79}" name="Coluna5"/>
    <tableColumn id="6" xr3:uid="{B8173A15-D569-494E-9E11-9F2E72D2B9A4}" name="Coluna6"/>
    <tableColumn id="7" xr3:uid="{4F481726-91FF-4DE4-8C41-357E4A462617}" name="Coluna7"/>
    <tableColumn id="8" xr3:uid="{F082DD41-1C37-47E8-8D81-816C20BA1E6F}" name="Coluna8"/>
    <tableColumn id="9" xr3:uid="{74E55F34-586D-4AE9-B9FC-10024F343F94}" name="Coluna9"/>
    <tableColumn id="10" xr3:uid="{A11FD8CD-F7BE-4748-AA2A-9224A79D7095}" name="Coluna10"/>
    <tableColumn id="11" xr3:uid="{B953E8F4-89A5-47A8-81E3-0178C99596EE}" name="Coluna11"/>
    <tableColumn id="12" xr3:uid="{A02241F5-11D0-4F45-BAB5-7A1FF3A98FF1}" name="Coluna12"/>
    <tableColumn id="13" xr3:uid="{82EF5515-67D8-4F15-89C3-BAD0E40D7615}" name="Coluna13"/>
    <tableColumn id="14" xr3:uid="{DD2B2D64-5245-43C7-AED8-DFFE97798FA5}" name="Coluna14"/>
    <tableColumn id="15" xr3:uid="{F2400BA5-F722-4B8A-821B-BAC9675B0A9B}" name="Coluna15"/>
    <tableColumn id="16" xr3:uid="{E5E26CBE-CD29-4A8B-A2F9-6DDDF741D3FE}" name="Coluna16"/>
    <tableColumn id="17" xr3:uid="{C9D91E2A-15C5-4AA4-B02D-930F39871C7B}" name="Coluna17"/>
    <tableColumn id="18" xr3:uid="{CCD81BE3-7083-4172-9F62-F8515A22ED00}" name="Coluna18"/>
    <tableColumn id="19" xr3:uid="{F3B60F3D-8A1D-4D6E-AC00-C12CB34A9653}" name="Coluna19"/>
    <tableColumn id="20" xr3:uid="{C9749CF9-13EA-4174-9AA1-4ED30FBAC86F}" name="Coluna20"/>
    <tableColumn id="21" xr3:uid="{8C0103F3-E83F-454C-915F-C50D4822603F}" name="Coluna21"/>
    <tableColumn id="22" xr3:uid="{F729F383-AC1E-4450-B8CA-BC6A88E67745}" name="Coluna2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8C47A6-CF46-409A-924E-81E1429F194A}" name="Tabela8" displayName="Tabela8" ref="A1:J11" totalsRowShown="0" headerRowDxfId="2">
  <autoFilter ref="A1:J11" xr:uid="{0C8C47A6-CF46-409A-924E-81E1429F194A}"/>
  <tableColumns count="10">
    <tableColumn id="1" xr3:uid="{EC837472-8173-4CE9-9181-864573E2384E}" name="Coluna1" dataDxfId="1"/>
    <tableColumn id="2" xr3:uid="{64E03BD4-5753-4FC4-8AEC-2504D989E1A2}" name="Coluna2" dataDxfId="0"/>
    <tableColumn id="3" xr3:uid="{AED9C85F-CEB2-43DB-A49D-C33E7E153377}" name="Coluna3"/>
    <tableColumn id="4" xr3:uid="{0D55C923-934A-43C7-A505-7EDBD079B2DE}" name="Coluna4"/>
    <tableColumn id="5" xr3:uid="{6E03733E-A468-4ED6-9FA8-CD08BE412DBC}" name="Coluna5"/>
    <tableColumn id="6" xr3:uid="{37576EDF-4896-4EDF-8E7F-24964B572307}" name="Coluna6"/>
    <tableColumn id="7" xr3:uid="{FFEC2CDC-50D2-4E67-AEA8-97E86123F01B}" name="Coluna7"/>
    <tableColumn id="8" xr3:uid="{503CF696-440C-4AD8-A12E-20A44974D347}" name="Coluna8"/>
    <tableColumn id="9" xr3:uid="{C51C0326-BB10-4985-8276-407D8EF1D3AA}" name="Coluna9"/>
    <tableColumn id="10" xr3:uid="{8B60E0A0-DC0B-4839-847A-790034A5A0E7}" name="Coluna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F270-4E0E-4368-92DA-4630377FFF1C}">
  <sheetPr filterMode="1"/>
  <dimension ref="A1:H175"/>
  <sheetViews>
    <sheetView zoomScale="115" zoomScaleNormal="115" workbookViewId="0">
      <pane ySplit="1" topLeftCell="A161" activePane="bottomLeft" state="frozen"/>
      <selection pane="bottomLeft" activeCell="A161" sqref="A161:B175"/>
    </sheetView>
  </sheetViews>
  <sheetFormatPr defaultRowHeight="15" x14ac:dyDescent="0.25"/>
  <cols>
    <col min="1" max="1" width="10.140625" bestFit="1" customWidth="1"/>
    <col min="2" max="2" width="59.42578125" bestFit="1" customWidth="1"/>
    <col min="3" max="3" width="5.7109375" bestFit="1" customWidth="1"/>
    <col min="5" max="5" width="13.42578125" bestFit="1" customWidth="1"/>
    <col min="6" max="6" width="18.5703125" bestFit="1" customWidth="1"/>
    <col min="7" max="7" width="8.7109375" bestFit="1" customWidth="1"/>
    <col min="8" max="8" width="40.42578125" bestFit="1" customWidth="1"/>
  </cols>
  <sheetData>
    <row r="1" spans="1:8" x14ac:dyDescent="0.25">
      <c r="A1" s="1" t="s">
        <v>185</v>
      </c>
      <c r="B1" s="1" t="s">
        <v>0</v>
      </c>
      <c r="C1" s="1" t="s">
        <v>1</v>
      </c>
      <c r="D1" s="1" t="s">
        <v>145</v>
      </c>
      <c r="E1" s="1" t="s">
        <v>186</v>
      </c>
      <c r="F1" s="4" t="s">
        <v>187</v>
      </c>
      <c r="G1" s="4" t="s">
        <v>188</v>
      </c>
      <c r="H1" s="4" t="s">
        <v>220</v>
      </c>
    </row>
    <row r="2" spans="1:8" hidden="1" x14ac:dyDescent="0.25">
      <c r="A2" s="2">
        <v>20010001</v>
      </c>
      <c r="B2" s="3" t="s">
        <v>2</v>
      </c>
      <c r="C2" s="3" t="s">
        <v>3</v>
      </c>
      <c r="D2" s="3">
        <v>350</v>
      </c>
      <c r="E2">
        <v>1</v>
      </c>
      <c r="F2" t="s">
        <v>189</v>
      </c>
      <c r="G2" t="s">
        <v>190</v>
      </c>
      <c r="H2" t="str">
        <f>CONCATENATE(F2," ",G2)</f>
        <v>AGUA SANITARIA 1 LITRO</v>
      </c>
    </row>
    <row r="3" spans="1:8" hidden="1" x14ac:dyDescent="0.25">
      <c r="A3" s="2">
        <v>20010002</v>
      </c>
      <c r="B3" s="3" t="s">
        <v>4</v>
      </c>
      <c r="C3" s="3" t="s">
        <v>3</v>
      </c>
      <c r="D3" s="3">
        <v>650</v>
      </c>
      <c r="E3">
        <v>1</v>
      </c>
      <c r="F3" t="s">
        <v>189</v>
      </c>
      <c r="G3" t="s">
        <v>191</v>
      </c>
      <c r="H3" t="str">
        <f t="shared" ref="H3:H66" si="0">CONCATENATE(F3," ",G3)</f>
        <v>AGUA SANITARIA 2 LITROS</v>
      </c>
    </row>
    <row r="4" spans="1:8" hidden="1" x14ac:dyDescent="0.25">
      <c r="A4" s="2">
        <v>20010003</v>
      </c>
      <c r="B4" s="3" t="s">
        <v>5</v>
      </c>
      <c r="C4" s="3" t="s">
        <v>6</v>
      </c>
      <c r="D4" s="3">
        <v>560</v>
      </c>
      <c r="E4">
        <v>1</v>
      </c>
      <c r="F4" t="s">
        <v>189</v>
      </c>
      <c r="G4" t="s">
        <v>192</v>
      </c>
      <c r="H4" t="str">
        <f t="shared" si="0"/>
        <v>AGUA SANITARIA 5 LITROS</v>
      </c>
    </row>
    <row r="5" spans="1:8" hidden="1" x14ac:dyDescent="0.25">
      <c r="A5" s="2">
        <v>20010011</v>
      </c>
      <c r="B5" s="3" t="s">
        <v>7</v>
      </c>
      <c r="C5" s="3" t="s">
        <v>6</v>
      </c>
      <c r="D5" s="3">
        <v>560</v>
      </c>
      <c r="E5">
        <v>1</v>
      </c>
      <c r="F5" t="s">
        <v>189</v>
      </c>
      <c r="G5" t="s">
        <v>192</v>
      </c>
      <c r="H5" t="str">
        <f t="shared" si="0"/>
        <v>AGUA SANITARIA 5 LITROS</v>
      </c>
    </row>
    <row r="6" spans="1:8" hidden="1" x14ac:dyDescent="0.25">
      <c r="A6" s="2">
        <v>20010017</v>
      </c>
      <c r="B6" s="3" t="s">
        <v>8</v>
      </c>
      <c r="C6" s="3" t="s">
        <v>3</v>
      </c>
      <c r="D6" s="3">
        <v>350</v>
      </c>
      <c r="E6">
        <v>1</v>
      </c>
      <c r="F6" t="s">
        <v>189</v>
      </c>
      <c r="G6" t="s">
        <v>190</v>
      </c>
      <c r="H6" t="str">
        <f t="shared" si="0"/>
        <v>AGUA SANITARIA 1 LITRO</v>
      </c>
    </row>
    <row r="7" spans="1:8" hidden="1" x14ac:dyDescent="0.25">
      <c r="A7" s="2">
        <v>20010018</v>
      </c>
      <c r="B7" s="3" t="s">
        <v>9</v>
      </c>
      <c r="C7" s="3" t="s">
        <v>3</v>
      </c>
      <c r="D7" s="3">
        <v>650</v>
      </c>
      <c r="E7">
        <v>1</v>
      </c>
      <c r="F7" t="s">
        <v>189</v>
      </c>
      <c r="G7" t="s">
        <v>191</v>
      </c>
      <c r="H7" t="str">
        <f t="shared" si="0"/>
        <v>AGUA SANITARIA 2 LITROS</v>
      </c>
    </row>
    <row r="8" spans="1:8" hidden="1" x14ac:dyDescent="0.25">
      <c r="A8" s="2">
        <v>20010022</v>
      </c>
      <c r="B8" s="3" t="s">
        <v>10</v>
      </c>
      <c r="C8" s="3" t="s">
        <v>3</v>
      </c>
      <c r="D8" s="3">
        <v>350</v>
      </c>
      <c r="E8">
        <v>1</v>
      </c>
      <c r="F8" t="s">
        <v>189</v>
      </c>
      <c r="G8" t="s">
        <v>190</v>
      </c>
      <c r="H8" t="str">
        <f t="shared" si="0"/>
        <v>AGUA SANITARIA 1 LITRO</v>
      </c>
    </row>
    <row r="9" spans="1:8" hidden="1" x14ac:dyDescent="0.25">
      <c r="A9" s="2">
        <v>20010023</v>
      </c>
      <c r="B9" s="3" t="s">
        <v>11</v>
      </c>
      <c r="C9" s="3" t="s">
        <v>3</v>
      </c>
      <c r="D9" s="3">
        <v>650</v>
      </c>
      <c r="E9">
        <v>1</v>
      </c>
      <c r="F9" t="s">
        <v>189</v>
      </c>
      <c r="G9" t="s">
        <v>191</v>
      </c>
      <c r="H9" t="str">
        <f t="shared" si="0"/>
        <v>AGUA SANITARIA 2 LITROS</v>
      </c>
    </row>
    <row r="10" spans="1:8" hidden="1" x14ac:dyDescent="0.25">
      <c r="A10" s="2">
        <v>20030001</v>
      </c>
      <c r="B10" s="3" t="s">
        <v>12</v>
      </c>
      <c r="C10" s="3" t="s">
        <v>13</v>
      </c>
      <c r="D10" s="3">
        <v>275</v>
      </c>
      <c r="E10">
        <v>3</v>
      </c>
      <c r="F10" t="s">
        <v>193</v>
      </c>
      <c r="G10" t="s">
        <v>194</v>
      </c>
      <c r="H10" t="str">
        <f t="shared" si="0"/>
        <v>DETERGENTE 500 ML</v>
      </c>
    </row>
    <row r="11" spans="1:8" hidden="1" x14ac:dyDescent="0.25">
      <c r="A11" s="2">
        <v>20030002</v>
      </c>
      <c r="B11" s="3" t="s">
        <v>14</v>
      </c>
      <c r="C11" s="3" t="s">
        <v>13</v>
      </c>
      <c r="D11" s="3">
        <v>275</v>
      </c>
      <c r="E11">
        <v>3</v>
      </c>
      <c r="F11" t="s">
        <v>193</v>
      </c>
      <c r="G11" t="s">
        <v>194</v>
      </c>
      <c r="H11" t="str">
        <f t="shared" si="0"/>
        <v>DETERGENTE 500 ML</v>
      </c>
    </row>
    <row r="12" spans="1:8" hidden="1" x14ac:dyDescent="0.25">
      <c r="A12" s="2">
        <v>20030003</v>
      </c>
      <c r="B12" s="3" t="s">
        <v>15</v>
      </c>
      <c r="C12" s="3" t="s">
        <v>13</v>
      </c>
      <c r="D12" s="3">
        <v>275</v>
      </c>
      <c r="E12">
        <v>3</v>
      </c>
      <c r="F12" t="s">
        <v>193</v>
      </c>
      <c r="G12" t="s">
        <v>194</v>
      </c>
      <c r="H12" t="str">
        <f t="shared" si="0"/>
        <v>DETERGENTE 500 ML</v>
      </c>
    </row>
    <row r="13" spans="1:8" hidden="1" x14ac:dyDescent="0.25">
      <c r="A13" s="2">
        <v>20030004</v>
      </c>
      <c r="B13" s="3" t="s">
        <v>16</v>
      </c>
      <c r="C13" s="3" t="s">
        <v>13</v>
      </c>
      <c r="D13" s="3">
        <v>275</v>
      </c>
      <c r="E13">
        <v>3</v>
      </c>
      <c r="F13" t="s">
        <v>193</v>
      </c>
      <c r="G13" t="s">
        <v>194</v>
      </c>
      <c r="H13" t="str">
        <f t="shared" si="0"/>
        <v>DETERGENTE 500 ML</v>
      </c>
    </row>
    <row r="14" spans="1:8" hidden="1" x14ac:dyDescent="0.25">
      <c r="A14" s="2">
        <v>20030008</v>
      </c>
      <c r="B14" s="3" t="s">
        <v>17</v>
      </c>
      <c r="C14" s="3" t="s">
        <v>18</v>
      </c>
      <c r="D14" s="3">
        <v>990</v>
      </c>
      <c r="E14">
        <v>3</v>
      </c>
      <c r="F14" t="s">
        <v>193</v>
      </c>
      <c r="G14" t="s">
        <v>192</v>
      </c>
      <c r="H14" t="str">
        <f t="shared" si="0"/>
        <v>DETERGENTE 5 LITROS</v>
      </c>
    </row>
    <row r="15" spans="1:8" hidden="1" x14ac:dyDescent="0.25">
      <c r="A15" s="2">
        <v>20030009</v>
      </c>
      <c r="B15" s="3" t="s">
        <v>19</v>
      </c>
      <c r="C15" s="3" t="s">
        <v>18</v>
      </c>
      <c r="D15" s="3">
        <v>990</v>
      </c>
      <c r="E15">
        <v>3</v>
      </c>
      <c r="F15" t="s">
        <v>193</v>
      </c>
      <c r="G15" t="s">
        <v>192</v>
      </c>
      <c r="H15" t="str">
        <f t="shared" si="0"/>
        <v>DETERGENTE 5 LITROS</v>
      </c>
    </row>
    <row r="16" spans="1:8" hidden="1" x14ac:dyDescent="0.25">
      <c r="A16" s="2">
        <v>20030010</v>
      </c>
      <c r="B16" s="3" t="s">
        <v>20</v>
      </c>
      <c r="C16" s="3" t="s">
        <v>18</v>
      </c>
      <c r="D16" s="3">
        <v>990</v>
      </c>
      <c r="E16">
        <v>3</v>
      </c>
      <c r="F16" t="s">
        <v>193</v>
      </c>
      <c r="G16" t="s">
        <v>192</v>
      </c>
      <c r="H16" t="str">
        <f t="shared" si="0"/>
        <v>DETERGENTE 5 LITROS</v>
      </c>
    </row>
    <row r="17" spans="1:8" hidden="1" x14ac:dyDescent="0.25">
      <c r="A17" s="2">
        <v>20030011</v>
      </c>
      <c r="B17" s="3" t="s">
        <v>21</v>
      </c>
      <c r="C17" s="3" t="s">
        <v>13</v>
      </c>
      <c r="D17" s="3">
        <v>395</v>
      </c>
      <c r="E17">
        <v>3</v>
      </c>
      <c r="F17" t="s">
        <v>193</v>
      </c>
      <c r="G17" t="s">
        <v>190</v>
      </c>
      <c r="H17" t="str">
        <f t="shared" si="0"/>
        <v>DETERGENTE 1 LITRO</v>
      </c>
    </row>
    <row r="18" spans="1:8" hidden="1" x14ac:dyDescent="0.25">
      <c r="A18" s="2">
        <v>20030012</v>
      </c>
      <c r="B18" s="3" t="s">
        <v>22</v>
      </c>
      <c r="C18" s="3" t="s">
        <v>13</v>
      </c>
      <c r="D18" s="3">
        <v>395</v>
      </c>
      <c r="E18">
        <v>3</v>
      </c>
      <c r="F18" t="s">
        <v>193</v>
      </c>
      <c r="G18" t="s">
        <v>190</v>
      </c>
      <c r="H18" t="str">
        <f t="shared" si="0"/>
        <v>DETERGENTE 1 LITRO</v>
      </c>
    </row>
    <row r="19" spans="1:8" hidden="1" x14ac:dyDescent="0.25">
      <c r="A19" s="2">
        <v>20030013</v>
      </c>
      <c r="B19" s="3" t="s">
        <v>23</v>
      </c>
      <c r="C19" s="3" t="s">
        <v>13</v>
      </c>
      <c r="D19" s="3">
        <v>395</v>
      </c>
      <c r="E19">
        <v>3</v>
      </c>
      <c r="F19" t="s">
        <v>193</v>
      </c>
      <c r="G19" t="s">
        <v>190</v>
      </c>
      <c r="H19" t="str">
        <f t="shared" si="0"/>
        <v>DETERGENTE 1 LITRO</v>
      </c>
    </row>
    <row r="20" spans="1:8" hidden="1" x14ac:dyDescent="0.25">
      <c r="A20" s="2">
        <v>20030014</v>
      </c>
      <c r="B20" s="3" t="s">
        <v>24</v>
      </c>
      <c r="C20" s="3" t="s">
        <v>13</v>
      </c>
      <c r="D20" s="3">
        <v>395</v>
      </c>
      <c r="E20">
        <v>3</v>
      </c>
      <c r="F20" t="s">
        <v>193</v>
      </c>
      <c r="G20" t="s">
        <v>190</v>
      </c>
      <c r="H20" t="str">
        <f t="shared" si="0"/>
        <v>DETERGENTE 1 LITRO</v>
      </c>
    </row>
    <row r="21" spans="1:8" hidden="1" x14ac:dyDescent="0.25">
      <c r="A21" s="2">
        <v>20030020</v>
      </c>
      <c r="B21" s="3" t="s">
        <v>25</v>
      </c>
      <c r="C21" s="3" t="s">
        <v>13</v>
      </c>
      <c r="D21" s="3">
        <v>275</v>
      </c>
      <c r="E21">
        <v>3</v>
      </c>
      <c r="F21" t="s">
        <v>193</v>
      </c>
      <c r="G21" t="s">
        <v>194</v>
      </c>
      <c r="H21" t="str">
        <f t="shared" si="0"/>
        <v>DETERGENTE 500 ML</v>
      </c>
    </row>
    <row r="22" spans="1:8" hidden="1" x14ac:dyDescent="0.25">
      <c r="A22" s="2">
        <v>20030021</v>
      </c>
      <c r="B22" s="3" t="s">
        <v>26</v>
      </c>
      <c r="C22" s="3" t="s">
        <v>13</v>
      </c>
      <c r="D22" s="3">
        <v>275</v>
      </c>
      <c r="E22">
        <v>3</v>
      </c>
      <c r="F22" t="s">
        <v>193</v>
      </c>
      <c r="G22" t="s">
        <v>194</v>
      </c>
      <c r="H22" t="str">
        <f t="shared" si="0"/>
        <v>DETERGENTE 500 ML</v>
      </c>
    </row>
    <row r="23" spans="1:8" hidden="1" x14ac:dyDescent="0.25">
      <c r="A23" s="2">
        <v>20030022</v>
      </c>
      <c r="B23" s="3" t="s">
        <v>27</v>
      </c>
      <c r="C23" s="3" t="s">
        <v>13</v>
      </c>
      <c r="D23" s="3">
        <v>275</v>
      </c>
      <c r="E23">
        <v>3</v>
      </c>
      <c r="F23" t="s">
        <v>193</v>
      </c>
      <c r="G23" t="s">
        <v>194</v>
      </c>
      <c r="H23" t="str">
        <f t="shared" si="0"/>
        <v>DETERGENTE 500 ML</v>
      </c>
    </row>
    <row r="24" spans="1:8" hidden="1" x14ac:dyDescent="0.25">
      <c r="A24" s="2">
        <v>20030023</v>
      </c>
      <c r="B24" s="3" t="s">
        <v>28</v>
      </c>
      <c r="C24" s="3" t="s">
        <v>13</v>
      </c>
      <c r="D24" s="3">
        <v>275</v>
      </c>
      <c r="E24">
        <v>3</v>
      </c>
      <c r="F24" t="s">
        <v>193</v>
      </c>
      <c r="G24" t="s">
        <v>194</v>
      </c>
      <c r="H24" t="str">
        <f t="shared" si="0"/>
        <v>DETERGENTE 500 ML</v>
      </c>
    </row>
    <row r="25" spans="1:8" hidden="1" x14ac:dyDescent="0.25">
      <c r="A25" s="2">
        <v>20030024</v>
      </c>
      <c r="B25" s="3" t="s">
        <v>29</v>
      </c>
      <c r="C25" s="3" t="s">
        <v>18</v>
      </c>
      <c r="D25" s="3">
        <v>990</v>
      </c>
      <c r="E25">
        <v>3</v>
      </c>
      <c r="F25" t="s">
        <v>193</v>
      </c>
      <c r="G25" t="s">
        <v>192</v>
      </c>
      <c r="H25" t="str">
        <f t="shared" si="0"/>
        <v>DETERGENTE 5 LITROS</v>
      </c>
    </row>
    <row r="26" spans="1:8" hidden="1" x14ac:dyDescent="0.25">
      <c r="A26" s="2">
        <v>20030038</v>
      </c>
      <c r="B26" s="3" t="s">
        <v>30</v>
      </c>
      <c r="C26" s="3" t="s">
        <v>13</v>
      </c>
      <c r="D26" s="3">
        <v>275</v>
      </c>
      <c r="E26">
        <v>3</v>
      </c>
      <c r="F26" t="s">
        <v>193</v>
      </c>
      <c r="G26" t="s">
        <v>194</v>
      </c>
      <c r="H26" t="str">
        <f t="shared" si="0"/>
        <v>DETERGENTE 500 ML</v>
      </c>
    </row>
    <row r="27" spans="1:8" hidden="1" x14ac:dyDescent="0.25">
      <c r="A27" s="2">
        <v>20030039</v>
      </c>
      <c r="B27" s="3" t="s">
        <v>31</v>
      </c>
      <c r="C27" s="3" t="s">
        <v>13</v>
      </c>
      <c r="D27" s="3">
        <v>275</v>
      </c>
      <c r="E27">
        <v>3</v>
      </c>
      <c r="F27" t="s">
        <v>193</v>
      </c>
      <c r="G27" t="s">
        <v>194</v>
      </c>
      <c r="H27" t="str">
        <f t="shared" si="0"/>
        <v>DETERGENTE 500 ML</v>
      </c>
    </row>
    <row r="28" spans="1:8" hidden="1" x14ac:dyDescent="0.25">
      <c r="A28" s="2">
        <v>20030040</v>
      </c>
      <c r="B28" s="3" t="s">
        <v>32</v>
      </c>
      <c r="C28" s="3" t="s">
        <v>13</v>
      </c>
      <c r="D28" s="3">
        <v>275</v>
      </c>
      <c r="E28">
        <v>3</v>
      </c>
      <c r="F28" t="s">
        <v>193</v>
      </c>
      <c r="G28" t="s">
        <v>194</v>
      </c>
      <c r="H28" t="str">
        <f t="shared" si="0"/>
        <v>DETERGENTE 500 ML</v>
      </c>
    </row>
    <row r="29" spans="1:8" hidden="1" x14ac:dyDescent="0.25">
      <c r="A29" s="2">
        <v>20030067</v>
      </c>
      <c r="B29" s="3" t="s">
        <v>33</v>
      </c>
      <c r="C29" s="3" t="s">
        <v>13</v>
      </c>
      <c r="D29" s="3">
        <v>275</v>
      </c>
      <c r="E29">
        <v>3</v>
      </c>
      <c r="F29" t="s">
        <v>193</v>
      </c>
      <c r="G29" t="s">
        <v>194</v>
      </c>
      <c r="H29" t="str">
        <f t="shared" si="0"/>
        <v>DETERGENTE 500 ML</v>
      </c>
    </row>
    <row r="30" spans="1:8" hidden="1" x14ac:dyDescent="0.25">
      <c r="A30" s="2">
        <v>20030083</v>
      </c>
      <c r="B30" s="3" t="s">
        <v>34</v>
      </c>
      <c r="C30" s="3" t="s">
        <v>18</v>
      </c>
      <c r="D30" s="3">
        <v>990</v>
      </c>
      <c r="E30">
        <v>3</v>
      </c>
      <c r="F30" t="s">
        <v>193</v>
      </c>
      <c r="G30" t="s">
        <v>192</v>
      </c>
      <c r="H30" t="str">
        <f t="shared" si="0"/>
        <v>DETERGENTE 5 LITROS</v>
      </c>
    </row>
    <row r="31" spans="1:8" hidden="1" x14ac:dyDescent="0.25">
      <c r="A31" s="2">
        <v>20040006</v>
      </c>
      <c r="B31" s="3" t="s">
        <v>35</v>
      </c>
      <c r="C31" s="3" t="s">
        <v>36</v>
      </c>
      <c r="D31" s="3">
        <v>950</v>
      </c>
      <c r="E31">
        <v>4</v>
      </c>
      <c r="F31" t="s">
        <v>196</v>
      </c>
      <c r="G31" t="s">
        <v>191</v>
      </c>
      <c r="H31" t="str">
        <f t="shared" si="0"/>
        <v>AMACIANTE 2 LITROS</v>
      </c>
    </row>
    <row r="32" spans="1:8" hidden="1" x14ac:dyDescent="0.25">
      <c r="A32" s="2">
        <v>20040008</v>
      </c>
      <c r="B32" s="3" t="s">
        <v>37</v>
      </c>
      <c r="C32" s="3" t="s">
        <v>36</v>
      </c>
      <c r="D32" s="3">
        <v>950</v>
      </c>
      <c r="E32">
        <v>4</v>
      </c>
      <c r="F32" t="s">
        <v>196</v>
      </c>
      <c r="G32" t="s">
        <v>191</v>
      </c>
      <c r="H32" t="str">
        <f t="shared" si="0"/>
        <v>AMACIANTE 2 LITROS</v>
      </c>
    </row>
    <row r="33" spans="1:8" hidden="1" x14ac:dyDescent="0.25">
      <c r="A33" s="2">
        <v>20040009</v>
      </c>
      <c r="B33" s="3" t="s">
        <v>38</v>
      </c>
      <c r="C33" s="3" t="s">
        <v>36</v>
      </c>
      <c r="D33" s="3">
        <v>950</v>
      </c>
      <c r="E33">
        <v>4</v>
      </c>
      <c r="F33" t="s">
        <v>196</v>
      </c>
      <c r="G33" t="s">
        <v>191</v>
      </c>
      <c r="H33" t="str">
        <f t="shared" si="0"/>
        <v>AMACIANTE 2 LITROS</v>
      </c>
    </row>
    <row r="34" spans="1:8" hidden="1" x14ac:dyDescent="0.25">
      <c r="A34" s="2">
        <v>20040026</v>
      </c>
      <c r="B34" s="3" t="s">
        <v>39</v>
      </c>
      <c r="C34" s="3" t="s">
        <v>36</v>
      </c>
      <c r="D34" s="3">
        <v>950</v>
      </c>
      <c r="E34">
        <v>4</v>
      </c>
      <c r="F34" t="s">
        <v>196</v>
      </c>
      <c r="G34" t="s">
        <v>191</v>
      </c>
      <c r="H34" t="str">
        <f t="shared" si="0"/>
        <v>AMACIANTE 2 LITROS</v>
      </c>
    </row>
    <row r="35" spans="1:8" hidden="1" x14ac:dyDescent="0.25">
      <c r="A35" s="2">
        <v>20040028</v>
      </c>
      <c r="B35" s="3" t="s">
        <v>40</v>
      </c>
      <c r="C35" s="3" t="s">
        <v>36</v>
      </c>
      <c r="D35" s="3">
        <v>950</v>
      </c>
      <c r="E35">
        <v>4</v>
      </c>
      <c r="F35" t="s">
        <v>196</v>
      </c>
      <c r="G35" t="s">
        <v>191</v>
      </c>
      <c r="H35" t="str">
        <f t="shared" si="0"/>
        <v>AMACIANTE 2 LITROS</v>
      </c>
    </row>
    <row r="36" spans="1:8" hidden="1" x14ac:dyDescent="0.25">
      <c r="A36" s="2">
        <v>20040029</v>
      </c>
      <c r="B36" s="3" t="s">
        <v>41</v>
      </c>
      <c r="C36" s="3" t="s">
        <v>36</v>
      </c>
      <c r="D36" s="3">
        <v>950</v>
      </c>
      <c r="E36">
        <v>4</v>
      </c>
      <c r="F36" t="s">
        <v>196</v>
      </c>
      <c r="G36" t="s">
        <v>191</v>
      </c>
      <c r="H36" t="str">
        <f t="shared" si="0"/>
        <v>AMACIANTE 2 LITROS</v>
      </c>
    </row>
    <row r="37" spans="1:8" hidden="1" x14ac:dyDescent="0.25">
      <c r="A37" s="2">
        <v>20040030</v>
      </c>
      <c r="B37" s="3" t="s">
        <v>42</v>
      </c>
      <c r="C37" s="3" t="s">
        <v>18</v>
      </c>
      <c r="D37" s="3">
        <v>990</v>
      </c>
      <c r="E37">
        <v>4</v>
      </c>
      <c r="F37" t="s">
        <v>196</v>
      </c>
      <c r="G37" t="s">
        <v>192</v>
      </c>
      <c r="H37" t="str">
        <f t="shared" si="0"/>
        <v>AMACIANTE 5 LITROS</v>
      </c>
    </row>
    <row r="38" spans="1:8" hidden="1" x14ac:dyDescent="0.25">
      <c r="A38" s="2">
        <v>20040055</v>
      </c>
      <c r="B38" s="3" t="s">
        <v>43</v>
      </c>
      <c r="C38" s="3" t="s">
        <v>36</v>
      </c>
      <c r="D38" s="3">
        <v>950</v>
      </c>
      <c r="E38">
        <v>4</v>
      </c>
      <c r="F38" t="s">
        <v>196</v>
      </c>
      <c r="G38" t="s">
        <v>191</v>
      </c>
      <c r="H38" t="str">
        <f t="shared" si="0"/>
        <v>AMACIANTE 2 LITROS</v>
      </c>
    </row>
    <row r="39" spans="1:8" hidden="1" x14ac:dyDescent="0.25">
      <c r="A39" s="2">
        <v>20040057</v>
      </c>
      <c r="B39" s="3" t="s">
        <v>44</v>
      </c>
      <c r="C39" s="3" t="s">
        <v>36</v>
      </c>
      <c r="D39" s="3">
        <v>950</v>
      </c>
      <c r="E39">
        <v>4</v>
      </c>
      <c r="F39" t="s">
        <v>196</v>
      </c>
      <c r="G39" t="s">
        <v>191</v>
      </c>
      <c r="H39" t="str">
        <f t="shared" si="0"/>
        <v>AMACIANTE 2 LITROS</v>
      </c>
    </row>
    <row r="40" spans="1:8" hidden="1" x14ac:dyDescent="0.25">
      <c r="A40" s="2">
        <v>20040074</v>
      </c>
      <c r="B40" s="3" t="s">
        <v>45</v>
      </c>
      <c r="C40" s="3" t="s">
        <v>18</v>
      </c>
      <c r="D40" s="3">
        <v>990</v>
      </c>
      <c r="E40">
        <v>4</v>
      </c>
      <c r="F40" t="s">
        <v>196</v>
      </c>
      <c r="G40" t="s">
        <v>192</v>
      </c>
      <c r="H40" t="str">
        <f t="shared" si="0"/>
        <v>AMACIANTE 5 LITROS</v>
      </c>
    </row>
    <row r="41" spans="1:8" hidden="1" x14ac:dyDescent="0.25">
      <c r="A41" s="2">
        <v>20040075</v>
      </c>
      <c r="B41" s="3" t="s">
        <v>46</v>
      </c>
      <c r="C41" s="3" t="s">
        <v>18</v>
      </c>
      <c r="D41" s="3">
        <v>990</v>
      </c>
      <c r="E41">
        <v>4</v>
      </c>
      <c r="F41" t="s">
        <v>196</v>
      </c>
      <c r="G41" t="s">
        <v>192</v>
      </c>
      <c r="H41" t="str">
        <f t="shared" si="0"/>
        <v>AMACIANTE 5 LITROS</v>
      </c>
    </row>
    <row r="42" spans="1:8" hidden="1" x14ac:dyDescent="0.25">
      <c r="A42" s="2">
        <v>20040084</v>
      </c>
      <c r="B42" s="3" t="s">
        <v>47</v>
      </c>
      <c r="C42" s="3" t="s">
        <v>36</v>
      </c>
      <c r="D42" s="3">
        <v>950</v>
      </c>
      <c r="E42">
        <v>4</v>
      </c>
      <c r="F42" t="s">
        <v>196</v>
      </c>
      <c r="G42" t="s">
        <v>191</v>
      </c>
      <c r="H42" t="str">
        <f t="shared" si="0"/>
        <v>AMACIANTE 2 LITROS</v>
      </c>
    </row>
    <row r="43" spans="1:8" hidden="1" x14ac:dyDescent="0.25">
      <c r="A43" s="2">
        <v>20040086</v>
      </c>
      <c r="B43" s="3" t="s">
        <v>48</v>
      </c>
      <c r="C43" s="3" t="s">
        <v>18</v>
      </c>
      <c r="D43" s="3">
        <v>990</v>
      </c>
      <c r="E43">
        <v>4</v>
      </c>
      <c r="F43" t="s">
        <v>196</v>
      </c>
      <c r="G43" t="s">
        <v>192</v>
      </c>
      <c r="H43" t="str">
        <f t="shared" si="0"/>
        <v>AMACIANTE 5 LITROS</v>
      </c>
    </row>
    <row r="44" spans="1:8" hidden="1" x14ac:dyDescent="0.25">
      <c r="A44" s="2">
        <v>20040089</v>
      </c>
      <c r="B44" s="3" t="s">
        <v>49</v>
      </c>
      <c r="C44" s="3" t="s">
        <v>36</v>
      </c>
      <c r="D44" s="3">
        <v>950</v>
      </c>
      <c r="E44">
        <v>4</v>
      </c>
      <c r="F44" t="s">
        <v>196</v>
      </c>
      <c r="G44" t="s">
        <v>191</v>
      </c>
      <c r="H44" t="str">
        <f t="shared" si="0"/>
        <v>AMACIANTE 2 LITROS</v>
      </c>
    </row>
    <row r="45" spans="1:8" hidden="1" x14ac:dyDescent="0.25">
      <c r="A45" s="2">
        <v>20040091</v>
      </c>
      <c r="B45" s="3" t="s">
        <v>50</v>
      </c>
      <c r="C45" s="3" t="s">
        <v>18</v>
      </c>
      <c r="D45" s="3">
        <v>990</v>
      </c>
      <c r="E45">
        <v>4</v>
      </c>
      <c r="F45" t="s">
        <v>196</v>
      </c>
      <c r="G45" t="s">
        <v>192</v>
      </c>
      <c r="H45" t="str">
        <f t="shared" si="0"/>
        <v>AMACIANTE 5 LITROS</v>
      </c>
    </row>
    <row r="46" spans="1:8" hidden="1" x14ac:dyDescent="0.25">
      <c r="A46" s="2">
        <v>20040094</v>
      </c>
      <c r="B46" s="3" t="s">
        <v>51</v>
      </c>
      <c r="C46" s="3" t="s">
        <v>36</v>
      </c>
      <c r="D46" s="3">
        <v>950</v>
      </c>
      <c r="E46">
        <v>4</v>
      </c>
      <c r="F46" t="s">
        <v>196</v>
      </c>
      <c r="G46" t="s">
        <v>191</v>
      </c>
      <c r="H46" t="str">
        <f t="shared" si="0"/>
        <v>AMACIANTE 2 LITROS</v>
      </c>
    </row>
    <row r="47" spans="1:8" hidden="1" x14ac:dyDescent="0.25">
      <c r="A47" s="2">
        <v>20040095</v>
      </c>
      <c r="B47" s="3" t="s">
        <v>52</v>
      </c>
      <c r="C47" s="3" t="s">
        <v>18</v>
      </c>
      <c r="D47" s="3">
        <v>990</v>
      </c>
      <c r="E47">
        <v>4</v>
      </c>
      <c r="F47" t="s">
        <v>196</v>
      </c>
      <c r="G47" t="s">
        <v>192</v>
      </c>
      <c r="H47" t="str">
        <f t="shared" si="0"/>
        <v>AMACIANTE 5 LITROS</v>
      </c>
    </row>
    <row r="48" spans="1:8" hidden="1" x14ac:dyDescent="0.25">
      <c r="A48" s="2">
        <v>20050001</v>
      </c>
      <c r="B48" s="3" t="s">
        <v>53</v>
      </c>
      <c r="C48" s="3" t="s">
        <v>13</v>
      </c>
      <c r="D48" s="3">
        <v>375</v>
      </c>
      <c r="E48">
        <v>5</v>
      </c>
      <c r="F48" t="s">
        <v>197</v>
      </c>
      <c r="G48" t="s">
        <v>194</v>
      </c>
      <c r="H48" t="str">
        <f t="shared" si="0"/>
        <v>DESINFETANTE 500 ML</v>
      </c>
    </row>
    <row r="49" spans="1:8" hidden="1" x14ac:dyDescent="0.25">
      <c r="A49" s="2">
        <v>20050010</v>
      </c>
      <c r="B49" s="3" t="s">
        <v>54</v>
      </c>
      <c r="C49" s="3" t="s">
        <v>36</v>
      </c>
      <c r="D49" s="3">
        <v>900</v>
      </c>
      <c r="E49">
        <v>5</v>
      </c>
      <c r="F49" t="s">
        <v>197</v>
      </c>
      <c r="G49" t="s">
        <v>191</v>
      </c>
      <c r="H49" t="str">
        <f t="shared" si="0"/>
        <v>DESINFETANTE 2 LITROS</v>
      </c>
    </row>
    <row r="50" spans="1:8" hidden="1" x14ac:dyDescent="0.25">
      <c r="A50" s="2">
        <v>20050011</v>
      </c>
      <c r="B50" s="3" t="s">
        <v>55</v>
      </c>
      <c r="C50" s="3" t="s">
        <v>36</v>
      </c>
      <c r="D50" s="3">
        <v>900</v>
      </c>
      <c r="E50">
        <v>5</v>
      </c>
      <c r="F50" t="s">
        <v>197</v>
      </c>
      <c r="G50" t="s">
        <v>191</v>
      </c>
      <c r="H50" t="str">
        <f t="shared" si="0"/>
        <v>DESINFETANTE 2 LITROS</v>
      </c>
    </row>
    <row r="51" spans="1:8" hidden="1" x14ac:dyDescent="0.25">
      <c r="A51" s="2">
        <v>20050016</v>
      </c>
      <c r="B51" s="3" t="s">
        <v>56</v>
      </c>
      <c r="C51" s="3" t="s">
        <v>36</v>
      </c>
      <c r="D51" s="3">
        <v>900</v>
      </c>
      <c r="E51">
        <v>5</v>
      </c>
      <c r="F51" t="s">
        <v>197</v>
      </c>
      <c r="G51" t="s">
        <v>191</v>
      </c>
      <c r="H51" t="str">
        <f t="shared" si="0"/>
        <v>DESINFETANTE 2 LITROS</v>
      </c>
    </row>
    <row r="52" spans="1:8" hidden="1" x14ac:dyDescent="0.25">
      <c r="A52" s="2">
        <v>20050026</v>
      </c>
      <c r="B52" s="3" t="s">
        <v>57</v>
      </c>
      <c r="C52" s="3" t="s">
        <v>13</v>
      </c>
      <c r="D52" s="3">
        <v>375</v>
      </c>
      <c r="E52">
        <v>5</v>
      </c>
      <c r="F52" t="s">
        <v>197</v>
      </c>
      <c r="G52" t="s">
        <v>194</v>
      </c>
      <c r="H52" t="str">
        <f t="shared" si="0"/>
        <v>DESINFETANTE 500 ML</v>
      </c>
    </row>
    <row r="53" spans="1:8" hidden="1" x14ac:dyDescent="0.25">
      <c r="A53" s="2">
        <v>20050031</v>
      </c>
      <c r="B53" s="3" t="s">
        <v>58</v>
      </c>
      <c r="C53" s="3" t="s">
        <v>36</v>
      </c>
      <c r="D53" s="3">
        <v>900</v>
      </c>
      <c r="E53">
        <v>5</v>
      </c>
      <c r="F53" t="s">
        <v>197</v>
      </c>
      <c r="G53" t="s">
        <v>191</v>
      </c>
      <c r="H53" t="str">
        <f t="shared" si="0"/>
        <v>DESINFETANTE 2 LITROS</v>
      </c>
    </row>
    <row r="54" spans="1:8" hidden="1" x14ac:dyDescent="0.25">
      <c r="A54" s="2">
        <v>20050032</v>
      </c>
      <c r="B54" s="3" t="s">
        <v>59</v>
      </c>
      <c r="C54" s="3" t="s">
        <v>36</v>
      </c>
      <c r="D54" s="3">
        <v>900</v>
      </c>
      <c r="E54">
        <v>5</v>
      </c>
      <c r="F54" t="s">
        <v>197</v>
      </c>
      <c r="G54" t="s">
        <v>191</v>
      </c>
      <c r="H54" t="str">
        <f t="shared" si="0"/>
        <v>DESINFETANTE 2 LITROS</v>
      </c>
    </row>
    <row r="55" spans="1:8" hidden="1" x14ac:dyDescent="0.25">
      <c r="A55" s="2">
        <v>20050034</v>
      </c>
      <c r="B55" s="3" t="s">
        <v>60</v>
      </c>
      <c r="C55" s="3" t="s">
        <v>36</v>
      </c>
      <c r="D55" s="3">
        <v>900</v>
      </c>
      <c r="E55">
        <v>5</v>
      </c>
      <c r="F55" t="s">
        <v>197</v>
      </c>
      <c r="G55" t="s">
        <v>191</v>
      </c>
      <c r="H55" t="str">
        <f t="shared" si="0"/>
        <v>DESINFETANTE 2 LITROS</v>
      </c>
    </row>
    <row r="56" spans="1:8" hidden="1" x14ac:dyDescent="0.25">
      <c r="A56" s="2">
        <v>20050077</v>
      </c>
      <c r="B56" s="3" t="s">
        <v>61</v>
      </c>
      <c r="C56" s="3" t="s">
        <v>36</v>
      </c>
      <c r="D56" s="3">
        <v>900</v>
      </c>
      <c r="E56">
        <v>5</v>
      </c>
      <c r="F56" t="s">
        <v>197</v>
      </c>
      <c r="G56" t="s">
        <v>191</v>
      </c>
      <c r="H56" t="str">
        <f t="shared" si="0"/>
        <v>DESINFETANTE 2 LITROS</v>
      </c>
    </row>
    <row r="57" spans="1:8" hidden="1" x14ac:dyDescent="0.25">
      <c r="A57" s="2">
        <v>20050078</v>
      </c>
      <c r="B57" s="3" t="s">
        <v>62</v>
      </c>
      <c r="C57" s="3" t="s">
        <v>36</v>
      </c>
      <c r="D57" s="3">
        <v>900</v>
      </c>
      <c r="E57">
        <v>5</v>
      </c>
      <c r="F57" t="s">
        <v>197</v>
      </c>
      <c r="G57" t="s">
        <v>191</v>
      </c>
      <c r="H57" t="str">
        <f t="shared" si="0"/>
        <v>DESINFETANTE 2 LITROS</v>
      </c>
    </row>
    <row r="58" spans="1:8" hidden="1" x14ac:dyDescent="0.25">
      <c r="A58" s="2">
        <v>20050113</v>
      </c>
      <c r="B58" s="3" t="s">
        <v>63</v>
      </c>
      <c r="C58" s="3" t="s">
        <v>6</v>
      </c>
      <c r="D58" s="3">
        <v>520</v>
      </c>
      <c r="E58">
        <v>5</v>
      </c>
      <c r="F58" t="s">
        <v>197</v>
      </c>
      <c r="G58" t="s">
        <v>192</v>
      </c>
      <c r="H58" t="str">
        <f t="shared" si="0"/>
        <v>DESINFETANTE 5 LITROS</v>
      </c>
    </row>
    <row r="59" spans="1:8" hidden="1" x14ac:dyDescent="0.25">
      <c r="A59" s="2">
        <v>20050114</v>
      </c>
      <c r="B59" s="3" t="s">
        <v>64</v>
      </c>
      <c r="C59" s="3" t="s">
        <v>6</v>
      </c>
      <c r="D59" s="3">
        <v>520</v>
      </c>
      <c r="E59">
        <v>5</v>
      </c>
      <c r="F59" t="s">
        <v>197</v>
      </c>
      <c r="G59" t="s">
        <v>192</v>
      </c>
      <c r="H59" t="str">
        <f t="shared" si="0"/>
        <v>DESINFETANTE 5 LITROS</v>
      </c>
    </row>
    <row r="60" spans="1:8" hidden="1" x14ac:dyDescent="0.25">
      <c r="A60" s="2">
        <v>20050115</v>
      </c>
      <c r="B60" s="3" t="s">
        <v>65</v>
      </c>
      <c r="C60" s="3" t="s">
        <v>36</v>
      </c>
      <c r="D60" s="3">
        <v>900</v>
      </c>
      <c r="E60">
        <v>5</v>
      </c>
      <c r="F60" t="s">
        <v>197</v>
      </c>
      <c r="G60" t="s">
        <v>191</v>
      </c>
      <c r="H60" t="str">
        <f t="shared" si="0"/>
        <v>DESINFETANTE 2 LITROS</v>
      </c>
    </row>
    <row r="61" spans="1:8" hidden="1" x14ac:dyDescent="0.25">
      <c r="A61" s="2">
        <v>20050116</v>
      </c>
      <c r="B61" s="3" t="s">
        <v>66</v>
      </c>
      <c r="C61" s="3" t="s">
        <v>6</v>
      </c>
      <c r="D61" s="3">
        <v>520</v>
      </c>
      <c r="E61">
        <v>5</v>
      </c>
      <c r="F61" t="s">
        <v>197</v>
      </c>
      <c r="G61" t="s">
        <v>192</v>
      </c>
      <c r="H61" t="str">
        <f t="shared" si="0"/>
        <v>DESINFETANTE 5 LITROS</v>
      </c>
    </row>
    <row r="62" spans="1:8" hidden="1" x14ac:dyDescent="0.25">
      <c r="A62" s="2">
        <v>20050117</v>
      </c>
      <c r="B62" s="3" t="s">
        <v>67</v>
      </c>
      <c r="C62" s="3" t="s">
        <v>36</v>
      </c>
      <c r="D62" s="3">
        <v>900</v>
      </c>
      <c r="E62">
        <v>5</v>
      </c>
      <c r="F62" t="s">
        <v>197</v>
      </c>
      <c r="G62" t="s">
        <v>191</v>
      </c>
      <c r="H62" t="str">
        <f t="shared" si="0"/>
        <v>DESINFETANTE 2 LITROS</v>
      </c>
    </row>
    <row r="63" spans="1:8" hidden="1" x14ac:dyDescent="0.25">
      <c r="A63" s="2">
        <v>20050119</v>
      </c>
      <c r="B63" s="3" t="s">
        <v>68</v>
      </c>
      <c r="C63" s="3" t="s">
        <v>13</v>
      </c>
      <c r="D63" s="3">
        <v>375</v>
      </c>
      <c r="E63">
        <v>5</v>
      </c>
      <c r="F63" t="s">
        <v>197</v>
      </c>
      <c r="G63" t="s">
        <v>194</v>
      </c>
      <c r="H63" t="str">
        <f t="shared" si="0"/>
        <v>DESINFETANTE 500 ML</v>
      </c>
    </row>
    <row r="64" spans="1:8" hidden="1" x14ac:dyDescent="0.25">
      <c r="A64" s="2">
        <v>20050123</v>
      </c>
      <c r="B64" s="3" t="s">
        <v>69</v>
      </c>
      <c r="C64" s="3" t="s">
        <v>36</v>
      </c>
      <c r="D64" s="3">
        <v>900</v>
      </c>
      <c r="E64">
        <v>5</v>
      </c>
      <c r="F64" t="s">
        <v>197</v>
      </c>
      <c r="G64" t="s">
        <v>191</v>
      </c>
      <c r="H64" t="str">
        <f t="shared" si="0"/>
        <v>DESINFETANTE 2 LITROS</v>
      </c>
    </row>
    <row r="65" spans="1:8" hidden="1" x14ac:dyDescent="0.25">
      <c r="A65" s="2">
        <v>20050124</v>
      </c>
      <c r="B65" s="3" t="s">
        <v>70</v>
      </c>
      <c r="C65" s="3" t="s">
        <v>36</v>
      </c>
      <c r="D65" s="3">
        <v>900</v>
      </c>
      <c r="E65">
        <v>5</v>
      </c>
      <c r="F65" t="s">
        <v>197</v>
      </c>
      <c r="G65" t="s">
        <v>191</v>
      </c>
      <c r="H65" t="str">
        <f t="shared" si="0"/>
        <v>DESINFETANTE 2 LITROS</v>
      </c>
    </row>
    <row r="66" spans="1:8" hidden="1" x14ac:dyDescent="0.25">
      <c r="A66" s="2">
        <v>20050142</v>
      </c>
      <c r="B66" s="3" t="s">
        <v>71</v>
      </c>
      <c r="C66" s="3" t="s">
        <v>36</v>
      </c>
      <c r="D66" s="3">
        <v>900</v>
      </c>
      <c r="E66">
        <v>5</v>
      </c>
      <c r="F66" t="s">
        <v>197</v>
      </c>
      <c r="G66" t="s">
        <v>191</v>
      </c>
      <c r="H66" t="str">
        <f t="shared" si="0"/>
        <v>DESINFETANTE 2 LITROS</v>
      </c>
    </row>
    <row r="67" spans="1:8" hidden="1" x14ac:dyDescent="0.25">
      <c r="A67" s="2">
        <v>20050143</v>
      </c>
      <c r="B67" s="3" t="s">
        <v>72</v>
      </c>
      <c r="C67" s="3" t="s">
        <v>6</v>
      </c>
      <c r="D67" s="3">
        <v>520</v>
      </c>
      <c r="E67">
        <v>5</v>
      </c>
      <c r="F67" t="s">
        <v>197</v>
      </c>
      <c r="G67" t="s">
        <v>192</v>
      </c>
      <c r="H67" t="str">
        <f t="shared" ref="H67:H130" si="1">CONCATENATE(F67," ",G67)</f>
        <v>DESINFETANTE 5 LITROS</v>
      </c>
    </row>
    <row r="68" spans="1:8" hidden="1" x14ac:dyDescent="0.25">
      <c r="A68" s="2">
        <v>20050144</v>
      </c>
      <c r="B68" s="3" t="s">
        <v>73</v>
      </c>
      <c r="C68" s="3" t="s">
        <v>6</v>
      </c>
      <c r="D68" s="3">
        <v>520</v>
      </c>
      <c r="E68">
        <v>5</v>
      </c>
      <c r="F68" t="s">
        <v>197</v>
      </c>
      <c r="G68" t="s">
        <v>192</v>
      </c>
      <c r="H68" t="str">
        <f t="shared" si="1"/>
        <v>DESINFETANTE 5 LITROS</v>
      </c>
    </row>
    <row r="69" spans="1:8" hidden="1" x14ac:dyDescent="0.25">
      <c r="A69" s="2">
        <v>20050145</v>
      </c>
      <c r="B69" s="3" t="s">
        <v>74</v>
      </c>
      <c r="C69" s="3" t="s">
        <v>13</v>
      </c>
      <c r="D69" s="3">
        <v>375</v>
      </c>
      <c r="E69">
        <v>5</v>
      </c>
      <c r="F69" t="s">
        <v>197</v>
      </c>
      <c r="G69" t="s">
        <v>194</v>
      </c>
      <c r="H69" t="str">
        <f t="shared" si="1"/>
        <v>DESINFETANTE 500 ML</v>
      </c>
    </row>
    <row r="70" spans="1:8" hidden="1" x14ac:dyDescent="0.25">
      <c r="A70" s="2">
        <v>20050149</v>
      </c>
      <c r="B70" s="3" t="s">
        <v>75</v>
      </c>
      <c r="C70" s="3" t="s">
        <v>13</v>
      </c>
      <c r="D70" s="3">
        <v>375</v>
      </c>
      <c r="E70">
        <v>5</v>
      </c>
      <c r="F70" t="s">
        <v>197</v>
      </c>
      <c r="G70" t="s">
        <v>190</v>
      </c>
      <c r="H70" t="str">
        <f t="shared" si="1"/>
        <v>DESINFETANTE 1 LITRO</v>
      </c>
    </row>
    <row r="71" spans="1:8" hidden="1" x14ac:dyDescent="0.25">
      <c r="A71" s="2">
        <v>20050150</v>
      </c>
      <c r="B71" s="3" t="s">
        <v>76</v>
      </c>
      <c r="C71" s="3" t="s">
        <v>13</v>
      </c>
      <c r="D71" s="3">
        <v>375</v>
      </c>
      <c r="E71">
        <v>5</v>
      </c>
      <c r="F71" t="s">
        <v>197</v>
      </c>
      <c r="G71" t="s">
        <v>190</v>
      </c>
      <c r="H71" t="str">
        <f t="shared" si="1"/>
        <v>DESINFETANTE 1 LITRO</v>
      </c>
    </row>
    <row r="72" spans="1:8" hidden="1" x14ac:dyDescent="0.25">
      <c r="A72" s="2">
        <v>20050151</v>
      </c>
      <c r="B72" s="3" t="s">
        <v>77</v>
      </c>
      <c r="C72" s="3" t="s">
        <v>13</v>
      </c>
      <c r="D72" s="3">
        <v>375</v>
      </c>
      <c r="E72">
        <v>5</v>
      </c>
      <c r="F72" t="s">
        <v>197</v>
      </c>
      <c r="G72" t="s">
        <v>190</v>
      </c>
      <c r="H72" t="str">
        <f t="shared" si="1"/>
        <v>DESINFETANTE 1 LITRO</v>
      </c>
    </row>
    <row r="73" spans="1:8" hidden="1" x14ac:dyDescent="0.25">
      <c r="A73" s="2">
        <v>20050152</v>
      </c>
      <c r="B73" s="3" t="s">
        <v>78</v>
      </c>
      <c r="C73" s="3" t="s">
        <v>13</v>
      </c>
      <c r="D73" s="3">
        <v>375</v>
      </c>
      <c r="E73">
        <v>5</v>
      </c>
      <c r="F73" t="s">
        <v>197</v>
      </c>
      <c r="G73" t="s">
        <v>190</v>
      </c>
      <c r="H73" t="str">
        <f t="shared" si="1"/>
        <v>DESINFETANTE 1 LITRO</v>
      </c>
    </row>
    <row r="74" spans="1:8" hidden="1" x14ac:dyDescent="0.25">
      <c r="A74" s="2">
        <v>20050153</v>
      </c>
      <c r="B74" s="3" t="s">
        <v>79</v>
      </c>
      <c r="C74" s="3" t="s">
        <v>13</v>
      </c>
      <c r="D74" s="3">
        <v>375</v>
      </c>
      <c r="E74">
        <v>5</v>
      </c>
      <c r="F74" t="s">
        <v>197</v>
      </c>
      <c r="G74" t="s">
        <v>194</v>
      </c>
      <c r="H74" t="str">
        <f t="shared" si="1"/>
        <v>DESINFETANTE 500 ML</v>
      </c>
    </row>
    <row r="75" spans="1:8" hidden="1" x14ac:dyDescent="0.25">
      <c r="A75" s="2">
        <v>20050155</v>
      </c>
      <c r="B75" s="3" t="s">
        <v>80</v>
      </c>
      <c r="C75" s="3" t="s">
        <v>13</v>
      </c>
      <c r="D75" s="3">
        <v>375</v>
      </c>
      <c r="E75">
        <v>5</v>
      </c>
      <c r="F75" t="s">
        <v>197</v>
      </c>
      <c r="G75" t="s">
        <v>190</v>
      </c>
      <c r="H75" t="str">
        <f t="shared" si="1"/>
        <v>DESINFETANTE 1 LITRO</v>
      </c>
    </row>
    <row r="76" spans="1:8" hidden="1" x14ac:dyDescent="0.25">
      <c r="A76" s="2">
        <v>20050156</v>
      </c>
      <c r="B76" s="3" t="s">
        <v>81</v>
      </c>
      <c r="C76" s="3" t="s">
        <v>13</v>
      </c>
      <c r="D76" s="3">
        <v>375</v>
      </c>
      <c r="E76">
        <v>5</v>
      </c>
      <c r="F76" t="s">
        <v>197</v>
      </c>
      <c r="G76" t="s">
        <v>190</v>
      </c>
      <c r="H76" t="str">
        <f t="shared" si="1"/>
        <v>DESINFETANTE 1 LITRO</v>
      </c>
    </row>
    <row r="77" spans="1:8" hidden="1" x14ac:dyDescent="0.25">
      <c r="A77" s="2">
        <v>20050157</v>
      </c>
      <c r="B77" s="3" t="s">
        <v>82</v>
      </c>
      <c r="C77" s="3" t="s">
        <v>13</v>
      </c>
      <c r="D77" s="3">
        <v>375</v>
      </c>
      <c r="E77">
        <v>5</v>
      </c>
      <c r="F77" t="s">
        <v>197</v>
      </c>
      <c r="G77" t="s">
        <v>190</v>
      </c>
      <c r="H77" t="str">
        <f t="shared" si="1"/>
        <v>DESINFETANTE 1 LITRO</v>
      </c>
    </row>
    <row r="78" spans="1:8" hidden="1" x14ac:dyDescent="0.25">
      <c r="A78" s="2">
        <v>20050158</v>
      </c>
      <c r="B78" s="3" t="s">
        <v>146</v>
      </c>
      <c r="C78" s="3" t="s">
        <v>6</v>
      </c>
      <c r="D78" s="3">
        <v>520</v>
      </c>
      <c r="E78">
        <v>5</v>
      </c>
      <c r="F78" t="s">
        <v>197</v>
      </c>
      <c r="G78" t="s">
        <v>192</v>
      </c>
      <c r="H78" t="str">
        <f t="shared" si="1"/>
        <v>DESINFETANTE 5 LITROS</v>
      </c>
    </row>
    <row r="79" spans="1:8" hidden="1" x14ac:dyDescent="0.25">
      <c r="A79" s="2">
        <v>20050159</v>
      </c>
      <c r="B79" s="3" t="s">
        <v>147</v>
      </c>
      <c r="C79" s="3" t="s">
        <v>36</v>
      </c>
      <c r="D79" s="3">
        <v>900</v>
      </c>
      <c r="E79">
        <v>5</v>
      </c>
      <c r="F79" t="s">
        <v>197</v>
      </c>
      <c r="G79" t="s">
        <v>191</v>
      </c>
      <c r="H79" t="str">
        <f t="shared" si="1"/>
        <v>DESINFETANTE 2 LITROS</v>
      </c>
    </row>
    <row r="80" spans="1:8" hidden="1" x14ac:dyDescent="0.25">
      <c r="A80" s="2">
        <v>20060001</v>
      </c>
      <c r="B80" s="3" t="s">
        <v>83</v>
      </c>
      <c r="C80" s="3" t="s">
        <v>84</v>
      </c>
      <c r="D80" s="3">
        <v>190</v>
      </c>
      <c r="E80">
        <v>6</v>
      </c>
      <c r="F80" t="s">
        <v>198</v>
      </c>
      <c r="G80" t="s">
        <v>194</v>
      </c>
      <c r="H80" t="str">
        <f t="shared" si="1"/>
        <v>LIMPADOR PERFUMADO 500 ML</v>
      </c>
    </row>
    <row r="81" spans="1:8" hidden="1" x14ac:dyDescent="0.25">
      <c r="A81" s="2">
        <v>20060004</v>
      </c>
      <c r="B81" s="3" t="s">
        <v>148</v>
      </c>
      <c r="C81" s="3" t="s">
        <v>84</v>
      </c>
      <c r="D81" s="3">
        <v>220</v>
      </c>
      <c r="E81">
        <v>6</v>
      </c>
      <c r="F81" t="s">
        <v>198</v>
      </c>
      <c r="G81" t="s">
        <v>190</v>
      </c>
      <c r="H81" t="str">
        <f t="shared" si="1"/>
        <v>LIMPADOR PERFUMADO 1 LITRO</v>
      </c>
    </row>
    <row r="82" spans="1:8" hidden="1" x14ac:dyDescent="0.25">
      <c r="A82" s="2">
        <v>20060007</v>
      </c>
      <c r="B82" s="3" t="s">
        <v>85</v>
      </c>
      <c r="C82" s="3" t="s">
        <v>36</v>
      </c>
      <c r="D82" s="3">
        <v>600</v>
      </c>
      <c r="E82">
        <v>6</v>
      </c>
      <c r="F82" t="s">
        <v>198</v>
      </c>
      <c r="G82" t="s">
        <v>191</v>
      </c>
      <c r="H82" t="str">
        <f t="shared" si="1"/>
        <v>LIMPADOR PERFUMADO 2 LITROS</v>
      </c>
    </row>
    <row r="83" spans="1:8" hidden="1" x14ac:dyDescent="0.25">
      <c r="A83" s="2">
        <v>20060009</v>
      </c>
      <c r="B83" s="3" t="s">
        <v>86</v>
      </c>
      <c r="C83" s="3" t="s">
        <v>36</v>
      </c>
      <c r="D83" s="3">
        <v>600</v>
      </c>
      <c r="E83">
        <v>6</v>
      </c>
      <c r="F83" t="s">
        <v>198</v>
      </c>
      <c r="G83" t="s">
        <v>191</v>
      </c>
      <c r="H83" t="str">
        <f t="shared" si="1"/>
        <v>LIMPADOR PERFUMADO 2 LITROS</v>
      </c>
    </row>
    <row r="84" spans="1:8" hidden="1" x14ac:dyDescent="0.25">
      <c r="A84" s="2">
        <v>20060010</v>
      </c>
      <c r="B84" s="3" t="s">
        <v>87</v>
      </c>
      <c r="C84" s="3" t="s">
        <v>84</v>
      </c>
      <c r="D84" s="3">
        <v>190</v>
      </c>
      <c r="E84">
        <v>6</v>
      </c>
      <c r="F84" t="s">
        <v>198</v>
      </c>
      <c r="G84" t="s">
        <v>194</v>
      </c>
      <c r="H84" t="str">
        <f t="shared" si="1"/>
        <v>LIMPADOR PERFUMADO 500 ML</v>
      </c>
    </row>
    <row r="85" spans="1:8" hidden="1" x14ac:dyDescent="0.25">
      <c r="A85" s="2">
        <v>20060011</v>
      </c>
      <c r="B85" s="3" t="s">
        <v>88</v>
      </c>
      <c r="C85" s="3" t="s">
        <v>84</v>
      </c>
      <c r="D85" s="3">
        <v>190</v>
      </c>
      <c r="E85">
        <v>6</v>
      </c>
      <c r="F85" t="s">
        <v>198</v>
      </c>
      <c r="G85" t="s">
        <v>194</v>
      </c>
      <c r="H85" t="str">
        <f t="shared" si="1"/>
        <v>LIMPADOR PERFUMADO 500 ML</v>
      </c>
    </row>
    <row r="86" spans="1:8" hidden="1" x14ac:dyDescent="0.25">
      <c r="A86" s="2">
        <v>20060012</v>
      </c>
      <c r="B86" s="3" t="s">
        <v>149</v>
      </c>
      <c r="C86" s="3" t="s">
        <v>84</v>
      </c>
      <c r="D86" s="3">
        <v>220</v>
      </c>
      <c r="E86">
        <v>6</v>
      </c>
      <c r="F86" t="s">
        <v>198</v>
      </c>
      <c r="G86" t="s">
        <v>190</v>
      </c>
      <c r="H86" t="str">
        <f t="shared" si="1"/>
        <v>LIMPADOR PERFUMADO 1 LITRO</v>
      </c>
    </row>
    <row r="87" spans="1:8" hidden="1" x14ac:dyDescent="0.25">
      <c r="A87" s="2">
        <v>20060013</v>
      </c>
      <c r="B87" s="3" t="s">
        <v>150</v>
      </c>
      <c r="C87" s="3" t="s">
        <v>84</v>
      </c>
      <c r="D87" s="3">
        <v>220</v>
      </c>
      <c r="E87">
        <v>6</v>
      </c>
      <c r="F87" t="s">
        <v>198</v>
      </c>
      <c r="G87" t="s">
        <v>190</v>
      </c>
      <c r="H87" t="str">
        <f t="shared" si="1"/>
        <v>LIMPADOR PERFUMADO 1 LITRO</v>
      </c>
    </row>
    <row r="88" spans="1:8" hidden="1" x14ac:dyDescent="0.25">
      <c r="A88" s="2">
        <v>20060015</v>
      </c>
      <c r="B88" s="3" t="s">
        <v>89</v>
      </c>
      <c r="C88" s="3" t="s">
        <v>84</v>
      </c>
      <c r="D88" s="3">
        <v>190</v>
      </c>
      <c r="E88">
        <v>6</v>
      </c>
      <c r="F88" t="s">
        <v>198</v>
      </c>
      <c r="G88" t="s">
        <v>194</v>
      </c>
      <c r="H88" t="str">
        <f t="shared" si="1"/>
        <v>LIMPADOR PERFUMADO 500 ML</v>
      </c>
    </row>
    <row r="89" spans="1:8" hidden="1" x14ac:dyDescent="0.25">
      <c r="A89" s="2">
        <v>20060016</v>
      </c>
      <c r="B89" s="3" t="s">
        <v>151</v>
      </c>
      <c r="C89" s="3" t="s">
        <v>84</v>
      </c>
      <c r="D89" s="3">
        <v>220</v>
      </c>
      <c r="E89">
        <v>6</v>
      </c>
      <c r="F89" t="s">
        <v>198</v>
      </c>
      <c r="G89" t="s">
        <v>190</v>
      </c>
      <c r="H89" t="str">
        <f t="shared" si="1"/>
        <v>LIMPADOR PERFUMADO 1 LITRO</v>
      </c>
    </row>
    <row r="90" spans="1:8" hidden="1" x14ac:dyDescent="0.25">
      <c r="A90" s="2">
        <v>20060017</v>
      </c>
      <c r="B90" s="3" t="s">
        <v>90</v>
      </c>
      <c r="C90" s="3" t="s">
        <v>36</v>
      </c>
      <c r="D90" s="3">
        <v>600</v>
      </c>
      <c r="E90">
        <v>6</v>
      </c>
      <c r="F90" t="s">
        <v>198</v>
      </c>
      <c r="G90" t="s">
        <v>191</v>
      </c>
      <c r="H90" t="str">
        <f t="shared" si="1"/>
        <v>LIMPADOR PERFUMADO 2 LITROS</v>
      </c>
    </row>
    <row r="91" spans="1:8" hidden="1" x14ac:dyDescent="0.25">
      <c r="A91" s="2">
        <v>20060027</v>
      </c>
      <c r="B91" s="3" t="s">
        <v>91</v>
      </c>
      <c r="C91" s="3" t="s">
        <v>84</v>
      </c>
      <c r="D91" s="3">
        <v>220</v>
      </c>
      <c r="E91">
        <v>6</v>
      </c>
      <c r="F91" t="s">
        <v>198</v>
      </c>
      <c r="G91" t="s">
        <v>190</v>
      </c>
      <c r="H91" t="str">
        <f t="shared" si="1"/>
        <v>LIMPADOR PERFUMADO 1 LITRO</v>
      </c>
    </row>
    <row r="92" spans="1:8" hidden="1" x14ac:dyDescent="0.25">
      <c r="A92" s="2">
        <v>20060028</v>
      </c>
      <c r="B92" s="3" t="s">
        <v>92</v>
      </c>
      <c r="C92" s="3" t="s">
        <v>36</v>
      </c>
      <c r="D92" s="3">
        <v>600</v>
      </c>
      <c r="E92">
        <v>6</v>
      </c>
      <c r="F92" t="s">
        <v>198</v>
      </c>
      <c r="G92" t="s">
        <v>191</v>
      </c>
      <c r="H92" t="str">
        <f t="shared" si="1"/>
        <v>LIMPADOR PERFUMADO 2 LITROS</v>
      </c>
    </row>
    <row r="93" spans="1:8" hidden="1" x14ac:dyDescent="0.25">
      <c r="A93" s="2">
        <v>20070001</v>
      </c>
      <c r="B93" s="3" t="s">
        <v>93</v>
      </c>
      <c r="C93" s="3" t="s">
        <v>84</v>
      </c>
      <c r="D93" s="3">
        <v>100</v>
      </c>
      <c r="E93">
        <v>7</v>
      </c>
      <c r="F93" t="s">
        <v>199</v>
      </c>
      <c r="G93" t="s">
        <v>200</v>
      </c>
      <c r="H93" t="str">
        <f t="shared" si="1"/>
        <v>LIMPA VIDROS 500 ML PULVERIZADOR</v>
      </c>
    </row>
    <row r="94" spans="1:8" hidden="1" x14ac:dyDescent="0.25">
      <c r="A94" s="2">
        <v>20070002</v>
      </c>
      <c r="B94" s="3" t="s">
        <v>94</v>
      </c>
      <c r="C94" s="3" t="s">
        <v>84</v>
      </c>
      <c r="D94" s="3">
        <v>175</v>
      </c>
      <c r="E94">
        <v>7</v>
      </c>
      <c r="F94" t="s">
        <v>199</v>
      </c>
      <c r="G94" t="s">
        <v>201</v>
      </c>
      <c r="H94" t="str">
        <f t="shared" si="1"/>
        <v>LIMPA VIDROS 500 ML RECARGA</v>
      </c>
    </row>
    <row r="95" spans="1:8" hidden="1" x14ac:dyDescent="0.25">
      <c r="A95" s="2">
        <v>20070006</v>
      </c>
      <c r="B95" s="3" t="s">
        <v>95</v>
      </c>
      <c r="C95" s="3" t="s">
        <v>84</v>
      </c>
      <c r="D95" s="3">
        <v>100</v>
      </c>
      <c r="E95">
        <v>7</v>
      </c>
      <c r="F95" t="s">
        <v>199</v>
      </c>
      <c r="G95" t="s">
        <v>200</v>
      </c>
      <c r="H95" t="str">
        <f t="shared" si="1"/>
        <v>LIMPA VIDROS 500 ML PULVERIZADOR</v>
      </c>
    </row>
    <row r="96" spans="1:8" hidden="1" x14ac:dyDescent="0.25">
      <c r="A96" s="2">
        <v>20070007</v>
      </c>
      <c r="B96" s="3" t="s">
        <v>96</v>
      </c>
      <c r="C96" s="3" t="s">
        <v>84</v>
      </c>
      <c r="D96" s="3">
        <v>175</v>
      </c>
      <c r="E96">
        <v>7</v>
      </c>
      <c r="F96" t="s">
        <v>199</v>
      </c>
      <c r="G96" t="s">
        <v>201</v>
      </c>
      <c r="H96" t="str">
        <f t="shared" si="1"/>
        <v>LIMPA VIDROS 500 ML RECARGA</v>
      </c>
    </row>
    <row r="97" spans="1:8" hidden="1" x14ac:dyDescent="0.25">
      <c r="A97" s="2">
        <v>20070008</v>
      </c>
      <c r="B97" s="3" t="s">
        <v>97</v>
      </c>
      <c r="C97" s="3" t="s">
        <v>84</v>
      </c>
      <c r="D97" s="3">
        <v>200</v>
      </c>
      <c r="E97">
        <v>7</v>
      </c>
      <c r="F97" t="s">
        <v>199</v>
      </c>
      <c r="G97" t="s">
        <v>202</v>
      </c>
      <c r="H97" t="str">
        <f t="shared" si="1"/>
        <v>LIMPA VIDROS 500 ML SQUEEZE</v>
      </c>
    </row>
    <row r="98" spans="1:8" hidden="1" x14ac:dyDescent="0.25">
      <c r="A98" s="2">
        <v>20090001</v>
      </c>
      <c r="B98" s="3" t="s">
        <v>98</v>
      </c>
      <c r="C98" s="3" t="s">
        <v>84</v>
      </c>
      <c r="D98" s="3">
        <v>100</v>
      </c>
      <c r="E98">
        <v>9</v>
      </c>
      <c r="F98" t="s">
        <v>203</v>
      </c>
      <c r="G98" t="s">
        <v>200</v>
      </c>
      <c r="H98" t="str">
        <f t="shared" si="1"/>
        <v>DESENGORDURANTE 500 ML PULVERIZADOR</v>
      </c>
    </row>
    <row r="99" spans="1:8" hidden="1" x14ac:dyDescent="0.25">
      <c r="A99" s="2">
        <v>20090002</v>
      </c>
      <c r="B99" s="3" t="s">
        <v>99</v>
      </c>
      <c r="C99" s="3" t="s">
        <v>84</v>
      </c>
      <c r="D99" s="3">
        <v>175</v>
      </c>
      <c r="E99">
        <v>9</v>
      </c>
      <c r="F99" t="s">
        <v>203</v>
      </c>
      <c r="G99" t="s">
        <v>201</v>
      </c>
      <c r="H99" t="str">
        <f t="shared" si="1"/>
        <v>DESENGORDURANTE 500 ML RECARGA</v>
      </c>
    </row>
    <row r="100" spans="1:8" hidden="1" x14ac:dyDescent="0.25">
      <c r="A100" s="2">
        <v>20090004</v>
      </c>
      <c r="B100" s="3" t="s">
        <v>100</v>
      </c>
      <c r="C100" s="3" t="s">
        <v>84</v>
      </c>
      <c r="D100" s="3">
        <v>245</v>
      </c>
      <c r="E100">
        <v>9</v>
      </c>
      <c r="F100" t="s">
        <v>203</v>
      </c>
      <c r="G100" t="s">
        <v>202</v>
      </c>
      <c r="H100" t="str">
        <f t="shared" si="1"/>
        <v>DESENGORDURANTE 500 ML SQUEEZE</v>
      </c>
    </row>
    <row r="101" spans="1:8" hidden="1" x14ac:dyDescent="0.25">
      <c r="A101" s="2">
        <v>20090005</v>
      </c>
      <c r="B101" s="3" t="s">
        <v>101</v>
      </c>
      <c r="C101" s="3" t="s">
        <v>84</v>
      </c>
      <c r="D101" s="3">
        <v>190</v>
      </c>
      <c r="E101">
        <v>9</v>
      </c>
      <c r="F101" t="s">
        <v>203</v>
      </c>
      <c r="G101" t="s">
        <v>190</v>
      </c>
      <c r="H101" t="str">
        <f t="shared" si="1"/>
        <v>DESENGORDURANTE 1 LITRO</v>
      </c>
    </row>
    <row r="102" spans="1:8" hidden="1" x14ac:dyDescent="0.25">
      <c r="A102" s="2">
        <v>20090010</v>
      </c>
      <c r="B102" s="3" t="s">
        <v>102</v>
      </c>
      <c r="C102" s="3" t="s">
        <v>84</v>
      </c>
      <c r="D102" s="3">
        <v>200</v>
      </c>
      <c r="E102">
        <v>9</v>
      </c>
      <c r="F102" t="s">
        <v>203</v>
      </c>
      <c r="G102" t="s">
        <v>194</v>
      </c>
      <c r="H102" t="str">
        <f t="shared" si="1"/>
        <v>DESENGORDURANTE 500 ML</v>
      </c>
    </row>
    <row r="103" spans="1:8" hidden="1" x14ac:dyDescent="0.25">
      <c r="A103" s="2">
        <v>20110002</v>
      </c>
      <c r="B103" s="3" t="s">
        <v>152</v>
      </c>
      <c r="C103" s="3" t="s">
        <v>84</v>
      </c>
      <c r="D103" s="3">
        <v>225</v>
      </c>
      <c r="E103">
        <v>11</v>
      </c>
      <c r="F103" t="s">
        <v>204</v>
      </c>
      <c r="G103" t="s">
        <v>202</v>
      </c>
      <c r="H103" t="str">
        <f t="shared" si="1"/>
        <v>MULTIUSO 500 ML SQUEEZE</v>
      </c>
    </row>
    <row r="104" spans="1:8" hidden="1" x14ac:dyDescent="0.25">
      <c r="A104" s="2">
        <v>20110004</v>
      </c>
      <c r="B104" s="3" t="s">
        <v>153</v>
      </c>
      <c r="C104" s="3" t="s">
        <v>84</v>
      </c>
      <c r="D104" s="3">
        <v>225</v>
      </c>
      <c r="E104">
        <v>11</v>
      </c>
      <c r="F104" t="s">
        <v>204</v>
      </c>
      <c r="G104" t="s">
        <v>202</v>
      </c>
      <c r="H104" t="str">
        <f t="shared" si="1"/>
        <v>MULTIUSO 500 ML SQUEEZE</v>
      </c>
    </row>
    <row r="105" spans="1:8" hidden="1" x14ac:dyDescent="0.25">
      <c r="A105" s="2">
        <v>20110007</v>
      </c>
      <c r="B105" s="3" t="s">
        <v>154</v>
      </c>
      <c r="C105" s="3" t="s">
        <v>84</v>
      </c>
      <c r="D105" s="3">
        <v>225</v>
      </c>
      <c r="E105">
        <v>11</v>
      </c>
      <c r="F105" t="s">
        <v>204</v>
      </c>
      <c r="G105" t="s">
        <v>202</v>
      </c>
      <c r="H105" t="str">
        <f t="shared" si="1"/>
        <v>MULTIUSO 500 ML SQUEEZE</v>
      </c>
    </row>
    <row r="106" spans="1:8" hidden="1" x14ac:dyDescent="0.25">
      <c r="A106" s="2">
        <v>20110008</v>
      </c>
      <c r="B106" s="3" t="s">
        <v>155</v>
      </c>
      <c r="C106" s="3" t="s">
        <v>84</v>
      </c>
      <c r="D106" s="3">
        <v>200</v>
      </c>
      <c r="E106">
        <v>11</v>
      </c>
      <c r="F106" t="s">
        <v>204</v>
      </c>
      <c r="G106" t="s">
        <v>206</v>
      </c>
      <c r="H106" t="str">
        <f t="shared" si="1"/>
        <v>MULTIUSO 1 L SQUEEZE</v>
      </c>
    </row>
    <row r="107" spans="1:8" hidden="1" x14ac:dyDescent="0.25">
      <c r="A107" s="2">
        <v>20110010</v>
      </c>
      <c r="B107" s="3" t="s">
        <v>156</v>
      </c>
      <c r="C107" s="3" t="s">
        <v>84</v>
      </c>
      <c r="D107" s="3">
        <v>200</v>
      </c>
      <c r="E107">
        <v>11</v>
      </c>
      <c r="F107" t="s">
        <v>204</v>
      </c>
      <c r="G107" t="s">
        <v>206</v>
      </c>
      <c r="H107" t="str">
        <f t="shared" si="1"/>
        <v>MULTIUSO 1 L SQUEEZE</v>
      </c>
    </row>
    <row r="108" spans="1:8" hidden="1" x14ac:dyDescent="0.25">
      <c r="A108" s="2">
        <v>20110013</v>
      </c>
      <c r="B108" s="3" t="s">
        <v>157</v>
      </c>
      <c r="C108" s="3" t="s">
        <v>84</v>
      </c>
      <c r="D108" s="3">
        <v>200</v>
      </c>
      <c r="E108">
        <v>11</v>
      </c>
      <c r="F108" t="s">
        <v>204</v>
      </c>
      <c r="G108" t="s">
        <v>206</v>
      </c>
      <c r="H108" t="str">
        <f t="shared" si="1"/>
        <v>MULTIUSO 1 L SQUEEZE</v>
      </c>
    </row>
    <row r="109" spans="1:8" hidden="1" x14ac:dyDescent="0.25">
      <c r="A109" s="2">
        <v>20110022</v>
      </c>
      <c r="B109" s="3" t="s">
        <v>103</v>
      </c>
      <c r="C109" s="3" t="s">
        <v>84</v>
      </c>
      <c r="D109" s="3">
        <v>225</v>
      </c>
      <c r="E109">
        <v>11</v>
      </c>
      <c r="F109" t="s">
        <v>204</v>
      </c>
      <c r="G109" t="s">
        <v>194</v>
      </c>
      <c r="H109" t="str">
        <f t="shared" si="1"/>
        <v>MULTIUSO 500 ML</v>
      </c>
    </row>
    <row r="110" spans="1:8" hidden="1" x14ac:dyDescent="0.25">
      <c r="A110" s="2">
        <v>20110023</v>
      </c>
      <c r="B110" s="3" t="s">
        <v>158</v>
      </c>
      <c r="C110" s="3" t="s">
        <v>84</v>
      </c>
      <c r="D110" s="3">
        <v>225</v>
      </c>
      <c r="E110">
        <v>11</v>
      </c>
      <c r="F110" t="s">
        <v>204</v>
      </c>
      <c r="G110" t="s">
        <v>202</v>
      </c>
      <c r="H110" t="str">
        <f t="shared" si="1"/>
        <v>MULTIUSO 500 ML SQUEEZE</v>
      </c>
    </row>
    <row r="111" spans="1:8" hidden="1" x14ac:dyDescent="0.25">
      <c r="A111" s="2">
        <v>20110024</v>
      </c>
      <c r="B111" s="3" t="s">
        <v>159</v>
      </c>
      <c r="C111" s="3" t="s">
        <v>84</v>
      </c>
      <c r="D111" s="3">
        <v>200</v>
      </c>
      <c r="E111">
        <v>11</v>
      </c>
      <c r="F111" t="s">
        <v>204</v>
      </c>
      <c r="G111" t="s">
        <v>206</v>
      </c>
      <c r="H111" t="str">
        <f t="shared" si="1"/>
        <v>MULTIUSO 1 L SQUEEZE</v>
      </c>
    </row>
    <row r="112" spans="1:8" hidden="1" x14ac:dyDescent="0.25">
      <c r="A112" s="2">
        <v>20110025</v>
      </c>
      <c r="B112" s="3" t="s">
        <v>160</v>
      </c>
      <c r="C112" s="3" t="s">
        <v>84</v>
      </c>
      <c r="D112" s="3">
        <v>120</v>
      </c>
      <c r="E112">
        <v>11</v>
      </c>
      <c r="F112" t="s">
        <v>204</v>
      </c>
      <c r="G112" t="s">
        <v>205</v>
      </c>
      <c r="H112" t="str">
        <f t="shared" si="1"/>
        <v>MULTIUSO 1 L PULVERIZADOR</v>
      </c>
    </row>
    <row r="113" spans="1:8" hidden="1" x14ac:dyDescent="0.25">
      <c r="A113" s="2">
        <v>20110026</v>
      </c>
      <c r="B113" s="3" t="s">
        <v>161</v>
      </c>
      <c r="C113" s="3" t="s">
        <v>84</v>
      </c>
      <c r="D113" s="3">
        <v>120</v>
      </c>
      <c r="E113">
        <v>11</v>
      </c>
      <c r="F113" t="s">
        <v>204</v>
      </c>
      <c r="G113" t="s">
        <v>205</v>
      </c>
      <c r="H113" t="str">
        <f t="shared" si="1"/>
        <v>MULTIUSO 1 L PULVERIZADOR</v>
      </c>
    </row>
    <row r="114" spans="1:8" hidden="1" x14ac:dyDescent="0.25">
      <c r="A114" s="2">
        <v>20110027</v>
      </c>
      <c r="B114" s="3" t="s">
        <v>162</v>
      </c>
      <c r="C114" s="3" t="s">
        <v>84</v>
      </c>
      <c r="D114" s="3">
        <v>100</v>
      </c>
      <c r="E114">
        <v>11</v>
      </c>
      <c r="F114" t="s">
        <v>204</v>
      </c>
      <c r="G114" t="s">
        <v>200</v>
      </c>
      <c r="H114" t="str">
        <f t="shared" si="1"/>
        <v>MULTIUSO 500 ML PULVERIZADOR</v>
      </c>
    </row>
    <row r="115" spans="1:8" hidden="1" x14ac:dyDescent="0.25">
      <c r="A115" s="2">
        <v>20150001</v>
      </c>
      <c r="B115" s="3" t="s">
        <v>104</v>
      </c>
      <c r="C115" s="3" t="s">
        <v>163</v>
      </c>
      <c r="D115" s="3">
        <v>180</v>
      </c>
      <c r="E115">
        <v>15</v>
      </c>
      <c r="F115" t="s">
        <v>207</v>
      </c>
      <c r="G115" t="s">
        <v>194</v>
      </c>
      <c r="H115" t="str">
        <f t="shared" si="1"/>
        <v>AMACIANTE CONCENTRADO 500 ML</v>
      </c>
    </row>
    <row r="116" spans="1:8" hidden="1" x14ac:dyDescent="0.25">
      <c r="A116" s="2">
        <v>20150005</v>
      </c>
      <c r="B116" s="3" t="s">
        <v>105</v>
      </c>
      <c r="C116" s="3" t="s">
        <v>163</v>
      </c>
      <c r="D116" s="3">
        <v>180</v>
      </c>
      <c r="E116">
        <v>15</v>
      </c>
      <c r="F116" t="s">
        <v>207</v>
      </c>
      <c r="G116" t="s">
        <v>194</v>
      </c>
      <c r="H116" t="str">
        <f t="shared" si="1"/>
        <v>AMACIANTE CONCENTRADO 500 ML</v>
      </c>
    </row>
    <row r="117" spans="1:8" hidden="1" x14ac:dyDescent="0.25">
      <c r="A117" s="2">
        <v>20150007</v>
      </c>
      <c r="B117" s="3" t="s">
        <v>106</v>
      </c>
      <c r="C117" s="3" t="s">
        <v>163</v>
      </c>
      <c r="D117" s="3">
        <v>165</v>
      </c>
      <c r="E117">
        <v>15</v>
      </c>
      <c r="F117" t="s">
        <v>207</v>
      </c>
      <c r="G117" t="s">
        <v>190</v>
      </c>
      <c r="H117" t="str">
        <f t="shared" si="1"/>
        <v>AMACIANTE CONCENTRADO 1 LITRO</v>
      </c>
    </row>
    <row r="118" spans="1:8" hidden="1" x14ac:dyDescent="0.25">
      <c r="A118" s="2">
        <v>20150008</v>
      </c>
      <c r="B118" s="3" t="s">
        <v>107</v>
      </c>
      <c r="C118" s="3" t="s">
        <v>163</v>
      </c>
      <c r="D118" s="3">
        <v>165</v>
      </c>
      <c r="E118">
        <v>15</v>
      </c>
      <c r="F118" t="s">
        <v>207</v>
      </c>
      <c r="G118" t="s">
        <v>190</v>
      </c>
      <c r="H118" t="str">
        <f t="shared" si="1"/>
        <v>AMACIANTE CONCENTRADO 1 LITRO</v>
      </c>
    </row>
    <row r="119" spans="1:8" hidden="1" x14ac:dyDescent="0.25">
      <c r="A119" s="2">
        <v>20150011</v>
      </c>
      <c r="B119" s="3" t="s">
        <v>108</v>
      </c>
      <c r="C119" s="3" t="s">
        <v>163</v>
      </c>
      <c r="D119" s="3">
        <v>165</v>
      </c>
      <c r="E119">
        <v>15</v>
      </c>
      <c r="F119" t="s">
        <v>207</v>
      </c>
      <c r="G119" t="s">
        <v>190</v>
      </c>
      <c r="H119" t="str">
        <f t="shared" si="1"/>
        <v>AMACIANTE CONCENTRADO 1 LITRO</v>
      </c>
    </row>
    <row r="120" spans="1:8" hidden="1" x14ac:dyDescent="0.25">
      <c r="A120" s="2">
        <v>20150013</v>
      </c>
      <c r="B120" s="3" t="s">
        <v>109</v>
      </c>
      <c r="C120" s="3" t="s">
        <v>163</v>
      </c>
      <c r="D120" s="3">
        <v>180</v>
      </c>
      <c r="E120">
        <v>15</v>
      </c>
      <c r="F120" t="s">
        <v>207</v>
      </c>
      <c r="G120" t="s">
        <v>194</v>
      </c>
      <c r="H120" t="str">
        <f t="shared" si="1"/>
        <v>AMACIANTE CONCENTRADO 500 ML</v>
      </c>
    </row>
    <row r="121" spans="1:8" hidden="1" x14ac:dyDescent="0.25">
      <c r="A121" s="2">
        <v>20150014</v>
      </c>
      <c r="B121" s="3" t="s">
        <v>110</v>
      </c>
      <c r="C121" s="3" t="s">
        <v>163</v>
      </c>
      <c r="D121" s="3">
        <v>165</v>
      </c>
      <c r="E121">
        <v>15</v>
      </c>
      <c r="F121" t="s">
        <v>207</v>
      </c>
      <c r="G121" t="s">
        <v>190</v>
      </c>
      <c r="H121" t="str">
        <f t="shared" si="1"/>
        <v>AMACIANTE CONCENTRADO 1 LITRO</v>
      </c>
    </row>
    <row r="122" spans="1:8" hidden="1" x14ac:dyDescent="0.25">
      <c r="A122" s="2">
        <v>20150021</v>
      </c>
      <c r="B122" s="3" t="s">
        <v>111</v>
      </c>
      <c r="C122" s="3" t="s">
        <v>163</v>
      </c>
      <c r="D122" s="3">
        <v>166</v>
      </c>
      <c r="E122">
        <v>15</v>
      </c>
      <c r="F122" t="s">
        <v>207</v>
      </c>
      <c r="G122" t="s">
        <v>208</v>
      </c>
      <c r="H122" t="str">
        <f t="shared" si="1"/>
        <v>AMACIANTE CONCENTRADO 1,5 LITROS</v>
      </c>
    </row>
    <row r="123" spans="1:8" hidden="1" x14ac:dyDescent="0.25">
      <c r="A123" s="2">
        <v>20150022</v>
      </c>
      <c r="B123" s="3" t="s">
        <v>164</v>
      </c>
      <c r="C123" s="3" t="s">
        <v>163</v>
      </c>
      <c r="D123" s="3">
        <v>166</v>
      </c>
      <c r="E123">
        <v>15</v>
      </c>
      <c r="F123" t="s">
        <v>207</v>
      </c>
      <c r="G123" t="s">
        <v>208</v>
      </c>
      <c r="H123" t="str">
        <f t="shared" si="1"/>
        <v>AMACIANTE CONCENTRADO 1,5 LITROS</v>
      </c>
    </row>
    <row r="124" spans="1:8" hidden="1" x14ac:dyDescent="0.25">
      <c r="A124" s="2">
        <v>20150023</v>
      </c>
      <c r="B124" s="3" t="s">
        <v>112</v>
      </c>
      <c r="C124" s="3" t="s">
        <v>163</v>
      </c>
      <c r="D124" s="3">
        <v>166</v>
      </c>
      <c r="E124">
        <v>15</v>
      </c>
      <c r="F124" t="s">
        <v>207</v>
      </c>
      <c r="G124" t="s">
        <v>208</v>
      </c>
      <c r="H124" t="str">
        <f t="shared" si="1"/>
        <v>AMACIANTE CONCENTRADO 1,5 LITROS</v>
      </c>
    </row>
    <row r="125" spans="1:8" hidden="1" x14ac:dyDescent="0.25">
      <c r="A125" s="2">
        <v>20150024</v>
      </c>
      <c r="B125" s="3" t="s">
        <v>113</v>
      </c>
      <c r="C125" s="3" t="s">
        <v>163</v>
      </c>
      <c r="D125" s="3">
        <v>166</v>
      </c>
      <c r="E125">
        <v>15</v>
      </c>
      <c r="F125" t="s">
        <v>207</v>
      </c>
      <c r="G125" t="s">
        <v>208</v>
      </c>
      <c r="H125" t="str">
        <f t="shared" si="1"/>
        <v>AMACIANTE CONCENTRADO 1,5 LITROS</v>
      </c>
    </row>
    <row r="126" spans="1:8" hidden="1" x14ac:dyDescent="0.25">
      <c r="A126" s="2">
        <v>20150028</v>
      </c>
      <c r="B126" s="3" t="s">
        <v>114</v>
      </c>
      <c r="C126" s="3" t="s">
        <v>18</v>
      </c>
      <c r="D126" s="3">
        <v>1200</v>
      </c>
      <c r="E126">
        <v>15</v>
      </c>
      <c r="F126" t="s">
        <v>207</v>
      </c>
      <c r="G126" t="s">
        <v>210</v>
      </c>
      <c r="H126" t="str">
        <f t="shared" si="1"/>
        <v>AMACIANTE CONCENTRADO 3 LITROS</v>
      </c>
    </row>
    <row r="127" spans="1:8" hidden="1" x14ac:dyDescent="0.25">
      <c r="A127" s="2">
        <v>20150035</v>
      </c>
      <c r="B127" s="3" t="s">
        <v>115</v>
      </c>
      <c r="C127" s="3" t="s">
        <v>163</v>
      </c>
      <c r="D127" s="3">
        <v>165</v>
      </c>
      <c r="E127">
        <v>15</v>
      </c>
      <c r="F127" t="s">
        <v>207</v>
      </c>
      <c r="G127" t="s">
        <v>190</v>
      </c>
      <c r="H127" t="str">
        <f t="shared" si="1"/>
        <v>AMACIANTE CONCENTRADO 1 LITRO</v>
      </c>
    </row>
    <row r="128" spans="1:8" hidden="1" x14ac:dyDescent="0.25">
      <c r="A128" s="2">
        <v>20150051</v>
      </c>
      <c r="B128" s="3" t="s">
        <v>116</v>
      </c>
      <c r="C128" s="3" t="s">
        <v>18</v>
      </c>
      <c r="D128" s="3">
        <v>1200</v>
      </c>
      <c r="E128">
        <v>15</v>
      </c>
      <c r="F128" t="s">
        <v>207</v>
      </c>
      <c r="G128" t="s">
        <v>210</v>
      </c>
      <c r="H128" t="str">
        <f t="shared" si="1"/>
        <v>AMACIANTE CONCENTRADO 3 LITROS</v>
      </c>
    </row>
    <row r="129" spans="1:8" hidden="1" x14ac:dyDescent="0.25">
      <c r="A129" s="2">
        <v>20150053</v>
      </c>
      <c r="B129" s="3" t="s">
        <v>117</v>
      </c>
      <c r="C129" s="3" t="s">
        <v>163</v>
      </c>
      <c r="D129" s="3">
        <v>166</v>
      </c>
      <c r="E129">
        <v>15</v>
      </c>
      <c r="F129" t="s">
        <v>207</v>
      </c>
      <c r="G129" t="s">
        <v>208</v>
      </c>
      <c r="H129" t="str">
        <f t="shared" si="1"/>
        <v>AMACIANTE CONCENTRADO 1,5 LITROS</v>
      </c>
    </row>
    <row r="130" spans="1:8" hidden="1" x14ac:dyDescent="0.25">
      <c r="A130" s="2">
        <v>20150055</v>
      </c>
      <c r="B130" s="3" t="s">
        <v>118</v>
      </c>
      <c r="C130" s="3" t="s">
        <v>163</v>
      </c>
      <c r="D130" s="3">
        <v>165</v>
      </c>
      <c r="E130">
        <v>15</v>
      </c>
      <c r="F130" t="s">
        <v>207</v>
      </c>
      <c r="G130" t="s">
        <v>190</v>
      </c>
      <c r="H130" t="str">
        <f t="shared" si="1"/>
        <v>AMACIANTE CONCENTRADO 1 LITRO</v>
      </c>
    </row>
    <row r="131" spans="1:8" hidden="1" x14ac:dyDescent="0.25">
      <c r="A131" s="2">
        <v>20150057</v>
      </c>
      <c r="B131" s="3" t="s">
        <v>165</v>
      </c>
      <c r="C131" s="3" t="s">
        <v>163</v>
      </c>
      <c r="D131" s="3">
        <v>165</v>
      </c>
      <c r="E131">
        <v>15</v>
      </c>
      <c r="F131" t="s">
        <v>207</v>
      </c>
      <c r="G131" t="s">
        <v>190</v>
      </c>
      <c r="H131" t="str">
        <f t="shared" ref="H131:H175" si="2">CONCATENATE(F131," ",G131)</f>
        <v>AMACIANTE CONCENTRADO 1 LITRO</v>
      </c>
    </row>
    <row r="132" spans="1:8" hidden="1" x14ac:dyDescent="0.25">
      <c r="A132" s="2">
        <v>20150058</v>
      </c>
      <c r="B132" s="3" t="s">
        <v>166</v>
      </c>
      <c r="C132" s="3" t="s">
        <v>163</v>
      </c>
      <c r="D132" s="3">
        <v>200</v>
      </c>
      <c r="E132">
        <v>15</v>
      </c>
      <c r="F132" t="s">
        <v>207</v>
      </c>
      <c r="G132" t="s">
        <v>209</v>
      </c>
      <c r="H132" t="str">
        <f t="shared" si="2"/>
        <v>AMACIANTE CONCENTRADO 1,5L PROMOC</v>
      </c>
    </row>
    <row r="133" spans="1:8" hidden="1" x14ac:dyDescent="0.25">
      <c r="A133" s="2">
        <v>20150059</v>
      </c>
      <c r="B133" s="3" t="s">
        <v>167</v>
      </c>
      <c r="C133" s="3" t="s">
        <v>163</v>
      </c>
      <c r="D133" s="3">
        <v>200</v>
      </c>
      <c r="E133">
        <v>15</v>
      </c>
      <c r="F133" t="s">
        <v>207</v>
      </c>
      <c r="G133" t="s">
        <v>209</v>
      </c>
      <c r="H133" t="str">
        <f t="shared" si="2"/>
        <v>AMACIANTE CONCENTRADO 1,5L PROMOC</v>
      </c>
    </row>
    <row r="134" spans="1:8" hidden="1" x14ac:dyDescent="0.25">
      <c r="A134" s="2">
        <v>20150068</v>
      </c>
      <c r="B134" s="3" t="s">
        <v>168</v>
      </c>
      <c r="C134" s="3" t="s">
        <v>163</v>
      </c>
      <c r="D134" s="3">
        <v>166</v>
      </c>
      <c r="E134">
        <v>15</v>
      </c>
      <c r="F134" t="s">
        <v>207</v>
      </c>
      <c r="G134" t="s">
        <v>209</v>
      </c>
      <c r="H134" t="str">
        <f t="shared" si="2"/>
        <v>AMACIANTE CONCENTRADO 1,5L PROMOC</v>
      </c>
    </row>
    <row r="135" spans="1:8" hidden="1" x14ac:dyDescent="0.25">
      <c r="A135" s="2">
        <v>20150069</v>
      </c>
      <c r="B135" s="3" t="s">
        <v>169</v>
      </c>
      <c r="C135" s="3" t="s">
        <v>163</v>
      </c>
      <c r="D135" s="3">
        <v>166</v>
      </c>
      <c r="E135">
        <v>15</v>
      </c>
      <c r="F135" t="s">
        <v>207</v>
      </c>
      <c r="G135" t="s">
        <v>209</v>
      </c>
      <c r="H135" t="str">
        <f t="shared" si="2"/>
        <v>AMACIANTE CONCENTRADO 1,5L PROMOC</v>
      </c>
    </row>
    <row r="136" spans="1:8" hidden="1" x14ac:dyDescent="0.25">
      <c r="A136" s="2">
        <v>20150070</v>
      </c>
      <c r="B136" s="3" t="s">
        <v>170</v>
      </c>
      <c r="C136" s="3" t="s">
        <v>163</v>
      </c>
      <c r="D136" s="3">
        <v>166</v>
      </c>
      <c r="E136">
        <v>15</v>
      </c>
      <c r="F136" t="s">
        <v>207</v>
      </c>
      <c r="G136" t="s">
        <v>209</v>
      </c>
      <c r="H136" t="str">
        <f t="shared" si="2"/>
        <v>AMACIANTE CONCENTRADO 1,5L PROMOC</v>
      </c>
    </row>
    <row r="137" spans="1:8" hidden="1" x14ac:dyDescent="0.25">
      <c r="A137" s="2">
        <v>20160001</v>
      </c>
      <c r="B137" s="3" t="s">
        <v>119</v>
      </c>
      <c r="C137" s="3" t="s">
        <v>3</v>
      </c>
      <c r="D137" s="3">
        <v>225</v>
      </c>
      <c r="E137">
        <v>16</v>
      </c>
      <c r="F137" t="s">
        <v>211</v>
      </c>
      <c r="G137" t="s">
        <v>190</v>
      </c>
      <c r="H137" t="str">
        <f t="shared" si="2"/>
        <v>ALVEJANTE SEM CLORO 1 LITRO</v>
      </c>
    </row>
    <row r="138" spans="1:8" hidden="1" x14ac:dyDescent="0.25">
      <c r="A138" s="2">
        <v>20160002</v>
      </c>
      <c r="B138" s="3" t="s">
        <v>120</v>
      </c>
      <c r="C138" s="3" t="s">
        <v>3</v>
      </c>
      <c r="D138" s="3">
        <v>420</v>
      </c>
      <c r="E138">
        <v>16</v>
      </c>
      <c r="F138" t="s">
        <v>211</v>
      </c>
      <c r="G138" t="s">
        <v>191</v>
      </c>
      <c r="H138" t="str">
        <f t="shared" si="2"/>
        <v>ALVEJANTE SEM CLORO 2 LITROS</v>
      </c>
    </row>
    <row r="139" spans="1:8" hidden="1" x14ac:dyDescent="0.25">
      <c r="A139" s="2">
        <v>20160003</v>
      </c>
      <c r="B139" s="3" t="s">
        <v>121</v>
      </c>
      <c r="C139" s="3" t="s">
        <v>6</v>
      </c>
      <c r="D139" s="3">
        <v>550</v>
      </c>
      <c r="E139">
        <v>16</v>
      </c>
      <c r="F139" t="s">
        <v>211</v>
      </c>
      <c r="G139" t="s">
        <v>192</v>
      </c>
      <c r="H139" t="str">
        <f t="shared" si="2"/>
        <v>ALVEJANTE SEM CLORO 5 LITROS</v>
      </c>
    </row>
    <row r="140" spans="1:8" hidden="1" x14ac:dyDescent="0.25">
      <c r="A140" s="2">
        <v>20160005</v>
      </c>
      <c r="B140" s="3" t="s">
        <v>122</v>
      </c>
      <c r="C140" s="3" t="s">
        <v>6</v>
      </c>
      <c r="D140" s="3">
        <v>500</v>
      </c>
      <c r="E140">
        <v>16</v>
      </c>
      <c r="F140" t="s">
        <v>211</v>
      </c>
      <c r="G140" t="s">
        <v>210</v>
      </c>
      <c r="H140" t="str">
        <f t="shared" si="2"/>
        <v>ALVEJANTE SEM CLORO 3 LITROS</v>
      </c>
    </row>
    <row r="141" spans="1:8" hidden="1" x14ac:dyDescent="0.25">
      <c r="A141" s="2">
        <v>20200003</v>
      </c>
      <c r="B141" s="3" t="s">
        <v>171</v>
      </c>
      <c r="C141" s="3" t="s">
        <v>36</v>
      </c>
      <c r="D141" s="3">
        <v>100</v>
      </c>
      <c r="E141">
        <v>20</v>
      </c>
      <c r="F141" t="s">
        <v>212</v>
      </c>
      <c r="G141" t="s">
        <v>190</v>
      </c>
      <c r="H141" t="str">
        <f t="shared" si="2"/>
        <v>LAVA ROUPAS 1 LITRO</v>
      </c>
    </row>
    <row r="142" spans="1:8" hidden="1" x14ac:dyDescent="0.25">
      <c r="A142" s="2">
        <v>20200005</v>
      </c>
      <c r="B142" s="3" t="s">
        <v>123</v>
      </c>
      <c r="C142" s="3" t="s">
        <v>36</v>
      </c>
      <c r="D142" s="3">
        <v>750</v>
      </c>
      <c r="E142">
        <v>20</v>
      </c>
      <c r="F142" t="s">
        <v>212</v>
      </c>
      <c r="G142" t="s">
        <v>191</v>
      </c>
      <c r="H142" t="str">
        <f t="shared" si="2"/>
        <v>LAVA ROUPAS 2 LITROS</v>
      </c>
    </row>
    <row r="143" spans="1:8" hidden="1" x14ac:dyDescent="0.25">
      <c r="A143" s="2">
        <v>20200006</v>
      </c>
      <c r="B143" s="3" t="s">
        <v>124</v>
      </c>
      <c r="C143" s="3" t="s">
        <v>36</v>
      </c>
      <c r="D143" s="3">
        <v>750</v>
      </c>
      <c r="E143">
        <v>20</v>
      </c>
      <c r="F143" t="s">
        <v>212</v>
      </c>
      <c r="G143" t="s">
        <v>191</v>
      </c>
      <c r="H143" t="str">
        <f t="shared" si="2"/>
        <v>LAVA ROUPAS 2 LITROS</v>
      </c>
    </row>
    <row r="144" spans="1:8" hidden="1" x14ac:dyDescent="0.25">
      <c r="A144" s="2">
        <v>20200009</v>
      </c>
      <c r="B144" s="3" t="s">
        <v>125</v>
      </c>
      <c r="C144" s="3" t="s">
        <v>18</v>
      </c>
      <c r="D144" s="3">
        <v>990</v>
      </c>
      <c r="E144">
        <v>20</v>
      </c>
      <c r="F144" t="s">
        <v>212</v>
      </c>
      <c r="G144" t="s">
        <v>192</v>
      </c>
      <c r="H144" t="str">
        <f t="shared" si="2"/>
        <v>LAVA ROUPAS 5 LITROS</v>
      </c>
    </row>
    <row r="145" spans="1:8" hidden="1" x14ac:dyDescent="0.25">
      <c r="A145" s="2">
        <v>20200014</v>
      </c>
      <c r="B145" s="3" t="s">
        <v>126</v>
      </c>
      <c r="C145" s="3" t="s">
        <v>18</v>
      </c>
      <c r="D145" s="3">
        <v>990</v>
      </c>
      <c r="E145">
        <v>20</v>
      </c>
      <c r="F145" t="s">
        <v>212</v>
      </c>
      <c r="G145" t="s">
        <v>192</v>
      </c>
      <c r="H145" t="str">
        <f t="shared" si="2"/>
        <v>LAVA ROUPAS 5 LITROS</v>
      </c>
    </row>
    <row r="146" spans="1:8" hidden="1" x14ac:dyDescent="0.25">
      <c r="A146" s="2">
        <v>20200015</v>
      </c>
      <c r="B146" s="3" t="s">
        <v>172</v>
      </c>
      <c r="C146" s="3" t="s">
        <v>36</v>
      </c>
      <c r="D146" s="3">
        <v>100</v>
      </c>
      <c r="E146">
        <v>20</v>
      </c>
      <c r="F146" t="s">
        <v>212</v>
      </c>
      <c r="G146" t="s">
        <v>190</v>
      </c>
      <c r="H146" t="str">
        <f t="shared" si="2"/>
        <v>LAVA ROUPAS 1 LITRO</v>
      </c>
    </row>
    <row r="147" spans="1:8" hidden="1" x14ac:dyDescent="0.25">
      <c r="A147" s="2">
        <v>20200020</v>
      </c>
      <c r="B147" s="3" t="s">
        <v>127</v>
      </c>
      <c r="C147" s="3" t="s">
        <v>18</v>
      </c>
      <c r="D147" s="3">
        <v>990</v>
      </c>
      <c r="E147">
        <v>20</v>
      </c>
      <c r="F147" t="s">
        <v>212</v>
      </c>
      <c r="G147" t="s">
        <v>210</v>
      </c>
      <c r="H147" t="str">
        <f t="shared" si="2"/>
        <v>LAVA ROUPAS 3 LITROS</v>
      </c>
    </row>
    <row r="148" spans="1:8" hidden="1" x14ac:dyDescent="0.25">
      <c r="A148" s="2">
        <v>20200022</v>
      </c>
      <c r="B148" s="3" t="s">
        <v>128</v>
      </c>
      <c r="C148" s="3" t="s">
        <v>18</v>
      </c>
      <c r="D148" s="3">
        <v>990</v>
      </c>
      <c r="E148">
        <v>20</v>
      </c>
      <c r="F148" t="s">
        <v>212</v>
      </c>
      <c r="G148" t="s">
        <v>210</v>
      </c>
      <c r="H148" t="str">
        <f t="shared" si="2"/>
        <v>LAVA ROUPAS 3 LITROS</v>
      </c>
    </row>
    <row r="149" spans="1:8" hidden="1" x14ac:dyDescent="0.25">
      <c r="A149" s="2">
        <v>20200026</v>
      </c>
      <c r="B149" s="3" t="s">
        <v>129</v>
      </c>
      <c r="C149" s="3" t="s">
        <v>18</v>
      </c>
      <c r="D149" s="3">
        <v>990</v>
      </c>
      <c r="E149">
        <v>20</v>
      </c>
      <c r="F149" t="s">
        <v>212</v>
      </c>
      <c r="G149" t="s">
        <v>210</v>
      </c>
      <c r="H149" t="str">
        <f t="shared" si="2"/>
        <v>LAVA ROUPAS 3 LITROS</v>
      </c>
    </row>
    <row r="150" spans="1:8" hidden="1" x14ac:dyDescent="0.25">
      <c r="A150" s="2">
        <v>20200027</v>
      </c>
      <c r="B150" s="3" t="s">
        <v>130</v>
      </c>
      <c r="C150" s="3" t="s">
        <v>18</v>
      </c>
      <c r="D150" s="3">
        <v>990</v>
      </c>
      <c r="E150">
        <v>20</v>
      </c>
      <c r="F150" t="s">
        <v>212</v>
      </c>
      <c r="G150" t="s">
        <v>192</v>
      </c>
      <c r="H150" t="str">
        <f t="shared" si="2"/>
        <v>LAVA ROUPAS 5 LITROS</v>
      </c>
    </row>
    <row r="151" spans="1:8" hidden="1" x14ac:dyDescent="0.25">
      <c r="A151" s="2">
        <v>20200036</v>
      </c>
      <c r="B151" s="3" t="s">
        <v>131</v>
      </c>
      <c r="C151" s="3" t="s">
        <v>36</v>
      </c>
      <c r="D151" s="3">
        <v>750</v>
      </c>
      <c r="E151">
        <v>20</v>
      </c>
      <c r="F151" t="s">
        <v>212</v>
      </c>
      <c r="G151" t="s">
        <v>191</v>
      </c>
      <c r="H151" t="str">
        <f t="shared" si="2"/>
        <v>LAVA ROUPAS 2 LITROS</v>
      </c>
    </row>
    <row r="152" spans="1:8" hidden="1" x14ac:dyDescent="0.25">
      <c r="A152" s="2">
        <v>20200058</v>
      </c>
      <c r="B152" s="3" t="s">
        <v>132</v>
      </c>
      <c r="C152" s="3" t="s">
        <v>18</v>
      </c>
      <c r="D152" s="3">
        <v>990</v>
      </c>
      <c r="E152">
        <v>20</v>
      </c>
      <c r="F152" t="s">
        <v>212</v>
      </c>
      <c r="G152" t="s">
        <v>210</v>
      </c>
      <c r="H152" t="str">
        <f t="shared" si="2"/>
        <v>LAVA ROUPAS 3 LITROS</v>
      </c>
    </row>
    <row r="153" spans="1:8" hidden="1" x14ac:dyDescent="0.25">
      <c r="A153" s="2">
        <v>20200063</v>
      </c>
      <c r="B153" s="3" t="s">
        <v>173</v>
      </c>
      <c r="C153" s="3" t="s">
        <v>36</v>
      </c>
      <c r="D153" s="3">
        <v>100</v>
      </c>
      <c r="E153">
        <v>20</v>
      </c>
      <c r="F153" t="s">
        <v>212</v>
      </c>
      <c r="G153" t="s">
        <v>190</v>
      </c>
      <c r="H153" t="str">
        <f t="shared" si="2"/>
        <v>LAVA ROUPAS 1 LITRO</v>
      </c>
    </row>
    <row r="154" spans="1:8" hidden="1" x14ac:dyDescent="0.25">
      <c r="A154" s="2">
        <v>20200064</v>
      </c>
      <c r="B154" s="3" t="s">
        <v>174</v>
      </c>
      <c r="C154" s="3" t="s">
        <v>36</v>
      </c>
      <c r="D154" s="3">
        <v>100</v>
      </c>
      <c r="E154">
        <v>20</v>
      </c>
      <c r="F154" t="s">
        <v>212</v>
      </c>
      <c r="G154" t="s">
        <v>190</v>
      </c>
      <c r="H154" t="str">
        <f t="shared" si="2"/>
        <v>LAVA ROUPAS 1 LITRO</v>
      </c>
    </row>
    <row r="155" spans="1:8" hidden="1" x14ac:dyDescent="0.25">
      <c r="A155" s="2">
        <v>20200065</v>
      </c>
      <c r="B155" s="3" t="s">
        <v>175</v>
      </c>
      <c r="C155" s="3" t="s">
        <v>36</v>
      </c>
      <c r="D155" s="3">
        <v>750</v>
      </c>
      <c r="E155">
        <v>20</v>
      </c>
      <c r="F155" t="s">
        <v>212</v>
      </c>
      <c r="G155" t="s">
        <v>191</v>
      </c>
      <c r="H155" t="str">
        <f t="shared" si="2"/>
        <v>LAVA ROUPAS 2 LITROS</v>
      </c>
    </row>
    <row r="156" spans="1:8" hidden="1" x14ac:dyDescent="0.25">
      <c r="A156" s="2">
        <v>20200072</v>
      </c>
      <c r="B156" s="3" t="s">
        <v>176</v>
      </c>
      <c r="C156" s="3" t="s">
        <v>36</v>
      </c>
      <c r="D156" s="3">
        <v>100</v>
      </c>
      <c r="E156">
        <v>20</v>
      </c>
      <c r="F156" t="s">
        <v>212</v>
      </c>
      <c r="G156" t="s">
        <v>213</v>
      </c>
      <c r="H156" t="str">
        <f t="shared" si="2"/>
        <v>LAVA ROUPAS 1 L LAV. RAP.</v>
      </c>
    </row>
    <row r="157" spans="1:8" hidden="1" x14ac:dyDescent="0.25">
      <c r="A157" s="2">
        <v>20200073</v>
      </c>
      <c r="B157" s="3" t="s">
        <v>177</v>
      </c>
      <c r="C157" s="3" t="s">
        <v>84</v>
      </c>
      <c r="D157" s="3">
        <v>87</v>
      </c>
      <c r="E157">
        <v>20</v>
      </c>
      <c r="F157" t="s">
        <v>212</v>
      </c>
      <c r="G157" t="s">
        <v>214</v>
      </c>
      <c r="H157" t="str">
        <f t="shared" si="2"/>
        <v>LAVA ROUPAS 1,5 L LAV. RAP.</v>
      </c>
    </row>
    <row r="158" spans="1:8" hidden="1" x14ac:dyDescent="0.25">
      <c r="A158" s="2">
        <v>20200074</v>
      </c>
      <c r="B158" s="3" t="s">
        <v>178</v>
      </c>
      <c r="C158" s="3" t="s">
        <v>36</v>
      </c>
      <c r="D158" s="3">
        <v>100</v>
      </c>
      <c r="E158">
        <v>20</v>
      </c>
      <c r="F158" t="s">
        <v>212</v>
      </c>
      <c r="G158" t="s">
        <v>213</v>
      </c>
      <c r="H158" t="str">
        <f t="shared" si="2"/>
        <v>LAVA ROUPAS 1 L LAV. RAP.</v>
      </c>
    </row>
    <row r="159" spans="1:8" hidden="1" x14ac:dyDescent="0.25">
      <c r="A159" s="2">
        <v>20200075</v>
      </c>
      <c r="B159" s="3" t="s">
        <v>179</v>
      </c>
      <c r="C159" s="3" t="s">
        <v>84</v>
      </c>
      <c r="D159" s="3">
        <v>87</v>
      </c>
      <c r="E159">
        <v>20</v>
      </c>
      <c r="F159" t="s">
        <v>212</v>
      </c>
      <c r="G159" t="s">
        <v>214</v>
      </c>
      <c r="H159" t="str">
        <f t="shared" si="2"/>
        <v>LAVA ROUPAS 1,5 L LAV. RAP.</v>
      </c>
    </row>
    <row r="160" spans="1:8" hidden="1" x14ac:dyDescent="0.25">
      <c r="A160" s="2">
        <v>20200077</v>
      </c>
      <c r="B160" s="3" t="s">
        <v>180</v>
      </c>
      <c r="C160" s="3" t="s">
        <v>18</v>
      </c>
      <c r="D160" s="3">
        <v>2400</v>
      </c>
      <c r="E160">
        <v>20</v>
      </c>
      <c r="F160" t="s">
        <v>212</v>
      </c>
      <c r="G160" t="s">
        <v>195</v>
      </c>
      <c r="H160" t="str">
        <f t="shared" si="2"/>
        <v>LAVA ROUPAS 7 LITROS</v>
      </c>
    </row>
    <row r="161" spans="1:8" x14ac:dyDescent="0.25">
      <c r="A161" s="2">
        <v>20220009</v>
      </c>
      <c r="B161" s="3" t="s">
        <v>133</v>
      </c>
      <c r="C161" s="3" t="s">
        <v>134</v>
      </c>
      <c r="D161" s="3">
        <v>165</v>
      </c>
      <c r="E161">
        <v>22</v>
      </c>
      <c r="F161" t="s">
        <v>215</v>
      </c>
      <c r="G161" t="s">
        <v>216</v>
      </c>
      <c r="H161" t="str">
        <f t="shared" si="2"/>
        <v>AROMATIZANTE 250 ML</v>
      </c>
    </row>
    <row r="162" spans="1:8" x14ac:dyDescent="0.25">
      <c r="A162" s="2">
        <v>20220010</v>
      </c>
      <c r="B162" s="3" t="s">
        <v>135</v>
      </c>
      <c r="C162" s="3" t="s">
        <v>134</v>
      </c>
      <c r="D162" s="3">
        <v>165</v>
      </c>
      <c r="E162">
        <v>22</v>
      </c>
      <c r="F162" t="s">
        <v>215</v>
      </c>
      <c r="G162" t="s">
        <v>216</v>
      </c>
      <c r="H162" t="str">
        <f t="shared" si="2"/>
        <v>AROMATIZANTE 250 ML</v>
      </c>
    </row>
    <row r="163" spans="1:8" x14ac:dyDescent="0.25">
      <c r="A163" s="2">
        <v>20220011</v>
      </c>
      <c r="B163" s="3" t="s">
        <v>181</v>
      </c>
      <c r="C163" s="3" t="s">
        <v>134</v>
      </c>
      <c r="D163" s="3">
        <v>165</v>
      </c>
      <c r="E163">
        <v>22</v>
      </c>
      <c r="F163" t="s">
        <v>215</v>
      </c>
      <c r="G163" t="s">
        <v>216</v>
      </c>
      <c r="H163" t="str">
        <f t="shared" si="2"/>
        <v>AROMATIZANTE 250 ML</v>
      </c>
    </row>
    <row r="164" spans="1:8" x14ac:dyDescent="0.25">
      <c r="A164" s="2">
        <v>20220012</v>
      </c>
      <c r="B164" s="3" t="s">
        <v>182</v>
      </c>
      <c r="C164" s="3" t="s">
        <v>134</v>
      </c>
      <c r="D164" s="3">
        <v>165</v>
      </c>
      <c r="E164">
        <v>22</v>
      </c>
      <c r="F164" t="s">
        <v>215</v>
      </c>
      <c r="G164" t="s">
        <v>216</v>
      </c>
      <c r="H164" t="str">
        <f t="shared" si="2"/>
        <v>AROMATIZANTE 250 ML</v>
      </c>
    </row>
    <row r="165" spans="1:8" x14ac:dyDescent="0.25">
      <c r="A165" s="2">
        <v>20220013</v>
      </c>
      <c r="B165" s="3" t="s">
        <v>183</v>
      </c>
      <c r="C165" s="3" t="s">
        <v>134</v>
      </c>
      <c r="D165" s="3">
        <v>165</v>
      </c>
      <c r="E165">
        <v>22</v>
      </c>
      <c r="F165" t="s">
        <v>215</v>
      </c>
      <c r="G165" t="s">
        <v>216</v>
      </c>
      <c r="H165" t="str">
        <f t="shared" si="2"/>
        <v>AROMATIZANTE 250 ML</v>
      </c>
    </row>
    <row r="166" spans="1:8" hidden="1" x14ac:dyDescent="0.25">
      <c r="A166" s="2">
        <v>20220018</v>
      </c>
      <c r="B166" s="3" t="s">
        <v>136</v>
      </c>
      <c r="C166" s="3" t="s">
        <v>84</v>
      </c>
      <c r="D166" s="3">
        <v>165</v>
      </c>
      <c r="E166">
        <v>22</v>
      </c>
      <c r="F166" t="s">
        <v>215</v>
      </c>
      <c r="G166" t="s">
        <v>216</v>
      </c>
      <c r="H166" t="str">
        <f t="shared" si="2"/>
        <v>AROMATIZANTE 250 ML</v>
      </c>
    </row>
    <row r="167" spans="1:8" hidden="1" x14ac:dyDescent="0.25">
      <c r="A167" s="2">
        <v>20220019</v>
      </c>
      <c r="B167" s="3" t="s">
        <v>137</v>
      </c>
      <c r="C167" s="3" t="s">
        <v>84</v>
      </c>
      <c r="D167" s="3">
        <v>165</v>
      </c>
      <c r="E167">
        <v>22</v>
      </c>
      <c r="F167" t="s">
        <v>215</v>
      </c>
      <c r="G167" t="s">
        <v>216</v>
      </c>
      <c r="H167" t="str">
        <f t="shared" si="2"/>
        <v>AROMATIZANTE 250 ML</v>
      </c>
    </row>
    <row r="168" spans="1:8" hidden="1" x14ac:dyDescent="0.25">
      <c r="A168" s="2">
        <v>20220020</v>
      </c>
      <c r="B168" s="3" t="s">
        <v>138</v>
      </c>
      <c r="C168" s="3" t="s">
        <v>84</v>
      </c>
      <c r="D168" s="3">
        <v>165</v>
      </c>
      <c r="E168">
        <v>22</v>
      </c>
      <c r="F168" t="s">
        <v>215</v>
      </c>
      <c r="G168" t="s">
        <v>216</v>
      </c>
      <c r="H168" t="str">
        <f t="shared" si="2"/>
        <v>AROMATIZANTE 250 ML</v>
      </c>
    </row>
    <row r="169" spans="1:8" hidden="1" x14ac:dyDescent="0.25">
      <c r="A169" s="2">
        <v>20220021</v>
      </c>
      <c r="B169" s="3" t="s">
        <v>139</v>
      </c>
      <c r="C169" s="3" t="s">
        <v>84</v>
      </c>
      <c r="D169" s="3">
        <v>165</v>
      </c>
      <c r="E169">
        <v>22</v>
      </c>
      <c r="F169" t="s">
        <v>215</v>
      </c>
      <c r="G169" t="s">
        <v>216</v>
      </c>
      <c r="H169" t="str">
        <f t="shared" si="2"/>
        <v>AROMATIZANTE 250 ML</v>
      </c>
    </row>
    <row r="170" spans="1:8" hidden="1" x14ac:dyDescent="0.25">
      <c r="A170" s="2">
        <v>20220022</v>
      </c>
      <c r="B170" s="3" t="s">
        <v>140</v>
      </c>
      <c r="C170" s="3" t="s">
        <v>84</v>
      </c>
      <c r="D170" s="3">
        <v>165</v>
      </c>
      <c r="E170">
        <v>22</v>
      </c>
      <c r="F170" t="s">
        <v>215</v>
      </c>
      <c r="G170" t="s">
        <v>216</v>
      </c>
      <c r="H170" t="str">
        <f t="shared" si="2"/>
        <v>AROMATIZANTE 250 ML</v>
      </c>
    </row>
    <row r="171" spans="1:8" x14ac:dyDescent="0.25">
      <c r="A171" s="2">
        <v>20240004</v>
      </c>
      <c r="B171" s="3" t="s">
        <v>184</v>
      </c>
      <c r="C171" s="3" t="s">
        <v>134</v>
      </c>
      <c r="D171" s="3">
        <v>50</v>
      </c>
      <c r="E171">
        <v>24</v>
      </c>
      <c r="F171" t="s">
        <v>217</v>
      </c>
      <c r="G171" t="s">
        <v>190</v>
      </c>
      <c r="H171" t="str">
        <f t="shared" si="2"/>
        <v>AMACIANTE CONCENTRADO PACK 1 LITRO</v>
      </c>
    </row>
    <row r="172" spans="1:8" hidden="1" x14ac:dyDescent="0.25">
      <c r="A172" s="2">
        <v>20250005</v>
      </c>
      <c r="B172" s="3" t="s">
        <v>141</v>
      </c>
      <c r="C172" s="3" t="s">
        <v>36</v>
      </c>
      <c r="D172" s="3">
        <v>600</v>
      </c>
      <c r="E172">
        <v>25</v>
      </c>
      <c r="F172" t="s">
        <v>221</v>
      </c>
      <c r="G172" t="s">
        <v>191</v>
      </c>
      <c r="H172" t="str">
        <f t="shared" si="2"/>
        <v>NEUTRALIZADOR DE ODORES 2 LITROS</v>
      </c>
    </row>
    <row r="173" spans="1:8" hidden="1" x14ac:dyDescent="0.25">
      <c r="A173" s="2">
        <v>20250007</v>
      </c>
      <c r="B173" s="3" t="s">
        <v>142</v>
      </c>
      <c r="C173" s="3" t="s">
        <v>36</v>
      </c>
      <c r="D173" s="3">
        <v>600</v>
      </c>
      <c r="E173">
        <v>25</v>
      </c>
      <c r="F173" t="s">
        <v>221</v>
      </c>
      <c r="G173" t="s">
        <v>191</v>
      </c>
      <c r="H173" t="str">
        <f t="shared" si="2"/>
        <v>NEUTRALIZADOR DE ODORES 2 LITROS</v>
      </c>
    </row>
    <row r="174" spans="1:8" x14ac:dyDescent="0.25">
      <c r="A174" s="2">
        <v>20260001</v>
      </c>
      <c r="B174" s="3" t="s">
        <v>143</v>
      </c>
      <c r="C174" s="3" t="s">
        <v>134</v>
      </c>
      <c r="D174" s="3">
        <v>50</v>
      </c>
      <c r="E174">
        <v>26</v>
      </c>
      <c r="F174" t="s">
        <v>218</v>
      </c>
      <c r="G174" t="s">
        <v>194</v>
      </c>
      <c r="H174" t="str">
        <f t="shared" si="2"/>
        <v>DESENG. / MULTIUSO PACK 500 ML</v>
      </c>
    </row>
    <row r="175" spans="1:8" x14ac:dyDescent="0.25">
      <c r="A175" s="2">
        <v>20280001</v>
      </c>
      <c r="B175" s="3" t="s">
        <v>144</v>
      </c>
      <c r="C175" s="3" t="s">
        <v>134</v>
      </c>
      <c r="D175" s="3">
        <v>50</v>
      </c>
      <c r="E175">
        <v>28</v>
      </c>
      <c r="F175" t="s">
        <v>219</v>
      </c>
      <c r="G175" t="s">
        <v>190</v>
      </c>
      <c r="H175" t="str">
        <f t="shared" si="2"/>
        <v>DESINFETANTE PACK 1 LITRO</v>
      </c>
    </row>
  </sheetData>
  <autoFilter ref="A1:H175" xr:uid="{79ACF270-4E0E-4368-92DA-4630377FFF1C}">
    <filterColumn colId="2">
      <filters>
        <filter val="Ln 10"/>
      </filters>
    </filterColumn>
  </autoFilter>
  <pageMargins left="0.511811024" right="0.511811024" top="0.17" bottom="0.17" header="0.17" footer="0.17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2185-D171-47D2-84B0-CD1484916F1E}">
  <dimension ref="A1:J11"/>
  <sheetViews>
    <sheetView showGridLines="0" zoomScaleNormal="100" workbookViewId="0">
      <selection activeCell="C4" sqref="C4"/>
    </sheetView>
  </sheetViews>
  <sheetFormatPr defaultRowHeight="15" x14ac:dyDescent="0.25"/>
  <cols>
    <col min="1" max="1" width="10.140625" bestFit="1" customWidth="1"/>
    <col min="2" max="2" width="44.85546875" bestFit="1" customWidth="1"/>
    <col min="3" max="10" width="6.28515625" bestFit="1" customWidth="1"/>
  </cols>
  <sheetData>
    <row r="1" spans="1:10" ht="48" x14ac:dyDescent="0.25">
      <c r="A1" s="15" t="s">
        <v>222</v>
      </c>
      <c r="B1" s="16" t="s">
        <v>223</v>
      </c>
      <c r="C1" s="17" t="s">
        <v>224</v>
      </c>
      <c r="D1" s="17" t="s">
        <v>225</v>
      </c>
      <c r="E1" s="17" t="s">
        <v>226</v>
      </c>
      <c r="F1" s="17" t="s">
        <v>227</v>
      </c>
      <c r="G1" s="17" t="s">
        <v>228</v>
      </c>
      <c r="H1" s="17" t="s">
        <v>229</v>
      </c>
      <c r="I1" s="17" t="s">
        <v>230</v>
      </c>
      <c r="J1" s="18" t="s">
        <v>231</v>
      </c>
    </row>
    <row r="2" spans="1:10" ht="184.5" x14ac:dyDescent="0.25">
      <c r="A2" s="10"/>
      <c r="B2" s="6"/>
      <c r="C2" s="7" t="s">
        <v>2</v>
      </c>
      <c r="D2" s="7" t="s">
        <v>4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119</v>
      </c>
      <c r="J2" s="12" t="s">
        <v>120</v>
      </c>
    </row>
    <row r="3" spans="1:10" ht="68.25" customHeight="1" x14ac:dyDescent="0.25">
      <c r="A3" s="10"/>
      <c r="B3" s="6"/>
      <c r="C3" s="8">
        <v>20010001</v>
      </c>
      <c r="D3" s="8">
        <v>20010002</v>
      </c>
      <c r="E3" s="8">
        <v>20010017</v>
      </c>
      <c r="F3" s="8">
        <v>20010018</v>
      </c>
      <c r="G3" s="8">
        <v>20010022</v>
      </c>
      <c r="H3" s="8">
        <v>20010023</v>
      </c>
      <c r="I3" s="8">
        <v>20160001</v>
      </c>
      <c r="J3" s="13">
        <v>20160002</v>
      </c>
    </row>
    <row r="4" spans="1:10" x14ac:dyDescent="0.25">
      <c r="A4" s="11">
        <v>20010001</v>
      </c>
      <c r="B4" s="6" t="s">
        <v>2</v>
      </c>
      <c r="C4" s="9">
        <v>0</v>
      </c>
      <c r="D4" s="9">
        <v>3.4722222222222224E-2</v>
      </c>
      <c r="E4" s="9">
        <v>0</v>
      </c>
      <c r="F4" s="9">
        <v>3.4722222222222224E-2</v>
      </c>
      <c r="G4" s="9">
        <v>0</v>
      </c>
      <c r="H4" s="9">
        <v>3.4722222222222224E-2</v>
      </c>
      <c r="I4" s="9">
        <v>1.3888888888888888E-2</v>
      </c>
      <c r="J4" s="14">
        <v>3.4722222222222224E-2</v>
      </c>
    </row>
    <row r="5" spans="1:10" x14ac:dyDescent="0.25">
      <c r="A5" s="11">
        <v>20010002</v>
      </c>
      <c r="B5" s="6" t="s">
        <v>4</v>
      </c>
      <c r="C5" s="9">
        <v>3.4722222222222224E-2</v>
      </c>
      <c r="D5" s="9">
        <v>0</v>
      </c>
      <c r="E5" s="9">
        <v>3.4722222222222224E-2</v>
      </c>
      <c r="F5" s="9">
        <v>0</v>
      </c>
      <c r="G5" s="9">
        <v>3.4722222222222224E-2</v>
      </c>
      <c r="H5" s="9">
        <v>0</v>
      </c>
      <c r="I5" s="9">
        <v>3.4722222222222224E-2</v>
      </c>
      <c r="J5" s="14">
        <v>1.3888888888888888E-2</v>
      </c>
    </row>
    <row r="6" spans="1:10" x14ac:dyDescent="0.25">
      <c r="A6" s="11">
        <v>20010017</v>
      </c>
      <c r="B6" s="6" t="s">
        <v>8</v>
      </c>
      <c r="C6" s="9">
        <v>0</v>
      </c>
      <c r="D6" s="9">
        <v>3.4722222222222224E-2</v>
      </c>
      <c r="E6" s="9">
        <v>0</v>
      </c>
      <c r="F6" s="9">
        <v>3.4722222222222224E-2</v>
      </c>
      <c r="G6" s="9">
        <v>0</v>
      </c>
      <c r="H6" s="9">
        <v>3.4722222222222224E-2</v>
      </c>
      <c r="I6" s="9">
        <v>1.3888888888888888E-2</v>
      </c>
      <c r="J6" s="14">
        <v>3.4722222222222224E-2</v>
      </c>
    </row>
    <row r="7" spans="1:10" x14ac:dyDescent="0.25">
      <c r="A7" s="11">
        <v>20010018</v>
      </c>
      <c r="B7" s="6" t="s">
        <v>9</v>
      </c>
      <c r="C7" s="9">
        <v>3.4722222222222224E-2</v>
      </c>
      <c r="D7" s="9">
        <v>0</v>
      </c>
      <c r="E7" s="9">
        <v>3.4722222222222224E-2</v>
      </c>
      <c r="F7" s="9">
        <v>0</v>
      </c>
      <c r="G7" s="9">
        <v>3.4722222222222224E-2</v>
      </c>
      <c r="H7" s="9">
        <v>0</v>
      </c>
      <c r="I7" s="9">
        <v>3.4722222222222224E-2</v>
      </c>
      <c r="J7" s="14">
        <v>1.3888888888888888E-2</v>
      </c>
    </row>
    <row r="8" spans="1:10" x14ac:dyDescent="0.25">
      <c r="A8" s="11">
        <v>20010022</v>
      </c>
      <c r="B8" s="6" t="s">
        <v>10</v>
      </c>
      <c r="C8" s="9">
        <v>0</v>
      </c>
      <c r="D8" s="9">
        <v>3.4722222222222224E-2</v>
      </c>
      <c r="E8" s="9">
        <v>0</v>
      </c>
      <c r="F8" s="9">
        <v>3.4722222222222224E-2</v>
      </c>
      <c r="G8" s="9">
        <v>0</v>
      </c>
      <c r="H8" s="9">
        <v>3.4722222222222224E-2</v>
      </c>
      <c r="I8" s="9">
        <v>1.3888888888888888E-2</v>
      </c>
      <c r="J8" s="14">
        <v>3.4722222222222224E-2</v>
      </c>
    </row>
    <row r="9" spans="1:10" x14ac:dyDescent="0.25">
      <c r="A9" s="11">
        <v>20010023</v>
      </c>
      <c r="B9" s="6" t="s">
        <v>11</v>
      </c>
      <c r="C9" s="9">
        <v>3.4722222222222224E-2</v>
      </c>
      <c r="D9" s="9">
        <v>0</v>
      </c>
      <c r="E9" s="9">
        <v>3.4722222222222224E-2</v>
      </c>
      <c r="F9" s="9">
        <v>0</v>
      </c>
      <c r="G9" s="9">
        <v>3.4722222222222224E-2</v>
      </c>
      <c r="H9" s="9">
        <v>0</v>
      </c>
      <c r="I9" s="9">
        <v>3.4722222222222224E-2</v>
      </c>
      <c r="J9" s="14">
        <v>1.3888888888888888E-2</v>
      </c>
    </row>
    <row r="10" spans="1:10" x14ac:dyDescent="0.25">
      <c r="A10" s="11">
        <v>20160001</v>
      </c>
      <c r="B10" s="6" t="s">
        <v>119</v>
      </c>
      <c r="C10" s="9">
        <v>1.3888888888888888E-2</v>
      </c>
      <c r="D10" s="9">
        <v>3.4722222222222224E-2</v>
      </c>
      <c r="E10" s="9">
        <v>1.3888888888888888E-2</v>
      </c>
      <c r="F10" s="9">
        <v>3.4722222222222224E-2</v>
      </c>
      <c r="G10" s="9">
        <v>1.3888888888888888E-2</v>
      </c>
      <c r="H10" s="9">
        <v>3.4722222222222224E-2</v>
      </c>
      <c r="I10" s="9">
        <v>0</v>
      </c>
      <c r="J10" s="14">
        <v>3.4722222222222224E-2</v>
      </c>
    </row>
    <row r="11" spans="1:10" x14ac:dyDescent="0.25">
      <c r="A11" s="19">
        <v>20160002</v>
      </c>
      <c r="B11" s="20" t="s">
        <v>120</v>
      </c>
      <c r="C11" s="21">
        <v>3.4722222222222224E-2</v>
      </c>
      <c r="D11" s="21">
        <v>1.3888888888888888E-2</v>
      </c>
      <c r="E11" s="21">
        <v>3.4722222222222224E-2</v>
      </c>
      <c r="F11" s="21">
        <v>1.3888888888888888E-2</v>
      </c>
      <c r="G11" s="21">
        <v>3.4722222222222224E-2</v>
      </c>
      <c r="H11" s="21">
        <v>1.3888888888888888E-2</v>
      </c>
      <c r="I11" s="21">
        <v>3.4722222222222224E-2</v>
      </c>
      <c r="J11" s="2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BF7-A887-46A3-85BD-1D2D342241DA}">
  <dimension ref="A1:H66"/>
  <sheetViews>
    <sheetView topLeftCell="A4" workbookViewId="0">
      <selection activeCell="G3" sqref="G3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01'!B:B)-1</f>
        <v>8</v>
      </c>
      <c r="B1">
        <f>COUNTA('Linha 01'!2:2)</f>
        <v>8</v>
      </c>
      <c r="C1">
        <f>A1*B1</f>
        <v>64</v>
      </c>
    </row>
    <row r="3" spans="1:8" x14ac:dyDescent="0.25">
      <c r="A3" cm="1">
        <f t="array" ref="A3:A66">_xlfn.SEQUENCE($C$1)</f>
        <v>1</v>
      </c>
      <c r="B3">
        <f>INT((A3-1)/$B$1)+1</f>
        <v>1</v>
      </c>
      <c r="C3">
        <f>MOD(A3-1,$B$1)+1</f>
        <v>1</v>
      </c>
      <c r="D3" cm="1">
        <f t="array" ref="D3">INDEX('Linha 01'!$A$4:$A$1000,B3)</f>
        <v>20010001</v>
      </c>
      <c r="E3" t="str" cm="1">
        <f t="array" ref="E3">INDEX('Linha 01'!$B$4:$B$1000,B3)</f>
        <v>Agua Sanitaria Aquafast Cx/12 X 1l</v>
      </c>
      <c r="F3" cm="1">
        <f t="array" ref="F3">INDEX('Linha 01'!$C$3:$Z$3,C3)</f>
        <v>20010001</v>
      </c>
      <c r="G3" t="str" cm="1">
        <f t="array" ref="G3">INDEX('Linha 01'!$C$2:$Z$2,C3)</f>
        <v>Agua Sanitaria Aquafast Cx/12 X 1l</v>
      </c>
      <c r="H3" s="5" cm="1">
        <f t="array" ref="H3">INDEX('Linha 01'!$C$4:$ZZ$1000,B3,C3)</f>
        <v>0</v>
      </c>
    </row>
    <row r="4" spans="1:8" x14ac:dyDescent="0.25">
      <c r="A4">
        <v>2</v>
      </c>
      <c r="B4">
        <f t="shared" ref="B4:B66" si="0">INT((A4-1)/$B$1)+1</f>
        <v>1</v>
      </c>
      <c r="C4">
        <f t="shared" ref="C4:C66" si="1">MOD(A4-1,$B$1)+1</f>
        <v>2</v>
      </c>
      <c r="D4" cm="1">
        <f t="array" ref="D4">INDEX('Linha 01'!$A$4:$A$1000,B4)</f>
        <v>20010001</v>
      </c>
      <c r="E4" t="str" cm="1">
        <f t="array" ref="E4">INDEX('Linha 01'!$B$4:$B$1000,B4)</f>
        <v>Agua Sanitaria Aquafast Cx/12 X 1l</v>
      </c>
      <c r="F4" cm="1">
        <f t="array" ref="F4">INDEX('Linha 01'!$C$3:$Z$3,C4)</f>
        <v>20010002</v>
      </c>
      <c r="G4" t="str" cm="1">
        <f t="array" ref="G4">INDEX('Linha 01'!$C$2:$Z$2,C4)</f>
        <v>Agua Sanitaria Aquafast Cx/06 X 2l</v>
      </c>
      <c r="H4" s="5" cm="1">
        <f t="array" ref="H4">INDEX('Linha 01'!$C$4:$ZZ$1000,B4,C4)</f>
        <v>3.4722222222222224E-2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01'!$A$4:$A$1000,B5)</f>
        <v>20010001</v>
      </c>
      <c r="E5" t="str" cm="1">
        <f t="array" ref="E5">INDEX('Linha 01'!$B$4:$B$1000,B5)</f>
        <v>Agua Sanitaria Aquafast Cx/12 X 1l</v>
      </c>
      <c r="F5" cm="1">
        <f t="array" ref="F5">INDEX('Linha 01'!$C$3:$Z$3,C5)</f>
        <v>20010017</v>
      </c>
      <c r="G5" t="str" cm="1">
        <f t="array" ref="G5">INDEX('Linha 01'!$C$2:$Z$2,C5)</f>
        <v>Agua Sanitaria Verde Ito Cx/12 X 1l</v>
      </c>
      <c r="H5" s="5" cm="1">
        <f t="array" ref="H5">INDEX('Linha 01'!$C$4:$ZZ$1000,B5,C5)</f>
        <v>0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01'!$A$4:$A$1000,B6)</f>
        <v>20010001</v>
      </c>
      <c r="E6" t="str" cm="1">
        <f t="array" ref="E6">INDEX('Linha 01'!$B$4:$B$1000,B6)</f>
        <v>Agua Sanitaria Aquafast Cx/12 X 1l</v>
      </c>
      <c r="F6" cm="1">
        <f t="array" ref="F6">INDEX('Linha 01'!$C$3:$Z$3,C6)</f>
        <v>20010018</v>
      </c>
      <c r="G6" t="str" cm="1">
        <f t="array" ref="G6">INDEX('Linha 01'!$C$2:$Z$2,C6)</f>
        <v>Agua Sanitaria Verde Ito Cx/06 X 2l</v>
      </c>
      <c r="H6" s="5" cm="1">
        <f t="array" ref="H6">INDEX('Linha 01'!$C$4:$ZZ$1000,B6,C6)</f>
        <v>3.4722222222222224E-2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01'!$A$4:$A$1000,B7)</f>
        <v>20010001</v>
      </c>
      <c r="E7" t="str" cm="1">
        <f t="array" ref="E7">INDEX('Linha 01'!$B$4:$B$1000,B7)</f>
        <v>Agua Sanitaria Aquafast Cx/12 X 1l</v>
      </c>
      <c r="F7" cm="1">
        <f t="array" ref="F7">INDEX('Linha 01'!$C$3:$Z$3,C7)</f>
        <v>20010022</v>
      </c>
      <c r="G7" t="str" cm="1">
        <f t="array" ref="G7">INDEX('Linha 01'!$C$2:$Z$2,C7)</f>
        <v>Agua Sanitaria Myata Cx/12 X 1l</v>
      </c>
      <c r="H7" s="5" cm="1">
        <f t="array" ref="H7">INDEX('Linha 01'!$C$4:$ZZ$1000,B7,C7)</f>
        <v>0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01'!$A$4:$A$1000,B8)</f>
        <v>20010001</v>
      </c>
      <c r="E8" t="str" cm="1">
        <f t="array" ref="E8">INDEX('Linha 01'!$B$4:$B$1000,B8)</f>
        <v>Agua Sanitaria Aquafast Cx/12 X 1l</v>
      </c>
      <c r="F8" cm="1">
        <f t="array" ref="F8">INDEX('Linha 01'!$C$3:$Z$3,C8)</f>
        <v>20010023</v>
      </c>
      <c r="G8" t="str" cm="1">
        <f t="array" ref="G8">INDEX('Linha 01'!$C$2:$Z$2,C8)</f>
        <v>Agua Sanitaria Myata Cx/06 X 2l</v>
      </c>
      <c r="H8" s="5" cm="1">
        <f t="array" ref="H8">INDEX('Linha 01'!$C$4:$ZZ$1000,B8,C8)</f>
        <v>3.4722222222222224E-2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01'!$A$4:$A$1000,B9)</f>
        <v>20010001</v>
      </c>
      <c r="E9" t="str" cm="1">
        <f t="array" ref="E9">INDEX('Linha 01'!$B$4:$B$1000,B9)</f>
        <v>Agua Sanitaria Aquafast Cx/12 X 1l</v>
      </c>
      <c r="F9" cm="1">
        <f t="array" ref="F9">INDEX('Linha 01'!$C$3:$Z$3,C9)</f>
        <v>20160001</v>
      </c>
      <c r="G9" t="str" cm="1">
        <f t="array" ref="G9">INDEX('Linha 01'!$C$2:$Z$2,C9)</f>
        <v>Alvejante S/ Cloro Aquafast Cx/12 X 1l</v>
      </c>
      <c r="H9" s="5" cm="1">
        <f t="array" ref="H9">INDEX('Linha 01'!$C$4:$ZZ$1000,B9,C9)</f>
        <v>1.3888888888888888E-2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01'!$A$4:$A$1000,B10)</f>
        <v>20010001</v>
      </c>
      <c r="E10" t="str" cm="1">
        <f t="array" ref="E10">INDEX('Linha 01'!$B$4:$B$1000,B10)</f>
        <v>Agua Sanitaria Aquafast Cx/12 X 1l</v>
      </c>
      <c r="F10" cm="1">
        <f t="array" ref="F10">INDEX('Linha 01'!$C$3:$Z$3,C10)</f>
        <v>20160002</v>
      </c>
      <c r="G10" t="str" cm="1">
        <f t="array" ref="G10">INDEX('Linha 01'!$C$2:$Z$2,C10)</f>
        <v>Alvejante S/ Cloro Aquafast Cx/06 X 2l</v>
      </c>
      <c r="H10" s="5" cm="1">
        <f t="array" ref="H10">INDEX('Linha 01'!$C$4:$ZZ$1000,B10,C10)</f>
        <v>3.4722222222222224E-2</v>
      </c>
    </row>
    <row r="11" spans="1:8" x14ac:dyDescent="0.25">
      <c r="A11">
        <v>9</v>
      </c>
      <c r="B11">
        <f t="shared" si="0"/>
        <v>2</v>
      </c>
      <c r="C11">
        <f t="shared" si="1"/>
        <v>1</v>
      </c>
      <c r="D11" cm="1">
        <f t="array" ref="D11">INDEX('Linha 01'!$A$4:$A$1000,B11)</f>
        <v>20010002</v>
      </c>
      <c r="E11" t="str" cm="1">
        <f t="array" ref="E11">INDEX('Linha 01'!$B$4:$B$1000,B11)</f>
        <v>Agua Sanitaria Aquafast Cx/06 X 2l</v>
      </c>
      <c r="F11" cm="1">
        <f t="array" ref="F11">INDEX('Linha 01'!$C$3:$Z$3,C11)</f>
        <v>20010001</v>
      </c>
      <c r="G11" t="str" cm="1">
        <f t="array" ref="G11">INDEX('Linha 01'!$C$2:$Z$2,C11)</f>
        <v>Agua Sanitaria Aquafast Cx/12 X 1l</v>
      </c>
      <c r="H11" s="5" cm="1">
        <f t="array" ref="H11">INDEX('Linha 01'!$C$4:$ZZ$1000,B11,C11)</f>
        <v>3.4722222222222224E-2</v>
      </c>
    </row>
    <row r="12" spans="1:8" x14ac:dyDescent="0.25">
      <c r="A12">
        <v>10</v>
      </c>
      <c r="B12">
        <f t="shared" si="0"/>
        <v>2</v>
      </c>
      <c r="C12">
        <f t="shared" si="1"/>
        <v>2</v>
      </c>
      <c r="D12" cm="1">
        <f t="array" ref="D12">INDEX('Linha 01'!$A$4:$A$1000,B12)</f>
        <v>20010002</v>
      </c>
      <c r="E12" t="str" cm="1">
        <f t="array" ref="E12">INDEX('Linha 01'!$B$4:$B$1000,B12)</f>
        <v>Agua Sanitaria Aquafast Cx/06 X 2l</v>
      </c>
      <c r="F12" cm="1">
        <f t="array" ref="F12">INDEX('Linha 01'!$C$3:$Z$3,C12)</f>
        <v>20010002</v>
      </c>
      <c r="G12" t="str" cm="1">
        <f t="array" ref="G12">INDEX('Linha 01'!$C$2:$Z$2,C12)</f>
        <v>Agua Sanitaria Aquafast Cx/06 X 2l</v>
      </c>
      <c r="H12" s="5" cm="1">
        <f t="array" ref="H12">INDEX('Linha 01'!$C$4:$ZZ$1000,B12,C12)</f>
        <v>0</v>
      </c>
    </row>
    <row r="13" spans="1:8" x14ac:dyDescent="0.25">
      <c r="A13">
        <v>11</v>
      </c>
      <c r="B13">
        <f t="shared" si="0"/>
        <v>2</v>
      </c>
      <c r="C13">
        <f t="shared" si="1"/>
        <v>3</v>
      </c>
      <c r="D13" cm="1">
        <f t="array" ref="D13">INDEX('Linha 01'!$A$4:$A$1000,B13)</f>
        <v>20010002</v>
      </c>
      <c r="E13" t="str" cm="1">
        <f t="array" ref="E13">INDEX('Linha 01'!$B$4:$B$1000,B13)</f>
        <v>Agua Sanitaria Aquafast Cx/06 X 2l</v>
      </c>
      <c r="F13" cm="1">
        <f t="array" ref="F13">INDEX('Linha 01'!$C$3:$Z$3,C13)</f>
        <v>20010017</v>
      </c>
      <c r="G13" t="str" cm="1">
        <f t="array" ref="G13">INDEX('Linha 01'!$C$2:$Z$2,C13)</f>
        <v>Agua Sanitaria Verde Ito Cx/12 X 1l</v>
      </c>
      <c r="H13" s="5" cm="1">
        <f t="array" ref="H13">INDEX('Linha 01'!$C$4:$ZZ$1000,B13,C13)</f>
        <v>3.4722222222222224E-2</v>
      </c>
    </row>
    <row r="14" spans="1:8" x14ac:dyDescent="0.25">
      <c r="A14">
        <v>12</v>
      </c>
      <c r="B14">
        <f t="shared" si="0"/>
        <v>2</v>
      </c>
      <c r="C14">
        <f t="shared" si="1"/>
        <v>4</v>
      </c>
      <c r="D14" cm="1">
        <f t="array" ref="D14">INDEX('Linha 01'!$A$4:$A$1000,B14)</f>
        <v>20010002</v>
      </c>
      <c r="E14" t="str" cm="1">
        <f t="array" ref="E14">INDEX('Linha 01'!$B$4:$B$1000,B14)</f>
        <v>Agua Sanitaria Aquafast Cx/06 X 2l</v>
      </c>
      <c r="F14" cm="1">
        <f t="array" ref="F14">INDEX('Linha 01'!$C$3:$Z$3,C14)</f>
        <v>20010018</v>
      </c>
      <c r="G14" t="str" cm="1">
        <f t="array" ref="G14">INDEX('Linha 01'!$C$2:$Z$2,C14)</f>
        <v>Agua Sanitaria Verde Ito Cx/06 X 2l</v>
      </c>
      <c r="H14" s="5" cm="1">
        <f t="array" ref="H14">INDEX('Linha 01'!$C$4:$ZZ$1000,B14,C14)</f>
        <v>0</v>
      </c>
    </row>
    <row r="15" spans="1:8" x14ac:dyDescent="0.25">
      <c r="A15">
        <v>13</v>
      </c>
      <c r="B15">
        <f t="shared" si="0"/>
        <v>2</v>
      </c>
      <c r="C15">
        <f t="shared" si="1"/>
        <v>5</v>
      </c>
      <c r="D15" cm="1">
        <f t="array" ref="D15">INDEX('Linha 01'!$A$4:$A$1000,B15)</f>
        <v>20010002</v>
      </c>
      <c r="E15" t="str" cm="1">
        <f t="array" ref="E15">INDEX('Linha 01'!$B$4:$B$1000,B15)</f>
        <v>Agua Sanitaria Aquafast Cx/06 X 2l</v>
      </c>
      <c r="F15" cm="1">
        <f t="array" ref="F15">INDEX('Linha 01'!$C$3:$Z$3,C15)</f>
        <v>20010022</v>
      </c>
      <c r="G15" t="str" cm="1">
        <f t="array" ref="G15">INDEX('Linha 01'!$C$2:$Z$2,C15)</f>
        <v>Agua Sanitaria Myata Cx/12 X 1l</v>
      </c>
      <c r="H15" s="5" cm="1">
        <f t="array" ref="H15">INDEX('Linha 01'!$C$4:$ZZ$1000,B15,C15)</f>
        <v>3.4722222222222224E-2</v>
      </c>
    </row>
    <row r="16" spans="1:8" x14ac:dyDescent="0.25">
      <c r="A16">
        <v>14</v>
      </c>
      <c r="B16">
        <f t="shared" si="0"/>
        <v>2</v>
      </c>
      <c r="C16">
        <f t="shared" si="1"/>
        <v>6</v>
      </c>
      <c r="D16" cm="1">
        <f t="array" ref="D16">INDEX('Linha 01'!$A$4:$A$1000,B16)</f>
        <v>20010002</v>
      </c>
      <c r="E16" t="str" cm="1">
        <f t="array" ref="E16">INDEX('Linha 01'!$B$4:$B$1000,B16)</f>
        <v>Agua Sanitaria Aquafast Cx/06 X 2l</v>
      </c>
      <c r="F16" cm="1">
        <f t="array" ref="F16">INDEX('Linha 01'!$C$3:$Z$3,C16)</f>
        <v>20010023</v>
      </c>
      <c r="G16" t="str" cm="1">
        <f t="array" ref="G16">INDEX('Linha 01'!$C$2:$Z$2,C16)</f>
        <v>Agua Sanitaria Myata Cx/06 X 2l</v>
      </c>
      <c r="H16" s="5" cm="1">
        <f t="array" ref="H16">INDEX('Linha 01'!$C$4:$ZZ$1000,B16,C16)</f>
        <v>0</v>
      </c>
    </row>
    <row r="17" spans="1:8" x14ac:dyDescent="0.25">
      <c r="A17">
        <v>15</v>
      </c>
      <c r="B17">
        <f t="shared" si="0"/>
        <v>2</v>
      </c>
      <c r="C17">
        <f t="shared" si="1"/>
        <v>7</v>
      </c>
      <c r="D17" cm="1">
        <f t="array" ref="D17">INDEX('Linha 01'!$A$4:$A$1000,B17)</f>
        <v>20010002</v>
      </c>
      <c r="E17" t="str" cm="1">
        <f t="array" ref="E17">INDEX('Linha 01'!$B$4:$B$1000,B17)</f>
        <v>Agua Sanitaria Aquafast Cx/06 X 2l</v>
      </c>
      <c r="F17" cm="1">
        <f t="array" ref="F17">INDEX('Linha 01'!$C$3:$Z$3,C17)</f>
        <v>20160001</v>
      </c>
      <c r="G17" t="str" cm="1">
        <f t="array" ref="G17">INDEX('Linha 01'!$C$2:$Z$2,C17)</f>
        <v>Alvejante S/ Cloro Aquafast Cx/12 X 1l</v>
      </c>
      <c r="H17" s="5" cm="1">
        <f t="array" ref="H17">INDEX('Linha 01'!$C$4:$ZZ$1000,B17,C17)</f>
        <v>3.4722222222222224E-2</v>
      </c>
    </row>
    <row r="18" spans="1:8" x14ac:dyDescent="0.25">
      <c r="A18">
        <v>16</v>
      </c>
      <c r="B18">
        <f t="shared" si="0"/>
        <v>2</v>
      </c>
      <c r="C18">
        <f t="shared" si="1"/>
        <v>8</v>
      </c>
      <c r="D18" cm="1">
        <f t="array" ref="D18">INDEX('Linha 01'!$A$4:$A$1000,B18)</f>
        <v>20010002</v>
      </c>
      <c r="E18" t="str" cm="1">
        <f t="array" ref="E18">INDEX('Linha 01'!$B$4:$B$1000,B18)</f>
        <v>Agua Sanitaria Aquafast Cx/06 X 2l</v>
      </c>
      <c r="F18" cm="1">
        <f t="array" ref="F18">INDEX('Linha 01'!$C$3:$Z$3,C18)</f>
        <v>20160002</v>
      </c>
      <c r="G18" t="str" cm="1">
        <f t="array" ref="G18">INDEX('Linha 01'!$C$2:$Z$2,C18)</f>
        <v>Alvejante S/ Cloro Aquafast Cx/06 X 2l</v>
      </c>
      <c r="H18" s="5" cm="1">
        <f t="array" ref="H18">INDEX('Linha 01'!$C$4:$ZZ$1000,B18,C18)</f>
        <v>1.3888888888888888E-2</v>
      </c>
    </row>
    <row r="19" spans="1:8" x14ac:dyDescent="0.25">
      <c r="A19">
        <v>17</v>
      </c>
      <c r="B19">
        <f t="shared" si="0"/>
        <v>3</v>
      </c>
      <c r="C19">
        <f t="shared" si="1"/>
        <v>1</v>
      </c>
      <c r="D19" cm="1">
        <f t="array" ref="D19">INDEX('Linha 01'!$A$4:$A$1000,B19)</f>
        <v>20010017</v>
      </c>
      <c r="E19" t="str" cm="1">
        <f t="array" ref="E19">INDEX('Linha 01'!$B$4:$B$1000,B19)</f>
        <v>Agua Sanitaria Verde Ito Cx/12 X 1l</v>
      </c>
      <c r="F19" cm="1">
        <f t="array" ref="F19">INDEX('Linha 01'!$C$3:$Z$3,C19)</f>
        <v>20010001</v>
      </c>
      <c r="G19" t="str" cm="1">
        <f t="array" ref="G19">INDEX('Linha 01'!$C$2:$Z$2,C19)</f>
        <v>Agua Sanitaria Aquafast Cx/12 X 1l</v>
      </c>
      <c r="H19" s="5" cm="1">
        <f t="array" ref="H19">INDEX('Linha 01'!$C$4:$ZZ$1000,B19,C19)</f>
        <v>0</v>
      </c>
    </row>
    <row r="20" spans="1:8" x14ac:dyDescent="0.25">
      <c r="A20">
        <v>18</v>
      </c>
      <c r="B20">
        <f t="shared" si="0"/>
        <v>3</v>
      </c>
      <c r="C20">
        <f t="shared" si="1"/>
        <v>2</v>
      </c>
      <c r="D20" cm="1">
        <f t="array" ref="D20">INDEX('Linha 01'!$A$4:$A$1000,B20)</f>
        <v>20010017</v>
      </c>
      <c r="E20" t="str" cm="1">
        <f t="array" ref="E20">INDEX('Linha 01'!$B$4:$B$1000,B20)</f>
        <v>Agua Sanitaria Verde Ito Cx/12 X 1l</v>
      </c>
      <c r="F20" cm="1">
        <f t="array" ref="F20">INDEX('Linha 01'!$C$3:$Z$3,C20)</f>
        <v>20010002</v>
      </c>
      <c r="G20" t="str" cm="1">
        <f t="array" ref="G20">INDEX('Linha 01'!$C$2:$Z$2,C20)</f>
        <v>Agua Sanitaria Aquafast Cx/06 X 2l</v>
      </c>
      <c r="H20" s="5" cm="1">
        <f t="array" ref="H20">INDEX('Linha 01'!$C$4:$ZZ$1000,B20,C20)</f>
        <v>3.4722222222222224E-2</v>
      </c>
    </row>
    <row r="21" spans="1:8" x14ac:dyDescent="0.25">
      <c r="A21">
        <v>19</v>
      </c>
      <c r="B21">
        <f t="shared" si="0"/>
        <v>3</v>
      </c>
      <c r="C21">
        <f t="shared" si="1"/>
        <v>3</v>
      </c>
      <c r="D21" cm="1">
        <f t="array" ref="D21">INDEX('Linha 01'!$A$4:$A$1000,B21)</f>
        <v>20010017</v>
      </c>
      <c r="E21" t="str" cm="1">
        <f t="array" ref="E21">INDEX('Linha 01'!$B$4:$B$1000,B21)</f>
        <v>Agua Sanitaria Verde Ito Cx/12 X 1l</v>
      </c>
      <c r="F21" cm="1">
        <f t="array" ref="F21">INDEX('Linha 01'!$C$3:$Z$3,C21)</f>
        <v>20010017</v>
      </c>
      <c r="G21" t="str" cm="1">
        <f t="array" ref="G21">INDEX('Linha 01'!$C$2:$Z$2,C21)</f>
        <v>Agua Sanitaria Verde Ito Cx/12 X 1l</v>
      </c>
      <c r="H21" s="5" cm="1">
        <f t="array" ref="H21">INDEX('Linha 01'!$C$4:$ZZ$1000,B21,C21)</f>
        <v>0</v>
      </c>
    </row>
    <row r="22" spans="1:8" x14ac:dyDescent="0.25">
      <c r="A22">
        <v>20</v>
      </c>
      <c r="B22">
        <f t="shared" si="0"/>
        <v>3</v>
      </c>
      <c r="C22">
        <f t="shared" si="1"/>
        <v>4</v>
      </c>
      <c r="D22" cm="1">
        <f t="array" ref="D22">INDEX('Linha 01'!$A$4:$A$1000,B22)</f>
        <v>20010017</v>
      </c>
      <c r="E22" t="str" cm="1">
        <f t="array" ref="E22">INDEX('Linha 01'!$B$4:$B$1000,B22)</f>
        <v>Agua Sanitaria Verde Ito Cx/12 X 1l</v>
      </c>
      <c r="F22" cm="1">
        <f t="array" ref="F22">INDEX('Linha 01'!$C$3:$Z$3,C22)</f>
        <v>20010018</v>
      </c>
      <c r="G22" t="str" cm="1">
        <f t="array" ref="G22">INDEX('Linha 01'!$C$2:$Z$2,C22)</f>
        <v>Agua Sanitaria Verde Ito Cx/06 X 2l</v>
      </c>
      <c r="H22" s="5" cm="1">
        <f t="array" ref="H22">INDEX('Linha 01'!$C$4:$ZZ$1000,B22,C22)</f>
        <v>3.4722222222222224E-2</v>
      </c>
    </row>
    <row r="23" spans="1:8" x14ac:dyDescent="0.25">
      <c r="A23">
        <v>21</v>
      </c>
      <c r="B23">
        <f t="shared" si="0"/>
        <v>3</v>
      </c>
      <c r="C23">
        <f t="shared" si="1"/>
        <v>5</v>
      </c>
      <c r="D23" cm="1">
        <f t="array" ref="D23">INDEX('Linha 01'!$A$4:$A$1000,B23)</f>
        <v>20010017</v>
      </c>
      <c r="E23" t="str" cm="1">
        <f t="array" ref="E23">INDEX('Linha 01'!$B$4:$B$1000,B23)</f>
        <v>Agua Sanitaria Verde Ito Cx/12 X 1l</v>
      </c>
      <c r="F23" cm="1">
        <f t="array" ref="F23">INDEX('Linha 01'!$C$3:$Z$3,C23)</f>
        <v>20010022</v>
      </c>
      <c r="G23" t="str" cm="1">
        <f t="array" ref="G23">INDEX('Linha 01'!$C$2:$Z$2,C23)</f>
        <v>Agua Sanitaria Myata Cx/12 X 1l</v>
      </c>
      <c r="H23" s="5" cm="1">
        <f t="array" ref="H23">INDEX('Linha 01'!$C$4:$ZZ$1000,B23,C23)</f>
        <v>0</v>
      </c>
    </row>
    <row r="24" spans="1:8" x14ac:dyDescent="0.25">
      <c r="A24">
        <v>22</v>
      </c>
      <c r="B24">
        <f t="shared" si="0"/>
        <v>3</v>
      </c>
      <c r="C24">
        <f t="shared" si="1"/>
        <v>6</v>
      </c>
      <c r="D24" cm="1">
        <f t="array" ref="D24">INDEX('Linha 01'!$A$4:$A$1000,B24)</f>
        <v>20010017</v>
      </c>
      <c r="E24" t="str" cm="1">
        <f t="array" ref="E24">INDEX('Linha 01'!$B$4:$B$1000,B24)</f>
        <v>Agua Sanitaria Verde Ito Cx/12 X 1l</v>
      </c>
      <c r="F24" cm="1">
        <f t="array" ref="F24">INDEX('Linha 01'!$C$3:$Z$3,C24)</f>
        <v>20010023</v>
      </c>
      <c r="G24" t="str" cm="1">
        <f t="array" ref="G24">INDEX('Linha 01'!$C$2:$Z$2,C24)</f>
        <v>Agua Sanitaria Myata Cx/06 X 2l</v>
      </c>
      <c r="H24" s="5" cm="1">
        <f t="array" ref="H24">INDEX('Linha 01'!$C$4:$ZZ$1000,B24,C24)</f>
        <v>3.4722222222222224E-2</v>
      </c>
    </row>
    <row r="25" spans="1:8" x14ac:dyDescent="0.25">
      <c r="A25">
        <v>23</v>
      </c>
      <c r="B25">
        <f t="shared" si="0"/>
        <v>3</v>
      </c>
      <c r="C25">
        <f t="shared" si="1"/>
        <v>7</v>
      </c>
      <c r="D25" cm="1">
        <f t="array" ref="D25">INDEX('Linha 01'!$A$4:$A$1000,B25)</f>
        <v>20010017</v>
      </c>
      <c r="E25" t="str" cm="1">
        <f t="array" ref="E25">INDEX('Linha 01'!$B$4:$B$1000,B25)</f>
        <v>Agua Sanitaria Verde Ito Cx/12 X 1l</v>
      </c>
      <c r="F25" cm="1">
        <f t="array" ref="F25">INDEX('Linha 01'!$C$3:$Z$3,C25)</f>
        <v>20160001</v>
      </c>
      <c r="G25" t="str" cm="1">
        <f t="array" ref="G25">INDEX('Linha 01'!$C$2:$Z$2,C25)</f>
        <v>Alvejante S/ Cloro Aquafast Cx/12 X 1l</v>
      </c>
      <c r="H25" s="5" cm="1">
        <f t="array" ref="H25">INDEX('Linha 01'!$C$4:$ZZ$1000,B25,C25)</f>
        <v>1.3888888888888888E-2</v>
      </c>
    </row>
    <row r="26" spans="1:8" x14ac:dyDescent="0.25">
      <c r="A26">
        <v>24</v>
      </c>
      <c r="B26">
        <f t="shared" si="0"/>
        <v>3</v>
      </c>
      <c r="C26">
        <f t="shared" si="1"/>
        <v>8</v>
      </c>
      <c r="D26" cm="1">
        <f t="array" ref="D26">INDEX('Linha 01'!$A$4:$A$1000,B26)</f>
        <v>20010017</v>
      </c>
      <c r="E26" t="str" cm="1">
        <f t="array" ref="E26">INDEX('Linha 01'!$B$4:$B$1000,B26)</f>
        <v>Agua Sanitaria Verde Ito Cx/12 X 1l</v>
      </c>
      <c r="F26" cm="1">
        <f t="array" ref="F26">INDEX('Linha 01'!$C$3:$Z$3,C26)</f>
        <v>20160002</v>
      </c>
      <c r="G26" t="str" cm="1">
        <f t="array" ref="G26">INDEX('Linha 01'!$C$2:$Z$2,C26)</f>
        <v>Alvejante S/ Cloro Aquafast Cx/06 X 2l</v>
      </c>
      <c r="H26" s="5" cm="1">
        <f t="array" ref="H26">INDEX('Linha 01'!$C$4:$ZZ$1000,B26,C26)</f>
        <v>3.4722222222222224E-2</v>
      </c>
    </row>
    <row r="27" spans="1:8" x14ac:dyDescent="0.25">
      <c r="A27">
        <v>25</v>
      </c>
      <c r="B27">
        <f t="shared" si="0"/>
        <v>4</v>
      </c>
      <c r="C27">
        <f t="shared" si="1"/>
        <v>1</v>
      </c>
      <c r="D27" cm="1">
        <f t="array" ref="D27">INDEX('Linha 01'!$A$4:$A$1000,B27)</f>
        <v>20010018</v>
      </c>
      <c r="E27" t="str" cm="1">
        <f t="array" ref="E27">INDEX('Linha 01'!$B$4:$B$1000,B27)</f>
        <v>Agua Sanitaria Verde Ito Cx/06 X 2l</v>
      </c>
      <c r="F27" cm="1">
        <f t="array" ref="F27">INDEX('Linha 01'!$C$3:$Z$3,C27)</f>
        <v>20010001</v>
      </c>
      <c r="G27" t="str" cm="1">
        <f t="array" ref="G27">INDEX('Linha 01'!$C$2:$Z$2,C27)</f>
        <v>Agua Sanitaria Aquafast Cx/12 X 1l</v>
      </c>
      <c r="H27" s="5" cm="1">
        <f t="array" ref="H27">INDEX('Linha 01'!$C$4:$ZZ$1000,B27,C27)</f>
        <v>3.4722222222222224E-2</v>
      </c>
    </row>
    <row r="28" spans="1:8" x14ac:dyDescent="0.25">
      <c r="A28">
        <v>26</v>
      </c>
      <c r="B28">
        <f t="shared" si="0"/>
        <v>4</v>
      </c>
      <c r="C28">
        <f t="shared" si="1"/>
        <v>2</v>
      </c>
      <c r="D28" cm="1">
        <f t="array" ref="D28">INDEX('Linha 01'!$A$4:$A$1000,B28)</f>
        <v>20010018</v>
      </c>
      <c r="E28" t="str" cm="1">
        <f t="array" ref="E28">INDEX('Linha 01'!$B$4:$B$1000,B28)</f>
        <v>Agua Sanitaria Verde Ito Cx/06 X 2l</v>
      </c>
      <c r="F28" cm="1">
        <f t="array" ref="F28">INDEX('Linha 01'!$C$3:$Z$3,C28)</f>
        <v>20010002</v>
      </c>
      <c r="G28" t="str" cm="1">
        <f t="array" ref="G28">INDEX('Linha 01'!$C$2:$Z$2,C28)</f>
        <v>Agua Sanitaria Aquafast Cx/06 X 2l</v>
      </c>
      <c r="H28" s="5" cm="1">
        <f t="array" ref="H28">INDEX('Linha 01'!$C$4:$ZZ$1000,B28,C28)</f>
        <v>0</v>
      </c>
    </row>
    <row r="29" spans="1:8" x14ac:dyDescent="0.25">
      <c r="A29">
        <v>27</v>
      </c>
      <c r="B29">
        <f t="shared" si="0"/>
        <v>4</v>
      </c>
      <c r="C29">
        <f t="shared" si="1"/>
        <v>3</v>
      </c>
      <c r="D29" cm="1">
        <f t="array" ref="D29">INDEX('Linha 01'!$A$4:$A$1000,B29)</f>
        <v>20010018</v>
      </c>
      <c r="E29" t="str" cm="1">
        <f t="array" ref="E29">INDEX('Linha 01'!$B$4:$B$1000,B29)</f>
        <v>Agua Sanitaria Verde Ito Cx/06 X 2l</v>
      </c>
      <c r="F29" cm="1">
        <f t="array" ref="F29">INDEX('Linha 01'!$C$3:$Z$3,C29)</f>
        <v>20010017</v>
      </c>
      <c r="G29" t="str" cm="1">
        <f t="array" ref="G29">INDEX('Linha 01'!$C$2:$Z$2,C29)</f>
        <v>Agua Sanitaria Verde Ito Cx/12 X 1l</v>
      </c>
      <c r="H29" s="5" cm="1">
        <f t="array" ref="H29">INDEX('Linha 01'!$C$4:$ZZ$1000,B29,C29)</f>
        <v>3.4722222222222224E-2</v>
      </c>
    </row>
    <row r="30" spans="1:8" x14ac:dyDescent="0.25">
      <c r="A30">
        <v>28</v>
      </c>
      <c r="B30">
        <f t="shared" si="0"/>
        <v>4</v>
      </c>
      <c r="C30">
        <f t="shared" si="1"/>
        <v>4</v>
      </c>
      <c r="D30" cm="1">
        <f t="array" ref="D30">INDEX('Linha 01'!$A$4:$A$1000,B30)</f>
        <v>20010018</v>
      </c>
      <c r="E30" t="str" cm="1">
        <f t="array" ref="E30">INDEX('Linha 01'!$B$4:$B$1000,B30)</f>
        <v>Agua Sanitaria Verde Ito Cx/06 X 2l</v>
      </c>
      <c r="F30" cm="1">
        <f t="array" ref="F30">INDEX('Linha 01'!$C$3:$Z$3,C30)</f>
        <v>20010018</v>
      </c>
      <c r="G30" t="str" cm="1">
        <f t="array" ref="G30">INDEX('Linha 01'!$C$2:$Z$2,C30)</f>
        <v>Agua Sanitaria Verde Ito Cx/06 X 2l</v>
      </c>
      <c r="H30" s="5" cm="1">
        <f t="array" ref="H30">INDEX('Linha 01'!$C$4:$ZZ$1000,B30,C30)</f>
        <v>0</v>
      </c>
    </row>
    <row r="31" spans="1:8" x14ac:dyDescent="0.25">
      <c r="A31">
        <v>29</v>
      </c>
      <c r="B31">
        <f t="shared" si="0"/>
        <v>4</v>
      </c>
      <c r="C31">
        <f t="shared" si="1"/>
        <v>5</v>
      </c>
      <c r="D31" cm="1">
        <f t="array" ref="D31">INDEX('Linha 01'!$A$4:$A$1000,B31)</f>
        <v>20010018</v>
      </c>
      <c r="E31" t="str" cm="1">
        <f t="array" ref="E31">INDEX('Linha 01'!$B$4:$B$1000,B31)</f>
        <v>Agua Sanitaria Verde Ito Cx/06 X 2l</v>
      </c>
      <c r="F31" cm="1">
        <f t="array" ref="F31">INDEX('Linha 01'!$C$3:$Z$3,C31)</f>
        <v>20010022</v>
      </c>
      <c r="G31" t="str" cm="1">
        <f t="array" ref="G31">INDEX('Linha 01'!$C$2:$Z$2,C31)</f>
        <v>Agua Sanitaria Myata Cx/12 X 1l</v>
      </c>
      <c r="H31" s="5" cm="1">
        <f t="array" ref="H31">INDEX('Linha 01'!$C$4:$ZZ$1000,B31,C31)</f>
        <v>3.4722222222222224E-2</v>
      </c>
    </row>
    <row r="32" spans="1:8" x14ac:dyDescent="0.25">
      <c r="A32">
        <v>30</v>
      </c>
      <c r="B32">
        <f t="shared" si="0"/>
        <v>4</v>
      </c>
      <c r="C32">
        <f t="shared" si="1"/>
        <v>6</v>
      </c>
      <c r="D32" cm="1">
        <f t="array" ref="D32">INDEX('Linha 01'!$A$4:$A$1000,B32)</f>
        <v>20010018</v>
      </c>
      <c r="E32" t="str" cm="1">
        <f t="array" ref="E32">INDEX('Linha 01'!$B$4:$B$1000,B32)</f>
        <v>Agua Sanitaria Verde Ito Cx/06 X 2l</v>
      </c>
      <c r="F32" cm="1">
        <f t="array" ref="F32">INDEX('Linha 01'!$C$3:$Z$3,C32)</f>
        <v>20010023</v>
      </c>
      <c r="G32" t="str" cm="1">
        <f t="array" ref="G32">INDEX('Linha 01'!$C$2:$Z$2,C32)</f>
        <v>Agua Sanitaria Myata Cx/06 X 2l</v>
      </c>
      <c r="H32" s="5" cm="1">
        <f t="array" ref="H32">INDEX('Linha 01'!$C$4:$ZZ$1000,B32,C32)</f>
        <v>0</v>
      </c>
    </row>
    <row r="33" spans="1:8" x14ac:dyDescent="0.25">
      <c r="A33">
        <v>31</v>
      </c>
      <c r="B33">
        <f t="shared" si="0"/>
        <v>4</v>
      </c>
      <c r="C33">
        <f t="shared" si="1"/>
        <v>7</v>
      </c>
      <c r="D33" cm="1">
        <f t="array" ref="D33">INDEX('Linha 01'!$A$4:$A$1000,B33)</f>
        <v>20010018</v>
      </c>
      <c r="E33" t="str" cm="1">
        <f t="array" ref="E33">INDEX('Linha 01'!$B$4:$B$1000,B33)</f>
        <v>Agua Sanitaria Verde Ito Cx/06 X 2l</v>
      </c>
      <c r="F33" cm="1">
        <f t="array" ref="F33">INDEX('Linha 01'!$C$3:$Z$3,C33)</f>
        <v>20160001</v>
      </c>
      <c r="G33" t="str" cm="1">
        <f t="array" ref="G33">INDEX('Linha 01'!$C$2:$Z$2,C33)</f>
        <v>Alvejante S/ Cloro Aquafast Cx/12 X 1l</v>
      </c>
      <c r="H33" s="5" cm="1">
        <f t="array" ref="H33">INDEX('Linha 01'!$C$4:$ZZ$1000,B33,C33)</f>
        <v>3.4722222222222224E-2</v>
      </c>
    </row>
    <row r="34" spans="1:8" x14ac:dyDescent="0.25">
      <c r="A34">
        <v>32</v>
      </c>
      <c r="B34">
        <f t="shared" si="0"/>
        <v>4</v>
      </c>
      <c r="C34">
        <f t="shared" si="1"/>
        <v>8</v>
      </c>
      <c r="D34" cm="1">
        <f t="array" ref="D34">INDEX('Linha 01'!$A$4:$A$1000,B34)</f>
        <v>20010018</v>
      </c>
      <c r="E34" t="str" cm="1">
        <f t="array" ref="E34">INDEX('Linha 01'!$B$4:$B$1000,B34)</f>
        <v>Agua Sanitaria Verde Ito Cx/06 X 2l</v>
      </c>
      <c r="F34" cm="1">
        <f t="array" ref="F34">INDEX('Linha 01'!$C$3:$Z$3,C34)</f>
        <v>20160002</v>
      </c>
      <c r="G34" t="str" cm="1">
        <f t="array" ref="G34">INDEX('Linha 01'!$C$2:$Z$2,C34)</f>
        <v>Alvejante S/ Cloro Aquafast Cx/06 X 2l</v>
      </c>
      <c r="H34" s="5" cm="1">
        <f t="array" ref="H34">INDEX('Linha 01'!$C$4:$ZZ$1000,B34,C34)</f>
        <v>1.3888888888888888E-2</v>
      </c>
    </row>
    <row r="35" spans="1:8" x14ac:dyDescent="0.25">
      <c r="A35">
        <v>33</v>
      </c>
      <c r="B35">
        <f t="shared" si="0"/>
        <v>5</v>
      </c>
      <c r="C35">
        <f t="shared" si="1"/>
        <v>1</v>
      </c>
      <c r="D35" cm="1">
        <f t="array" ref="D35">INDEX('Linha 01'!$A$4:$A$1000,B35)</f>
        <v>20010022</v>
      </c>
      <c r="E35" t="str" cm="1">
        <f t="array" ref="E35">INDEX('Linha 01'!$B$4:$B$1000,B35)</f>
        <v>Agua Sanitaria Myata Cx/12 X 1l</v>
      </c>
      <c r="F35" cm="1">
        <f t="array" ref="F35">INDEX('Linha 01'!$C$3:$Z$3,C35)</f>
        <v>20010001</v>
      </c>
      <c r="G35" t="str" cm="1">
        <f t="array" ref="G35">INDEX('Linha 01'!$C$2:$Z$2,C35)</f>
        <v>Agua Sanitaria Aquafast Cx/12 X 1l</v>
      </c>
      <c r="H35" s="5" cm="1">
        <f t="array" ref="H35">INDEX('Linha 01'!$C$4:$ZZ$1000,B35,C35)</f>
        <v>0</v>
      </c>
    </row>
    <row r="36" spans="1:8" x14ac:dyDescent="0.25">
      <c r="A36">
        <v>34</v>
      </c>
      <c r="B36">
        <f t="shared" si="0"/>
        <v>5</v>
      </c>
      <c r="C36">
        <f t="shared" si="1"/>
        <v>2</v>
      </c>
      <c r="D36" cm="1">
        <f t="array" ref="D36">INDEX('Linha 01'!$A$4:$A$1000,B36)</f>
        <v>20010022</v>
      </c>
      <c r="E36" t="str" cm="1">
        <f t="array" ref="E36">INDEX('Linha 01'!$B$4:$B$1000,B36)</f>
        <v>Agua Sanitaria Myata Cx/12 X 1l</v>
      </c>
      <c r="F36" cm="1">
        <f t="array" ref="F36">INDEX('Linha 01'!$C$3:$Z$3,C36)</f>
        <v>20010002</v>
      </c>
      <c r="G36" t="str" cm="1">
        <f t="array" ref="G36">INDEX('Linha 01'!$C$2:$Z$2,C36)</f>
        <v>Agua Sanitaria Aquafast Cx/06 X 2l</v>
      </c>
      <c r="H36" s="5" cm="1">
        <f t="array" ref="H36">INDEX('Linha 01'!$C$4:$ZZ$1000,B36,C36)</f>
        <v>3.4722222222222224E-2</v>
      </c>
    </row>
    <row r="37" spans="1:8" x14ac:dyDescent="0.25">
      <c r="A37">
        <v>35</v>
      </c>
      <c r="B37">
        <f t="shared" si="0"/>
        <v>5</v>
      </c>
      <c r="C37">
        <f t="shared" si="1"/>
        <v>3</v>
      </c>
      <c r="D37" cm="1">
        <f t="array" ref="D37">INDEX('Linha 01'!$A$4:$A$1000,B37)</f>
        <v>20010022</v>
      </c>
      <c r="E37" t="str" cm="1">
        <f t="array" ref="E37">INDEX('Linha 01'!$B$4:$B$1000,B37)</f>
        <v>Agua Sanitaria Myata Cx/12 X 1l</v>
      </c>
      <c r="F37" cm="1">
        <f t="array" ref="F37">INDEX('Linha 01'!$C$3:$Z$3,C37)</f>
        <v>20010017</v>
      </c>
      <c r="G37" t="str" cm="1">
        <f t="array" ref="G37">INDEX('Linha 01'!$C$2:$Z$2,C37)</f>
        <v>Agua Sanitaria Verde Ito Cx/12 X 1l</v>
      </c>
      <c r="H37" s="5" cm="1">
        <f t="array" ref="H37">INDEX('Linha 01'!$C$4:$ZZ$1000,B37,C37)</f>
        <v>0</v>
      </c>
    </row>
    <row r="38" spans="1:8" x14ac:dyDescent="0.25">
      <c r="A38">
        <v>36</v>
      </c>
      <c r="B38">
        <f t="shared" si="0"/>
        <v>5</v>
      </c>
      <c r="C38">
        <f t="shared" si="1"/>
        <v>4</v>
      </c>
      <c r="D38" cm="1">
        <f t="array" ref="D38">INDEX('Linha 01'!$A$4:$A$1000,B38)</f>
        <v>20010022</v>
      </c>
      <c r="E38" t="str" cm="1">
        <f t="array" ref="E38">INDEX('Linha 01'!$B$4:$B$1000,B38)</f>
        <v>Agua Sanitaria Myata Cx/12 X 1l</v>
      </c>
      <c r="F38" cm="1">
        <f t="array" ref="F38">INDEX('Linha 01'!$C$3:$Z$3,C38)</f>
        <v>20010018</v>
      </c>
      <c r="G38" t="str" cm="1">
        <f t="array" ref="G38">INDEX('Linha 01'!$C$2:$Z$2,C38)</f>
        <v>Agua Sanitaria Verde Ito Cx/06 X 2l</v>
      </c>
      <c r="H38" s="5" cm="1">
        <f t="array" ref="H38">INDEX('Linha 01'!$C$4:$ZZ$1000,B38,C38)</f>
        <v>3.4722222222222224E-2</v>
      </c>
    </row>
    <row r="39" spans="1:8" x14ac:dyDescent="0.25">
      <c r="A39">
        <v>37</v>
      </c>
      <c r="B39">
        <f t="shared" si="0"/>
        <v>5</v>
      </c>
      <c r="C39">
        <f t="shared" si="1"/>
        <v>5</v>
      </c>
      <c r="D39" cm="1">
        <f t="array" ref="D39">INDEX('Linha 01'!$A$4:$A$1000,B39)</f>
        <v>20010022</v>
      </c>
      <c r="E39" t="str" cm="1">
        <f t="array" ref="E39">INDEX('Linha 01'!$B$4:$B$1000,B39)</f>
        <v>Agua Sanitaria Myata Cx/12 X 1l</v>
      </c>
      <c r="F39" cm="1">
        <f t="array" ref="F39">INDEX('Linha 01'!$C$3:$Z$3,C39)</f>
        <v>20010022</v>
      </c>
      <c r="G39" t="str" cm="1">
        <f t="array" ref="G39">INDEX('Linha 01'!$C$2:$Z$2,C39)</f>
        <v>Agua Sanitaria Myata Cx/12 X 1l</v>
      </c>
      <c r="H39" s="5" cm="1">
        <f t="array" ref="H39">INDEX('Linha 01'!$C$4:$ZZ$1000,B39,C39)</f>
        <v>0</v>
      </c>
    </row>
    <row r="40" spans="1:8" x14ac:dyDescent="0.25">
      <c r="A40">
        <v>38</v>
      </c>
      <c r="B40">
        <f t="shared" si="0"/>
        <v>5</v>
      </c>
      <c r="C40">
        <f t="shared" si="1"/>
        <v>6</v>
      </c>
      <c r="D40" cm="1">
        <f t="array" ref="D40">INDEX('Linha 01'!$A$4:$A$1000,B40)</f>
        <v>20010022</v>
      </c>
      <c r="E40" t="str" cm="1">
        <f t="array" ref="E40">INDEX('Linha 01'!$B$4:$B$1000,B40)</f>
        <v>Agua Sanitaria Myata Cx/12 X 1l</v>
      </c>
      <c r="F40" cm="1">
        <f t="array" ref="F40">INDEX('Linha 01'!$C$3:$Z$3,C40)</f>
        <v>20010023</v>
      </c>
      <c r="G40" t="str" cm="1">
        <f t="array" ref="G40">INDEX('Linha 01'!$C$2:$Z$2,C40)</f>
        <v>Agua Sanitaria Myata Cx/06 X 2l</v>
      </c>
      <c r="H40" s="5" cm="1">
        <f t="array" ref="H40">INDEX('Linha 01'!$C$4:$ZZ$1000,B40,C40)</f>
        <v>3.4722222222222224E-2</v>
      </c>
    </row>
    <row r="41" spans="1:8" x14ac:dyDescent="0.25">
      <c r="A41">
        <v>39</v>
      </c>
      <c r="B41">
        <f t="shared" si="0"/>
        <v>5</v>
      </c>
      <c r="C41">
        <f t="shared" si="1"/>
        <v>7</v>
      </c>
      <c r="D41" cm="1">
        <f t="array" ref="D41">INDEX('Linha 01'!$A$4:$A$1000,B41)</f>
        <v>20010022</v>
      </c>
      <c r="E41" t="str" cm="1">
        <f t="array" ref="E41">INDEX('Linha 01'!$B$4:$B$1000,B41)</f>
        <v>Agua Sanitaria Myata Cx/12 X 1l</v>
      </c>
      <c r="F41" cm="1">
        <f t="array" ref="F41">INDEX('Linha 01'!$C$3:$Z$3,C41)</f>
        <v>20160001</v>
      </c>
      <c r="G41" t="str" cm="1">
        <f t="array" ref="G41">INDEX('Linha 01'!$C$2:$Z$2,C41)</f>
        <v>Alvejante S/ Cloro Aquafast Cx/12 X 1l</v>
      </c>
      <c r="H41" s="5" cm="1">
        <f t="array" ref="H41">INDEX('Linha 01'!$C$4:$ZZ$1000,B41,C41)</f>
        <v>1.3888888888888888E-2</v>
      </c>
    </row>
    <row r="42" spans="1:8" x14ac:dyDescent="0.25">
      <c r="A42">
        <v>40</v>
      </c>
      <c r="B42">
        <f t="shared" si="0"/>
        <v>5</v>
      </c>
      <c r="C42">
        <f t="shared" si="1"/>
        <v>8</v>
      </c>
      <c r="D42" cm="1">
        <f t="array" ref="D42">INDEX('Linha 01'!$A$4:$A$1000,B42)</f>
        <v>20010022</v>
      </c>
      <c r="E42" t="str" cm="1">
        <f t="array" ref="E42">INDEX('Linha 01'!$B$4:$B$1000,B42)</f>
        <v>Agua Sanitaria Myata Cx/12 X 1l</v>
      </c>
      <c r="F42" cm="1">
        <f t="array" ref="F42">INDEX('Linha 01'!$C$3:$Z$3,C42)</f>
        <v>20160002</v>
      </c>
      <c r="G42" t="str" cm="1">
        <f t="array" ref="G42">INDEX('Linha 01'!$C$2:$Z$2,C42)</f>
        <v>Alvejante S/ Cloro Aquafast Cx/06 X 2l</v>
      </c>
      <c r="H42" s="5" cm="1">
        <f t="array" ref="H42">INDEX('Linha 01'!$C$4:$ZZ$1000,B42,C42)</f>
        <v>3.4722222222222224E-2</v>
      </c>
    </row>
    <row r="43" spans="1:8" x14ac:dyDescent="0.25">
      <c r="A43">
        <v>41</v>
      </c>
      <c r="B43">
        <f t="shared" si="0"/>
        <v>6</v>
      </c>
      <c r="C43">
        <f t="shared" si="1"/>
        <v>1</v>
      </c>
      <c r="D43" cm="1">
        <f t="array" ref="D43">INDEX('Linha 01'!$A$4:$A$1000,B43)</f>
        <v>20010023</v>
      </c>
      <c r="E43" t="str" cm="1">
        <f t="array" ref="E43">INDEX('Linha 01'!$B$4:$B$1000,B43)</f>
        <v>Agua Sanitaria Myata Cx/06 X 2l</v>
      </c>
      <c r="F43" cm="1">
        <f t="array" ref="F43">INDEX('Linha 01'!$C$3:$Z$3,C43)</f>
        <v>20010001</v>
      </c>
      <c r="G43" t="str" cm="1">
        <f t="array" ref="G43">INDEX('Linha 01'!$C$2:$Z$2,C43)</f>
        <v>Agua Sanitaria Aquafast Cx/12 X 1l</v>
      </c>
      <c r="H43" s="5" cm="1">
        <f t="array" ref="H43">INDEX('Linha 01'!$C$4:$ZZ$1000,B43,C43)</f>
        <v>3.4722222222222224E-2</v>
      </c>
    </row>
    <row r="44" spans="1:8" x14ac:dyDescent="0.25">
      <c r="A44">
        <v>42</v>
      </c>
      <c r="B44">
        <f t="shared" si="0"/>
        <v>6</v>
      </c>
      <c r="C44">
        <f t="shared" si="1"/>
        <v>2</v>
      </c>
      <c r="D44" cm="1">
        <f t="array" ref="D44">INDEX('Linha 01'!$A$4:$A$1000,B44)</f>
        <v>20010023</v>
      </c>
      <c r="E44" t="str" cm="1">
        <f t="array" ref="E44">INDEX('Linha 01'!$B$4:$B$1000,B44)</f>
        <v>Agua Sanitaria Myata Cx/06 X 2l</v>
      </c>
      <c r="F44" cm="1">
        <f t="array" ref="F44">INDEX('Linha 01'!$C$3:$Z$3,C44)</f>
        <v>20010002</v>
      </c>
      <c r="G44" t="str" cm="1">
        <f t="array" ref="G44">INDEX('Linha 01'!$C$2:$Z$2,C44)</f>
        <v>Agua Sanitaria Aquafast Cx/06 X 2l</v>
      </c>
      <c r="H44" s="5" cm="1">
        <f t="array" ref="H44">INDEX('Linha 01'!$C$4:$ZZ$1000,B44,C44)</f>
        <v>0</v>
      </c>
    </row>
    <row r="45" spans="1:8" x14ac:dyDescent="0.25">
      <c r="A45">
        <v>43</v>
      </c>
      <c r="B45">
        <f t="shared" si="0"/>
        <v>6</v>
      </c>
      <c r="C45">
        <f t="shared" si="1"/>
        <v>3</v>
      </c>
      <c r="D45" cm="1">
        <f t="array" ref="D45">INDEX('Linha 01'!$A$4:$A$1000,B45)</f>
        <v>20010023</v>
      </c>
      <c r="E45" t="str" cm="1">
        <f t="array" ref="E45">INDEX('Linha 01'!$B$4:$B$1000,B45)</f>
        <v>Agua Sanitaria Myata Cx/06 X 2l</v>
      </c>
      <c r="F45" cm="1">
        <f t="array" ref="F45">INDEX('Linha 01'!$C$3:$Z$3,C45)</f>
        <v>20010017</v>
      </c>
      <c r="G45" t="str" cm="1">
        <f t="array" ref="G45">INDEX('Linha 01'!$C$2:$Z$2,C45)</f>
        <v>Agua Sanitaria Verde Ito Cx/12 X 1l</v>
      </c>
      <c r="H45" s="5" cm="1">
        <f t="array" ref="H45">INDEX('Linha 01'!$C$4:$ZZ$1000,B45,C45)</f>
        <v>3.4722222222222224E-2</v>
      </c>
    </row>
    <row r="46" spans="1:8" x14ac:dyDescent="0.25">
      <c r="A46">
        <v>44</v>
      </c>
      <c r="B46">
        <f t="shared" si="0"/>
        <v>6</v>
      </c>
      <c r="C46">
        <f t="shared" si="1"/>
        <v>4</v>
      </c>
      <c r="D46" cm="1">
        <f t="array" ref="D46">INDEX('Linha 01'!$A$4:$A$1000,B46)</f>
        <v>20010023</v>
      </c>
      <c r="E46" t="str" cm="1">
        <f t="array" ref="E46">INDEX('Linha 01'!$B$4:$B$1000,B46)</f>
        <v>Agua Sanitaria Myata Cx/06 X 2l</v>
      </c>
      <c r="F46" cm="1">
        <f t="array" ref="F46">INDEX('Linha 01'!$C$3:$Z$3,C46)</f>
        <v>20010018</v>
      </c>
      <c r="G46" t="str" cm="1">
        <f t="array" ref="G46">INDEX('Linha 01'!$C$2:$Z$2,C46)</f>
        <v>Agua Sanitaria Verde Ito Cx/06 X 2l</v>
      </c>
      <c r="H46" s="5" cm="1">
        <f t="array" ref="H46">INDEX('Linha 01'!$C$4:$ZZ$1000,B46,C46)</f>
        <v>0</v>
      </c>
    </row>
    <row r="47" spans="1:8" x14ac:dyDescent="0.25">
      <c r="A47">
        <v>45</v>
      </c>
      <c r="B47">
        <f t="shared" si="0"/>
        <v>6</v>
      </c>
      <c r="C47">
        <f t="shared" si="1"/>
        <v>5</v>
      </c>
      <c r="D47" cm="1">
        <f t="array" ref="D47">INDEX('Linha 01'!$A$4:$A$1000,B47)</f>
        <v>20010023</v>
      </c>
      <c r="E47" t="str" cm="1">
        <f t="array" ref="E47">INDEX('Linha 01'!$B$4:$B$1000,B47)</f>
        <v>Agua Sanitaria Myata Cx/06 X 2l</v>
      </c>
      <c r="F47" cm="1">
        <f t="array" ref="F47">INDEX('Linha 01'!$C$3:$Z$3,C47)</f>
        <v>20010022</v>
      </c>
      <c r="G47" t="str" cm="1">
        <f t="array" ref="G47">INDEX('Linha 01'!$C$2:$Z$2,C47)</f>
        <v>Agua Sanitaria Myata Cx/12 X 1l</v>
      </c>
      <c r="H47" s="5" cm="1">
        <f t="array" ref="H47">INDEX('Linha 01'!$C$4:$ZZ$1000,B47,C47)</f>
        <v>3.4722222222222224E-2</v>
      </c>
    </row>
    <row r="48" spans="1:8" x14ac:dyDescent="0.25">
      <c r="A48">
        <v>46</v>
      </c>
      <c r="B48">
        <f t="shared" si="0"/>
        <v>6</v>
      </c>
      <c r="C48">
        <f t="shared" si="1"/>
        <v>6</v>
      </c>
      <c r="D48" cm="1">
        <f t="array" ref="D48">INDEX('Linha 01'!$A$4:$A$1000,B48)</f>
        <v>20010023</v>
      </c>
      <c r="E48" t="str" cm="1">
        <f t="array" ref="E48">INDEX('Linha 01'!$B$4:$B$1000,B48)</f>
        <v>Agua Sanitaria Myata Cx/06 X 2l</v>
      </c>
      <c r="F48" cm="1">
        <f t="array" ref="F48">INDEX('Linha 01'!$C$3:$Z$3,C48)</f>
        <v>20010023</v>
      </c>
      <c r="G48" t="str" cm="1">
        <f t="array" ref="G48">INDEX('Linha 01'!$C$2:$Z$2,C48)</f>
        <v>Agua Sanitaria Myata Cx/06 X 2l</v>
      </c>
      <c r="H48" s="5" cm="1">
        <f t="array" ref="H48">INDEX('Linha 01'!$C$4:$ZZ$1000,B48,C48)</f>
        <v>0</v>
      </c>
    </row>
    <row r="49" spans="1:8" x14ac:dyDescent="0.25">
      <c r="A49">
        <v>47</v>
      </c>
      <c r="B49">
        <f t="shared" si="0"/>
        <v>6</v>
      </c>
      <c r="C49">
        <f t="shared" si="1"/>
        <v>7</v>
      </c>
      <c r="D49" cm="1">
        <f t="array" ref="D49">INDEX('Linha 01'!$A$4:$A$1000,B49)</f>
        <v>20010023</v>
      </c>
      <c r="E49" t="str" cm="1">
        <f t="array" ref="E49">INDEX('Linha 01'!$B$4:$B$1000,B49)</f>
        <v>Agua Sanitaria Myata Cx/06 X 2l</v>
      </c>
      <c r="F49" cm="1">
        <f t="array" ref="F49">INDEX('Linha 01'!$C$3:$Z$3,C49)</f>
        <v>20160001</v>
      </c>
      <c r="G49" t="str" cm="1">
        <f t="array" ref="G49">INDEX('Linha 01'!$C$2:$Z$2,C49)</f>
        <v>Alvejante S/ Cloro Aquafast Cx/12 X 1l</v>
      </c>
      <c r="H49" s="5" cm="1">
        <f t="array" ref="H49">INDEX('Linha 01'!$C$4:$ZZ$1000,B49,C49)</f>
        <v>3.4722222222222224E-2</v>
      </c>
    </row>
    <row r="50" spans="1:8" x14ac:dyDescent="0.25">
      <c r="A50">
        <v>48</v>
      </c>
      <c r="B50">
        <f t="shared" si="0"/>
        <v>6</v>
      </c>
      <c r="C50">
        <f t="shared" si="1"/>
        <v>8</v>
      </c>
      <c r="D50" cm="1">
        <f t="array" ref="D50">INDEX('Linha 01'!$A$4:$A$1000,B50)</f>
        <v>20010023</v>
      </c>
      <c r="E50" t="str" cm="1">
        <f t="array" ref="E50">INDEX('Linha 01'!$B$4:$B$1000,B50)</f>
        <v>Agua Sanitaria Myata Cx/06 X 2l</v>
      </c>
      <c r="F50" cm="1">
        <f t="array" ref="F50">INDEX('Linha 01'!$C$3:$Z$3,C50)</f>
        <v>20160002</v>
      </c>
      <c r="G50" t="str" cm="1">
        <f t="array" ref="G50">INDEX('Linha 01'!$C$2:$Z$2,C50)</f>
        <v>Alvejante S/ Cloro Aquafast Cx/06 X 2l</v>
      </c>
      <c r="H50" s="5" cm="1">
        <f t="array" ref="H50">INDEX('Linha 01'!$C$4:$ZZ$1000,B50,C50)</f>
        <v>1.3888888888888888E-2</v>
      </c>
    </row>
    <row r="51" spans="1:8" x14ac:dyDescent="0.25">
      <c r="A51">
        <v>49</v>
      </c>
      <c r="B51">
        <f t="shared" si="0"/>
        <v>7</v>
      </c>
      <c r="C51">
        <f t="shared" si="1"/>
        <v>1</v>
      </c>
      <c r="D51" cm="1">
        <f t="array" ref="D51">INDEX('Linha 01'!$A$4:$A$1000,B51)</f>
        <v>20160001</v>
      </c>
      <c r="E51" t="str" cm="1">
        <f t="array" ref="E51">INDEX('Linha 01'!$B$4:$B$1000,B51)</f>
        <v>Alvejante S/ Cloro Aquafast Cx/12 X 1l</v>
      </c>
      <c r="F51" cm="1">
        <f t="array" ref="F51">INDEX('Linha 01'!$C$3:$Z$3,C51)</f>
        <v>20010001</v>
      </c>
      <c r="G51" t="str" cm="1">
        <f t="array" ref="G51">INDEX('Linha 01'!$C$2:$Z$2,C51)</f>
        <v>Agua Sanitaria Aquafast Cx/12 X 1l</v>
      </c>
      <c r="H51" s="5" cm="1">
        <f t="array" ref="H51">INDEX('Linha 01'!$C$4:$ZZ$1000,B51,C51)</f>
        <v>1.3888888888888888E-2</v>
      </c>
    </row>
    <row r="52" spans="1:8" x14ac:dyDescent="0.25">
      <c r="A52">
        <v>50</v>
      </c>
      <c r="B52">
        <f t="shared" si="0"/>
        <v>7</v>
      </c>
      <c r="C52">
        <f t="shared" si="1"/>
        <v>2</v>
      </c>
      <c r="D52" cm="1">
        <f t="array" ref="D52">INDEX('Linha 01'!$A$4:$A$1000,B52)</f>
        <v>20160001</v>
      </c>
      <c r="E52" t="str" cm="1">
        <f t="array" ref="E52">INDEX('Linha 01'!$B$4:$B$1000,B52)</f>
        <v>Alvejante S/ Cloro Aquafast Cx/12 X 1l</v>
      </c>
      <c r="F52" cm="1">
        <f t="array" ref="F52">INDEX('Linha 01'!$C$3:$Z$3,C52)</f>
        <v>20010002</v>
      </c>
      <c r="G52" t="str" cm="1">
        <f t="array" ref="G52">INDEX('Linha 01'!$C$2:$Z$2,C52)</f>
        <v>Agua Sanitaria Aquafast Cx/06 X 2l</v>
      </c>
      <c r="H52" s="5" cm="1">
        <f t="array" ref="H52">INDEX('Linha 01'!$C$4:$ZZ$1000,B52,C52)</f>
        <v>3.4722222222222224E-2</v>
      </c>
    </row>
    <row r="53" spans="1:8" x14ac:dyDescent="0.25">
      <c r="A53">
        <v>51</v>
      </c>
      <c r="B53">
        <f t="shared" si="0"/>
        <v>7</v>
      </c>
      <c r="C53">
        <f t="shared" si="1"/>
        <v>3</v>
      </c>
      <c r="D53" cm="1">
        <f t="array" ref="D53">INDEX('Linha 01'!$A$4:$A$1000,B53)</f>
        <v>20160001</v>
      </c>
      <c r="E53" t="str" cm="1">
        <f t="array" ref="E53">INDEX('Linha 01'!$B$4:$B$1000,B53)</f>
        <v>Alvejante S/ Cloro Aquafast Cx/12 X 1l</v>
      </c>
      <c r="F53" cm="1">
        <f t="array" ref="F53">INDEX('Linha 01'!$C$3:$Z$3,C53)</f>
        <v>20010017</v>
      </c>
      <c r="G53" t="str" cm="1">
        <f t="array" ref="G53">INDEX('Linha 01'!$C$2:$Z$2,C53)</f>
        <v>Agua Sanitaria Verde Ito Cx/12 X 1l</v>
      </c>
      <c r="H53" s="5" cm="1">
        <f t="array" ref="H53">INDEX('Linha 01'!$C$4:$ZZ$1000,B53,C53)</f>
        <v>1.3888888888888888E-2</v>
      </c>
    </row>
    <row r="54" spans="1:8" x14ac:dyDescent="0.25">
      <c r="A54">
        <v>52</v>
      </c>
      <c r="B54">
        <f t="shared" si="0"/>
        <v>7</v>
      </c>
      <c r="C54">
        <f t="shared" si="1"/>
        <v>4</v>
      </c>
      <c r="D54" cm="1">
        <f t="array" ref="D54">INDEX('Linha 01'!$A$4:$A$1000,B54)</f>
        <v>20160001</v>
      </c>
      <c r="E54" t="str" cm="1">
        <f t="array" ref="E54">INDEX('Linha 01'!$B$4:$B$1000,B54)</f>
        <v>Alvejante S/ Cloro Aquafast Cx/12 X 1l</v>
      </c>
      <c r="F54" cm="1">
        <f t="array" ref="F54">INDEX('Linha 01'!$C$3:$Z$3,C54)</f>
        <v>20010018</v>
      </c>
      <c r="G54" t="str" cm="1">
        <f t="array" ref="G54">INDEX('Linha 01'!$C$2:$Z$2,C54)</f>
        <v>Agua Sanitaria Verde Ito Cx/06 X 2l</v>
      </c>
      <c r="H54" s="5" cm="1">
        <f t="array" ref="H54">INDEX('Linha 01'!$C$4:$ZZ$1000,B54,C54)</f>
        <v>3.4722222222222224E-2</v>
      </c>
    </row>
    <row r="55" spans="1:8" x14ac:dyDescent="0.25">
      <c r="A55">
        <v>53</v>
      </c>
      <c r="B55">
        <f t="shared" si="0"/>
        <v>7</v>
      </c>
      <c r="C55">
        <f t="shared" si="1"/>
        <v>5</v>
      </c>
      <c r="D55" cm="1">
        <f t="array" ref="D55">INDEX('Linha 01'!$A$4:$A$1000,B55)</f>
        <v>20160001</v>
      </c>
      <c r="E55" t="str" cm="1">
        <f t="array" ref="E55">INDEX('Linha 01'!$B$4:$B$1000,B55)</f>
        <v>Alvejante S/ Cloro Aquafast Cx/12 X 1l</v>
      </c>
      <c r="F55" cm="1">
        <f t="array" ref="F55">INDEX('Linha 01'!$C$3:$Z$3,C55)</f>
        <v>20010022</v>
      </c>
      <c r="G55" t="str" cm="1">
        <f t="array" ref="G55">INDEX('Linha 01'!$C$2:$Z$2,C55)</f>
        <v>Agua Sanitaria Myata Cx/12 X 1l</v>
      </c>
      <c r="H55" s="5" cm="1">
        <f t="array" ref="H55">INDEX('Linha 01'!$C$4:$ZZ$1000,B55,C55)</f>
        <v>1.3888888888888888E-2</v>
      </c>
    </row>
    <row r="56" spans="1:8" x14ac:dyDescent="0.25">
      <c r="A56">
        <v>54</v>
      </c>
      <c r="B56">
        <f t="shared" si="0"/>
        <v>7</v>
      </c>
      <c r="C56">
        <f t="shared" si="1"/>
        <v>6</v>
      </c>
      <c r="D56" cm="1">
        <f t="array" ref="D56">INDEX('Linha 01'!$A$4:$A$1000,B56)</f>
        <v>20160001</v>
      </c>
      <c r="E56" t="str" cm="1">
        <f t="array" ref="E56">INDEX('Linha 01'!$B$4:$B$1000,B56)</f>
        <v>Alvejante S/ Cloro Aquafast Cx/12 X 1l</v>
      </c>
      <c r="F56" cm="1">
        <f t="array" ref="F56">INDEX('Linha 01'!$C$3:$Z$3,C56)</f>
        <v>20010023</v>
      </c>
      <c r="G56" t="str" cm="1">
        <f t="array" ref="G56">INDEX('Linha 01'!$C$2:$Z$2,C56)</f>
        <v>Agua Sanitaria Myata Cx/06 X 2l</v>
      </c>
      <c r="H56" s="5" cm="1">
        <f t="array" ref="H56">INDEX('Linha 01'!$C$4:$ZZ$1000,B56,C56)</f>
        <v>3.4722222222222224E-2</v>
      </c>
    </row>
    <row r="57" spans="1:8" x14ac:dyDescent="0.25">
      <c r="A57">
        <v>55</v>
      </c>
      <c r="B57">
        <f t="shared" si="0"/>
        <v>7</v>
      </c>
      <c r="C57">
        <f t="shared" si="1"/>
        <v>7</v>
      </c>
      <c r="D57" cm="1">
        <f t="array" ref="D57">INDEX('Linha 01'!$A$4:$A$1000,B57)</f>
        <v>20160001</v>
      </c>
      <c r="E57" t="str" cm="1">
        <f t="array" ref="E57">INDEX('Linha 01'!$B$4:$B$1000,B57)</f>
        <v>Alvejante S/ Cloro Aquafast Cx/12 X 1l</v>
      </c>
      <c r="F57" cm="1">
        <f t="array" ref="F57">INDEX('Linha 01'!$C$3:$Z$3,C57)</f>
        <v>20160001</v>
      </c>
      <c r="G57" t="str" cm="1">
        <f t="array" ref="G57">INDEX('Linha 01'!$C$2:$Z$2,C57)</f>
        <v>Alvejante S/ Cloro Aquafast Cx/12 X 1l</v>
      </c>
      <c r="H57" s="5" cm="1">
        <f t="array" ref="H57">INDEX('Linha 01'!$C$4:$ZZ$1000,B57,C57)</f>
        <v>0</v>
      </c>
    </row>
    <row r="58" spans="1:8" x14ac:dyDescent="0.25">
      <c r="A58">
        <v>56</v>
      </c>
      <c r="B58">
        <f t="shared" si="0"/>
        <v>7</v>
      </c>
      <c r="C58">
        <f t="shared" si="1"/>
        <v>8</v>
      </c>
      <c r="D58" cm="1">
        <f t="array" ref="D58">INDEX('Linha 01'!$A$4:$A$1000,B58)</f>
        <v>20160001</v>
      </c>
      <c r="E58" t="str" cm="1">
        <f t="array" ref="E58">INDEX('Linha 01'!$B$4:$B$1000,B58)</f>
        <v>Alvejante S/ Cloro Aquafast Cx/12 X 1l</v>
      </c>
      <c r="F58" cm="1">
        <f t="array" ref="F58">INDEX('Linha 01'!$C$3:$Z$3,C58)</f>
        <v>20160002</v>
      </c>
      <c r="G58" t="str" cm="1">
        <f t="array" ref="G58">INDEX('Linha 01'!$C$2:$Z$2,C58)</f>
        <v>Alvejante S/ Cloro Aquafast Cx/06 X 2l</v>
      </c>
      <c r="H58" s="5" cm="1">
        <f t="array" ref="H58">INDEX('Linha 01'!$C$4:$ZZ$1000,B58,C58)</f>
        <v>3.4722222222222224E-2</v>
      </c>
    </row>
    <row r="59" spans="1:8" x14ac:dyDescent="0.25">
      <c r="A59">
        <v>57</v>
      </c>
      <c r="B59">
        <f t="shared" si="0"/>
        <v>8</v>
      </c>
      <c r="C59">
        <f t="shared" si="1"/>
        <v>1</v>
      </c>
      <c r="D59" cm="1">
        <f t="array" ref="D59">INDEX('Linha 01'!$A$4:$A$1000,B59)</f>
        <v>20160002</v>
      </c>
      <c r="E59" t="str" cm="1">
        <f t="array" ref="E59">INDEX('Linha 01'!$B$4:$B$1000,B59)</f>
        <v>Alvejante S/ Cloro Aquafast Cx/06 X 2l</v>
      </c>
      <c r="F59" cm="1">
        <f t="array" ref="F59">INDEX('Linha 01'!$C$3:$Z$3,C59)</f>
        <v>20010001</v>
      </c>
      <c r="G59" t="str" cm="1">
        <f t="array" ref="G59">INDEX('Linha 01'!$C$2:$Z$2,C59)</f>
        <v>Agua Sanitaria Aquafast Cx/12 X 1l</v>
      </c>
      <c r="H59" s="5" cm="1">
        <f t="array" ref="H59">INDEX('Linha 01'!$C$4:$ZZ$1000,B59,C59)</f>
        <v>3.4722222222222224E-2</v>
      </c>
    </row>
    <row r="60" spans="1:8" x14ac:dyDescent="0.25">
      <c r="A60">
        <v>58</v>
      </c>
      <c r="B60">
        <f t="shared" si="0"/>
        <v>8</v>
      </c>
      <c r="C60">
        <f t="shared" si="1"/>
        <v>2</v>
      </c>
      <c r="D60" cm="1">
        <f t="array" ref="D60">INDEX('Linha 01'!$A$4:$A$1000,B60)</f>
        <v>20160002</v>
      </c>
      <c r="E60" t="str" cm="1">
        <f t="array" ref="E60">INDEX('Linha 01'!$B$4:$B$1000,B60)</f>
        <v>Alvejante S/ Cloro Aquafast Cx/06 X 2l</v>
      </c>
      <c r="F60" cm="1">
        <f t="array" ref="F60">INDEX('Linha 01'!$C$3:$Z$3,C60)</f>
        <v>20010002</v>
      </c>
      <c r="G60" t="str" cm="1">
        <f t="array" ref="G60">INDEX('Linha 01'!$C$2:$Z$2,C60)</f>
        <v>Agua Sanitaria Aquafast Cx/06 X 2l</v>
      </c>
      <c r="H60" s="5" cm="1">
        <f t="array" ref="H60">INDEX('Linha 01'!$C$4:$ZZ$1000,B60,C60)</f>
        <v>1.3888888888888888E-2</v>
      </c>
    </row>
    <row r="61" spans="1:8" x14ac:dyDescent="0.25">
      <c r="A61">
        <v>59</v>
      </c>
      <c r="B61">
        <f t="shared" si="0"/>
        <v>8</v>
      </c>
      <c r="C61">
        <f t="shared" si="1"/>
        <v>3</v>
      </c>
      <c r="D61" cm="1">
        <f t="array" ref="D61">INDEX('Linha 01'!$A$4:$A$1000,B61)</f>
        <v>20160002</v>
      </c>
      <c r="E61" t="str" cm="1">
        <f t="array" ref="E61">INDEX('Linha 01'!$B$4:$B$1000,B61)</f>
        <v>Alvejante S/ Cloro Aquafast Cx/06 X 2l</v>
      </c>
      <c r="F61" cm="1">
        <f t="array" ref="F61">INDEX('Linha 01'!$C$3:$Z$3,C61)</f>
        <v>20010017</v>
      </c>
      <c r="G61" t="str" cm="1">
        <f t="array" ref="G61">INDEX('Linha 01'!$C$2:$Z$2,C61)</f>
        <v>Agua Sanitaria Verde Ito Cx/12 X 1l</v>
      </c>
      <c r="H61" s="5" cm="1">
        <f t="array" ref="H61">INDEX('Linha 01'!$C$4:$ZZ$1000,B61,C61)</f>
        <v>3.4722222222222224E-2</v>
      </c>
    </row>
    <row r="62" spans="1:8" x14ac:dyDescent="0.25">
      <c r="A62">
        <v>60</v>
      </c>
      <c r="B62">
        <f t="shared" si="0"/>
        <v>8</v>
      </c>
      <c r="C62">
        <f t="shared" si="1"/>
        <v>4</v>
      </c>
      <c r="D62" cm="1">
        <f t="array" ref="D62">INDEX('Linha 01'!$A$4:$A$1000,B62)</f>
        <v>20160002</v>
      </c>
      <c r="E62" t="str" cm="1">
        <f t="array" ref="E62">INDEX('Linha 01'!$B$4:$B$1000,B62)</f>
        <v>Alvejante S/ Cloro Aquafast Cx/06 X 2l</v>
      </c>
      <c r="F62" cm="1">
        <f t="array" ref="F62">INDEX('Linha 01'!$C$3:$Z$3,C62)</f>
        <v>20010018</v>
      </c>
      <c r="G62" t="str" cm="1">
        <f t="array" ref="G62">INDEX('Linha 01'!$C$2:$Z$2,C62)</f>
        <v>Agua Sanitaria Verde Ito Cx/06 X 2l</v>
      </c>
      <c r="H62" s="5" cm="1">
        <f t="array" ref="H62">INDEX('Linha 01'!$C$4:$ZZ$1000,B62,C62)</f>
        <v>1.3888888888888888E-2</v>
      </c>
    </row>
    <row r="63" spans="1:8" x14ac:dyDescent="0.25">
      <c r="A63">
        <v>61</v>
      </c>
      <c r="B63">
        <f t="shared" si="0"/>
        <v>8</v>
      </c>
      <c r="C63">
        <f t="shared" si="1"/>
        <v>5</v>
      </c>
      <c r="D63" cm="1">
        <f t="array" ref="D63">INDEX('Linha 01'!$A$4:$A$1000,B63)</f>
        <v>20160002</v>
      </c>
      <c r="E63" t="str" cm="1">
        <f t="array" ref="E63">INDEX('Linha 01'!$B$4:$B$1000,B63)</f>
        <v>Alvejante S/ Cloro Aquafast Cx/06 X 2l</v>
      </c>
      <c r="F63" cm="1">
        <f t="array" ref="F63">INDEX('Linha 01'!$C$3:$Z$3,C63)</f>
        <v>20010022</v>
      </c>
      <c r="G63" t="str" cm="1">
        <f t="array" ref="G63">INDEX('Linha 01'!$C$2:$Z$2,C63)</f>
        <v>Agua Sanitaria Myata Cx/12 X 1l</v>
      </c>
      <c r="H63" s="5" cm="1">
        <f t="array" ref="H63">INDEX('Linha 01'!$C$4:$ZZ$1000,B63,C63)</f>
        <v>3.4722222222222224E-2</v>
      </c>
    </row>
    <row r="64" spans="1:8" x14ac:dyDescent="0.25">
      <c r="A64">
        <v>62</v>
      </c>
      <c r="B64">
        <f t="shared" si="0"/>
        <v>8</v>
      </c>
      <c r="C64">
        <f t="shared" si="1"/>
        <v>6</v>
      </c>
      <c r="D64" cm="1">
        <f t="array" ref="D64">INDEX('Linha 01'!$A$4:$A$1000,B64)</f>
        <v>20160002</v>
      </c>
      <c r="E64" t="str" cm="1">
        <f t="array" ref="E64">INDEX('Linha 01'!$B$4:$B$1000,B64)</f>
        <v>Alvejante S/ Cloro Aquafast Cx/06 X 2l</v>
      </c>
      <c r="F64" cm="1">
        <f t="array" ref="F64">INDEX('Linha 01'!$C$3:$Z$3,C64)</f>
        <v>20010023</v>
      </c>
      <c r="G64" t="str" cm="1">
        <f t="array" ref="G64">INDEX('Linha 01'!$C$2:$Z$2,C64)</f>
        <v>Agua Sanitaria Myata Cx/06 X 2l</v>
      </c>
      <c r="H64" s="5" cm="1">
        <f t="array" ref="H64">INDEX('Linha 01'!$C$4:$ZZ$1000,B64,C64)</f>
        <v>1.3888888888888888E-2</v>
      </c>
    </row>
    <row r="65" spans="1:8" x14ac:dyDescent="0.25">
      <c r="A65">
        <v>63</v>
      </c>
      <c r="B65">
        <f t="shared" si="0"/>
        <v>8</v>
      </c>
      <c r="C65">
        <f t="shared" si="1"/>
        <v>7</v>
      </c>
      <c r="D65" cm="1">
        <f t="array" ref="D65">INDEX('Linha 01'!$A$4:$A$1000,B65)</f>
        <v>20160002</v>
      </c>
      <c r="E65" t="str" cm="1">
        <f t="array" ref="E65">INDEX('Linha 01'!$B$4:$B$1000,B65)</f>
        <v>Alvejante S/ Cloro Aquafast Cx/06 X 2l</v>
      </c>
      <c r="F65" cm="1">
        <f t="array" ref="F65">INDEX('Linha 01'!$C$3:$Z$3,C65)</f>
        <v>20160001</v>
      </c>
      <c r="G65" t="str" cm="1">
        <f t="array" ref="G65">INDEX('Linha 01'!$C$2:$Z$2,C65)</f>
        <v>Alvejante S/ Cloro Aquafast Cx/12 X 1l</v>
      </c>
      <c r="H65" s="5" cm="1">
        <f t="array" ref="H65">INDEX('Linha 01'!$C$4:$ZZ$1000,B65,C65)</f>
        <v>3.4722222222222224E-2</v>
      </c>
    </row>
    <row r="66" spans="1:8" x14ac:dyDescent="0.25">
      <c r="A66">
        <v>64</v>
      </c>
      <c r="B66">
        <f t="shared" si="0"/>
        <v>8</v>
      </c>
      <c r="C66">
        <f t="shared" si="1"/>
        <v>8</v>
      </c>
      <c r="D66" cm="1">
        <f t="array" ref="D66">INDEX('Linha 01'!$A$4:$A$1000,B66)</f>
        <v>20160002</v>
      </c>
      <c r="E66" t="str" cm="1">
        <f t="array" ref="E66">INDEX('Linha 01'!$B$4:$B$1000,B66)</f>
        <v>Alvejante S/ Cloro Aquafast Cx/06 X 2l</v>
      </c>
      <c r="F66" cm="1">
        <f t="array" ref="F66">INDEX('Linha 01'!$C$3:$Z$3,C66)</f>
        <v>20160002</v>
      </c>
      <c r="G66" t="str" cm="1">
        <f t="array" ref="G66">INDEX('Linha 01'!$C$2:$Z$2,C66)</f>
        <v>Alvejante S/ Cloro Aquafast Cx/06 X 2l</v>
      </c>
      <c r="H66" s="5" cm="1">
        <f t="array" ref="H66">INDEX('Linha 01'!$C$4:$ZZ$1000,B66,C66)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04F4-29B8-4632-AC32-88CE645DC7FE}">
  <dimension ref="A1:L13"/>
  <sheetViews>
    <sheetView topLeftCell="A2" workbookViewId="0">
      <pane xSplit="2" ySplit="2" topLeftCell="C4" activePane="bottomRight" state="frozen"/>
      <selection activeCell="A2" sqref="A2"/>
      <selection pane="topRight" activeCell="C2" sqref="C2"/>
      <selection pane="bottomLeft" activeCell="A4" sqref="A4"/>
      <selection pane="bottomRight" activeCell="F4" sqref="F4"/>
    </sheetView>
  </sheetViews>
  <sheetFormatPr defaultRowHeight="15" x14ac:dyDescent="0.25"/>
  <cols>
    <col min="1" max="1" width="10.28515625" customWidth="1"/>
    <col min="2" max="2" width="54.140625" bestFit="1" customWidth="1"/>
  </cols>
  <sheetData>
    <row r="1" spans="1:12" ht="48" x14ac:dyDescent="0.25">
      <c r="A1" t="s">
        <v>222</v>
      </c>
      <c r="B1" t="s">
        <v>223</v>
      </c>
      <c r="C1" s="25" t="s">
        <v>224</v>
      </c>
      <c r="D1" s="25" t="s">
        <v>225</v>
      </c>
      <c r="E1" s="25" t="s">
        <v>226</v>
      </c>
      <c r="F1" s="25" t="s">
        <v>227</v>
      </c>
      <c r="G1" s="25" t="s">
        <v>228</v>
      </c>
      <c r="H1" s="25" t="s">
        <v>229</v>
      </c>
      <c r="I1" s="25" t="s">
        <v>230</v>
      </c>
      <c r="J1" s="25" t="s">
        <v>231</v>
      </c>
      <c r="K1" s="25" t="s">
        <v>232</v>
      </c>
      <c r="L1" s="25" t="s">
        <v>233</v>
      </c>
    </row>
    <row r="2" spans="1:12" ht="284.25" x14ac:dyDescent="0.25">
      <c r="C2" s="25" t="s">
        <v>5</v>
      </c>
      <c r="D2" s="25" t="s">
        <v>7</v>
      </c>
      <c r="E2" s="25" t="s">
        <v>63</v>
      </c>
      <c r="F2" s="25" t="s">
        <v>64</v>
      </c>
      <c r="G2" s="25" t="s">
        <v>66</v>
      </c>
      <c r="H2" s="25" t="s">
        <v>72</v>
      </c>
      <c r="I2" s="25" t="s">
        <v>73</v>
      </c>
      <c r="J2" s="25" t="s">
        <v>146</v>
      </c>
      <c r="K2" s="25" t="s">
        <v>121</v>
      </c>
      <c r="L2" s="25" t="s">
        <v>122</v>
      </c>
    </row>
    <row r="3" spans="1:12" ht="60.75" customHeight="1" x14ac:dyDescent="0.25">
      <c r="C3" s="26">
        <v>20010003</v>
      </c>
      <c r="D3" s="26">
        <v>20010011</v>
      </c>
      <c r="E3" s="26">
        <v>20050113</v>
      </c>
      <c r="F3" s="26">
        <v>20050114</v>
      </c>
      <c r="G3" s="26">
        <v>20050116</v>
      </c>
      <c r="H3" s="26">
        <v>20050143</v>
      </c>
      <c r="I3" s="26">
        <v>20050144</v>
      </c>
      <c r="J3" s="26">
        <v>20050158</v>
      </c>
      <c r="K3" s="26">
        <v>20160003</v>
      </c>
      <c r="L3" s="26">
        <v>20160005</v>
      </c>
    </row>
    <row r="4" spans="1:12" x14ac:dyDescent="0.25">
      <c r="A4" s="2">
        <v>20010003</v>
      </c>
      <c r="B4" s="3" t="s">
        <v>5</v>
      </c>
      <c r="C4" s="5">
        <v>0</v>
      </c>
      <c r="D4" s="5">
        <v>6.9444444444444441E-3</v>
      </c>
      <c r="E4" s="5">
        <v>3.4722222222222224E-2</v>
      </c>
      <c r="F4" s="5">
        <v>3.4722222222222224E-2</v>
      </c>
      <c r="G4" s="5">
        <v>1.0416666666666666E-2</v>
      </c>
      <c r="H4" s="5">
        <v>1.0416666666666666E-2</v>
      </c>
      <c r="I4" s="5">
        <v>1.0416666666666666E-2</v>
      </c>
      <c r="J4" s="5">
        <v>1.3888888888888888E-2</v>
      </c>
      <c r="K4" s="5">
        <v>6.9444444444444441E-3</v>
      </c>
      <c r="L4" s="5">
        <v>6.9444444444444441E-3</v>
      </c>
    </row>
    <row r="5" spans="1:12" x14ac:dyDescent="0.25">
      <c r="A5" s="2">
        <v>20010011</v>
      </c>
      <c r="B5" s="3" t="s">
        <v>7</v>
      </c>
      <c r="D5" s="5">
        <v>0</v>
      </c>
      <c r="E5" s="5">
        <v>3.4722222222222224E-2</v>
      </c>
      <c r="F5" s="5">
        <v>3.4722222222222224E-2</v>
      </c>
      <c r="J5" s="5">
        <v>1.3888888888888888E-2</v>
      </c>
    </row>
    <row r="6" spans="1:12" x14ac:dyDescent="0.25">
      <c r="A6" s="2">
        <v>20050113</v>
      </c>
      <c r="B6" s="3" t="s">
        <v>63</v>
      </c>
      <c r="C6" s="5">
        <v>3.4722222222222224E-2</v>
      </c>
      <c r="D6" s="5">
        <v>3.4722222222222224E-2</v>
      </c>
      <c r="E6" s="5">
        <v>0</v>
      </c>
      <c r="J6" s="5">
        <v>1.3888888888888888E-2</v>
      </c>
    </row>
    <row r="7" spans="1:12" x14ac:dyDescent="0.25">
      <c r="A7" s="2">
        <v>20050114</v>
      </c>
      <c r="B7" s="3" t="s">
        <v>64</v>
      </c>
      <c r="C7" s="5">
        <v>1.0416666666666666E-2</v>
      </c>
      <c r="E7" s="5">
        <v>1.0416666666666666E-2</v>
      </c>
      <c r="F7" s="5">
        <v>0</v>
      </c>
      <c r="G7" s="5">
        <v>1.0416666666666666E-2</v>
      </c>
      <c r="J7" s="5">
        <v>1.3888888888888888E-2</v>
      </c>
    </row>
    <row r="8" spans="1:12" x14ac:dyDescent="0.25">
      <c r="A8" s="2">
        <v>20050116</v>
      </c>
      <c r="B8" s="3" t="s">
        <v>66</v>
      </c>
      <c r="G8" s="5">
        <v>0</v>
      </c>
      <c r="J8" s="5">
        <v>1.3888888888888888E-2</v>
      </c>
    </row>
    <row r="9" spans="1:12" x14ac:dyDescent="0.25">
      <c r="A9" s="2">
        <v>20050143</v>
      </c>
      <c r="B9" s="3" t="s">
        <v>72</v>
      </c>
      <c r="H9" s="5">
        <v>0</v>
      </c>
      <c r="J9" s="5">
        <v>1.3888888888888888E-2</v>
      </c>
    </row>
    <row r="10" spans="1:12" x14ac:dyDescent="0.25">
      <c r="A10" s="2">
        <v>20050144</v>
      </c>
      <c r="B10" s="3" t="s">
        <v>73</v>
      </c>
      <c r="I10" s="5">
        <v>0</v>
      </c>
      <c r="J10" s="5">
        <v>1.3888888888888888E-2</v>
      </c>
    </row>
    <row r="11" spans="1:12" x14ac:dyDescent="0.25">
      <c r="A11" s="2">
        <v>20050158</v>
      </c>
      <c r="B11" s="3" t="s">
        <v>146</v>
      </c>
      <c r="J11" s="5">
        <v>0</v>
      </c>
    </row>
    <row r="12" spans="1:12" x14ac:dyDescent="0.25">
      <c r="A12" s="2">
        <v>20160003</v>
      </c>
      <c r="B12" s="3" t="s">
        <v>121</v>
      </c>
      <c r="C12" s="5">
        <v>6.9444444444444441E-3</v>
      </c>
      <c r="E12" s="5">
        <v>6.9444444444444441E-3</v>
      </c>
      <c r="J12" s="5">
        <v>1.3888888888888888E-2</v>
      </c>
      <c r="K12" s="5">
        <v>0</v>
      </c>
      <c r="L12" s="5">
        <v>0</v>
      </c>
    </row>
    <row r="13" spans="1:12" x14ac:dyDescent="0.25">
      <c r="A13" s="2">
        <v>20160005</v>
      </c>
      <c r="B13" s="3" t="s">
        <v>122</v>
      </c>
      <c r="J13" s="5">
        <v>6.9444444444444441E-3</v>
      </c>
      <c r="L13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08D6-F67D-409F-A4F2-2FD1FC7F5FDB}">
  <dimension ref="A1:H102"/>
  <sheetViews>
    <sheetView workbookViewId="0">
      <selection activeCell="G16" sqref="G16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02'!B:B)-1</f>
        <v>10</v>
      </c>
      <c r="B1">
        <f>COUNTA('Linha 02'!2:2)</f>
        <v>10</v>
      </c>
      <c r="C1">
        <f>A1*B1</f>
        <v>100</v>
      </c>
    </row>
    <row r="3" spans="1:8" x14ac:dyDescent="0.25">
      <c r="A3" cm="1">
        <f t="array" ref="A3:A102">_xlfn.SEQUENCE($C$1)</f>
        <v>1</v>
      </c>
      <c r="B3">
        <f>INT((A3-1)/$B$1)+1</f>
        <v>1</v>
      </c>
      <c r="C3">
        <f>MOD(A3-1,$B$1)+1</f>
        <v>1</v>
      </c>
      <c r="D3" cm="1">
        <f t="array" ref="D3">INDEX('Linha 02'!$A$4:$A$1000,B3)</f>
        <v>20010003</v>
      </c>
      <c r="E3" t="str" cm="1">
        <f t="array" ref="E3">INDEX('Linha 02'!$B$4:$B$1000,B3)</f>
        <v>Agua Sanitaria Aquafast Cx/04 X 5l</v>
      </c>
      <c r="F3" cm="1">
        <f t="array" ref="F3">INDEX('Linha 02'!$C$3:$Z$3,C3)</f>
        <v>20010003</v>
      </c>
      <c r="G3" t="str" cm="1">
        <f t="array" ref="G3">INDEX('Linha 02'!$C$2:$Z$2,C3)</f>
        <v>Agua Sanitaria Aquafast Cx/04 X 5l</v>
      </c>
      <c r="H3" s="5" cm="1">
        <f t="array" ref="H3">INDEX('Linha 02'!$C$4:$ZZ$1000,B3,C3)</f>
        <v>0</v>
      </c>
    </row>
    <row r="4" spans="1:8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02'!$A$4:$A$1000,B4)</f>
        <v>20010003</v>
      </c>
      <c r="E4" t="str" cm="1">
        <f t="array" ref="E4">INDEX('Linha 02'!$B$4:$B$1000,B4)</f>
        <v>Agua Sanitaria Aquafast Cx/04 X 5l</v>
      </c>
      <c r="F4" cm="1">
        <f t="array" ref="F4">INDEX('Linha 02'!$C$3:$Z$3,C4)</f>
        <v>20010011</v>
      </c>
      <c r="G4" t="str" cm="1">
        <f t="array" ref="G4">INDEX('Linha 02'!$C$2:$Z$2,C4)</f>
        <v>Agua Sanitaria Verde Ito Cx/04 X 5l</v>
      </c>
      <c r="H4" s="5" cm="1">
        <f t="array" ref="H4">INDEX('Linha 02'!$C$4:$ZZ$1000,B4,C4)</f>
        <v>6.9444444444444441E-3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02'!$A$4:$A$1000,B5)</f>
        <v>20010003</v>
      </c>
      <c r="E5" t="str" cm="1">
        <f t="array" ref="E5">INDEX('Linha 02'!$B$4:$B$1000,B5)</f>
        <v>Agua Sanitaria Aquafast Cx/04 X 5l</v>
      </c>
      <c r="F5" cm="1">
        <f t="array" ref="F5">INDEX('Linha 02'!$C$3:$Z$3,C5)</f>
        <v>20050113</v>
      </c>
      <c r="G5" t="str" cm="1">
        <f t="array" ref="G5">INDEX('Linha 02'!$C$2:$Z$2,C5)</f>
        <v>Desinfetante Aquafast Campos Lavanda Cx/04 5l Emb. Econ</v>
      </c>
      <c r="H5" s="5" cm="1">
        <f t="array" ref="H5">INDEX('Linha 02'!$C$4:$ZZ$1000,B5,C5)</f>
        <v>3.4722222222222224E-2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02'!$A$4:$A$1000,B6)</f>
        <v>20010003</v>
      </c>
      <c r="E6" t="str" cm="1">
        <f t="array" ref="E6">INDEX('Linha 02'!$B$4:$B$1000,B6)</f>
        <v>Agua Sanitaria Aquafast Cx/04 X 5l</v>
      </c>
      <c r="F6" cm="1">
        <f t="array" ref="F6">INDEX('Linha 02'!$C$3:$Z$3,C6)</f>
        <v>20050114</v>
      </c>
      <c r="G6" t="str" cm="1">
        <f t="array" ref="G6">INDEX('Linha 02'!$C$2:$Z$2,C6)</f>
        <v>Desinfetante Aquafast Marine Cx/04 X 5l Emb. Economica</v>
      </c>
      <c r="H6" s="5" cm="1">
        <f t="array" ref="H6">INDEX('Linha 02'!$C$4:$ZZ$1000,B6,C6)</f>
        <v>3.4722222222222224E-2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02'!$A$4:$A$1000,B7)</f>
        <v>20010003</v>
      </c>
      <c r="E7" t="str" cm="1">
        <f t="array" ref="E7">INDEX('Linha 02'!$B$4:$B$1000,B7)</f>
        <v>Agua Sanitaria Aquafast Cx/04 X 5l</v>
      </c>
      <c r="F7" cm="1">
        <f t="array" ref="F7">INDEX('Linha 02'!$C$3:$Z$3,C7)</f>
        <v>20050116</v>
      </c>
      <c r="G7" t="str" cm="1">
        <f t="array" ref="G7">INDEX('Linha 02'!$C$2:$Z$2,C7)</f>
        <v>Desinfetante Aquafast Paixao Cx/04 X 5l Emb. Economica</v>
      </c>
      <c r="H7" s="5" cm="1">
        <f t="array" ref="H7">INDEX('Linha 02'!$C$4:$ZZ$1000,B7,C7)</f>
        <v>1.0416666666666666E-2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02'!$A$4:$A$1000,B8)</f>
        <v>20010003</v>
      </c>
      <c r="E8" t="str" cm="1">
        <f t="array" ref="E8">INDEX('Linha 02'!$B$4:$B$1000,B8)</f>
        <v>Agua Sanitaria Aquafast Cx/04 X 5l</v>
      </c>
      <c r="F8" cm="1">
        <f t="array" ref="F8">INDEX('Linha 02'!$C$3:$Z$3,C8)</f>
        <v>20050143</v>
      </c>
      <c r="G8" t="str" cm="1">
        <f t="array" ref="G8">INDEX('Linha 02'!$C$2:$Z$2,C8)</f>
        <v>Desinfetante Ito Lavanda Cx/04 X 5l</v>
      </c>
      <c r="H8" s="5" cm="1">
        <f t="array" ref="H8">INDEX('Linha 02'!$C$4:$ZZ$1000,B8,C8)</f>
        <v>1.0416666666666666E-2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02'!$A$4:$A$1000,B9)</f>
        <v>20010003</v>
      </c>
      <c r="E9" t="str" cm="1">
        <f t="array" ref="E9">INDEX('Linha 02'!$B$4:$B$1000,B9)</f>
        <v>Agua Sanitaria Aquafast Cx/04 X 5l</v>
      </c>
      <c r="F9" cm="1">
        <f t="array" ref="F9">INDEX('Linha 02'!$C$3:$Z$3,C9)</f>
        <v>20050144</v>
      </c>
      <c r="G9" t="str" cm="1">
        <f t="array" ref="G9">INDEX('Linha 02'!$C$2:$Z$2,C9)</f>
        <v>Desinfetante Ito Marine Cx/04 X 5l</v>
      </c>
      <c r="H9" s="5" cm="1">
        <f t="array" ref="H9">INDEX('Linha 02'!$C$4:$ZZ$1000,B9,C9)</f>
        <v>1.0416666666666666E-2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02'!$A$4:$A$1000,B10)</f>
        <v>20010003</v>
      </c>
      <c r="E10" t="str" cm="1">
        <f t="array" ref="E10">INDEX('Linha 02'!$B$4:$B$1000,B10)</f>
        <v>Agua Sanitaria Aquafast Cx/04 X 5l</v>
      </c>
      <c r="F10" cm="1">
        <f t="array" ref="F10">INDEX('Linha 02'!$C$3:$Z$3,C10)</f>
        <v>20050158</v>
      </c>
      <c r="G10" t="str" cm="1">
        <f t="array" ref="G10">INDEX('Linha 02'!$C$2:$Z$2,C10)</f>
        <v>Desinfetante Aquafast Cha Branco Cx/04 X 5l Emb. Econo</v>
      </c>
      <c r="H10" s="5" cm="1">
        <f t="array" ref="H10">INDEX('Linha 02'!$C$4:$ZZ$1000,B10,C10)</f>
        <v>1.3888888888888888E-2</v>
      </c>
    </row>
    <row r="11" spans="1:8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02'!$A$4:$A$1000,B11)</f>
        <v>20010003</v>
      </c>
      <c r="E11" t="str" cm="1">
        <f t="array" ref="E11">INDEX('Linha 02'!$B$4:$B$1000,B11)</f>
        <v>Agua Sanitaria Aquafast Cx/04 X 5l</v>
      </c>
      <c r="F11" cm="1">
        <f t="array" ref="F11">INDEX('Linha 02'!$C$3:$Z$3,C11)</f>
        <v>20160003</v>
      </c>
      <c r="G11" t="str" cm="1">
        <f t="array" ref="G11">INDEX('Linha 02'!$C$2:$Z$2,C11)</f>
        <v>Alvejante S/ Cloro Aquafast Cx/04 X 5l (Emb Econ)</v>
      </c>
      <c r="H11" s="5" cm="1">
        <f t="array" ref="H11">INDEX('Linha 02'!$C$4:$ZZ$1000,B11,C11)</f>
        <v>6.9444444444444441E-3</v>
      </c>
    </row>
    <row r="12" spans="1:8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02'!$A$4:$A$1000,B12)</f>
        <v>20010003</v>
      </c>
      <c r="E12" t="str" cm="1">
        <f t="array" ref="E12">INDEX('Linha 02'!$B$4:$B$1000,B12)</f>
        <v>Agua Sanitaria Aquafast Cx/04 X 5l</v>
      </c>
      <c r="F12" cm="1">
        <f t="array" ref="F12">INDEX('Linha 02'!$C$3:$Z$3,C12)</f>
        <v>20160005</v>
      </c>
      <c r="G12" t="str" cm="1">
        <f t="array" ref="G12">INDEX('Linha 02'!$C$2:$Z$2,C12)</f>
        <v>Alvejante S/ Cloro Aquafast Cx/04 X 3l</v>
      </c>
      <c r="H12" s="5" cm="1">
        <f t="array" ref="H12">INDEX('Linha 02'!$C$4:$ZZ$1000,B12,C12)</f>
        <v>6.9444444444444441E-3</v>
      </c>
    </row>
    <row r="13" spans="1:8" x14ac:dyDescent="0.25">
      <c r="A13">
        <v>11</v>
      </c>
      <c r="B13">
        <f t="shared" si="0"/>
        <v>2</v>
      </c>
      <c r="C13">
        <f t="shared" si="1"/>
        <v>1</v>
      </c>
      <c r="D13" cm="1">
        <f t="array" ref="D13">INDEX('Linha 02'!$A$4:$A$1000,B13)</f>
        <v>20010011</v>
      </c>
      <c r="E13" t="str" cm="1">
        <f t="array" ref="E13">INDEX('Linha 02'!$B$4:$B$1000,B13)</f>
        <v>Agua Sanitaria Verde Ito Cx/04 X 5l</v>
      </c>
      <c r="F13" cm="1">
        <f t="array" ref="F13">INDEX('Linha 02'!$C$3:$Z$3,C13)</f>
        <v>20010003</v>
      </c>
      <c r="G13" t="str" cm="1">
        <f t="array" ref="G13">INDEX('Linha 02'!$C$2:$Z$2,C13)</f>
        <v>Agua Sanitaria Aquafast Cx/04 X 5l</v>
      </c>
      <c r="H13" s="5" cm="1">
        <f t="array" ref="H13">INDEX('Linha 02'!$C$4:$ZZ$1000,B13,C13)</f>
        <v>0</v>
      </c>
    </row>
    <row r="14" spans="1:8" x14ac:dyDescent="0.25">
      <c r="A14">
        <v>12</v>
      </c>
      <c r="B14">
        <f t="shared" si="0"/>
        <v>2</v>
      </c>
      <c r="C14">
        <f t="shared" si="1"/>
        <v>2</v>
      </c>
      <c r="D14" cm="1">
        <f t="array" ref="D14">INDEX('Linha 02'!$A$4:$A$1000,B14)</f>
        <v>20010011</v>
      </c>
      <c r="E14" t="str" cm="1">
        <f t="array" ref="E14">INDEX('Linha 02'!$B$4:$B$1000,B14)</f>
        <v>Agua Sanitaria Verde Ito Cx/04 X 5l</v>
      </c>
      <c r="F14" cm="1">
        <f t="array" ref="F14">INDEX('Linha 02'!$C$3:$Z$3,C14)</f>
        <v>20010011</v>
      </c>
      <c r="G14" t="str" cm="1">
        <f t="array" ref="G14">INDEX('Linha 02'!$C$2:$Z$2,C14)</f>
        <v>Agua Sanitaria Verde Ito Cx/04 X 5l</v>
      </c>
      <c r="H14" s="5" cm="1">
        <f t="array" ref="H14">INDEX('Linha 02'!$C$4:$ZZ$1000,B14,C14)</f>
        <v>0</v>
      </c>
    </row>
    <row r="15" spans="1:8" x14ac:dyDescent="0.25">
      <c r="A15">
        <v>13</v>
      </c>
      <c r="B15">
        <f t="shared" si="0"/>
        <v>2</v>
      </c>
      <c r="C15">
        <f t="shared" si="1"/>
        <v>3</v>
      </c>
      <c r="D15" cm="1">
        <f t="array" ref="D15">INDEX('Linha 02'!$A$4:$A$1000,B15)</f>
        <v>20010011</v>
      </c>
      <c r="E15" t="str" cm="1">
        <f t="array" ref="E15">INDEX('Linha 02'!$B$4:$B$1000,B15)</f>
        <v>Agua Sanitaria Verde Ito Cx/04 X 5l</v>
      </c>
      <c r="F15" cm="1">
        <f t="array" ref="F15">INDEX('Linha 02'!$C$3:$Z$3,C15)</f>
        <v>20050113</v>
      </c>
      <c r="G15" t="str" cm="1">
        <f t="array" ref="G15">INDEX('Linha 02'!$C$2:$Z$2,C15)</f>
        <v>Desinfetante Aquafast Campos Lavanda Cx/04 5l Emb. Econ</v>
      </c>
      <c r="H15" s="5" cm="1">
        <f t="array" ref="H15">INDEX('Linha 02'!$C$4:$ZZ$1000,B15,C15)</f>
        <v>3.4722222222222224E-2</v>
      </c>
    </row>
    <row r="16" spans="1:8" x14ac:dyDescent="0.25">
      <c r="A16">
        <v>14</v>
      </c>
      <c r="B16">
        <f t="shared" si="0"/>
        <v>2</v>
      </c>
      <c r="C16">
        <f t="shared" si="1"/>
        <v>4</v>
      </c>
      <c r="D16" cm="1">
        <f t="array" ref="D16">INDEX('Linha 02'!$A$4:$A$1000,B16)</f>
        <v>20010011</v>
      </c>
      <c r="E16" t="str" cm="1">
        <f t="array" ref="E16">INDEX('Linha 02'!$B$4:$B$1000,B16)</f>
        <v>Agua Sanitaria Verde Ito Cx/04 X 5l</v>
      </c>
      <c r="F16" cm="1">
        <f t="array" ref="F16">INDEX('Linha 02'!$C$3:$Z$3,C16)</f>
        <v>20050114</v>
      </c>
      <c r="G16" t="str" cm="1">
        <f t="array" ref="G16">INDEX('Linha 02'!$C$2:$Z$2,C16)</f>
        <v>Desinfetante Aquafast Marine Cx/04 X 5l Emb. Economica</v>
      </c>
      <c r="H16" s="5" cm="1">
        <f t="array" ref="H16">INDEX('Linha 02'!$C$4:$ZZ$1000,B16,C16)</f>
        <v>3.4722222222222224E-2</v>
      </c>
    </row>
    <row r="17" spans="1:8" x14ac:dyDescent="0.25">
      <c r="A17">
        <v>15</v>
      </c>
      <c r="B17">
        <f t="shared" si="0"/>
        <v>2</v>
      </c>
      <c r="C17">
        <f t="shared" si="1"/>
        <v>5</v>
      </c>
      <c r="D17" cm="1">
        <f t="array" ref="D17">INDEX('Linha 02'!$A$4:$A$1000,B17)</f>
        <v>20010011</v>
      </c>
      <c r="E17" t="str" cm="1">
        <f t="array" ref="E17">INDEX('Linha 02'!$B$4:$B$1000,B17)</f>
        <v>Agua Sanitaria Verde Ito Cx/04 X 5l</v>
      </c>
      <c r="F17" cm="1">
        <f t="array" ref="F17">INDEX('Linha 02'!$C$3:$Z$3,C17)</f>
        <v>20050116</v>
      </c>
      <c r="G17" t="str" cm="1">
        <f t="array" ref="G17">INDEX('Linha 02'!$C$2:$Z$2,C17)</f>
        <v>Desinfetante Aquafast Paixao Cx/04 X 5l Emb. Economica</v>
      </c>
      <c r="H17" s="5" cm="1">
        <f t="array" ref="H17">INDEX('Linha 02'!$C$4:$ZZ$1000,B17,C17)</f>
        <v>0</v>
      </c>
    </row>
    <row r="18" spans="1:8" x14ac:dyDescent="0.25">
      <c r="A18">
        <v>16</v>
      </c>
      <c r="B18">
        <f t="shared" si="0"/>
        <v>2</v>
      </c>
      <c r="C18">
        <f t="shared" si="1"/>
        <v>6</v>
      </c>
      <c r="D18" cm="1">
        <f t="array" ref="D18">INDEX('Linha 02'!$A$4:$A$1000,B18)</f>
        <v>20010011</v>
      </c>
      <c r="E18" t="str" cm="1">
        <f t="array" ref="E18">INDEX('Linha 02'!$B$4:$B$1000,B18)</f>
        <v>Agua Sanitaria Verde Ito Cx/04 X 5l</v>
      </c>
      <c r="F18" cm="1">
        <f t="array" ref="F18">INDEX('Linha 02'!$C$3:$Z$3,C18)</f>
        <v>20050143</v>
      </c>
      <c r="G18" t="str" cm="1">
        <f t="array" ref="G18">INDEX('Linha 02'!$C$2:$Z$2,C18)</f>
        <v>Desinfetante Ito Lavanda Cx/04 X 5l</v>
      </c>
      <c r="H18" s="5" cm="1">
        <f t="array" ref="H18">INDEX('Linha 02'!$C$4:$ZZ$1000,B18,C18)</f>
        <v>0</v>
      </c>
    </row>
    <row r="19" spans="1:8" x14ac:dyDescent="0.25">
      <c r="A19">
        <v>17</v>
      </c>
      <c r="B19">
        <f t="shared" si="0"/>
        <v>2</v>
      </c>
      <c r="C19">
        <f t="shared" si="1"/>
        <v>7</v>
      </c>
      <c r="D19" cm="1">
        <f t="array" ref="D19">INDEX('Linha 02'!$A$4:$A$1000,B19)</f>
        <v>20010011</v>
      </c>
      <c r="E19" t="str" cm="1">
        <f t="array" ref="E19">INDEX('Linha 02'!$B$4:$B$1000,B19)</f>
        <v>Agua Sanitaria Verde Ito Cx/04 X 5l</v>
      </c>
      <c r="F19" cm="1">
        <f t="array" ref="F19">INDEX('Linha 02'!$C$3:$Z$3,C19)</f>
        <v>20050144</v>
      </c>
      <c r="G19" t="str" cm="1">
        <f t="array" ref="G19">INDEX('Linha 02'!$C$2:$Z$2,C19)</f>
        <v>Desinfetante Ito Marine Cx/04 X 5l</v>
      </c>
      <c r="H19" s="5" cm="1">
        <f t="array" ref="H19">INDEX('Linha 02'!$C$4:$ZZ$1000,B19,C19)</f>
        <v>0</v>
      </c>
    </row>
    <row r="20" spans="1:8" x14ac:dyDescent="0.25">
      <c r="A20">
        <v>18</v>
      </c>
      <c r="B20">
        <f t="shared" si="0"/>
        <v>2</v>
      </c>
      <c r="C20">
        <f t="shared" si="1"/>
        <v>8</v>
      </c>
      <c r="D20" cm="1">
        <f t="array" ref="D20">INDEX('Linha 02'!$A$4:$A$1000,B20)</f>
        <v>20010011</v>
      </c>
      <c r="E20" t="str" cm="1">
        <f t="array" ref="E20">INDEX('Linha 02'!$B$4:$B$1000,B20)</f>
        <v>Agua Sanitaria Verde Ito Cx/04 X 5l</v>
      </c>
      <c r="F20" cm="1">
        <f t="array" ref="F20">INDEX('Linha 02'!$C$3:$Z$3,C20)</f>
        <v>20050158</v>
      </c>
      <c r="G20" t="str" cm="1">
        <f t="array" ref="G20">INDEX('Linha 02'!$C$2:$Z$2,C20)</f>
        <v>Desinfetante Aquafast Cha Branco Cx/04 X 5l Emb. Econo</v>
      </c>
      <c r="H20" s="5" cm="1">
        <f t="array" ref="H20">INDEX('Linha 02'!$C$4:$ZZ$1000,B20,C20)</f>
        <v>1.3888888888888888E-2</v>
      </c>
    </row>
    <row r="21" spans="1:8" x14ac:dyDescent="0.25">
      <c r="A21">
        <v>19</v>
      </c>
      <c r="B21">
        <f t="shared" si="0"/>
        <v>2</v>
      </c>
      <c r="C21">
        <f t="shared" si="1"/>
        <v>9</v>
      </c>
      <c r="D21" cm="1">
        <f t="array" ref="D21">INDEX('Linha 02'!$A$4:$A$1000,B21)</f>
        <v>20010011</v>
      </c>
      <c r="E21" t="str" cm="1">
        <f t="array" ref="E21">INDEX('Linha 02'!$B$4:$B$1000,B21)</f>
        <v>Agua Sanitaria Verde Ito Cx/04 X 5l</v>
      </c>
      <c r="F21" cm="1">
        <f t="array" ref="F21">INDEX('Linha 02'!$C$3:$Z$3,C21)</f>
        <v>20160003</v>
      </c>
      <c r="G21" t="str" cm="1">
        <f t="array" ref="G21">INDEX('Linha 02'!$C$2:$Z$2,C21)</f>
        <v>Alvejante S/ Cloro Aquafast Cx/04 X 5l (Emb Econ)</v>
      </c>
      <c r="H21" s="5" cm="1">
        <f t="array" ref="H21">INDEX('Linha 02'!$C$4:$ZZ$1000,B21,C21)</f>
        <v>0</v>
      </c>
    </row>
    <row r="22" spans="1:8" x14ac:dyDescent="0.25">
      <c r="A22">
        <v>20</v>
      </c>
      <c r="B22">
        <f t="shared" si="0"/>
        <v>2</v>
      </c>
      <c r="C22">
        <f t="shared" si="1"/>
        <v>10</v>
      </c>
      <c r="D22" cm="1">
        <f t="array" ref="D22">INDEX('Linha 02'!$A$4:$A$1000,B22)</f>
        <v>20010011</v>
      </c>
      <c r="E22" t="str" cm="1">
        <f t="array" ref="E22">INDEX('Linha 02'!$B$4:$B$1000,B22)</f>
        <v>Agua Sanitaria Verde Ito Cx/04 X 5l</v>
      </c>
      <c r="F22" cm="1">
        <f t="array" ref="F22">INDEX('Linha 02'!$C$3:$Z$3,C22)</f>
        <v>20160005</v>
      </c>
      <c r="G22" t="str" cm="1">
        <f t="array" ref="G22">INDEX('Linha 02'!$C$2:$Z$2,C22)</f>
        <v>Alvejante S/ Cloro Aquafast Cx/04 X 3l</v>
      </c>
      <c r="H22" s="5" cm="1">
        <f t="array" ref="H22">INDEX('Linha 02'!$C$4:$ZZ$1000,B22,C22)</f>
        <v>0</v>
      </c>
    </row>
    <row r="23" spans="1:8" x14ac:dyDescent="0.25">
      <c r="A23">
        <v>21</v>
      </c>
      <c r="B23">
        <f t="shared" si="0"/>
        <v>3</v>
      </c>
      <c r="C23">
        <f t="shared" si="1"/>
        <v>1</v>
      </c>
      <c r="D23" cm="1">
        <f t="array" ref="D23">INDEX('Linha 02'!$A$4:$A$1000,B23)</f>
        <v>20050113</v>
      </c>
      <c r="E23" t="str" cm="1">
        <f t="array" ref="E23">INDEX('Linha 02'!$B$4:$B$1000,B23)</f>
        <v>Desinfetante Aquafast Campos Lavanda Cx/04 5l Emb. Econ</v>
      </c>
      <c r="F23" cm="1">
        <f t="array" ref="F23">INDEX('Linha 02'!$C$3:$Z$3,C23)</f>
        <v>20010003</v>
      </c>
      <c r="G23" t="str" cm="1">
        <f t="array" ref="G23">INDEX('Linha 02'!$C$2:$Z$2,C23)</f>
        <v>Agua Sanitaria Aquafast Cx/04 X 5l</v>
      </c>
      <c r="H23" s="5" cm="1">
        <f t="array" ref="H23">INDEX('Linha 02'!$C$4:$ZZ$1000,B23,C23)</f>
        <v>3.4722222222222224E-2</v>
      </c>
    </row>
    <row r="24" spans="1:8" x14ac:dyDescent="0.25">
      <c r="A24">
        <v>22</v>
      </c>
      <c r="B24">
        <f t="shared" si="0"/>
        <v>3</v>
      </c>
      <c r="C24">
        <f t="shared" si="1"/>
        <v>2</v>
      </c>
      <c r="D24" cm="1">
        <f t="array" ref="D24">INDEX('Linha 02'!$A$4:$A$1000,B24)</f>
        <v>20050113</v>
      </c>
      <c r="E24" t="str" cm="1">
        <f t="array" ref="E24">INDEX('Linha 02'!$B$4:$B$1000,B24)</f>
        <v>Desinfetante Aquafast Campos Lavanda Cx/04 5l Emb. Econ</v>
      </c>
      <c r="F24" cm="1">
        <f t="array" ref="F24">INDEX('Linha 02'!$C$3:$Z$3,C24)</f>
        <v>20010011</v>
      </c>
      <c r="G24" t="str" cm="1">
        <f t="array" ref="G24">INDEX('Linha 02'!$C$2:$Z$2,C24)</f>
        <v>Agua Sanitaria Verde Ito Cx/04 X 5l</v>
      </c>
      <c r="H24" s="5" cm="1">
        <f t="array" ref="H24">INDEX('Linha 02'!$C$4:$ZZ$1000,B24,C24)</f>
        <v>3.4722222222222224E-2</v>
      </c>
    </row>
    <row r="25" spans="1:8" x14ac:dyDescent="0.25">
      <c r="A25">
        <v>23</v>
      </c>
      <c r="B25">
        <f t="shared" si="0"/>
        <v>3</v>
      </c>
      <c r="C25">
        <f t="shared" si="1"/>
        <v>3</v>
      </c>
      <c r="D25" cm="1">
        <f t="array" ref="D25">INDEX('Linha 02'!$A$4:$A$1000,B25)</f>
        <v>20050113</v>
      </c>
      <c r="E25" t="str" cm="1">
        <f t="array" ref="E25">INDEX('Linha 02'!$B$4:$B$1000,B25)</f>
        <v>Desinfetante Aquafast Campos Lavanda Cx/04 5l Emb. Econ</v>
      </c>
      <c r="F25" cm="1">
        <f t="array" ref="F25">INDEX('Linha 02'!$C$3:$Z$3,C25)</f>
        <v>20050113</v>
      </c>
      <c r="G25" t="str" cm="1">
        <f t="array" ref="G25">INDEX('Linha 02'!$C$2:$Z$2,C25)</f>
        <v>Desinfetante Aquafast Campos Lavanda Cx/04 5l Emb. Econ</v>
      </c>
      <c r="H25" s="5" cm="1">
        <f t="array" ref="H25">INDEX('Linha 02'!$C$4:$ZZ$1000,B25,C25)</f>
        <v>0</v>
      </c>
    </row>
    <row r="26" spans="1:8" x14ac:dyDescent="0.25">
      <c r="A26">
        <v>24</v>
      </c>
      <c r="B26">
        <f t="shared" si="0"/>
        <v>3</v>
      </c>
      <c r="C26">
        <f t="shared" si="1"/>
        <v>4</v>
      </c>
      <c r="D26" cm="1">
        <f t="array" ref="D26">INDEX('Linha 02'!$A$4:$A$1000,B26)</f>
        <v>20050113</v>
      </c>
      <c r="E26" t="str" cm="1">
        <f t="array" ref="E26">INDEX('Linha 02'!$B$4:$B$1000,B26)</f>
        <v>Desinfetante Aquafast Campos Lavanda Cx/04 5l Emb. Econ</v>
      </c>
      <c r="F26" cm="1">
        <f t="array" ref="F26">INDEX('Linha 02'!$C$3:$Z$3,C26)</f>
        <v>20050114</v>
      </c>
      <c r="G26" t="str" cm="1">
        <f t="array" ref="G26">INDEX('Linha 02'!$C$2:$Z$2,C26)</f>
        <v>Desinfetante Aquafast Marine Cx/04 X 5l Emb. Economica</v>
      </c>
      <c r="H26" s="5" cm="1">
        <f t="array" ref="H26">INDEX('Linha 02'!$C$4:$ZZ$1000,B26,C26)</f>
        <v>0</v>
      </c>
    </row>
    <row r="27" spans="1:8" x14ac:dyDescent="0.25">
      <c r="A27">
        <v>25</v>
      </c>
      <c r="B27">
        <f t="shared" si="0"/>
        <v>3</v>
      </c>
      <c r="C27">
        <f t="shared" si="1"/>
        <v>5</v>
      </c>
      <c r="D27" cm="1">
        <f t="array" ref="D27">INDEX('Linha 02'!$A$4:$A$1000,B27)</f>
        <v>20050113</v>
      </c>
      <c r="E27" t="str" cm="1">
        <f t="array" ref="E27">INDEX('Linha 02'!$B$4:$B$1000,B27)</f>
        <v>Desinfetante Aquafast Campos Lavanda Cx/04 5l Emb. Econ</v>
      </c>
      <c r="F27" cm="1">
        <f t="array" ref="F27">INDEX('Linha 02'!$C$3:$Z$3,C27)</f>
        <v>20050116</v>
      </c>
      <c r="G27" t="str" cm="1">
        <f t="array" ref="G27">INDEX('Linha 02'!$C$2:$Z$2,C27)</f>
        <v>Desinfetante Aquafast Paixao Cx/04 X 5l Emb. Economica</v>
      </c>
      <c r="H27" s="5" cm="1">
        <f t="array" ref="H27">INDEX('Linha 02'!$C$4:$ZZ$1000,B27,C27)</f>
        <v>0</v>
      </c>
    </row>
    <row r="28" spans="1:8" x14ac:dyDescent="0.25">
      <c r="A28">
        <v>26</v>
      </c>
      <c r="B28">
        <f t="shared" si="0"/>
        <v>3</v>
      </c>
      <c r="C28">
        <f t="shared" si="1"/>
        <v>6</v>
      </c>
      <c r="D28" cm="1">
        <f t="array" ref="D28">INDEX('Linha 02'!$A$4:$A$1000,B28)</f>
        <v>20050113</v>
      </c>
      <c r="E28" t="str" cm="1">
        <f t="array" ref="E28">INDEX('Linha 02'!$B$4:$B$1000,B28)</f>
        <v>Desinfetante Aquafast Campos Lavanda Cx/04 5l Emb. Econ</v>
      </c>
      <c r="F28" cm="1">
        <f t="array" ref="F28">INDEX('Linha 02'!$C$3:$Z$3,C28)</f>
        <v>20050143</v>
      </c>
      <c r="G28" t="str" cm="1">
        <f t="array" ref="G28">INDEX('Linha 02'!$C$2:$Z$2,C28)</f>
        <v>Desinfetante Ito Lavanda Cx/04 X 5l</v>
      </c>
      <c r="H28" s="5" cm="1">
        <f t="array" ref="H28">INDEX('Linha 02'!$C$4:$ZZ$1000,B28,C28)</f>
        <v>0</v>
      </c>
    </row>
    <row r="29" spans="1:8" x14ac:dyDescent="0.25">
      <c r="A29">
        <v>27</v>
      </c>
      <c r="B29">
        <f t="shared" si="0"/>
        <v>3</v>
      </c>
      <c r="C29">
        <f t="shared" si="1"/>
        <v>7</v>
      </c>
      <c r="D29" cm="1">
        <f t="array" ref="D29">INDEX('Linha 02'!$A$4:$A$1000,B29)</f>
        <v>20050113</v>
      </c>
      <c r="E29" t="str" cm="1">
        <f t="array" ref="E29">INDEX('Linha 02'!$B$4:$B$1000,B29)</f>
        <v>Desinfetante Aquafast Campos Lavanda Cx/04 5l Emb. Econ</v>
      </c>
      <c r="F29" cm="1">
        <f t="array" ref="F29">INDEX('Linha 02'!$C$3:$Z$3,C29)</f>
        <v>20050144</v>
      </c>
      <c r="G29" t="str" cm="1">
        <f t="array" ref="G29">INDEX('Linha 02'!$C$2:$Z$2,C29)</f>
        <v>Desinfetante Ito Marine Cx/04 X 5l</v>
      </c>
      <c r="H29" s="5" cm="1">
        <f t="array" ref="H29">INDEX('Linha 02'!$C$4:$ZZ$1000,B29,C29)</f>
        <v>0</v>
      </c>
    </row>
    <row r="30" spans="1:8" x14ac:dyDescent="0.25">
      <c r="A30">
        <v>28</v>
      </c>
      <c r="B30">
        <f t="shared" si="0"/>
        <v>3</v>
      </c>
      <c r="C30">
        <f t="shared" si="1"/>
        <v>8</v>
      </c>
      <c r="D30" cm="1">
        <f t="array" ref="D30">INDEX('Linha 02'!$A$4:$A$1000,B30)</f>
        <v>20050113</v>
      </c>
      <c r="E30" t="str" cm="1">
        <f t="array" ref="E30">INDEX('Linha 02'!$B$4:$B$1000,B30)</f>
        <v>Desinfetante Aquafast Campos Lavanda Cx/04 5l Emb. Econ</v>
      </c>
      <c r="F30" cm="1">
        <f t="array" ref="F30">INDEX('Linha 02'!$C$3:$Z$3,C30)</f>
        <v>20050158</v>
      </c>
      <c r="G30" t="str" cm="1">
        <f t="array" ref="G30">INDEX('Linha 02'!$C$2:$Z$2,C30)</f>
        <v>Desinfetante Aquafast Cha Branco Cx/04 X 5l Emb. Econo</v>
      </c>
      <c r="H30" s="5" cm="1">
        <f t="array" ref="H30">INDEX('Linha 02'!$C$4:$ZZ$1000,B30,C30)</f>
        <v>1.3888888888888888E-2</v>
      </c>
    </row>
    <row r="31" spans="1:8" x14ac:dyDescent="0.25">
      <c r="A31">
        <v>29</v>
      </c>
      <c r="B31">
        <f t="shared" si="0"/>
        <v>3</v>
      </c>
      <c r="C31">
        <f t="shared" si="1"/>
        <v>9</v>
      </c>
      <c r="D31" cm="1">
        <f t="array" ref="D31">INDEX('Linha 02'!$A$4:$A$1000,B31)</f>
        <v>20050113</v>
      </c>
      <c r="E31" t="str" cm="1">
        <f t="array" ref="E31">INDEX('Linha 02'!$B$4:$B$1000,B31)</f>
        <v>Desinfetante Aquafast Campos Lavanda Cx/04 5l Emb. Econ</v>
      </c>
      <c r="F31" cm="1">
        <f t="array" ref="F31">INDEX('Linha 02'!$C$3:$Z$3,C31)</f>
        <v>20160003</v>
      </c>
      <c r="G31" t="str" cm="1">
        <f t="array" ref="G31">INDEX('Linha 02'!$C$2:$Z$2,C31)</f>
        <v>Alvejante S/ Cloro Aquafast Cx/04 X 5l (Emb Econ)</v>
      </c>
      <c r="H31" s="5" cm="1">
        <f t="array" ref="H31">INDEX('Linha 02'!$C$4:$ZZ$1000,B31,C31)</f>
        <v>0</v>
      </c>
    </row>
    <row r="32" spans="1:8" x14ac:dyDescent="0.25">
      <c r="A32">
        <v>30</v>
      </c>
      <c r="B32">
        <f t="shared" si="0"/>
        <v>3</v>
      </c>
      <c r="C32">
        <f t="shared" si="1"/>
        <v>10</v>
      </c>
      <c r="D32" cm="1">
        <f t="array" ref="D32">INDEX('Linha 02'!$A$4:$A$1000,B32)</f>
        <v>20050113</v>
      </c>
      <c r="E32" t="str" cm="1">
        <f t="array" ref="E32">INDEX('Linha 02'!$B$4:$B$1000,B32)</f>
        <v>Desinfetante Aquafast Campos Lavanda Cx/04 5l Emb. Econ</v>
      </c>
      <c r="F32" cm="1">
        <f t="array" ref="F32">INDEX('Linha 02'!$C$3:$Z$3,C32)</f>
        <v>20160005</v>
      </c>
      <c r="G32" t="str" cm="1">
        <f t="array" ref="G32">INDEX('Linha 02'!$C$2:$Z$2,C32)</f>
        <v>Alvejante S/ Cloro Aquafast Cx/04 X 3l</v>
      </c>
      <c r="H32" s="5" cm="1">
        <f t="array" ref="H32">INDEX('Linha 02'!$C$4:$ZZ$1000,B32,C32)</f>
        <v>0</v>
      </c>
    </row>
    <row r="33" spans="1:8" x14ac:dyDescent="0.25">
      <c r="A33">
        <v>31</v>
      </c>
      <c r="B33">
        <f t="shared" si="0"/>
        <v>4</v>
      </c>
      <c r="C33">
        <f t="shared" si="1"/>
        <v>1</v>
      </c>
      <c r="D33" cm="1">
        <f t="array" ref="D33">INDEX('Linha 02'!$A$4:$A$1000,B33)</f>
        <v>20050114</v>
      </c>
      <c r="E33" t="str" cm="1">
        <f t="array" ref="E33">INDEX('Linha 02'!$B$4:$B$1000,B33)</f>
        <v>Desinfetante Aquafast Marine Cx/04 X 5l Emb. Economica</v>
      </c>
      <c r="F33" cm="1">
        <f t="array" ref="F33">INDEX('Linha 02'!$C$3:$Z$3,C33)</f>
        <v>20010003</v>
      </c>
      <c r="G33" t="str" cm="1">
        <f t="array" ref="G33">INDEX('Linha 02'!$C$2:$Z$2,C33)</f>
        <v>Agua Sanitaria Aquafast Cx/04 X 5l</v>
      </c>
      <c r="H33" s="5" cm="1">
        <f t="array" ref="H33">INDEX('Linha 02'!$C$4:$ZZ$1000,B33,C33)</f>
        <v>1.0416666666666666E-2</v>
      </c>
    </row>
    <row r="34" spans="1:8" x14ac:dyDescent="0.25">
      <c r="A34">
        <v>32</v>
      </c>
      <c r="B34">
        <f t="shared" si="0"/>
        <v>4</v>
      </c>
      <c r="C34">
        <f t="shared" si="1"/>
        <v>2</v>
      </c>
      <c r="D34" cm="1">
        <f t="array" ref="D34">INDEX('Linha 02'!$A$4:$A$1000,B34)</f>
        <v>20050114</v>
      </c>
      <c r="E34" t="str" cm="1">
        <f t="array" ref="E34">INDEX('Linha 02'!$B$4:$B$1000,B34)</f>
        <v>Desinfetante Aquafast Marine Cx/04 X 5l Emb. Economica</v>
      </c>
      <c r="F34" cm="1">
        <f t="array" ref="F34">INDEX('Linha 02'!$C$3:$Z$3,C34)</f>
        <v>20010011</v>
      </c>
      <c r="G34" t="str" cm="1">
        <f t="array" ref="G34">INDEX('Linha 02'!$C$2:$Z$2,C34)</f>
        <v>Agua Sanitaria Verde Ito Cx/04 X 5l</v>
      </c>
      <c r="H34" s="5" cm="1">
        <f t="array" ref="H34">INDEX('Linha 02'!$C$4:$ZZ$1000,B34,C34)</f>
        <v>0</v>
      </c>
    </row>
    <row r="35" spans="1:8" x14ac:dyDescent="0.25">
      <c r="A35">
        <v>33</v>
      </c>
      <c r="B35">
        <f t="shared" si="0"/>
        <v>4</v>
      </c>
      <c r="C35">
        <f t="shared" si="1"/>
        <v>3</v>
      </c>
      <c r="D35" cm="1">
        <f t="array" ref="D35">INDEX('Linha 02'!$A$4:$A$1000,B35)</f>
        <v>20050114</v>
      </c>
      <c r="E35" t="str" cm="1">
        <f t="array" ref="E35">INDEX('Linha 02'!$B$4:$B$1000,B35)</f>
        <v>Desinfetante Aquafast Marine Cx/04 X 5l Emb. Economica</v>
      </c>
      <c r="F35" cm="1">
        <f t="array" ref="F35">INDEX('Linha 02'!$C$3:$Z$3,C35)</f>
        <v>20050113</v>
      </c>
      <c r="G35" t="str" cm="1">
        <f t="array" ref="G35">INDEX('Linha 02'!$C$2:$Z$2,C35)</f>
        <v>Desinfetante Aquafast Campos Lavanda Cx/04 5l Emb. Econ</v>
      </c>
      <c r="H35" s="5" cm="1">
        <f t="array" ref="H35">INDEX('Linha 02'!$C$4:$ZZ$1000,B35,C35)</f>
        <v>1.0416666666666666E-2</v>
      </c>
    </row>
    <row r="36" spans="1:8" x14ac:dyDescent="0.25">
      <c r="A36">
        <v>34</v>
      </c>
      <c r="B36">
        <f t="shared" si="0"/>
        <v>4</v>
      </c>
      <c r="C36">
        <f t="shared" si="1"/>
        <v>4</v>
      </c>
      <c r="D36" cm="1">
        <f t="array" ref="D36">INDEX('Linha 02'!$A$4:$A$1000,B36)</f>
        <v>20050114</v>
      </c>
      <c r="E36" t="str" cm="1">
        <f t="array" ref="E36">INDEX('Linha 02'!$B$4:$B$1000,B36)</f>
        <v>Desinfetante Aquafast Marine Cx/04 X 5l Emb. Economica</v>
      </c>
      <c r="F36" cm="1">
        <f t="array" ref="F36">INDEX('Linha 02'!$C$3:$Z$3,C36)</f>
        <v>20050114</v>
      </c>
      <c r="G36" t="str" cm="1">
        <f t="array" ref="G36">INDEX('Linha 02'!$C$2:$Z$2,C36)</f>
        <v>Desinfetante Aquafast Marine Cx/04 X 5l Emb. Economica</v>
      </c>
      <c r="H36" s="5" cm="1">
        <f t="array" ref="H36">INDEX('Linha 02'!$C$4:$ZZ$1000,B36,C36)</f>
        <v>0</v>
      </c>
    </row>
    <row r="37" spans="1:8" x14ac:dyDescent="0.25">
      <c r="A37">
        <v>35</v>
      </c>
      <c r="B37">
        <f t="shared" si="0"/>
        <v>4</v>
      </c>
      <c r="C37">
        <f t="shared" si="1"/>
        <v>5</v>
      </c>
      <c r="D37" cm="1">
        <f t="array" ref="D37">INDEX('Linha 02'!$A$4:$A$1000,B37)</f>
        <v>20050114</v>
      </c>
      <c r="E37" t="str" cm="1">
        <f t="array" ref="E37">INDEX('Linha 02'!$B$4:$B$1000,B37)</f>
        <v>Desinfetante Aquafast Marine Cx/04 X 5l Emb. Economica</v>
      </c>
      <c r="F37" cm="1">
        <f t="array" ref="F37">INDEX('Linha 02'!$C$3:$Z$3,C37)</f>
        <v>20050116</v>
      </c>
      <c r="G37" t="str" cm="1">
        <f t="array" ref="G37">INDEX('Linha 02'!$C$2:$Z$2,C37)</f>
        <v>Desinfetante Aquafast Paixao Cx/04 X 5l Emb. Economica</v>
      </c>
      <c r="H37" s="5" cm="1">
        <f t="array" ref="H37">INDEX('Linha 02'!$C$4:$ZZ$1000,B37,C37)</f>
        <v>1.0416666666666666E-2</v>
      </c>
    </row>
    <row r="38" spans="1:8" x14ac:dyDescent="0.25">
      <c r="A38">
        <v>36</v>
      </c>
      <c r="B38">
        <f t="shared" si="0"/>
        <v>4</v>
      </c>
      <c r="C38">
        <f t="shared" si="1"/>
        <v>6</v>
      </c>
      <c r="D38" cm="1">
        <f t="array" ref="D38">INDEX('Linha 02'!$A$4:$A$1000,B38)</f>
        <v>20050114</v>
      </c>
      <c r="E38" t="str" cm="1">
        <f t="array" ref="E38">INDEX('Linha 02'!$B$4:$B$1000,B38)</f>
        <v>Desinfetante Aquafast Marine Cx/04 X 5l Emb. Economica</v>
      </c>
      <c r="F38" cm="1">
        <f t="array" ref="F38">INDEX('Linha 02'!$C$3:$Z$3,C38)</f>
        <v>20050143</v>
      </c>
      <c r="G38" t="str" cm="1">
        <f t="array" ref="G38">INDEX('Linha 02'!$C$2:$Z$2,C38)</f>
        <v>Desinfetante Ito Lavanda Cx/04 X 5l</v>
      </c>
      <c r="H38" s="5" cm="1">
        <f t="array" ref="H38">INDEX('Linha 02'!$C$4:$ZZ$1000,B38,C38)</f>
        <v>0</v>
      </c>
    </row>
    <row r="39" spans="1:8" x14ac:dyDescent="0.25">
      <c r="A39">
        <v>37</v>
      </c>
      <c r="B39">
        <f t="shared" si="0"/>
        <v>4</v>
      </c>
      <c r="C39">
        <f t="shared" si="1"/>
        <v>7</v>
      </c>
      <c r="D39" cm="1">
        <f t="array" ref="D39">INDEX('Linha 02'!$A$4:$A$1000,B39)</f>
        <v>20050114</v>
      </c>
      <c r="E39" t="str" cm="1">
        <f t="array" ref="E39">INDEX('Linha 02'!$B$4:$B$1000,B39)</f>
        <v>Desinfetante Aquafast Marine Cx/04 X 5l Emb. Economica</v>
      </c>
      <c r="F39" cm="1">
        <f t="array" ref="F39">INDEX('Linha 02'!$C$3:$Z$3,C39)</f>
        <v>20050144</v>
      </c>
      <c r="G39" t="str" cm="1">
        <f t="array" ref="G39">INDEX('Linha 02'!$C$2:$Z$2,C39)</f>
        <v>Desinfetante Ito Marine Cx/04 X 5l</v>
      </c>
      <c r="H39" s="5" cm="1">
        <f t="array" ref="H39">INDEX('Linha 02'!$C$4:$ZZ$1000,B39,C39)</f>
        <v>0</v>
      </c>
    </row>
    <row r="40" spans="1:8" x14ac:dyDescent="0.25">
      <c r="A40">
        <v>38</v>
      </c>
      <c r="B40">
        <f t="shared" si="0"/>
        <v>4</v>
      </c>
      <c r="C40">
        <f t="shared" si="1"/>
        <v>8</v>
      </c>
      <c r="D40" cm="1">
        <f t="array" ref="D40">INDEX('Linha 02'!$A$4:$A$1000,B40)</f>
        <v>20050114</v>
      </c>
      <c r="E40" t="str" cm="1">
        <f t="array" ref="E40">INDEX('Linha 02'!$B$4:$B$1000,B40)</f>
        <v>Desinfetante Aquafast Marine Cx/04 X 5l Emb. Economica</v>
      </c>
      <c r="F40" cm="1">
        <f t="array" ref="F40">INDEX('Linha 02'!$C$3:$Z$3,C40)</f>
        <v>20050158</v>
      </c>
      <c r="G40" t="str" cm="1">
        <f t="array" ref="G40">INDEX('Linha 02'!$C$2:$Z$2,C40)</f>
        <v>Desinfetante Aquafast Cha Branco Cx/04 X 5l Emb. Econo</v>
      </c>
      <c r="H40" s="5" cm="1">
        <f t="array" ref="H40">INDEX('Linha 02'!$C$4:$ZZ$1000,B40,C40)</f>
        <v>1.3888888888888888E-2</v>
      </c>
    </row>
    <row r="41" spans="1:8" x14ac:dyDescent="0.25">
      <c r="A41">
        <v>39</v>
      </c>
      <c r="B41">
        <f t="shared" si="0"/>
        <v>4</v>
      </c>
      <c r="C41">
        <f t="shared" si="1"/>
        <v>9</v>
      </c>
      <c r="D41" cm="1">
        <f t="array" ref="D41">INDEX('Linha 02'!$A$4:$A$1000,B41)</f>
        <v>20050114</v>
      </c>
      <c r="E41" t="str" cm="1">
        <f t="array" ref="E41">INDEX('Linha 02'!$B$4:$B$1000,B41)</f>
        <v>Desinfetante Aquafast Marine Cx/04 X 5l Emb. Economica</v>
      </c>
      <c r="F41" cm="1">
        <f t="array" ref="F41">INDEX('Linha 02'!$C$3:$Z$3,C41)</f>
        <v>20160003</v>
      </c>
      <c r="G41" t="str" cm="1">
        <f t="array" ref="G41">INDEX('Linha 02'!$C$2:$Z$2,C41)</f>
        <v>Alvejante S/ Cloro Aquafast Cx/04 X 5l (Emb Econ)</v>
      </c>
      <c r="H41" s="5" cm="1">
        <f t="array" ref="H41">INDEX('Linha 02'!$C$4:$ZZ$1000,B41,C41)</f>
        <v>0</v>
      </c>
    </row>
    <row r="42" spans="1:8" x14ac:dyDescent="0.25">
      <c r="A42">
        <v>40</v>
      </c>
      <c r="B42">
        <f t="shared" si="0"/>
        <v>4</v>
      </c>
      <c r="C42">
        <f t="shared" si="1"/>
        <v>10</v>
      </c>
      <c r="D42" cm="1">
        <f t="array" ref="D42">INDEX('Linha 02'!$A$4:$A$1000,B42)</f>
        <v>20050114</v>
      </c>
      <c r="E42" t="str" cm="1">
        <f t="array" ref="E42">INDEX('Linha 02'!$B$4:$B$1000,B42)</f>
        <v>Desinfetante Aquafast Marine Cx/04 X 5l Emb. Economica</v>
      </c>
      <c r="F42" cm="1">
        <f t="array" ref="F42">INDEX('Linha 02'!$C$3:$Z$3,C42)</f>
        <v>20160005</v>
      </c>
      <c r="G42" t="str" cm="1">
        <f t="array" ref="G42">INDEX('Linha 02'!$C$2:$Z$2,C42)</f>
        <v>Alvejante S/ Cloro Aquafast Cx/04 X 3l</v>
      </c>
      <c r="H42" s="5" cm="1">
        <f t="array" ref="H42">INDEX('Linha 02'!$C$4:$ZZ$1000,B42,C42)</f>
        <v>0</v>
      </c>
    </row>
    <row r="43" spans="1:8" x14ac:dyDescent="0.25">
      <c r="A43">
        <v>41</v>
      </c>
      <c r="B43">
        <f t="shared" si="0"/>
        <v>5</v>
      </c>
      <c r="C43">
        <f t="shared" si="1"/>
        <v>1</v>
      </c>
      <c r="D43" cm="1">
        <f t="array" ref="D43">INDEX('Linha 02'!$A$4:$A$1000,B43)</f>
        <v>20050116</v>
      </c>
      <c r="E43" t="str" cm="1">
        <f t="array" ref="E43">INDEX('Linha 02'!$B$4:$B$1000,B43)</f>
        <v>Desinfetante Aquafast Paixao Cx/04 X 5l Emb. Economica</v>
      </c>
      <c r="F43" cm="1">
        <f t="array" ref="F43">INDEX('Linha 02'!$C$3:$Z$3,C43)</f>
        <v>20010003</v>
      </c>
      <c r="G43" t="str" cm="1">
        <f t="array" ref="G43">INDEX('Linha 02'!$C$2:$Z$2,C43)</f>
        <v>Agua Sanitaria Aquafast Cx/04 X 5l</v>
      </c>
      <c r="H43" s="5" cm="1">
        <f t="array" ref="H43">INDEX('Linha 02'!$C$4:$ZZ$1000,B43,C43)</f>
        <v>0</v>
      </c>
    </row>
    <row r="44" spans="1:8" x14ac:dyDescent="0.25">
      <c r="A44">
        <v>42</v>
      </c>
      <c r="B44">
        <f t="shared" si="0"/>
        <v>5</v>
      </c>
      <c r="C44">
        <f t="shared" si="1"/>
        <v>2</v>
      </c>
      <c r="D44" cm="1">
        <f t="array" ref="D44">INDEX('Linha 02'!$A$4:$A$1000,B44)</f>
        <v>20050116</v>
      </c>
      <c r="E44" t="str" cm="1">
        <f t="array" ref="E44">INDEX('Linha 02'!$B$4:$B$1000,B44)</f>
        <v>Desinfetante Aquafast Paixao Cx/04 X 5l Emb. Economica</v>
      </c>
      <c r="F44" cm="1">
        <f t="array" ref="F44">INDEX('Linha 02'!$C$3:$Z$3,C44)</f>
        <v>20010011</v>
      </c>
      <c r="G44" t="str" cm="1">
        <f t="array" ref="G44">INDEX('Linha 02'!$C$2:$Z$2,C44)</f>
        <v>Agua Sanitaria Verde Ito Cx/04 X 5l</v>
      </c>
      <c r="H44" s="5" cm="1">
        <f t="array" ref="H44">INDEX('Linha 02'!$C$4:$ZZ$1000,B44,C44)</f>
        <v>0</v>
      </c>
    </row>
    <row r="45" spans="1:8" x14ac:dyDescent="0.25">
      <c r="A45">
        <v>43</v>
      </c>
      <c r="B45">
        <f t="shared" si="0"/>
        <v>5</v>
      </c>
      <c r="C45">
        <f t="shared" si="1"/>
        <v>3</v>
      </c>
      <c r="D45" cm="1">
        <f t="array" ref="D45">INDEX('Linha 02'!$A$4:$A$1000,B45)</f>
        <v>20050116</v>
      </c>
      <c r="E45" t="str" cm="1">
        <f t="array" ref="E45">INDEX('Linha 02'!$B$4:$B$1000,B45)</f>
        <v>Desinfetante Aquafast Paixao Cx/04 X 5l Emb. Economica</v>
      </c>
      <c r="F45" cm="1">
        <f t="array" ref="F45">INDEX('Linha 02'!$C$3:$Z$3,C45)</f>
        <v>20050113</v>
      </c>
      <c r="G45" t="str" cm="1">
        <f t="array" ref="G45">INDEX('Linha 02'!$C$2:$Z$2,C45)</f>
        <v>Desinfetante Aquafast Campos Lavanda Cx/04 5l Emb. Econ</v>
      </c>
      <c r="H45" s="5" cm="1">
        <f t="array" ref="H45">INDEX('Linha 02'!$C$4:$ZZ$1000,B45,C45)</f>
        <v>0</v>
      </c>
    </row>
    <row r="46" spans="1:8" x14ac:dyDescent="0.25">
      <c r="A46">
        <v>44</v>
      </c>
      <c r="B46">
        <f t="shared" si="0"/>
        <v>5</v>
      </c>
      <c r="C46">
        <f t="shared" si="1"/>
        <v>4</v>
      </c>
      <c r="D46" cm="1">
        <f t="array" ref="D46">INDEX('Linha 02'!$A$4:$A$1000,B46)</f>
        <v>20050116</v>
      </c>
      <c r="E46" t="str" cm="1">
        <f t="array" ref="E46">INDEX('Linha 02'!$B$4:$B$1000,B46)</f>
        <v>Desinfetante Aquafast Paixao Cx/04 X 5l Emb. Economica</v>
      </c>
      <c r="F46" cm="1">
        <f t="array" ref="F46">INDEX('Linha 02'!$C$3:$Z$3,C46)</f>
        <v>20050114</v>
      </c>
      <c r="G46" t="str" cm="1">
        <f t="array" ref="G46">INDEX('Linha 02'!$C$2:$Z$2,C46)</f>
        <v>Desinfetante Aquafast Marine Cx/04 X 5l Emb. Economica</v>
      </c>
      <c r="H46" s="5" cm="1">
        <f t="array" ref="H46">INDEX('Linha 02'!$C$4:$ZZ$1000,B46,C46)</f>
        <v>0</v>
      </c>
    </row>
    <row r="47" spans="1:8" x14ac:dyDescent="0.25">
      <c r="A47">
        <v>45</v>
      </c>
      <c r="B47">
        <f t="shared" si="0"/>
        <v>5</v>
      </c>
      <c r="C47">
        <f t="shared" si="1"/>
        <v>5</v>
      </c>
      <c r="D47" cm="1">
        <f t="array" ref="D47">INDEX('Linha 02'!$A$4:$A$1000,B47)</f>
        <v>20050116</v>
      </c>
      <c r="E47" t="str" cm="1">
        <f t="array" ref="E47">INDEX('Linha 02'!$B$4:$B$1000,B47)</f>
        <v>Desinfetante Aquafast Paixao Cx/04 X 5l Emb. Economica</v>
      </c>
      <c r="F47" cm="1">
        <f t="array" ref="F47">INDEX('Linha 02'!$C$3:$Z$3,C47)</f>
        <v>20050116</v>
      </c>
      <c r="G47" t="str" cm="1">
        <f t="array" ref="G47">INDEX('Linha 02'!$C$2:$Z$2,C47)</f>
        <v>Desinfetante Aquafast Paixao Cx/04 X 5l Emb. Economica</v>
      </c>
      <c r="H47" s="5" cm="1">
        <f t="array" ref="H47">INDEX('Linha 02'!$C$4:$ZZ$1000,B47,C47)</f>
        <v>0</v>
      </c>
    </row>
    <row r="48" spans="1:8" x14ac:dyDescent="0.25">
      <c r="A48">
        <v>46</v>
      </c>
      <c r="B48">
        <f t="shared" si="0"/>
        <v>5</v>
      </c>
      <c r="C48">
        <f t="shared" si="1"/>
        <v>6</v>
      </c>
      <c r="D48" cm="1">
        <f t="array" ref="D48">INDEX('Linha 02'!$A$4:$A$1000,B48)</f>
        <v>20050116</v>
      </c>
      <c r="E48" t="str" cm="1">
        <f t="array" ref="E48">INDEX('Linha 02'!$B$4:$B$1000,B48)</f>
        <v>Desinfetante Aquafast Paixao Cx/04 X 5l Emb. Economica</v>
      </c>
      <c r="F48" cm="1">
        <f t="array" ref="F48">INDEX('Linha 02'!$C$3:$Z$3,C48)</f>
        <v>20050143</v>
      </c>
      <c r="G48" t="str" cm="1">
        <f t="array" ref="G48">INDEX('Linha 02'!$C$2:$Z$2,C48)</f>
        <v>Desinfetante Ito Lavanda Cx/04 X 5l</v>
      </c>
      <c r="H48" s="5" cm="1">
        <f t="array" ref="H48">INDEX('Linha 02'!$C$4:$ZZ$1000,B48,C48)</f>
        <v>0</v>
      </c>
    </row>
    <row r="49" spans="1:8" x14ac:dyDescent="0.25">
      <c r="A49">
        <v>47</v>
      </c>
      <c r="B49">
        <f t="shared" si="0"/>
        <v>5</v>
      </c>
      <c r="C49">
        <f t="shared" si="1"/>
        <v>7</v>
      </c>
      <c r="D49" cm="1">
        <f t="array" ref="D49">INDEX('Linha 02'!$A$4:$A$1000,B49)</f>
        <v>20050116</v>
      </c>
      <c r="E49" t="str" cm="1">
        <f t="array" ref="E49">INDEX('Linha 02'!$B$4:$B$1000,B49)</f>
        <v>Desinfetante Aquafast Paixao Cx/04 X 5l Emb. Economica</v>
      </c>
      <c r="F49" cm="1">
        <f t="array" ref="F49">INDEX('Linha 02'!$C$3:$Z$3,C49)</f>
        <v>20050144</v>
      </c>
      <c r="G49" t="str" cm="1">
        <f t="array" ref="G49">INDEX('Linha 02'!$C$2:$Z$2,C49)</f>
        <v>Desinfetante Ito Marine Cx/04 X 5l</v>
      </c>
      <c r="H49" s="5" cm="1">
        <f t="array" ref="H49">INDEX('Linha 02'!$C$4:$ZZ$1000,B49,C49)</f>
        <v>0</v>
      </c>
    </row>
    <row r="50" spans="1:8" x14ac:dyDescent="0.25">
      <c r="A50">
        <v>48</v>
      </c>
      <c r="B50">
        <f t="shared" si="0"/>
        <v>5</v>
      </c>
      <c r="C50">
        <f t="shared" si="1"/>
        <v>8</v>
      </c>
      <c r="D50" cm="1">
        <f t="array" ref="D50">INDEX('Linha 02'!$A$4:$A$1000,B50)</f>
        <v>20050116</v>
      </c>
      <c r="E50" t="str" cm="1">
        <f t="array" ref="E50">INDEX('Linha 02'!$B$4:$B$1000,B50)</f>
        <v>Desinfetante Aquafast Paixao Cx/04 X 5l Emb. Economica</v>
      </c>
      <c r="F50" cm="1">
        <f t="array" ref="F50">INDEX('Linha 02'!$C$3:$Z$3,C50)</f>
        <v>20050158</v>
      </c>
      <c r="G50" t="str" cm="1">
        <f t="array" ref="G50">INDEX('Linha 02'!$C$2:$Z$2,C50)</f>
        <v>Desinfetante Aquafast Cha Branco Cx/04 X 5l Emb. Econo</v>
      </c>
      <c r="H50" s="5" cm="1">
        <f t="array" ref="H50">INDEX('Linha 02'!$C$4:$ZZ$1000,B50,C50)</f>
        <v>1.3888888888888888E-2</v>
      </c>
    </row>
    <row r="51" spans="1:8" x14ac:dyDescent="0.25">
      <c r="A51">
        <v>49</v>
      </c>
      <c r="B51">
        <f t="shared" si="0"/>
        <v>5</v>
      </c>
      <c r="C51">
        <f t="shared" si="1"/>
        <v>9</v>
      </c>
      <c r="D51" cm="1">
        <f t="array" ref="D51">INDEX('Linha 02'!$A$4:$A$1000,B51)</f>
        <v>20050116</v>
      </c>
      <c r="E51" t="str" cm="1">
        <f t="array" ref="E51">INDEX('Linha 02'!$B$4:$B$1000,B51)</f>
        <v>Desinfetante Aquafast Paixao Cx/04 X 5l Emb. Economica</v>
      </c>
      <c r="F51" cm="1">
        <f t="array" ref="F51">INDEX('Linha 02'!$C$3:$Z$3,C51)</f>
        <v>20160003</v>
      </c>
      <c r="G51" t="str" cm="1">
        <f t="array" ref="G51">INDEX('Linha 02'!$C$2:$Z$2,C51)</f>
        <v>Alvejante S/ Cloro Aquafast Cx/04 X 5l (Emb Econ)</v>
      </c>
      <c r="H51" s="5" cm="1">
        <f t="array" ref="H51">INDEX('Linha 02'!$C$4:$ZZ$1000,B51,C51)</f>
        <v>0</v>
      </c>
    </row>
    <row r="52" spans="1:8" x14ac:dyDescent="0.25">
      <c r="A52">
        <v>50</v>
      </c>
      <c r="B52">
        <f t="shared" si="0"/>
        <v>5</v>
      </c>
      <c r="C52">
        <f t="shared" si="1"/>
        <v>10</v>
      </c>
      <c r="D52" cm="1">
        <f t="array" ref="D52">INDEX('Linha 02'!$A$4:$A$1000,B52)</f>
        <v>20050116</v>
      </c>
      <c r="E52" t="str" cm="1">
        <f t="array" ref="E52">INDEX('Linha 02'!$B$4:$B$1000,B52)</f>
        <v>Desinfetante Aquafast Paixao Cx/04 X 5l Emb. Economica</v>
      </c>
      <c r="F52" cm="1">
        <f t="array" ref="F52">INDEX('Linha 02'!$C$3:$Z$3,C52)</f>
        <v>20160005</v>
      </c>
      <c r="G52" t="str" cm="1">
        <f t="array" ref="G52">INDEX('Linha 02'!$C$2:$Z$2,C52)</f>
        <v>Alvejante S/ Cloro Aquafast Cx/04 X 3l</v>
      </c>
      <c r="H52" s="5" cm="1">
        <f t="array" ref="H52">INDEX('Linha 02'!$C$4:$ZZ$1000,B52,C52)</f>
        <v>0</v>
      </c>
    </row>
    <row r="53" spans="1:8" x14ac:dyDescent="0.25">
      <c r="A53">
        <v>51</v>
      </c>
      <c r="B53">
        <f t="shared" si="0"/>
        <v>6</v>
      </c>
      <c r="C53">
        <f t="shared" si="1"/>
        <v>1</v>
      </c>
      <c r="D53" cm="1">
        <f t="array" ref="D53">INDEX('Linha 02'!$A$4:$A$1000,B53)</f>
        <v>20050143</v>
      </c>
      <c r="E53" t="str" cm="1">
        <f t="array" ref="E53">INDEX('Linha 02'!$B$4:$B$1000,B53)</f>
        <v>Desinfetante Ito Lavanda Cx/04 X 5l</v>
      </c>
      <c r="F53" cm="1">
        <f t="array" ref="F53">INDEX('Linha 02'!$C$3:$Z$3,C53)</f>
        <v>20010003</v>
      </c>
      <c r="G53" t="str" cm="1">
        <f t="array" ref="G53">INDEX('Linha 02'!$C$2:$Z$2,C53)</f>
        <v>Agua Sanitaria Aquafast Cx/04 X 5l</v>
      </c>
      <c r="H53" s="5" cm="1">
        <f t="array" ref="H53">INDEX('Linha 02'!$C$4:$ZZ$1000,B53,C53)</f>
        <v>0</v>
      </c>
    </row>
    <row r="54" spans="1:8" x14ac:dyDescent="0.25">
      <c r="A54">
        <v>52</v>
      </c>
      <c r="B54">
        <f t="shared" si="0"/>
        <v>6</v>
      </c>
      <c r="C54">
        <f t="shared" si="1"/>
        <v>2</v>
      </c>
      <c r="D54" cm="1">
        <f t="array" ref="D54">INDEX('Linha 02'!$A$4:$A$1000,B54)</f>
        <v>20050143</v>
      </c>
      <c r="E54" t="str" cm="1">
        <f t="array" ref="E54">INDEX('Linha 02'!$B$4:$B$1000,B54)</f>
        <v>Desinfetante Ito Lavanda Cx/04 X 5l</v>
      </c>
      <c r="F54" cm="1">
        <f t="array" ref="F54">INDEX('Linha 02'!$C$3:$Z$3,C54)</f>
        <v>20010011</v>
      </c>
      <c r="G54" t="str" cm="1">
        <f t="array" ref="G54">INDEX('Linha 02'!$C$2:$Z$2,C54)</f>
        <v>Agua Sanitaria Verde Ito Cx/04 X 5l</v>
      </c>
      <c r="H54" s="5" cm="1">
        <f t="array" ref="H54">INDEX('Linha 02'!$C$4:$ZZ$1000,B54,C54)</f>
        <v>0</v>
      </c>
    </row>
    <row r="55" spans="1:8" x14ac:dyDescent="0.25">
      <c r="A55">
        <v>53</v>
      </c>
      <c r="B55">
        <f t="shared" si="0"/>
        <v>6</v>
      </c>
      <c r="C55">
        <f t="shared" si="1"/>
        <v>3</v>
      </c>
      <c r="D55" cm="1">
        <f t="array" ref="D55">INDEX('Linha 02'!$A$4:$A$1000,B55)</f>
        <v>20050143</v>
      </c>
      <c r="E55" t="str" cm="1">
        <f t="array" ref="E55">INDEX('Linha 02'!$B$4:$B$1000,B55)</f>
        <v>Desinfetante Ito Lavanda Cx/04 X 5l</v>
      </c>
      <c r="F55" cm="1">
        <f t="array" ref="F55">INDEX('Linha 02'!$C$3:$Z$3,C55)</f>
        <v>20050113</v>
      </c>
      <c r="G55" t="str" cm="1">
        <f t="array" ref="G55">INDEX('Linha 02'!$C$2:$Z$2,C55)</f>
        <v>Desinfetante Aquafast Campos Lavanda Cx/04 5l Emb. Econ</v>
      </c>
      <c r="H55" s="5" cm="1">
        <f t="array" ref="H55">INDEX('Linha 02'!$C$4:$ZZ$1000,B55,C55)</f>
        <v>0</v>
      </c>
    </row>
    <row r="56" spans="1:8" x14ac:dyDescent="0.25">
      <c r="A56">
        <v>54</v>
      </c>
      <c r="B56">
        <f t="shared" si="0"/>
        <v>6</v>
      </c>
      <c r="C56">
        <f t="shared" si="1"/>
        <v>4</v>
      </c>
      <c r="D56" cm="1">
        <f t="array" ref="D56">INDEX('Linha 02'!$A$4:$A$1000,B56)</f>
        <v>20050143</v>
      </c>
      <c r="E56" t="str" cm="1">
        <f t="array" ref="E56">INDEX('Linha 02'!$B$4:$B$1000,B56)</f>
        <v>Desinfetante Ito Lavanda Cx/04 X 5l</v>
      </c>
      <c r="F56" cm="1">
        <f t="array" ref="F56">INDEX('Linha 02'!$C$3:$Z$3,C56)</f>
        <v>20050114</v>
      </c>
      <c r="G56" t="str" cm="1">
        <f t="array" ref="G56">INDEX('Linha 02'!$C$2:$Z$2,C56)</f>
        <v>Desinfetante Aquafast Marine Cx/04 X 5l Emb. Economica</v>
      </c>
      <c r="H56" s="5" cm="1">
        <f t="array" ref="H56">INDEX('Linha 02'!$C$4:$ZZ$1000,B56,C56)</f>
        <v>0</v>
      </c>
    </row>
    <row r="57" spans="1:8" x14ac:dyDescent="0.25">
      <c r="A57">
        <v>55</v>
      </c>
      <c r="B57">
        <f t="shared" si="0"/>
        <v>6</v>
      </c>
      <c r="C57">
        <f t="shared" si="1"/>
        <v>5</v>
      </c>
      <c r="D57" cm="1">
        <f t="array" ref="D57">INDEX('Linha 02'!$A$4:$A$1000,B57)</f>
        <v>20050143</v>
      </c>
      <c r="E57" t="str" cm="1">
        <f t="array" ref="E57">INDEX('Linha 02'!$B$4:$B$1000,B57)</f>
        <v>Desinfetante Ito Lavanda Cx/04 X 5l</v>
      </c>
      <c r="F57" cm="1">
        <f t="array" ref="F57">INDEX('Linha 02'!$C$3:$Z$3,C57)</f>
        <v>20050116</v>
      </c>
      <c r="G57" t="str" cm="1">
        <f t="array" ref="G57">INDEX('Linha 02'!$C$2:$Z$2,C57)</f>
        <v>Desinfetante Aquafast Paixao Cx/04 X 5l Emb. Economica</v>
      </c>
      <c r="H57" s="5" cm="1">
        <f t="array" ref="H57">INDEX('Linha 02'!$C$4:$ZZ$1000,B57,C57)</f>
        <v>0</v>
      </c>
    </row>
    <row r="58" spans="1:8" x14ac:dyDescent="0.25">
      <c r="A58">
        <v>56</v>
      </c>
      <c r="B58">
        <f t="shared" si="0"/>
        <v>6</v>
      </c>
      <c r="C58">
        <f t="shared" si="1"/>
        <v>6</v>
      </c>
      <c r="D58" cm="1">
        <f t="array" ref="D58">INDEX('Linha 02'!$A$4:$A$1000,B58)</f>
        <v>20050143</v>
      </c>
      <c r="E58" t="str" cm="1">
        <f t="array" ref="E58">INDEX('Linha 02'!$B$4:$B$1000,B58)</f>
        <v>Desinfetante Ito Lavanda Cx/04 X 5l</v>
      </c>
      <c r="F58" cm="1">
        <f t="array" ref="F58">INDEX('Linha 02'!$C$3:$Z$3,C58)</f>
        <v>20050143</v>
      </c>
      <c r="G58" t="str" cm="1">
        <f t="array" ref="G58">INDEX('Linha 02'!$C$2:$Z$2,C58)</f>
        <v>Desinfetante Ito Lavanda Cx/04 X 5l</v>
      </c>
      <c r="H58" s="5" cm="1">
        <f t="array" ref="H58">INDEX('Linha 02'!$C$4:$ZZ$1000,B58,C58)</f>
        <v>0</v>
      </c>
    </row>
    <row r="59" spans="1:8" x14ac:dyDescent="0.25">
      <c r="A59">
        <v>57</v>
      </c>
      <c r="B59">
        <f t="shared" si="0"/>
        <v>6</v>
      </c>
      <c r="C59">
        <f t="shared" si="1"/>
        <v>7</v>
      </c>
      <c r="D59" cm="1">
        <f t="array" ref="D59">INDEX('Linha 02'!$A$4:$A$1000,B59)</f>
        <v>20050143</v>
      </c>
      <c r="E59" t="str" cm="1">
        <f t="array" ref="E59">INDEX('Linha 02'!$B$4:$B$1000,B59)</f>
        <v>Desinfetante Ito Lavanda Cx/04 X 5l</v>
      </c>
      <c r="F59" cm="1">
        <f t="array" ref="F59">INDEX('Linha 02'!$C$3:$Z$3,C59)</f>
        <v>20050144</v>
      </c>
      <c r="G59" t="str" cm="1">
        <f t="array" ref="G59">INDEX('Linha 02'!$C$2:$Z$2,C59)</f>
        <v>Desinfetante Ito Marine Cx/04 X 5l</v>
      </c>
      <c r="H59" s="5" cm="1">
        <f t="array" ref="H59">INDEX('Linha 02'!$C$4:$ZZ$1000,B59,C59)</f>
        <v>0</v>
      </c>
    </row>
    <row r="60" spans="1:8" x14ac:dyDescent="0.25">
      <c r="A60">
        <v>58</v>
      </c>
      <c r="B60">
        <f t="shared" si="0"/>
        <v>6</v>
      </c>
      <c r="C60">
        <f t="shared" si="1"/>
        <v>8</v>
      </c>
      <c r="D60" cm="1">
        <f t="array" ref="D60">INDEX('Linha 02'!$A$4:$A$1000,B60)</f>
        <v>20050143</v>
      </c>
      <c r="E60" t="str" cm="1">
        <f t="array" ref="E60">INDEX('Linha 02'!$B$4:$B$1000,B60)</f>
        <v>Desinfetante Ito Lavanda Cx/04 X 5l</v>
      </c>
      <c r="F60" cm="1">
        <f t="array" ref="F60">INDEX('Linha 02'!$C$3:$Z$3,C60)</f>
        <v>20050158</v>
      </c>
      <c r="G60" t="str" cm="1">
        <f t="array" ref="G60">INDEX('Linha 02'!$C$2:$Z$2,C60)</f>
        <v>Desinfetante Aquafast Cha Branco Cx/04 X 5l Emb. Econo</v>
      </c>
      <c r="H60" s="5" cm="1">
        <f t="array" ref="H60">INDEX('Linha 02'!$C$4:$ZZ$1000,B60,C60)</f>
        <v>1.3888888888888888E-2</v>
      </c>
    </row>
    <row r="61" spans="1:8" x14ac:dyDescent="0.25">
      <c r="A61">
        <v>59</v>
      </c>
      <c r="B61">
        <f t="shared" si="0"/>
        <v>6</v>
      </c>
      <c r="C61">
        <f t="shared" si="1"/>
        <v>9</v>
      </c>
      <c r="D61" cm="1">
        <f t="array" ref="D61">INDEX('Linha 02'!$A$4:$A$1000,B61)</f>
        <v>20050143</v>
      </c>
      <c r="E61" t="str" cm="1">
        <f t="array" ref="E61">INDEX('Linha 02'!$B$4:$B$1000,B61)</f>
        <v>Desinfetante Ito Lavanda Cx/04 X 5l</v>
      </c>
      <c r="F61" cm="1">
        <f t="array" ref="F61">INDEX('Linha 02'!$C$3:$Z$3,C61)</f>
        <v>20160003</v>
      </c>
      <c r="G61" t="str" cm="1">
        <f t="array" ref="G61">INDEX('Linha 02'!$C$2:$Z$2,C61)</f>
        <v>Alvejante S/ Cloro Aquafast Cx/04 X 5l (Emb Econ)</v>
      </c>
      <c r="H61" s="5" cm="1">
        <f t="array" ref="H61">INDEX('Linha 02'!$C$4:$ZZ$1000,B61,C61)</f>
        <v>0</v>
      </c>
    </row>
    <row r="62" spans="1:8" x14ac:dyDescent="0.25">
      <c r="A62">
        <v>60</v>
      </c>
      <c r="B62">
        <f t="shared" si="0"/>
        <v>6</v>
      </c>
      <c r="C62">
        <f t="shared" si="1"/>
        <v>10</v>
      </c>
      <c r="D62" cm="1">
        <f t="array" ref="D62">INDEX('Linha 02'!$A$4:$A$1000,B62)</f>
        <v>20050143</v>
      </c>
      <c r="E62" t="str" cm="1">
        <f t="array" ref="E62">INDEX('Linha 02'!$B$4:$B$1000,B62)</f>
        <v>Desinfetante Ito Lavanda Cx/04 X 5l</v>
      </c>
      <c r="F62" cm="1">
        <f t="array" ref="F62">INDEX('Linha 02'!$C$3:$Z$3,C62)</f>
        <v>20160005</v>
      </c>
      <c r="G62" t="str" cm="1">
        <f t="array" ref="G62">INDEX('Linha 02'!$C$2:$Z$2,C62)</f>
        <v>Alvejante S/ Cloro Aquafast Cx/04 X 3l</v>
      </c>
      <c r="H62" s="5" cm="1">
        <f t="array" ref="H62">INDEX('Linha 02'!$C$4:$ZZ$1000,B62,C62)</f>
        <v>0</v>
      </c>
    </row>
    <row r="63" spans="1:8" x14ac:dyDescent="0.25">
      <c r="A63">
        <v>61</v>
      </c>
      <c r="B63">
        <f t="shared" si="0"/>
        <v>7</v>
      </c>
      <c r="C63">
        <f t="shared" si="1"/>
        <v>1</v>
      </c>
      <c r="D63" cm="1">
        <f t="array" ref="D63">INDEX('Linha 02'!$A$4:$A$1000,B63)</f>
        <v>20050144</v>
      </c>
      <c r="E63" t="str" cm="1">
        <f t="array" ref="E63">INDEX('Linha 02'!$B$4:$B$1000,B63)</f>
        <v>Desinfetante Ito Marine Cx/04 X 5l</v>
      </c>
      <c r="F63" cm="1">
        <f t="array" ref="F63">INDEX('Linha 02'!$C$3:$Z$3,C63)</f>
        <v>20010003</v>
      </c>
      <c r="G63" t="str" cm="1">
        <f t="array" ref="G63">INDEX('Linha 02'!$C$2:$Z$2,C63)</f>
        <v>Agua Sanitaria Aquafast Cx/04 X 5l</v>
      </c>
      <c r="H63" s="5" cm="1">
        <f t="array" ref="H63">INDEX('Linha 02'!$C$4:$ZZ$1000,B63,C63)</f>
        <v>0</v>
      </c>
    </row>
    <row r="64" spans="1:8" x14ac:dyDescent="0.25">
      <c r="A64">
        <v>62</v>
      </c>
      <c r="B64">
        <f t="shared" si="0"/>
        <v>7</v>
      </c>
      <c r="C64">
        <f t="shared" si="1"/>
        <v>2</v>
      </c>
      <c r="D64" cm="1">
        <f t="array" ref="D64">INDEX('Linha 02'!$A$4:$A$1000,B64)</f>
        <v>20050144</v>
      </c>
      <c r="E64" t="str" cm="1">
        <f t="array" ref="E64">INDEX('Linha 02'!$B$4:$B$1000,B64)</f>
        <v>Desinfetante Ito Marine Cx/04 X 5l</v>
      </c>
      <c r="F64" cm="1">
        <f t="array" ref="F64">INDEX('Linha 02'!$C$3:$Z$3,C64)</f>
        <v>20010011</v>
      </c>
      <c r="G64" t="str" cm="1">
        <f t="array" ref="G64">INDEX('Linha 02'!$C$2:$Z$2,C64)</f>
        <v>Agua Sanitaria Verde Ito Cx/04 X 5l</v>
      </c>
      <c r="H64" s="5" cm="1">
        <f t="array" ref="H64">INDEX('Linha 02'!$C$4:$ZZ$1000,B64,C64)</f>
        <v>0</v>
      </c>
    </row>
    <row r="65" spans="1:8" x14ac:dyDescent="0.25">
      <c r="A65">
        <v>63</v>
      </c>
      <c r="B65">
        <f t="shared" si="0"/>
        <v>7</v>
      </c>
      <c r="C65">
        <f t="shared" si="1"/>
        <v>3</v>
      </c>
      <c r="D65" cm="1">
        <f t="array" ref="D65">INDEX('Linha 02'!$A$4:$A$1000,B65)</f>
        <v>20050144</v>
      </c>
      <c r="E65" t="str" cm="1">
        <f t="array" ref="E65">INDEX('Linha 02'!$B$4:$B$1000,B65)</f>
        <v>Desinfetante Ito Marine Cx/04 X 5l</v>
      </c>
      <c r="F65" cm="1">
        <f t="array" ref="F65">INDEX('Linha 02'!$C$3:$Z$3,C65)</f>
        <v>20050113</v>
      </c>
      <c r="G65" t="str" cm="1">
        <f t="array" ref="G65">INDEX('Linha 02'!$C$2:$Z$2,C65)</f>
        <v>Desinfetante Aquafast Campos Lavanda Cx/04 5l Emb. Econ</v>
      </c>
      <c r="H65" s="5" cm="1">
        <f t="array" ref="H65">INDEX('Linha 02'!$C$4:$ZZ$1000,B65,C65)</f>
        <v>0</v>
      </c>
    </row>
    <row r="66" spans="1:8" x14ac:dyDescent="0.25">
      <c r="A66">
        <v>64</v>
      </c>
      <c r="B66">
        <f t="shared" si="0"/>
        <v>7</v>
      </c>
      <c r="C66">
        <f t="shared" si="1"/>
        <v>4</v>
      </c>
      <c r="D66" cm="1">
        <f t="array" ref="D66">INDEX('Linha 02'!$A$4:$A$1000,B66)</f>
        <v>20050144</v>
      </c>
      <c r="E66" t="str" cm="1">
        <f t="array" ref="E66">INDEX('Linha 02'!$B$4:$B$1000,B66)</f>
        <v>Desinfetante Ito Marine Cx/04 X 5l</v>
      </c>
      <c r="F66" cm="1">
        <f t="array" ref="F66">INDEX('Linha 02'!$C$3:$Z$3,C66)</f>
        <v>20050114</v>
      </c>
      <c r="G66" t="str" cm="1">
        <f t="array" ref="G66">INDEX('Linha 02'!$C$2:$Z$2,C66)</f>
        <v>Desinfetante Aquafast Marine Cx/04 X 5l Emb. Economica</v>
      </c>
      <c r="H66" s="5" cm="1">
        <f t="array" ref="H66">INDEX('Linha 02'!$C$4:$ZZ$1000,B66,C66)</f>
        <v>0</v>
      </c>
    </row>
    <row r="67" spans="1:8" x14ac:dyDescent="0.25">
      <c r="A67">
        <v>65</v>
      </c>
      <c r="B67">
        <f t="shared" si="0"/>
        <v>7</v>
      </c>
      <c r="C67">
        <f t="shared" si="1"/>
        <v>5</v>
      </c>
      <c r="D67" cm="1">
        <f t="array" ref="D67">INDEX('Linha 02'!$A$4:$A$1000,B67)</f>
        <v>20050144</v>
      </c>
      <c r="E67" t="str" cm="1">
        <f t="array" ref="E67">INDEX('Linha 02'!$B$4:$B$1000,B67)</f>
        <v>Desinfetante Ito Marine Cx/04 X 5l</v>
      </c>
      <c r="F67" cm="1">
        <f t="array" ref="F67">INDEX('Linha 02'!$C$3:$Z$3,C67)</f>
        <v>20050116</v>
      </c>
      <c r="G67" t="str" cm="1">
        <f t="array" ref="G67">INDEX('Linha 02'!$C$2:$Z$2,C67)</f>
        <v>Desinfetante Aquafast Paixao Cx/04 X 5l Emb. Economica</v>
      </c>
      <c r="H67" s="5" cm="1">
        <f t="array" ref="H67">INDEX('Linha 02'!$C$4:$ZZ$1000,B67,C67)</f>
        <v>0</v>
      </c>
    </row>
    <row r="68" spans="1:8" x14ac:dyDescent="0.25">
      <c r="A68">
        <v>66</v>
      </c>
      <c r="B68">
        <f t="shared" ref="B68:B102" si="2">INT((A68-1)/$B$1)+1</f>
        <v>7</v>
      </c>
      <c r="C68">
        <f t="shared" ref="C68:C102" si="3">MOD(A68-1,$B$1)+1</f>
        <v>6</v>
      </c>
      <c r="D68" cm="1">
        <f t="array" ref="D68">INDEX('Linha 02'!$A$4:$A$1000,B68)</f>
        <v>20050144</v>
      </c>
      <c r="E68" t="str" cm="1">
        <f t="array" ref="E68">INDEX('Linha 02'!$B$4:$B$1000,B68)</f>
        <v>Desinfetante Ito Marine Cx/04 X 5l</v>
      </c>
      <c r="F68" cm="1">
        <f t="array" ref="F68">INDEX('Linha 02'!$C$3:$Z$3,C68)</f>
        <v>20050143</v>
      </c>
      <c r="G68" t="str" cm="1">
        <f t="array" ref="G68">INDEX('Linha 02'!$C$2:$Z$2,C68)</f>
        <v>Desinfetante Ito Lavanda Cx/04 X 5l</v>
      </c>
      <c r="H68" s="5" cm="1">
        <f t="array" ref="H68">INDEX('Linha 02'!$C$4:$ZZ$1000,B68,C68)</f>
        <v>0</v>
      </c>
    </row>
    <row r="69" spans="1:8" x14ac:dyDescent="0.25">
      <c r="A69">
        <v>67</v>
      </c>
      <c r="B69">
        <f t="shared" si="2"/>
        <v>7</v>
      </c>
      <c r="C69">
        <f t="shared" si="3"/>
        <v>7</v>
      </c>
      <c r="D69" cm="1">
        <f t="array" ref="D69">INDEX('Linha 02'!$A$4:$A$1000,B69)</f>
        <v>20050144</v>
      </c>
      <c r="E69" t="str" cm="1">
        <f t="array" ref="E69">INDEX('Linha 02'!$B$4:$B$1000,B69)</f>
        <v>Desinfetante Ito Marine Cx/04 X 5l</v>
      </c>
      <c r="F69" cm="1">
        <f t="array" ref="F69">INDEX('Linha 02'!$C$3:$Z$3,C69)</f>
        <v>20050144</v>
      </c>
      <c r="G69" t="str" cm="1">
        <f t="array" ref="G69">INDEX('Linha 02'!$C$2:$Z$2,C69)</f>
        <v>Desinfetante Ito Marine Cx/04 X 5l</v>
      </c>
      <c r="H69" s="5" cm="1">
        <f t="array" ref="H69">INDEX('Linha 02'!$C$4:$ZZ$1000,B69,C69)</f>
        <v>0</v>
      </c>
    </row>
    <row r="70" spans="1:8" x14ac:dyDescent="0.25">
      <c r="A70">
        <v>68</v>
      </c>
      <c r="B70">
        <f t="shared" si="2"/>
        <v>7</v>
      </c>
      <c r="C70">
        <f t="shared" si="3"/>
        <v>8</v>
      </c>
      <c r="D70" cm="1">
        <f t="array" ref="D70">INDEX('Linha 02'!$A$4:$A$1000,B70)</f>
        <v>20050144</v>
      </c>
      <c r="E70" t="str" cm="1">
        <f t="array" ref="E70">INDEX('Linha 02'!$B$4:$B$1000,B70)</f>
        <v>Desinfetante Ito Marine Cx/04 X 5l</v>
      </c>
      <c r="F70" cm="1">
        <f t="array" ref="F70">INDEX('Linha 02'!$C$3:$Z$3,C70)</f>
        <v>20050158</v>
      </c>
      <c r="G70" t="str" cm="1">
        <f t="array" ref="G70">INDEX('Linha 02'!$C$2:$Z$2,C70)</f>
        <v>Desinfetante Aquafast Cha Branco Cx/04 X 5l Emb. Econo</v>
      </c>
      <c r="H70" s="5" cm="1">
        <f t="array" ref="H70">INDEX('Linha 02'!$C$4:$ZZ$1000,B70,C70)</f>
        <v>1.3888888888888888E-2</v>
      </c>
    </row>
    <row r="71" spans="1:8" x14ac:dyDescent="0.25">
      <c r="A71">
        <v>69</v>
      </c>
      <c r="B71">
        <f t="shared" si="2"/>
        <v>7</v>
      </c>
      <c r="C71">
        <f t="shared" si="3"/>
        <v>9</v>
      </c>
      <c r="D71" cm="1">
        <f t="array" ref="D71">INDEX('Linha 02'!$A$4:$A$1000,B71)</f>
        <v>20050144</v>
      </c>
      <c r="E71" t="str" cm="1">
        <f t="array" ref="E71">INDEX('Linha 02'!$B$4:$B$1000,B71)</f>
        <v>Desinfetante Ito Marine Cx/04 X 5l</v>
      </c>
      <c r="F71" cm="1">
        <f t="array" ref="F71">INDEX('Linha 02'!$C$3:$Z$3,C71)</f>
        <v>20160003</v>
      </c>
      <c r="G71" t="str" cm="1">
        <f t="array" ref="G71">INDEX('Linha 02'!$C$2:$Z$2,C71)</f>
        <v>Alvejante S/ Cloro Aquafast Cx/04 X 5l (Emb Econ)</v>
      </c>
      <c r="H71" s="5" cm="1">
        <f t="array" ref="H71">INDEX('Linha 02'!$C$4:$ZZ$1000,B71,C71)</f>
        <v>0</v>
      </c>
    </row>
    <row r="72" spans="1:8" x14ac:dyDescent="0.25">
      <c r="A72">
        <v>70</v>
      </c>
      <c r="B72">
        <f t="shared" si="2"/>
        <v>7</v>
      </c>
      <c r="C72">
        <f t="shared" si="3"/>
        <v>10</v>
      </c>
      <c r="D72" cm="1">
        <f t="array" ref="D72">INDEX('Linha 02'!$A$4:$A$1000,B72)</f>
        <v>20050144</v>
      </c>
      <c r="E72" t="str" cm="1">
        <f t="array" ref="E72">INDEX('Linha 02'!$B$4:$B$1000,B72)</f>
        <v>Desinfetante Ito Marine Cx/04 X 5l</v>
      </c>
      <c r="F72" cm="1">
        <f t="array" ref="F72">INDEX('Linha 02'!$C$3:$Z$3,C72)</f>
        <v>20160005</v>
      </c>
      <c r="G72" t="str" cm="1">
        <f t="array" ref="G72">INDEX('Linha 02'!$C$2:$Z$2,C72)</f>
        <v>Alvejante S/ Cloro Aquafast Cx/04 X 3l</v>
      </c>
      <c r="H72" s="5" cm="1">
        <f t="array" ref="H72">INDEX('Linha 02'!$C$4:$ZZ$1000,B72,C72)</f>
        <v>0</v>
      </c>
    </row>
    <row r="73" spans="1:8" x14ac:dyDescent="0.25">
      <c r="A73">
        <v>71</v>
      </c>
      <c r="B73">
        <f t="shared" si="2"/>
        <v>8</v>
      </c>
      <c r="C73">
        <f t="shared" si="3"/>
        <v>1</v>
      </c>
      <c r="D73" cm="1">
        <f t="array" ref="D73">INDEX('Linha 02'!$A$4:$A$1000,B73)</f>
        <v>20050158</v>
      </c>
      <c r="E73" t="str" cm="1">
        <f t="array" ref="E73">INDEX('Linha 02'!$B$4:$B$1000,B73)</f>
        <v>Desinfetante Aquafast Cha Branco Cx/04 X 5l Emb. Econo</v>
      </c>
      <c r="F73" cm="1">
        <f t="array" ref="F73">INDEX('Linha 02'!$C$3:$Z$3,C73)</f>
        <v>20010003</v>
      </c>
      <c r="G73" t="str" cm="1">
        <f t="array" ref="G73">INDEX('Linha 02'!$C$2:$Z$2,C73)</f>
        <v>Agua Sanitaria Aquafast Cx/04 X 5l</v>
      </c>
      <c r="H73" s="5" cm="1">
        <f t="array" ref="H73">INDEX('Linha 02'!$C$4:$ZZ$1000,B73,C73)</f>
        <v>0</v>
      </c>
    </row>
    <row r="74" spans="1:8" x14ac:dyDescent="0.25">
      <c r="A74">
        <v>72</v>
      </c>
      <c r="B74">
        <f t="shared" si="2"/>
        <v>8</v>
      </c>
      <c r="C74">
        <f t="shared" si="3"/>
        <v>2</v>
      </c>
      <c r="D74" cm="1">
        <f t="array" ref="D74">INDEX('Linha 02'!$A$4:$A$1000,B74)</f>
        <v>20050158</v>
      </c>
      <c r="E74" t="str" cm="1">
        <f t="array" ref="E74">INDEX('Linha 02'!$B$4:$B$1000,B74)</f>
        <v>Desinfetante Aquafast Cha Branco Cx/04 X 5l Emb. Econo</v>
      </c>
      <c r="F74" cm="1">
        <f t="array" ref="F74">INDEX('Linha 02'!$C$3:$Z$3,C74)</f>
        <v>20010011</v>
      </c>
      <c r="G74" t="str" cm="1">
        <f t="array" ref="G74">INDEX('Linha 02'!$C$2:$Z$2,C74)</f>
        <v>Agua Sanitaria Verde Ito Cx/04 X 5l</v>
      </c>
      <c r="H74" s="5" cm="1">
        <f t="array" ref="H74">INDEX('Linha 02'!$C$4:$ZZ$1000,B74,C74)</f>
        <v>0</v>
      </c>
    </row>
    <row r="75" spans="1:8" x14ac:dyDescent="0.25">
      <c r="A75">
        <v>73</v>
      </c>
      <c r="B75">
        <f t="shared" si="2"/>
        <v>8</v>
      </c>
      <c r="C75">
        <f t="shared" si="3"/>
        <v>3</v>
      </c>
      <c r="D75" cm="1">
        <f t="array" ref="D75">INDEX('Linha 02'!$A$4:$A$1000,B75)</f>
        <v>20050158</v>
      </c>
      <c r="E75" t="str" cm="1">
        <f t="array" ref="E75">INDEX('Linha 02'!$B$4:$B$1000,B75)</f>
        <v>Desinfetante Aquafast Cha Branco Cx/04 X 5l Emb. Econo</v>
      </c>
      <c r="F75" cm="1">
        <f t="array" ref="F75">INDEX('Linha 02'!$C$3:$Z$3,C75)</f>
        <v>20050113</v>
      </c>
      <c r="G75" t="str" cm="1">
        <f t="array" ref="G75">INDEX('Linha 02'!$C$2:$Z$2,C75)</f>
        <v>Desinfetante Aquafast Campos Lavanda Cx/04 5l Emb. Econ</v>
      </c>
      <c r="H75" s="5" cm="1">
        <f t="array" ref="H75">INDEX('Linha 02'!$C$4:$ZZ$1000,B75,C75)</f>
        <v>0</v>
      </c>
    </row>
    <row r="76" spans="1:8" x14ac:dyDescent="0.25">
      <c r="A76">
        <v>74</v>
      </c>
      <c r="B76">
        <f t="shared" si="2"/>
        <v>8</v>
      </c>
      <c r="C76">
        <f t="shared" si="3"/>
        <v>4</v>
      </c>
      <c r="D76" cm="1">
        <f t="array" ref="D76">INDEX('Linha 02'!$A$4:$A$1000,B76)</f>
        <v>20050158</v>
      </c>
      <c r="E76" t="str" cm="1">
        <f t="array" ref="E76">INDEX('Linha 02'!$B$4:$B$1000,B76)</f>
        <v>Desinfetante Aquafast Cha Branco Cx/04 X 5l Emb. Econo</v>
      </c>
      <c r="F76" cm="1">
        <f t="array" ref="F76">INDEX('Linha 02'!$C$3:$Z$3,C76)</f>
        <v>20050114</v>
      </c>
      <c r="G76" t="str" cm="1">
        <f t="array" ref="G76">INDEX('Linha 02'!$C$2:$Z$2,C76)</f>
        <v>Desinfetante Aquafast Marine Cx/04 X 5l Emb. Economica</v>
      </c>
      <c r="H76" s="5" cm="1">
        <f t="array" ref="H76">INDEX('Linha 02'!$C$4:$ZZ$1000,B76,C76)</f>
        <v>0</v>
      </c>
    </row>
    <row r="77" spans="1:8" x14ac:dyDescent="0.25">
      <c r="A77">
        <v>75</v>
      </c>
      <c r="B77">
        <f t="shared" si="2"/>
        <v>8</v>
      </c>
      <c r="C77">
        <f t="shared" si="3"/>
        <v>5</v>
      </c>
      <c r="D77" cm="1">
        <f t="array" ref="D77">INDEX('Linha 02'!$A$4:$A$1000,B77)</f>
        <v>20050158</v>
      </c>
      <c r="E77" t="str" cm="1">
        <f t="array" ref="E77">INDEX('Linha 02'!$B$4:$B$1000,B77)</f>
        <v>Desinfetante Aquafast Cha Branco Cx/04 X 5l Emb. Econo</v>
      </c>
      <c r="F77" cm="1">
        <f t="array" ref="F77">INDEX('Linha 02'!$C$3:$Z$3,C77)</f>
        <v>20050116</v>
      </c>
      <c r="G77" t="str" cm="1">
        <f t="array" ref="G77">INDEX('Linha 02'!$C$2:$Z$2,C77)</f>
        <v>Desinfetante Aquafast Paixao Cx/04 X 5l Emb. Economica</v>
      </c>
      <c r="H77" s="5" cm="1">
        <f t="array" ref="H77">INDEX('Linha 02'!$C$4:$ZZ$1000,B77,C77)</f>
        <v>0</v>
      </c>
    </row>
    <row r="78" spans="1:8" x14ac:dyDescent="0.25">
      <c r="A78">
        <v>76</v>
      </c>
      <c r="B78">
        <f t="shared" si="2"/>
        <v>8</v>
      </c>
      <c r="C78">
        <f t="shared" si="3"/>
        <v>6</v>
      </c>
      <c r="D78" cm="1">
        <f t="array" ref="D78">INDEX('Linha 02'!$A$4:$A$1000,B78)</f>
        <v>20050158</v>
      </c>
      <c r="E78" t="str" cm="1">
        <f t="array" ref="E78">INDEX('Linha 02'!$B$4:$B$1000,B78)</f>
        <v>Desinfetante Aquafast Cha Branco Cx/04 X 5l Emb. Econo</v>
      </c>
      <c r="F78" cm="1">
        <f t="array" ref="F78">INDEX('Linha 02'!$C$3:$Z$3,C78)</f>
        <v>20050143</v>
      </c>
      <c r="G78" t="str" cm="1">
        <f t="array" ref="G78">INDEX('Linha 02'!$C$2:$Z$2,C78)</f>
        <v>Desinfetante Ito Lavanda Cx/04 X 5l</v>
      </c>
      <c r="H78" s="5" cm="1">
        <f t="array" ref="H78">INDEX('Linha 02'!$C$4:$ZZ$1000,B78,C78)</f>
        <v>0</v>
      </c>
    </row>
    <row r="79" spans="1:8" x14ac:dyDescent="0.25">
      <c r="A79">
        <v>77</v>
      </c>
      <c r="B79">
        <f t="shared" si="2"/>
        <v>8</v>
      </c>
      <c r="C79">
        <f t="shared" si="3"/>
        <v>7</v>
      </c>
      <c r="D79" cm="1">
        <f t="array" ref="D79">INDEX('Linha 02'!$A$4:$A$1000,B79)</f>
        <v>20050158</v>
      </c>
      <c r="E79" t="str" cm="1">
        <f t="array" ref="E79">INDEX('Linha 02'!$B$4:$B$1000,B79)</f>
        <v>Desinfetante Aquafast Cha Branco Cx/04 X 5l Emb. Econo</v>
      </c>
      <c r="F79" cm="1">
        <f t="array" ref="F79">INDEX('Linha 02'!$C$3:$Z$3,C79)</f>
        <v>20050144</v>
      </c>
      <c r="G79" t="str" cm="1">
        <f t="array" ref="G79">INDEX('Linha 02'!$C$2:$Z$2,C79)</f>
        <v>Desinfetante Ito Marine Cx/04 X 5l</v>
      </c>
      <c r="H79" s="5" cm="1">
        <f t="array" ref="H79">INDEX('Linha 02'!$C$4:$ZZ$1000,B79,C79)</f>
        <v>0</v>
      </c>
    </row>
    <row r="80" spans="1:8" x14ac:dyDescent="0.25">
      <c r="A80">
        <v>78</v>
      </c>
      <c r="B80">
        <f t="shared" si="2"/>
        <v>8</v>
      </c>
      <c r="C80">
        <f t="shared" si="3"/>
        <v>8</v>
      </c>
      <c r="D80" cm="1">
        <f t="array" ref="D80">INDEX('Linha 02'!$A$4:$A$1000,B80)</f>
        <v>20050158</v>
      </c>
      <c r="E80" t="str" cm="1">
        <f t="array" ref="E80">INDEX('Linha 02'!$B$4:$B$1000,B80)</f>
        <v>Desinfetante Aquafast Cha Branco Cx/04 X 5l Emb. Econo</v>
      </c>
      <c r="F80" cm="1">
        <f t="array" ref="F80">INDEX('Linha 02'!$C$3:$Z$3,C80)</f>
        <v>20050158</v>
      </c>
      <c r="G80" t="str" cm="1">
        <f t="array" ref="G80">INDEX('Linha 02'!$C$2:$Z$2,C80)</f>
        <v>Desinfetante Aquafast Cha Branco Cx/04 X 5l Emb. Econo</v>
      </c>
      <c r="H80" s="5" cm="1">
        <f t="array" ref="H80">INDEX('Linha 02'!$C$4:$ZZ$1000,B80,C80)</f>
        <v>0</v>
      </c>
    </row>
    <row r="81" spans="1:8" x14ac:dyDescent="0.25">
      <c r="A81">
        <v>79</v>
      </c>
      <c r="B81">
        <f t="shared" si="2"/>
        <v>8</v>
      </c>
      <c r="C81">
        <f t="shared" si="3"/>
        <v>9</v>
      </c>
      <c r="D81" cm="1">
        <f t="array" ref="D81">INDEX('Linha 02'!$A$4:$A$1000,B81)</f>
        <v>20050158</v>
      </c>
      <c r="E81" t="str" cm="1">
        <f t="array" ref="E81">INDEX('Linha 02'!$B$4:$B$1000,B81)</f>
        <v>Desinfetante Aquafast Cha Branco Cx/04 X 5l Emb. Econo</v>
      </c>
      <c r="F81" cm="1">
        <f t="array" ref="F81">INDEX('Linha 02'!$C$3:$Z$3,C81)</f>
        <v>20160003</v>
      </c>
      <c r="G81" t="str" cm="1">
        <f t="array" ref="G81">INDEX('Linha 02'!$C$2:$Z$2,C81)</f>
        <v>Alvejante S/ Cloro Aquafast Cx/04 X 5l (Emb Econ)</v>
      </c>
      <c r="H81" s="5" cm="1">
        <f t="array" ref="H81">INDEX('Linha 02'!$C$4:$ZZ$1000,B81,C81)</f>
        <v>0</v>
      </c>
    </row>
    <row r="82" spans="1:8" x14ac:dyDescent="0.25">
      <c r="A82">
        <v>80</v>
      </c>
      <c r="B82">
        <f t="shared" si="2"/>
        <v>8</v>
      </c>
      <c r="C82">
        <f t="shared" si="3"/>
        <v>10</v>
      </c>
      <c r="D82" cm="1">
        <f t="array" ref="D82">INDEX('Linha 02'!$A$4:$A$1000,B82)</f>
        <v>20050158</v>
      </c>
      <c r="E82" t="str" cm="1">
        <f t="array" ref="E82">INDEX('Linha 02'!$B$4:$B$1000,B82)</f>
        <v>Desinfetante Aquafast Cha Branco Cx/04 X 5l Emb. Econo</v>
      </c>
      <c r="F82" cm="1">
        <f t="array" ref="F82">INDEX('Linha 02'!$C$3:$Z$3,C82)</f>
        <v>20160005</v>
      </c>
      <c r="G82" t="str" cm="1">
        <f t="array" ref="G82">INDEX('Linha 02'!$C$2:$Z$2,C82)</f>
        <v>Alvejante S/ Cloro Aquafast Cx/04 X 3l</v>
      </c>
      <c r="H82" s="5" cm="1">
        <f t="array" ref="H82">INDEX('Linha 02'!$C$4:$ZZ$1000,B82,C82)</f>
        <v>0</v>
      </c>
    </row>
    <row r="83" spans="1:8" x14ac:dyDescent="0.25">
      <c r="A83">
        <v>81</v>
      </c>
      <c r="B83">
        <f t="shared" si="2"/>
        <v>9</v>
      </c>
      <c r="C83">
        <f t="shared" si="3"/>
        <v>1</v>
      </c>
      <c r="D83" cm="1">
        <f t="array" ref="D83">INDEX('Linha 02'!$A$4:$A$1000,B83)</f>
        <v>20160003</v>
      </c>
      <c r="E83" t="str" cm="1">
        <f t="array" ref="E83">INDEX('Linha 02'!$B$4:$B$1000,B83)</f>
        <v>Alvejante S/ Cloro Aquafast Cx/04 X 5l (Emb Econ)</v>
      </c>
      <c r="F83" cm="1">
        <f t="array" ref="F83">INDEX('Linha 02'!$C$3:$Z$3,C83)</f>
        <v>20010003</v>
      </c>
      <c r="G83" t="str" cm="1">
        <f t="array" ref="G83">INDEX('Linha 02'!$C$2:$Z$2,C83)</f>
        <v>Agua Sanitaria Aquafast Cx/04 X 5l</v>
      </c>
      <c r="H83" s="5" cm="1">
        <f t="array" ref="H83">INDEX('Linha 02'!$C$4:$ZZ$1000,B83,C83)</f>
        <v>6.9444444444444441E-3</v>
      </c>
    </row>
    <row r="84" spans="1:8" x14ac:dyDescent="0.25">
      <c r="A84">
        <v>82</v>
      </c>
      <c r="B84">
        <f t="shared" si="2"/>
        <v>9</v>
      </c>
      <c r="C84">
        <f t="shared" si="3"/>
        <v>2</v>
      </c>
      <c r="D84" cm="1">
        <f t="array" ref="D84">INDEX('Linha 02'!$A$4:$A$1000,B84)</f>
        <v>20160003</v>
      </c>
      <c r="E84" t="str" cm="1">
        <f t="array" ref="E84">INDEX('Linha 02'!$B$4:$B$1000,B84)</f>
        <v>Alvejante S/ Cloro Aquafast Cx/04 X 5l (Emb Econ)</v>
      </c>
      <c r="F84" cm="1">
        <f t="array" ref="F84">INDEX('Linha 02'!$C$3:$Z$3,C84)</f>
        <v>20010011</v>
      </c>
      <c r="G84" t="str" cm="1">
        <f t="array" ref="G84">INDEX('Linha 02'!$C$2:$Z$2,C84)</f>
        <v>Agua Sanitaria Verde Ito Cx/04 X 5l</v>
      </c>
      <c r="H84" s="5" cm="1">
        <f t="array" ref="H84">INDEX('Linha 02'!$C$4:$ZZ$1000,B84,C84)</f>
        <v>0</v>
      </c>
    </row>
    <row r="85" spans="1:8" x14ac:dyDescent="0.25">
      <c r="A85">
        <v>83</v>
      </c>
      <c r="B85">
        <f t="shared" si="2"/>
        <v>9</v>
      </c>
      <c r="C85">
        <f t="shared" si="3"/>
        <v>3</v>
      </c>
      <c r="D85" cm="1">
        <f t="array" ref="D85">INDEX('Linha 02'!$A$4:$A$1000,B85)</f>
        <v>20160003</v>
      </c>
      <c r="E85" t="str" cm="1">
        <f t="array" ref="E85">INDEX('Linha 02'!$B$4:$B$1000,B85)</f>
        <v>Alvejante S/ Cloro Aquafast Cx/04 X 5l (Emb Econ)</v>
      </c>
      <c r="F85" cm="1">
        <f t="array" ref="F85">INDEX('Linha 02'!$C$3:$Z$3,C85)</f>
        <v>20050113</v>
      </c>
      <c r="G85" t="str" cm="1">
        <f t="array" ref="G85">INDEX('Linha 02'!$C$2:$Z$2,C85)</f>
        <v>Desinfetante Aquafast Campos Lavanda Cx/04 5l Emb. Econ</v>
      </c>
      <c r="H85" s="5" cm="1">
        <f t="array" ref="H85">INDEX('Linha 02'!$C$4:$ZZ$1000,B85,C85)</f>
        <v>6.9444444444444441E-3</v>
      </c>
    </row>
    <row r="86" spans="1:8" x14ac:dyDescent="0.25">
      <c r="A86">
        <v>84</v>
      </c>
      <c r="B86">
        <f t="shared" si="2"/>
        <v>9</v>
      </c>
      <c r="C86">
        <f t="shared" si="3"/>
        <v>4</v>
      </c>
      <c r="D86" cm="1">
        <f t="array" ref="D86">INDEX('Linha 02'!$A$4:$A$1000,B86)</f>
        <v>20160003</v>
      </c>
      <c r="E86" t="str" cm="1">
        <f t="array" ref="E86">INDEX('Linha 02'!$B$4:$B$1000,B86)</f>
        <v>Alvejante S/ Cloro Aquafast Cx/04 X 5l (Emb Econ)</v>
      </c>
      <c r="F86" cm="1">
        <f t="array" ref="F86">INDEX('Linha 02'!$C$3:$Z$3,C86)</f>
        <v>20050114</v>
      </c>
      <c r="G86" t="str" cm="1">
        <f t="array" ref="G86">INDEX('Linha 02'!$C$2:$Z$2,C86)</f>
        <v>Desinfetante Aquafast Marine Cx/04 X 5l Emb. Economica</v>
      </c>
      <c r="H86" s="5" cm="1">
        <f t="array" ref="H86">INDEX('Linha 02'!$C$4:$ZZ$1000,B86,C86)</f>
        <v>0</v>
      </c>
    </row>
    <row r="87" spans="1:8" x14ac:dyDescent="0.25">
      <c r="A87">
        <v>85</v>
      </c>
      <c r="B87">
        <f t="shared" si="2"/>
        <v>9</v>
      </c>
      <c r="C87">
        <f t="shared" si="3"/>
        <v>5</v>
      </c>
      <c r="D87" cm="1">
        <f t="array" ref="D87">INDEX('Linha 02'!$A$4:$A$1000,B87)</f>
        <v>20160003</v>
      </c>
      <c r="E87" t="str" cm="1">
        <f t="array" ref="E87">INDEX('Linha 02'!$B$4:$B$1000,B87)</f>
        <v>Alvejante S/ Cloro Aquafast Cx/04 X 5l (Emb Econ)</v>
      </c>
      <c r="F87" cm="1">
        <f t="array" ref="F87">INDEX('Linha 02'!$C$3:$Z$3,C87)</f>
        <v>20050116</v>
      </c>
      <c r="G87" t="str" cm="1">
        <f t="array" ref="G87">INDEX('Linha 02'!$C$2:$Z$2,C87)</f>
        <v>Desinfetante Aquafast Paixao Cx/04 X 5l Emb. Economica</v>
      </c>
      <c r="H87" s="5" cm="1">
        <f t="array" ref="H87">INDEX('Linha 02'!$C$4:$ZZ$1000,B87,C87)</f>
        <v>0</v>
      </c>
    </row>
    <row r="88" spans="1:8" x14ac:dyDescent="0.25">
      <c r="A88">
        <v>86</v>
      </c>
      <c r="B88">
        <f t="shared" si="2"/>
        <v>9</v>
      </c>
      <c r="C88">
        <f t="shared" si="3"/>
        <v>6</v>
      </c>
      <c r="D88" cm="1">
        <f t="array" ref="D88">INDEX('Linha 02'!$A$4:$A$1000,B88)</f>
        <v>20160003</v>
      </c>
      <c r="E88" t="str" cm="1">
        <f t="array" ref="E88">INDEX('Linha 02'!$B$4:$B$1000,B88)</f>
        <v>Alvejante S/ Cloro Aquafast Cx/04 X 5l (Emb Econ)</v>
      </c>
      <c r="F88" cm="1">
        <f t="array" ref="F88">INDEX('Linha 02'!$C$3:$Z$3,C88)</f>
        <v>20050143</v>
      </c>
      <c r="G88" t="str" cm="1">
        <f t="array" ref="G88">INDEX('Linha 02'!$C$2:$Z$2,C88)</f>
        <v>Desinfetante Ito Lavanda Cx/04 X 5l</v>
      </c>
      <c r="H88" s="5" cm="1">
        <f t="array" ref="H88">INDEX('Linha 02'!$C$4:$ZZ$1000,B88,C88)</f>
        <v>0</v>
      </c>
    </row>
    <row r="89" spans="1:8" x14ac:dyDescent="0.25">
      <c r="A89">
        <v>87</v>
      </c>
      <c r="B89">
        <f t="shared" si="2"/>
        <v>9</v>
      </c>
      <c r="C89">
        <f t="shared" si="3"/>
        <v>7</v>
      </c>
      <c r="D89" cm="1">
        <f t="array" ref="D89">INDEX('Linha 02'!$A$4:$A$1000,B89)</f>
        <v>20160003</v>
      </c>
      <c r="E89" t="str" cm="1">
        <f t="array" ref="E89">INDEX('Linha 02'!$B$4:$B$1000,B89)</f>
        <v>Alvejante S/ Cloro Aquafast Cx/04 X 5l (Emb Econ)</v>
      </c>
      <c r="F89" cm="1">
        <f t="array" ref="F89">INDEX('Linha 02'!$C$3:$Z$3,C89)</f>
        <v>20050144</v>
      </c>
      <c r="G89" t="str" cm="1">
        <f t="array" ref="G89">INDEX('Linha 02'!$C$2:$Z$2,C89)</f>
        <v>Desinfetante Ito Marine Cx/04 X 5l</v>
      </c>
      <c r="H89" s="5" cm="1">
        <f t="array" ref="H89">INDEX('Linha 02'!$C$4:$ZZ$1000,B89,C89)</f>
        <v>0</v>
      </c>
    </row>
    <row r="90" spans="1:8" x14ac:dyDescent="0.25">
      <c r="A90">
        <v>88</v>
      </c>
      <c r="B90">
        <f t="shared" si="2"/>
        <v>9</v>
      </c>
      <c r="C90">
        <f t="shared" si="3"/>
        <v>8</v>
      </c>
      <c r="D90" cm="1">
        <f t="array" ref="D90">INDEX('Linha 02'!$A$4:$A$1000,B90)</f>
        <v>20160003</v>
      </c>
      <c r="E90" t="str" cm="1">
        <f t="array" ref="E90">INDEX('Linha 02'!$B$4:$B$1000,B90)</f>
        <v>Alvejante S/ Cloro Aquafast Cx/04 X 5l (Emb Econ)</v>
      </c>
      <c r="F90" cm="1">
        <f t="array" ref="F90">INDEX('Linha 02'!$C$3:$Z$3,C90)</f>
        <v>20050158</v>
      </c>
      <c r="G90" t="str" cm="1">
        <f t="array" ref="G90">INDEX('Linha 02'!$C$2:$Z$2,C90)</f>
        <v>Desinfetante Aquafast Cha Branco Cx/04 X 5l Emb. Econo</v>
      </c>
      <c r="H90" s="5" cm="1">
        <f t="array" ref="H90">INDEX('Linha 02'!$C$4:$ZZ$1000,B90,C90)</f>
        <v>1.3888888888888888E-2</v>
      </c>
    </row>
    <row r="91" spans="1:8" x14ac:dyDescent="0.25">
      <c r="A91">
        <v>89</v>
      </c>
      <c r="B91">
        <f t="shared" si="2"/>
        <v>9</v>
      </c>
      <c r="C91">
        <f t="shared" si="3"/>
        <v>9</v>
      </c>
      <c r="D91" cm="1">
        <f t="array" ref="D91">INDEX('Linha 02'!$A$4:$A$1000,B91)</f>
        <v>20160003</v>
      </c>
      <c r="E91" t="str" cm="1">
        <f t="array" ref="E91">INDEX('Linha 02'!$B$4:$B$1000,B91)</f>
        <v>Alvejante S/ Cloro Aquafast Cx/04 X 5l (Emb Econ)</v>
      </c>
      <c r="F91" cm="1">
        <f t="array" ref="F91">INDEX('Linha 02'!$C$3:$Z$3,C91)</f>
        <v>20160003</v>
      </c>
      <c r="G91" t="str" cm="1">
        <f t="array" ref="G91">INDEX('Linha 02'!$C$2:$Z$2,C91)</f>
        <v>Alvejante S/ Cloro Aquafast Cx/04 X 5l (Emb Econ)</v>
      </c>
      <c r="H91" s="5" cm="1">
        <f t="array" ref="H91">INDEX('Linha 02'!$C$4:$ZZ$1000,B91,C91)</f>
        <v>0</v>
      </c>
    </row>
    <row r="92" spans="1:8" x14ac:dyDescent="0.25">
      <c r="A92">
        <v>90</v>
      </c>
      <c r="B92">
        <f t="shared" si="2"/>
        <v>9</v>
      </c>
      <c r="C92">
        <f t="shared" si="3"/>
        <v>10</v>
      </c>
      <c r="D92" cm="1">
        <f t="array" ref="D92">INDEX('Linha 02'!$A$4:$A$1000,B92)</f>
        <v>20160003</v>
      </c>
      <c r="E92" t="str" cm="1">
        <f t="array" ref="E92">INDEX('Linha 02'!$B$4:$B$1000,B92)</f>
        <v>Alvejante S/ Cloro Aquafast Cx/04 X 5l (Emb Econ)</v>
      </c>
      <c r="F92" cm="1">
        <f t="array" ref="F92">INDEX('Linha 02'!$C$3:$Z$3,C92)</f>
        <v>20160005</v>
      </c>
      <c r="G92" t="str" cm="1">
        <f t="array" ref="G92">INDEX('Linha 02'!$C$2:$Z$2,C92)</f>
        <v>Alvejante S/ Cloro Aquafast Cx/04 X 3l</v>
      </c>
      <c r="H92" s="5" cm="1">
        <f t="array" ref="H92">INDEX('Linha 02'!$C$4:$ZZ$1000,B92,C92)</f>
        <v>0</v>
      </c>
    </row>
    <row r="93" spans="1:8" x14ac:dyDescent="0.25">
      <c r="A93">
        <v>91</v>
      </c>
      <c r="B93">
        <f t="shared" si="2"/>
        <v>10</v>
      </c>
      <c r="C93">
        <f t="shared" si="3"/>
        <v>1</v>
      </c>
      <c r="D93" cm="1">
        <f t="array" ref="D93">INDEX('Linha 02'!$A$4:$A$1000,B93)</f>
        <v>20160005</v>
      </c>
      <c r="E93" t="str" cm="1">
        <f t="array" ref="E93">INDEX('Linha 02'!$B$4:$B$1000,B93)</f>
        <v>Alvejante S/ Cloro Aquafast Cx/04 X 3l</v>
      </c>
      <c r="F93" cm="1">
        <f t="array" ref="F93">INDEX('Linha 02'!$C$3:$Z$3,C93)</f>
        <v>20010003</v>
      </c>
      <c r="G93" t="str" cm="1">
        <f t="array" ref="G93">INDEX('Linha 02'!$C$2:$Z$2,C93)</f>
        <v>Agua Sanitaria Aquafast Cx/04 X 5l</v>
      </c>
      <c r="H93" s="5" cm="1">
        <f t="array" ref="H93">INDEX('Linha 02'!$C$4:$ZZ$1000,B93,C93)</f>
        <v>0</v>
      </c>
    </row>
    <row r="94" spans="1:8" x14ac:dyDescent="0.25">
      <c r="A94">
        <v>92</v>
      </c>
      <c r="B94">
        <f t="shared" si="2"/>
        <v>10</v>
      </c>
      <c r="C94">
        <f t="shared" si="3"/>
        <v>2</v>
      </c>
      <c r="D94" cm="1">
        <f t="array" ref="D94">INDEX('Linha 02'!$A$4:$A$1000,B94)</f>
        <v>20160005</v>
      </c>
      <c r="E94" t="str" cm="1">
        <f t="array" ref="E94">INDEX('Linha 02'!$B$4:$B$1000,B94)</f>
        <v>Alvejante S/ Cloro Aquafast Cx/04 X 3l</v>
      </c>
      <c r="F94" cm="1">
        <f t="array" ref="F94">INDEX('Linha 02'!$C$3:$Z$3,C94)</f>
        <v>20010011</v>
      </c>
      <c r="G94" t="str" cm="1">
        <f t="array" ref="G94">INDEX('Linha 02'!$C$2:$Z$2,C94)</f>
        <v>Agua Sanitaria Verde Ito Cx/04 X 5l</v>
      </c>
      <c r="H94" s="5" cm="1">
        <f t="array" ref="H94">INDEX('Linha 02'!$C$4:$ZZ$1000,B94,C94)</f>
        <v>0</v>
      </c>
    </row>
    <row r="95" spans="1:8" x14ac:dyDescent="0.25">
      <c r="A95">
        <v>93</v>
      </c>
      <c r="B95">
        <f t="shared" si="2"/>
        <v>10</v>
      </c>
      <c r="C95">
        <f t="shared" si="3"/>
        <v>3</v>
      </c>
      <c r="D95" cm="1">
        <f t="array" ref="D95">INDEX('Linha 02'!$A$4:$A$1000,B95)</f>
        <v>20160005</v>
      </c>
      <c r="E95" t="str" cm="1">
        <f t="array" ref="E95">INDEX('Linha 02'!$B$4:$B$1000,B95)</f>
        <v>Alvejante S/ Cloro Aquafast Cx/04 X 3l</v>
      </c>
      <c r="F95" cm="1">
        <f t="array" ref="F95">INDEX('Linha 02'!$C$3:$Z$3,C95)</f>
        <v>20050113</v>
      </c>
      <c r="G95" t="str" cm="1">
        <f t="array" ref="G95">INDEX('Linha 02'!$C$2:$Z$2,C95)</f>
        <v>Desinfetante Aquafast Campos Lavanda Cx/04 5l Emb. Econ</v>
      </c>
      <c r="H95" s="5" cm="1">
        <f t="array" ref="H95">INDEX('Linha 02'!$C$4:$ZZ$1000,B95,C95)</f>
        <v>0</v>
      </c>
    </row>
    <row r="96" spans="1:8" x14ac:dyDescent="0.25">
      <c r="A96">
        <v>94</v>
      </c>
      <c r="B96">
        <f t="shared" si="2"/>
        <v>10</v>
      </c>
      <c r="C96">
        <f t="shared" si="3"/>
        <v>4</v>
      </c>
      <c r="D96" cm="1">
        <f t="array" ref="D96">INDEX('Linha 02'!$A$4:$A$1000,B96)</f>
        <v>20160005</v>
      </c>
      <c r="E96" t="str" cm="1">
        <f t="array" ref="E96">INDEX('Linha 02'!$B$4:$B$1000,B96)</f>
        <v>Alvejante S/ Cloro Aquafast Cx/04 X 3l</v>
      </c>
      <c r="F96" cm="1">
        <f t="array" ref="F96">INDEX('Linha 02'!$C$3:$Z$3,C96)</f>
        <v>20050114</v>
      </c>
      <c r="G96" t="str" cm="1">
        <f t="array" ref="G96">INDEX('Linha 02'!$C$2:$Z$2,C96)</f>
        <v>Desinfetante Aquafast Marine Cx/04 X 5l Emb. Economica</v>
      </c>
      <c r="H96" s="5" cm="1">
        <f t="array" ref="H96">INDEX('Linha 02'!$C$4:$ZZ$1000,B96,C96)</f>
        <v>0</v>
      </c>
    </row>
    <row r="97" spans="1:8" x14ac:dyDescent="0.25">
      <c r="A97">
        <v>95</v>
      </c>
      <c r="B97">
        <f t="shared" si="2"/>
        <v>10</v>
      </c>
      <c r="C97">
        <f t="shared" si="3"/>
        <v>5</v>
      </c>
      <c r="D97" cm="1">
        <f t="array" ref="D97">INDEX('Linha 02'!$A$4:$A$1000,B97)</f>
        <v>20160005</v>
      </c>
      <c r="E97" t="str" cm="1">
        <f t="array" ref="E97">INDEX('Linha 02'!$B$4:$B$1000,B97)</f>
        <v>Alvejante S/ Cloro Aquafast Cx/04 X 3l</v>
      </c>
      <c r="F97" cm="1">
        <f t="array" ref="F97">INDEX('Linha 02'!$C$3:$Z$3,C97)</f>
        <v>20050116</v>
      </c>
      <c r="G97" t="str" cm="1">
        <f t="array" ref="G97">INDEX('Linha 02'!$C$2:$Z$2,C97)</f>
        <v>Desinfetante Aquafast Paixao Cx/04 X 5l Emb. Economica</v>
      </c>
      <c r="H97" s="5" cm="1">
        <f t="array" ref="H97">INDEX('Linha 02'!$C$4:$ZZ$1000,B97,C97)</f>
        <v>0</v>
      </c>
    </row>
    <row r="98" spans="1:8" x14ac:dyDescent="0.25">
      <c r="A98">
        <v>96</v>
      </c>
      <c r="B98">
        <f t="shared" si="2"/>
        <v>10</v>
      </c>
      <c r="C98">
        <f t="shared" si="3"/>
        <v>6</v>
      </c>
      <c r="D98" cm="1">
        <f t="array" ref="D98">INDEX('Linha 02'!$A$4:$A$1000,B98)</f>
        <v>20160005</v>
      </c>
      <c r="E98" t="str" cm="1">
        <f t="array" ref="E98">INDEX('Linha 02'!$B$4:$B$1000,B98)</f>
        <v>Alvejante S/ Cloro Aquafast Cx/04 X 3l</v>
      </c>
      <c r="F98" cm="1">
        <f t="array" ref="F98">INDEX('Linha 02'!$C$3:$Z$3,C98)</f>
        <v>20050143</v>
      </c>
      <c r="G98" t="str" cm="1">
        <f t="array" ref="G98">INDEX('Linha 02'!$C$2:$Z$2,C98)</f>
        <v>Desinfetante Ito Lavanda Cx/04 X 5l</v>
      </c>
      <c r="H98" s="5" cm="1">
        <f t="array" ref="H98">INDEX('Linha 02'!$C$4:$ZZ$1000,B98,C98)</f>
        <v>0</v>
      </c>
    </row>
    <row r="99" spans="1:8" x14ac:dyDescent="0.25">
      <c r="A99">
        <v>97</v>
      </c>
      <c r="B99">
        <f t="shared" si="2"/>
        <v>10</v>
      </c>
      <c r="C99">
        <f t="shared" si="3"/>
        <v>7</v>
      </c>
      <c r="D99" cm="1">
        <f t="array" ref="D99">INDEX('Linha 02'!$A$4:$A$1000,B99)</f>
        <v>20160005</v>
      </c>
      <c r="E99" t="str" cm="1">
        <f t="array" ref="E99">INDEX('Linha 02'!$B$4:$B$1000,B99)</f>
        <v>Alvejante S/ Cloro Aquafast Cx/04 X 3l</v>
      </c>
      <c r="F99" cm="1">
        <f t="array" ref="F99">INDEX('Linha 02'!$C$3:$Z$3,C99)</f>
        <v>20050144</v>
      </c>
      <c r="G99" t="str" cm="1">
        <f t="array" ref="G99">INDEX('Linha 02'!$C$2:$Z$2,C99)</f>
        <v>Desinfetante Ito Marine Cx/04 X 5l</v>
      </c>
      <c r="H99" s="5" cm="1">
        <f t="array" ref="H99">INDEX('Linha 02'!$C$4:$ZZ$1000,B99,C99)</f>
        <v>0</v>
      </c>
    </row>
    <row r="100" spans="1:8" x14ac:dyDescent="0.25">
      <c r="A100">
        <v>98</v>
      </c>
      <c r="B100">
        <f t="shared" si="2"/>
        <v>10</v>
      </c>
      <c r="C100">
        <f t="shared" si="3"/>
        <v>8</v>
      </c>
      <c r="D100" cm="1">
        <f t="array" ref="D100">INDEX('Linha 02'!$A$4:$A$1000,B100)</f>
        <v>20160005</v>
      </c>
      <c r="E100" t="str" cm="1">
        <f t="array" ref="E100">INDEX('Linha 02'!$B$4:$B$1000,B100)</f>
        <v>Alvejante S/ Cloro Aquafast Cx/04 X 3l</v>
      </c>
      <c r="F100" cm="1">
        <f t="array" ref="F100">INDEX('Linha 02'!$C$3:$Z$3,C100)</f>
        <v>20050158</v>
      </c>
      <c r="G100" t="str" cm="1">
        <f t="array" ref="G100">INDEX('Linha 02'!$C$2:$Z$2,C100)</f>
        <v>Desinfetante Aquafast Cha Branco Cx/04 X 5l Emb. Econo</v>
      </c>
      <c r="H100" s="5" cm="1">
        <f t="array" ref="H100">INDEX('Linha 02'!$C$4:$ZZ$1000,B100,C100)</f>
        <v>6.9444444444444441E-3</v>
      </c>
    </row>
    <row r="101" spans="1:8" x14ac:dyDescent="0.25">
      <c r="A101">
        <v>99</v>
      </c>
      <c r="B101">
        <f t="shared" si="2"/>
        <v>10</v>
      </c>
      <c r="C101">
        <f t="shared" si="3"/>
        <v>9</v>
      </c>
      <c r="D101" cm="1">
        <f t="array" ref="D101">INDEX('Linha 02'!$A$4:$A$1000,B101)</f>
        <v>20160005</v>
      </c>
      <c r="E101" t="str" cm="1">
        <f t="array" ref="E101">INDEX('Linha 02'!$B$4:$B$1000,B101)</f>
        <v>Alvejante S/ Cloro Aquafast Cx/04 X 3l</v>
      </c>
      <c r="F101" cm="1">
        <f t="array" ref="F101">INDEX('Linha 02'!$C$3:$Z$3,C101)</f>
        <v>20160003</v>
      </c>
      <c r="G101" t="str" cm="1">
        <f t="array" ref="G101">INDEX('Linha 02'!$C$2:$Z$2,C101)</f>
        <v>Alvejante S/ Cloro Aquafast Cx/04 X 5l (Emb Econ)</v>
      </c>
      <c r="H101" s="5" cm="1">
        <f t="array" ref="H101">INDEX('Linha 02'!$C$4:$ZZ$1000,B101,C101)</f>
        <v>0</v>
      </c>
    </row>
    <row r="102" spans="1:8" x14ac:dyDescent="0.25">
      <c r="A102">
        <v>100</v>
      </c>
      <c r="B102">
        <f t="shared" si="2"/>
        <v>10</v>
      </c>
      <c r="C102">
        <f t="shared" si="3"/>
        <v>10</v>
      </c>
      <c r="D102" cm="1">
        <f t="array" ref="D102">INDEX('Linha 02'!$A$4:$A$1000,B102)</f>
        <v>20160005</v>
      </c>
      <c r="E102" t="str" cm="1">
        <f t="array" ref="E102">INDEX('Linha 02'!$B$4:$B$1000,B102)</f>
        <v>Alvejante S/ Cloro Aquafast Cx/04 X 3l</v>
      </c>
      <c r="F102" cm="1">
        <f t="array" ref="F102">INDEX('Linha 02'!$C$3:$Z$3,C102)</f>
        <v>20160005</v>
      </c>
      <c r="G102" t="str" cm="1">
        <f t="array" ref="G102">INDEX('Linha 02'!$C$2:$Z$2,C102)</f>
        <v>Alvejante S/ Cloro Aquafast Cx/04 X 3l</v>
      </c>
      <c r="H102" s="5" cm="1">
        <f t="array" ref="H102">INDEX('Linha 02'!$C$4:$ZZ$1000,B102,C102)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5A15-851C-45AE-9520-B866618F917E}">
  <dimension ref="A1:AQ44"/>
  <sheetViews>
    <sheetView workbookViewId="0">
      <pane xSplit="2" ySplit="3" topLeftCell="T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" x14ac:dyDescent="0.25"/>
  <cols>
    <col min="1" max="1" width="10.28515625" customWidth="1"/>
    <col min="2" max="2" width="55.85546875" bestFit="1" customWidth="1"/>
  </cols>
  <sheetData>
    <row r="1" spans="1:43" ht="48" x14ac:dyDescent="0.25">
      <c r="A1" t="s">
        <v>222</v>
      </c>
      <c r="B1" t="s">
        <v>223</v>
      </c>
      <c r="C1" s="23" t="s">
        <v>224</v>
      </c>
      <c r="D1" s="23" t="s">
        <v>225</v>
      </c>
      <c r="E1" s="23" t="s">
        <v>226</v>
      </c>
      <c r="F1" s="23" t="s">
        <v>227</v>
      </c>
      <c r="G1" s="23" t="s">
        <v>228</v>
      </c>
      <c r="H1" s="23" t="s">
        <v>229</v>
      </c>
      <c r="I1" s="23" t="s">
        <v>230</v>
      </c>
      <c r="J1" s="23" t="s">
        <v>231</v>
      </c>
      <c r="K1" s="23" t="s">
        <v>232</v>
      </c>
      <c r="L1" s="23" t="s">
        <v>233</v>
      </c>
      <c r="M1" s="23" t="s">
        <v>234</v>
      </c>
      <c r="N1" s="23" t="s">
        <v>235</v>
      </c>
      <c r="O1" s="23" t="s">
        <v>236</v>
      </c>
      <c r="P1" s="23" t="s">
        <v>237</v>
      </c>
      <c r="Q1" s="23" t="s">
        <v>238</v>
      </c>
      <c r="R1" s="23" t="s">
        <v>239</v>
      </c>
      <c r="S1" s="23" t="s">
        <v>240</v>
      </c>
      <c r="T1" s="23" t="s">
        <v>241</v>
      </c>
      <c r="U1" s="23" t="s">
        <v>242</v>
      </c>
      <c r="V1" s="23" t="s">
        <v>243</v>
      </c>
      <c r="W1" s="23" t="s">
        <v>244</v>
      </c>
      <c r="X1" s="23" t="s">
        <v>245</v>
      </c>
      <c r="Y1" s="23" t="s">
        <v>246</v>
      </c>
      <c r="Z1" s="23" t="s">
        <v>247</v>
      </c>
      <c r="AA1" s="23" t="s">
        <v>248</v>
      </c>
      <c r="AB1" s="23" t="s">
        <v>249</v>
      </c>
      <c r="AC1" s="23" t="s">
        <v>250</v>
      </c>
      <c r="AD1" s="23" t="s">
        <v>251</v>
      </c>
      <c r="AE1" s="23" t="s">
        <v>252</v>
      </c>
      <c r="AF1" s="23" t="s">
        <v>253</v>
      </c>
      <c r="AG1" s="23" t="s">
        <v>254</v>
      </c>
      <c r="AH1" s="23" t="s">
        <v>255</v>
      </c>
      <c r="AI1" s="23" t="s">
        <v>256</v>
      </c>
      <c r="AJ1" s="23" t="s">
        <v>257</v>
      </c>
      <c r="AK1" s="23" t="s">
        <v>258</v>
      </c>
      <c r="AL1" s="23" t="s">
        <v>259</v>
      </c>
      <c r="AM1" s="23" t="s">
        <v>260</v>
      </c>
      <c r="AN1" s="23" t="s">
        <v>261</v>
      </c>
      <c r="AO1" s="23" t="s">
        <v>262</v>
      </c>
      <c r="AP1" s="23" t="s">
        <v>263</v>
      </c>
      <c r="AQ1" s="23" t="s">
        <v>264</v>
      </c>
    </row>
    <row r="2" spans="1:43" ht="293.25" x14ac:dyDescent="0.25">
      <c r="C2" s="23" t="s">
        <v>35</v>
      </c>
      <c r="D2" s="23" t="s">
        <v>37</v>
      </c>
      <c r="E2" s="23" t="s">
        <v>38</v>
      </c>
      <c r="F2" s="23" t="s">
        <v>39</v>
      </c>
      <c r="G2" s="23" t="s">
        <v>40</v>
      </c>
      <c r="H2" s="23" t="s">
        <v>41</v>
      </c>
      <c r="I2" s="23" t="s">
        <v>43</v>
      </c>
      <c r="J2" s="23" t="s">
        <v>44</v>
      </c>
      <c r="K2" s="23" t="s">
        <v>47</v>
      </c>
      <c r="L2" s="23" t="s">
        <v>49</v>
      </c>
      <c r="M2" s="23" t="s">
        <v>51</v>
      </c>
      <c r="N2" s="23" t="s">
        <v>54</v>
      </c>
      <c r="O2" s="23" t="s">
        <v>55</v>
      </c>
      <c r="P2" s="23" t="s">
        <v>56</v>
      </c>
      <c r="Q2" s="23" t="s">
        <v>58</v>
      </c>
      <c r="R2" s="23" t="s">
        <v>59</v>
      </c>
      <c r="S2" s="23" t="s">
        <v>60</v>
      </c>
      <c r="T2" s="23" t="s">
        <v>61</v>
      </c>
      <c r="U2" s="23" t="s">
        <v>62</v>
      </c>
      <c r="V2" s="23" t="s">
        <v>65</v>
      </c>
      <c r="W2" s="23" t="s">
        <v>67</v>
      </c>
      <c r="X2" s="23" t="s">
        <v>69</v>
      </c>
      <c r="Y2" s="23" t="s">
        <v>70</v>
      </c>
      <c r="Z2" s="23" t="s">
        <v>71</v>
      </c>
      <c r="AA2" s="23" t="s">
        <v>147</v>
      </c>
      <c r="AB2" s="23" t="s">
        <v>85</v>
      </c>
      <c r="AC2" s="23" t="s">
        <v>86</v>
      </c>
      <c r="AD2" s="23" t="s">
        <v>90</v>
      </c>
      <c r="AE2" s="23" t="s">
        <v>92</v>
      </c>
      <c r="AF2" s="23" t="s">
        <v>171</v>
      </c>
      <c r="AG2" s="23" t="s">
        <v>123</v>
      </c>
      <c r="AH2" s="23" t="s">
        <v>124</v>
      </c>
      <c r="AI2" s="23" t="s">
        <v>172</v>
      </c>
      <c r="AJ2" s="23" t="s">
        <v>131</v>
      </c>
      <c r="AK2" s="23" t="s">
        <v>173</v>
      </c>
      <c r="AL2" s="23" t="s">
        <v>174</v>
      </c>
      <c r="AM2" s="23" t="s">
        <v>175</v>
      </c>
      <c r="AN2" s="23" t="s">
        <v>176</v>
      </c>
      <c r="AO2" s="23" t="s">
        <v>178</v>
      </c>
      <c r="AP2" s="23" t="s">
        <v>141</v>
      </c>
      <c r="AQ2" s="23" t="s">
        <v>142</v>
      </c>
    </row>
    <row r="3" spans="1:43" ht="50.25" customHeight="1" x14ac:dyDescent="0.25">
      <c r="C3" s="24">
        <v>20040006</v>
      </c>
      <c r="D3" s="24">
        <v>20040008</v>
      </c>
      <c r="E3" s="24">
        <v>20040009</v>
      </c>
      <c r="F3" s="24">
        <v>20040026</v>
      </c>
      <c r="G3" s="24">
        <v>20040028</v>
      </c>
      <c r="H3" s="24">
        <v>20040029</v>
      </c>
      <c r="I3" s="24">
        <v>20040055</v>
      </c>
      <c r="J3" s="24">
        <v>20040057</v>
      </c>
      <c r="K3" s="24">
        <v>20040084</v>
      </c>
      <c r="L3" s="24">
        <v>20040089</v>
      </c>
      <c r="M3" s="24">
        <v>20040094</v>
      </c>
      <c r="N3" s="24">
        <v>20050010</v>
      </c>
      <c r="O3" s="24">
        <v>20050011</v>
      </c>
      <c r="P3" s="24">
        <v>20050016</v>
      </c>
      <c r="Q3" s="24">
        <v>20050031</v>
      </c>
      <c r="R3" s="24">
        <v>20050032</v>
      </c>
      <c r="S3" s="24">
        <v>20050034</v>
      </c>
      <c r="T3" s="24">
        <v>20050077</v>
      </c>
      <c r="U3" s="24">
        <v>20050078</v>
      </c>
      <c r="V3" s="24">
        <v>20050115</v>
      </c>
      <c r="W3" s="24">
        <v>20050117</v>
      </c>
      <c r="X3" s="24">
        <v>20050123</v>
      </c>
      <c r="Y3" s="24">
        <v>20050124</v>
      </c>
      <c r="Z3" s="24">
        <v>20050142</v>
      </c>
      <c r="AA3" s="24">
        <v>20050159</v>
      </c>
      <c r="AB3" s="24">
        <v>20060007</v>
      </c>
      <c r="AC3" s="24">
        <v>20060009</v>
      </c>
      <c r="AD3" s="24">
        <v>20060017</v>
      </c>
      <c r="AE3" s="24">
        <v>20060028</v>
      </c>
      <c r="AF3" s="24">
        <v>20200003</v>
      </c>
      <c r="AG3" s="24">
        <v>20200005</v>
      </c>
      <c r="AH3" s="24">
        <v>20200006</v>
      </c>
      <c r="AI3" s="24">
        <v>20200015</v>
      </c>
      <c r="AJ3" s="24">
        <v>20200036</v>
      </c>
      <c r="AK3" s="24">
        <v>20200063</v>
      </c>
      <c r="AL3" s="24">
        <v>20200064</v>
      </c>
      <c r="AM3" s="24">
        <v>20200065</v>
      </c>
      <c r="AN3" s="24">
        <v>20200072</v>
      </c>
      <c r="AO3" s="24">
        <v>20200074</v>
      </c>
      <c r="AP3" s="24">
        <v>20250005</v>
      </c>
      <c r="AQ3" s="24">
        <v>20250007</v>
      </c>
    </row>
    <row r="4" spans="1:43" x14ac:dyDescent="0.25">
      <c r="A4" s="2">
        <v>20040006</v>
      </c>
      <c r="B4" s="3" t="s">
        <v>35</v>
      </c>
      <c r="C4" s="5">
        <v>0</v>
      </c>
      <c r="D4" s="5">
        <v>1.0416666666666666E-2</v>
      </c>
      <c r="E4" s="5">
        <v>1.0416666666666666E-2</v>
      </c>
      <c r="F4" s="5">
        <v>1.0416666666666701E-2</v>
      </c>
      <c r="G4" s="5">
        <v>1.0416666666666701E-2</v>
      </c>
      <c r="H4" s="5">
        <v>1.0416666666666701E-2</v>
      </c>
      <c r="I4" s="5">
        <v>1.0416666666666701E-2</v>
      </c>
      <c r="J4" s="5">
        <v>1.0416666666666701E-2</v>
      </c>
      <c r="K4" s="5">
        <v>1.0416666666666701E-2</v>
      </c>
      <c r="L4" s="5">
        <v>1.0416666666666701E-2</v>
      </c>
      <c r="M4" s="5">
        <v>1.0416666666666701E-2</v>
      </c>
      <c r="N4" s="5">
        <v>1.0416666666666666E-2</v>
      </c>
      <c r="O4" s="5">
        <v>1.04166666666666E-2</v>
      </c>
      <c r="P4" s="5">
        <v>1.04166666666666E-2</v>
      </c>
      <c r="Q4" s="5">
        <v>1.04166666666666E-2</v>
      </c>
      <c r="R4" s="5">
        <v>1.04166666666665E-2</v>
      </c>
      <c r="S4" s="5">
        <v>1.04166666666665E-2</v>
      </c>
      <c r="T4" s="5">
        <v>1.04166666666665E-2</v>
      </c>
      <c r="U4" s="5">
        <v>1.0416666666666401E-2</v>
      </c>
      <c r="V4" s="5">
        <v>1.0416666666666401E-2</v>
      </c>
      <c r="W4" s="5">
        <v>1.0416666666666401E-2</v>
      </c>
      <c r="X4" s="5">
        <v>1.04166666666663E-2</v>
      </c>
      <c r="Y4" s="5">
        <v>1.04166666666663E-2</v>
      </c>
      <c r="Z4" s="5">
        <v>1.0416666666666199E-2</v>
      </c>
      <c r="AA4" s="5">
        <v>1.3888888888888888E-2</v>
      </c>
    </row>
    <row r="5" spans="1:43" x14ac:dyDescent="0.25">
      <c r="A5" s="2">
        <v>20040008</v>
      </c>
      <c r="B5" s="3" t="s">
        <v>37</v>
      </c>
      <c r="C5" s="5">
        <v>6.9444444444444441E-3</v>
      </c>
      <c r="D5" s="5">
        <v>0</v>
      </c>
      <c r="E5" s="5">
        <v>6.9444444444444441E-3</v>
      </c>
      <c r="F5" s="5">
        <v>6.9444444444444441E-3</v>
      </c>
      <c r="G5" s="5">
        <v>6.9444444444444397E-3</v>
      </c>
      <c r="H5" s="5">
        <v>6.9444444444444397E-3</v>
      </c>
      <c r="I5" s="5">
        <v>6.9444444444444397E-3</v>
      </c>
      <c r="J5" s="5">
        <v>6.9444444444444397E-3</v>
      </c>
      <c r="K5" s="5">
        <v>6.9444444444444441E-3</v>
      </c>
      <c r="L5" s="5">
        <v>6.9444444444444501E-3</v>
      </c>
      <c r="M5" s="5">
        <v>6.9444444444444501E-3</v>
      </c>
      <c r="N5" s="5">
        <v>6.9444444444444597E-3</v>
      </c>
      <c r="O5" s="5">
        <v>6.9444444444444597E-3</v>
      </c>
      <c r="P5" s="5">
        <v>6.9444444444444701E-3</v>
      </c>
      <c r="Q5" s="5">
        <v>6.9444444444444701E-3</v>
      </c>
      <c r="R5" s="5">
        <v>6.9444444444444701E-3</v>
      </c>
      <c r="S5" s="5">
        <v>6.9444444444444796E-3</v>
      </c>
      <c r="T5" s="5">
        <v>6.9444444444444796E-3</v>
      </c>
      <c r="U5" s="5">
        <v>6.94444444444449E-3</v>
      </c>
      <c r="V5" s="5">
        <v>6.94444444444449E-3</v>
      </c>
      <c r="W5" s="5">
        <v>6.9444444444444996E-3</v>
      </c>
      <c r="X5" s="5">
        <v>6.9444444444444996E-3</v>
      </c>
      <c r="Y5" s="5">
        <v>6.9444444444444996E-3</v>
      </c>
      <c r="Z5" s="5">
        <v>6.94444444444451E-3</v>
      </c>
      <c r="AA5" s="5">
        <v>1.3888888888888888E-2</v>
      </c>
      <c r="AB5" s="5">
        <v>6.9444444444444996E-3</v>
      </c>
      <c r="AC5" s="5">
        <v>6.94444444444451E-3</v>
      </c>
      <c r="AD5" s="5">
        <v>6.9444444444445204E-3</v>
      </c>
      <c r="AE5" s="5">
        <v>6.9444444444445299E-3</v>
      </c>
      <c r="AF5" s="5">
        <v>6.9444444444445403E-3</v>
      </c>
      <c r="AG5" s="5">
        <v>6.9444444444445499E-3</v>
      </c>
      <c r="AH5" s="5">
        <v>6.9444444444445603E-3</v>
      </c>
      <c r="AI5" s="5">
        <v>6.9444444444445698E-3</v>
      </c>
      <c r="AJ5" s="5">
        <v>6.9444444444445802E-3</v>
      </c>
      <c r="AK5" s="5">
        <v>6.9444444444445898E-3</v>
      </c>
      <c r="AL5" s="5">
        <v>6.9444444444446002E-3</v>
      </c>
      <c r="AM5" s="5">
        <v>6.9444444444446097E-3</v>
      </c>
      <c r="AN5" s="5">
        <v>6.9444444444446201E-3</v>
      </c>
      <c r="AO5" s="5">
        <v>6.9444444444446297E-3</v>
      </c>
      <c r="AP5" s="5">
        <v>6.9444444444446496E-3</v>
      </c>
      <c r="AQ5" s="5">
        <v>6.94444444444466E-3</v>
      </c>
    </row>
    <row r="6" spans="1:43" x14ac:dyDescent="0.25">
      <c r="A6" s="2">
        <v>20040009</v>
      </c>
      <c r="B6" s="3" t="s">
        <v>38</v>
      </c>
      <c r="E6" s="5">
        <v>0</v>
      </c>
      <c r="AA6" s="5">
        <v>1.38888888888889E-2</v>
      </c>
    </row>
    <row r="7" spans="1:43" x14ac:dyDescent="0.25">
      <c r="A7" s="2">
        <v>20040026</v>
      </c>
      <c r="B7" s="3" t="s">
        <v>39</v>
      </c>
      <c r="F7" s="5">
        <v>0</v>
      </c>
      <c r="AA7" s="5">
        <v>1.38888888888889E-2</v>
      </c>
    </row>
    <row r="8" spans="1:43" x14ac:dyDescent="0.25">
      <c r="A8" s="2">
        <v>20040028</v>
      </c>
      <c r="B8" s="3" t="s">
        <v>40</v>
      </c>
      <c r="G8" s="5">
        <v>0</v>
      </c>
      <c r="AA8" s="5">
        <v>1.38888888888889E-2</v>
      </c>
    </row>
    <row r="9" spans="1:43" x14ac:dyDescent="0.25">
      <c r="A9" s="2">
        <v>20040029</v>
      </c>
      <c r="B9" s="3" t="s">
        <v>41</v>
      </c>
      <c r="H9" s="5">
        <v>0</v>
      </c>
      <c r="AA9" s="5">
        <v>1.38888888888889E-2</v>
      </c>
    </row>
    <row r="10" spans="1:43" x14ac:dyDescent="0.25">
      <c r="A10" s="2">
        <v>20040055</v>
      </c>
      <c r="B10" s="3" t="s">
        <v>43</v>
      </c>
      <c r="I10" s="5">
        <v>0</v>
      </c>
      <c r="AA10" s="5">
        <v>1.38888888888889E-2</v>
      </c>
    </row>
    <row r="11" spans="1:43" x14ac:dyDescent="0.25">
      <c r="A11" s="2">
        <v>20040057</v>
      </c>
      <c r="B11" s="3" t="s">
        <v>44</v>
      </c>
      <c r="J11" s="5">
        <v>0</v>
      </c>
      <c r="AA11" s="5">
        <v>1.38888888888889E-2</v>
      </c>
    </row>
    <row r="12" spans="1:43" x14ac:dyDescent="0.25">
      <c r="A12" s="2">
        <v>20040084</v>
      </c>
      <c r="B12" s="3" t="s">
        <v>47</v>
      </c>
      <c r="D12" s="5">
        <v>1.0416666666666666E-2</v>
      </c>
      <c r="K12" s="5">
        <v>0</v>
      </c>
      <c r="AA12" s="5">
        <v>1.38888888888889E-2</v>
      </c>
    </row>
    <row r="13" spans="1:43" x14ac:dyDescent="0.25">
      <c r="A13" s="2">
        <v>20040089</v>
      </c>
      <c r="B13" s="3" t="s">
        <v>49</v>
      </c>
      <c r="L13" s="5">
        <v>0</v>
      </c>
      <c r="AA13" s="5">
        <v>1.38888888888889E-2</v>
      </c>
    </row>
    <row r="14" spans="1:43" x14ac:dyDescent="0.25">
      <c r="A14" s="2">
        <v>20040094</v>
      </c>
      <c r="B14" s="3" t="s">
        <v>51</v>
      </c>
      <c r="M14" s="5">
        <v>0</v>
      </c>
      <c r="AA14" s="5">
        <v>1.38888888888889E-2</v>
      </c>
    </row>
    <row r="15" spans="1:43" x14ac:dyDescent="0.25">
      <c r="A15" s="2">
        <v>20050010</v>
      </c>
      <c r="B15" s="3" t="s">
        <v>54</v>
      </c>
      <c r="N15" s="5">
        <v>0</v>
      </c>
      <c r="AA15" s="5">
        <v>1.38888888888889E-2</v>
      </c>
    </row>
    <row r="16" spans="1:43" x14ac:dyDescent="0.25">
      <c r="A16" s="2">
        <v>20050011</v>
      </c>
      <c r="B16" s="3" t="s">
        <v>55</v>
      </c>
      <c r="O16" s="5">
        <v>0</v>
      </c>
      <c r="AA16" s="5">
        <v>1.38888888888889E-2</v>
      </c>
    </row>
    <row r="17" spans="1:31" x14ac:dyDescent="0.25">
      <c r="A17" s="2">
        <v>20050016</v>
      </c>
      <c r="B17" s="3" t="s">
        <v>56</v>
      </c>
      <c r="P17" s="5">
        <v>0</v>
      </c>
      <c r="AA17" s="5">
        <v>1.38888888888889E-2</v>
      </c>
    </row>
    <row r="18" spans="1:31" x14ac:dyDescent="0.25">
      <c r="A18" s="2">
        <v>20050031</v>
      </c>
      <c r="B18" s="3" t="s">
        <v>58</v>
      </c>
      <c r="Q18" s="5">
        <v>0</v>
      </c>
      <c r="AA18" s="5">
        <v>1.38888888888889E-2</v>
      </c>
    </row>
    <row r="19" spans="1:31" x14ac:dyDescent="0.25">
      <c r="A19" s="2">
        <v>20050032</v>
      </c>
      <c r="B19" s="3" t="s">
        <v>59</v>
      </c>
      <c r="R19" s="5">
        <v>0</v>
      </c>
      <c r="AA19" s="5">
        <v>1.38888888888889E-2</v>
      </c>
    </row>
    <row r="20" spans="1:31" x14ac:dyDescent="0.25">
      <c r="A20" s="2">
        <v>20050034</v>
      </c>
      <c r="B20" s="3" t="s">
        <v>60</v>
      </c>
      <c r="S20" s="5">
        <v>0</v>
      </c>
      <c r="AA20" s="5">
        <v>1.38888888888889E-2</v>
      </c>
    </row>
    <row r="21" spans="1:31" x14ac:dyDescent="0.25">
      <c r="A21" s="2">
        <v>20050077</v>
      </c>
      <c r="B21" s="3" t="s">
        <v>61</v>
      </c>
      <c r="T21" s="5">
        <v>0</v>
      </c>
      <c r="AA21" s="5">
        <v>1.38888888888889E-2</v>
      </c>
    </row>
    <row r="22" spans="1:31" x14ac:dyDescent="0.25">
      <c r="A22" s="2">
        <v>20050078</v>
      </c>
      <c r="B22" s="3" t="s">
        <v>62</v>
      </c>
      <c r="U22" s="5">
        <v>0</v>
      </c>
      <c r="AA22" s="5">
        <v>1.38888888888889E-2</v>
      </c>
    </row>
    <row r="23" spans="1:31" x14ac:dyDescent="0.25">
      <c r="A23" s="2">
        <v>20050115</v>
      </c>
      <c r="B23" s="3" t="s">
        <v>65</v>
      </c>
      <c r="V23" s="5">
        <v>0</v>
      </c>
      <c r="AA23" s="5">
        <v>1.38888888888889E-2</v>
      </c>
    </row>
    <row r="24" spans="1:31" x14ac:dyDescent="0.25">
      <c r="A24" s="2">
        <v>20050117</v>
      </c>
      <c r="B24" s="3" t="s">
        <v>67</v>
      </c>
      <c r="W24" s="5">
        <v>0</v>
      </c>
      <c r="AA24" s="5">
        <v>1.38888888888889E-2</v>
      </c>
    </row>
    <row r="25" spans="1:31" x14ac:dyDescent="0.25">
      <c r="A25" s="2">
        <v>20050123</v>
      </c>
      <c r="B25" s="3" t="s">
        <v>69</v>
      </c>
      <c r="X25" s="5">
        <v>0</v>
      </c>
      <c r="AA25" s="5">
        <v>1.38888888888889E-2</v>
      </c>
    </row>
    <row r="26" spans="1:31" x14ac:dyDescent="0.25">
      <c r="A26" s="2">
        <v>20050124</v>
      </c>
      <c r="B26" s="3" t="s">
        <v>70</v>
      </c>
      <c r="Y26" s="5">
        <v>0</v>
      </c>
      <c r="AA26" s="5">
        <v>1.38888888888889E-2</v>
      </c>
    </row>
    <row r="27" spans="1:31" x14ac:dyDescent="0.25">
      <c r="A27" s="2">
        <v>20050142</v>
      </c>
      <c r="B27" s="3" t="s">
        <v>71</v>
      </c>
      <c r="Z27" s="5">
        <v>0</v>
      </c>
      <c r="AA27" s="5">
        <v>1.38888888888889E-2</v>
      </c>
    </row>
    <row r="28" spans="1:31" x14ac:dyDescent="0.25">
      <c r="A28" s="2">
        <v>20050159</v>
      </c>
      <c r="B28" s="3" t="s">
        <v>147</v>
      </c>
      <c r="AA28" s="5">
        <v>0</v>
      </c>
    </row>
    <row r="29" spans="1:31" x14ac:dyDescent="0.25">
      <c r="A29" s="2">
        <v>20060007</v>
      </c>
      <c r="B29" s="3" t="s">
        <v>85</v>
      </c>
      <c r="AA29" s="5">
        <v>1.38888888888889E-2</v>
      </c>
      <c r="AB29" s="5">
        <v>0</v>
      </c>
    </row>
    <row r="30" spans="1:31" x14ac:dyDescent="0.25">
      <c r="A30" s="2">
        <v>20060009</v>
      </c>
      <c r="B30" s="3" t="s">
        <v>86</v>
      </c>
      <c r="AA30" s="5">
        <v>1.38888888888889E-2</v>
      </c>
      <c r="AC30" s="5">
        <v>0</v>
      </c>
    </row>
    <row r="31" spans="1:31" x14ac:dyDescent="0.25">
      <c r="A31" s="2">
        <v>20060017</v>
      </c>
      <c r="B31" s="3" t="s">
        <v>90</v>
      </c>
      <c r="AA31" s="5">
        <v>1.38888888888889E-2</v>
      </c>
      <c r="AD31" s="5">
        <v>0</v>
      </c>
    </row>
    <row r="32" spans="1:31" x14ac:dyDescent="0.25">
      <c r="A32" s="2">
        <v>20060028</v>
      </c>
      <c r="B32" s="3" t="s">
        <v>92</v>
      </c>
      <c r="AA32" s="5">
        <v>1.38888888888889E-2</v>
      </c>
      <c r="AE32" s="5">
        <v>0</v>
      </c>
    </row>
    <row r="33" spans="1:43" x14ac:dyDescent="0.25">
      <c r="A33" s="2">
        <v>20200003</v>
      </c>
      <c r="B33" s="3" t="s">
        <v>171</v>
      </c>
      <c r="AA33" s="5">
        <v>1.38888888888889E-2</v>
      </c>
      <c r="AF33" s="5">
        <v>0</v>
      </c>
    </row>
    <row r="34" spans="1:43" x14ac:dyDescent="0.25">
      <c r="A34" s="2">
        <v>20200005</v>
      </c>
      <c r="B34" s="3" t="s">
        <v>123</v>
      </c>
      <c r="AA34" s="5">
        <v>1.38888888888889E-2</v>
      </c>
      <c r="AG34" s="5">
        <v>0</v>
      </c>
    </row>
    <row r="35" spans="1:43" x14ac:dyDescent="0.25">
      <c r="A35" s="2">
        <v>20200006</v>
      </c>
      <c r="B35" s="3" t="s">
        <v>124</v>
      </c>
      <c r="AA35" s="5">
        <v>1.38888888888889E-2</v>
      </c>
      <c r="AH35" s="5">
        <v>0</v>
      </c>
    </row>
    <row r="36" spans="1:43" x14ac:dyDescent="0.25">
      <c r="A36" s="2">
        <v>20200015</v>
      </c>
      <c r="B36" s="3" t="s">
        <v>172</v>
      </c>
      <c r="AA36" s="5">
        <v>1.38888888888889E-2</v>
      </c>
      <c r="AI36" s="5">
        <v>0</v>
      </c>
    </row>
    <row r="37" spans="1:43" x14ac:dyDescent="0.25">
      <c r="A37" s="2">
        <v>20200036</v>
      </c>
      <c r="B37" s="3" t="s">
        <v>131</v>
      </c>
      <c r="AA37" s="5">
        <v>1.38888888888889E-2</v>
      </c>
      <c r="AJ37" s="5">
        <v>0</v>
      </c>
    </row>
    <row r="38" spans="1:43" x14ac:dyDescent="0.25">
      <c r="A38" s="2">
        <v>20200063</v>
      </c>
      <c r="B38" s="3" t="s">
        <v>173</v>
      </c>
      <c r="AA38" s="5">
        <v>1.38888888888889E-2</v>
      </c>
      <c r="AK38" s="5">
        <v>0</v>
      </c>
    </row>
    <row r="39" spans="1:43" x14ac:dyDescent="0.25">
      <c r="A39" s="2">
        <v>20200064</v>
      </c>
      <c r="B39" s="3" t="s">
        <v>174</v>
      </c>
      <c r="AA39" s="5">
        <v>1.38888888888889E-2</v>
      </c>
      <c r="AL39" s="5">
        <v>0</v>
      </c>
    </row>
    <row r="40" spans="1:43" x14ac:dyDescent="0.25">
      <c r="A40" s="2">
        <v>20200065</v>
      </c>
      <c r="B40" s="3" t="s">
        <v>175</v>
      </c>
      <c r="AA40" s="5">
        <v>1.38888888888889E-2</v>
      </c>
      <c r="AM40" s="5">
        <v>0</v>
      </c>
    </row>
    <row r="41" spans="1:43" x14ac:dyDescent="0.25">
      <c r="A41" s="2">
        <v>20200072</v>
      </c>
      <c r="B41" s="3" t="s">
        <v>176</v>
      </c>
      <c r="AA41" s="5">
        <v>1.38888888888889E-2</v>
      </c>
      <c r="AN41" s="5">
        <v>0</v>
      </c>
    </row>
    <row r="42" spans="1:43" x14ac:dyDescent="0.25">
      <c r="A42" s="2">
        <v>20200074</v>
      </c>
      <c r="B42" s="3" t="s">
        <v>178</v>
      </c>
      <c r="AA42" s="5">
        <v>1.38888888888889E-2</v>
      </c>
      <c r="AO42" s="5">
        <v>0</v>
      </c>
    </row>
    <row r="43" spans="1:43" x14ac:dyDescent="0.25">
      <c r="A43" s="2">
        <v>20250005</v>
      </c>
      <c r="B43" s="3" t="s">
        <v>141</v>
      </c>
      <c r="AA43" s="5">
        <v>1.38888888888889E-2</v>
      </c>
      <c r="AP43" s="5">
        <v>0</v>
      </c>
    </row>
    <row r="44" spans="1:43" x14ac:dyDescent="0.25">
      <c r="A44" s="2">
        <v>20250007</v>
      </c>
      <c r="B44" s="3" t="s">
        <v>142</v>
      </c>
      <c r="AA44" s="5">
        <v>1.38888888888889E-2</v>
      </c>
      <c r="AQ44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7B1F-4E49-4380-91B4-3462BF1750D0}">
  <dimension ref="A1:H1683"/>
  <sheetViews>
    <sheetView workbookViewId="0"/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03'!B:B)-1</f>
        <v>41</v>
      </c>
      <c r="B1">
        <f>COUNTA('Linha 03'!2:2)</f>
        <v>41</v>
      </c>
      <c r="C1">
        <f>A1*B1</f>
        <v>1681</v>
      </c>
    </row>
    <row r="3" spans="1:8" x14ac:dyDescent="0.25">
      <c r="A3" cm="1">
        <f t="array" ref="A3:A1683">_xlfn.SEQUENCE($C$1)</f>
        <v>1</v>
      </c>
      <c r="B3">
        <f>INT((A3-1)/$B$1)+1</f>
        <v>1</v>
      </c>
      <c r="C3">
        <f>MOD(A3-1,$B$1)+1</f>
        <v>1</v>
      </c>
      <c r="D3" cm="1">
        <f t="array" ref="D3">INDEX('Linha 03'!$A$4:$A$1000,B3)</f>
        <v>20040006</v>
      </c>
      <c r="E3" t="str" cm="1">
        <f t="array" ref="E3">INDEX('Linha 03'!$B$4:$B$1000,B3)</f>
        <v>Amaciante Aquafast Azul Fresc. Manha Cx/06 X 2l</v>
      </c>
      <c r="F3" cm="1">
        <f t="array" ref="F3">INDEX('Linha 03'!$C$3:$ZZ$3,C3)</f>
        <v>20040006</v>
      </c>
      <c r="G3" t="str" cm="1">
        <f t="array" ref="G3">INDEX('Linha 03'!$C$2:$ZZ$2,C3)</f>
        <v>Amaciante Aquafast Azul Fresc. Manha Cx/06 X 2l</v>
      </c>
      <c r="H3" s="5" cm="1">
        <f t="array" ref="H3">INDEX('Linha 03'!$C$4:$ZZ$1000,B3,C3)</f>
        <v>0</v>
      </c>
    </row>
    <row r="4" spans="1:8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03'!$A$4:$A$1000,B4)</f>
        <v>20040006</v>
      </c>
      <c r="E4" t="str" cm="1">
        <f t="array" ref="E4">INDEX('Linha 03'!$B$4:$B$1000,B4)</f>
        <v>Amaciante Aquafast Azul Fresc. Manha Cx/06 X 2l</v>
      </c>
      <c r="F4" cm="1">
        <f t="array" ref="F4">INDEX('Linha 03'!$C$3:$ZZ$3,C4)</f>
        <v>20040008</v>
      </c>
      <c r="G4" t="str" cm="1">
        <f t="array" ref="G4">INDEX('Linha 03'!$C$2:$ZZ$2,C4)</f>
        <v>Amaciante Aquafast Rosa Jard. Florid Cx/06 X 2l</v>
      </c>
      <c r="H4" s="5" cm="1">
        <f t="array" ref="H4">INDEX('Linha 03'!$C$4:$ZZ$1000,B4,C4)</f>
        <v>1.0416666666666666E-2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03'!$A$4:$A$1000,B5)</f>
        <v>20040006</v>
      </c>
      <c r="E5" t="str" cm="1">
        <f t="array" ref="E5">INDEX('Linha 03'!$B$4:$B$1000,B5)</f>
        <v>Amaciante Aquafast Azul Fresc. Manha Cx/06 X 2l</v>
      </c>
      <c r="F5" cm="1">
        <f t="array" ref="F5">INDEX('Linha 03'!$C$3:$ZZ$3,C5)</f>
        <v>20040009</v>
      </c>
      <c r="G5" t="str" cm="1">
        <f t="array" ref="G5">INDEX('Linha 03'!$C$2:$ZZ$2,C5)</f>
        <v>Amaciante Aquafast Branco Pura Caric. Cx/06 X 2l</v>
      </c>
      <c r="H5" s="5" cm="1">
        <f t="array" ref="H5">INDEX('Linha 03'!$C$4:$ZZ$1000,B5,C5)</f>
        <v>1.0416666666666666E-2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03'!$A$4:$A$1000,B6)</f>
        <v>20040006</v>
      </c>
      <c r="E6" t="str" cm="1">
        <f t="array" ref="E6">INDEX('Linha 03'!$B$4:$B$1000,B6)</f>
        <v>Amaciante Aquafast Azul Fresc. Manha Cx/06 X 2l</v>
      </c>
      <c r="F6" cm="1">
        <f t="array" ref="F6">INDEX('Linha 03'!$C$3:$ZZ$3,C6)</f>
        <v>20040026</v>
      </c>
      <c r="G6" t="str" cm="1">
        <f t="array" ref="G6">INDEX('Linha 03'!$C$2:$ZZ$2,C6)</f>
        <v>Amaciante Ito Azul Cx/06 X 2l</v>
      </c>
      <c r="H6" s="5" cm="1">
        <f t="array" ref="H6">INDEX('Linha 03'!$C$4:$ZZ$1000,B6,C6)</f>
        <v>1.0416666666666701E-2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03'!$A$4:$A$1000,B7)</f>
        <v>20040006</v>
      </c>
      <c r="E7" t="str" cm="1">
        <f t="array" ref="E7">INDEX('Linha 03'!$B$4:$B$1000,B7)</f>
        <v>Amaciante Aquafast Azul Fresc. Manha Cx/06 X 2l</v>
      </c>
      <c r="F7" cm="1">
        <f t="array" ref="F7">INDEX('Linha 03'!$C$3:$ZZ$3,C7)</f>
        <v>20040028</v>
      </c>
      <c r="G7" t="str" cm="1">
        <f t="array" ref="G7">INDEX('Linha 03'!$C$2:$ZZ$2,C7)</f>
        <v>Amaciante Ito Rosa Cx/06 X 2l</v>
      </c>
      <c r="H7" s="5" cm="1">
        <f t="array" ref="H7">INDEX('Linha 03'!$C$4:$ZZ$1000,B7,C7)</f>
        <v>1.0416666666666701E-2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03'!$A$4:$A$1000,B8)</f>
        <v>20040006</v>
      </c>
      <c r="E8" t="str" cm="1">
        <f t="array" ref="E8">INDEX('Linha 03'!$B$4:$B$1000,B8)</f>
        <v>Amaciante Aquafast Azul Fresc. Manha Cx/06 X 2l</v>
      </c>
      <c r="F8" cm="1">
        <f t="array" ref="F8">INDEX('Linha 03'!$C$3:$ZZ$3,C8)</f>
        <v>20040029</v>
      </c>
      <c r="G8" t="str" cm="1">
        <f t="array" ref="G8">INDEX('Linha 03'!$C$2:$ZZ$2,C8)</f>
        <v>Amaciante Ito Branco Cx/06 X 2l</v>
      </c>
      <c r="H8" s="5" cm="1">
        <f t="array" ref="H8">INDEX('Linha 03'!$C$4:$ZZ$1000,B8,C8)</f>
        <v>1.0416666666666701E-2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03'!$A$4:$A$1000,B9)</f>
        <v>20040006</v>
      </c>
      <c r="E9" t="str" cm="1">
        <f t="array" ref="E9">INDEX('Linha 03'!$B$4:$B$1000,B9)</f>
        <v>Amaciante Aquafast Azul Fresc. Manha Cx/06 X 2l</v>
      </c>
      <c r="F9" cm="1">
        <f t="array" ref="F9">INDEX('Linha 03'!$C$3:$ZZ$3,C9)</f>
        <v>20040055</v>
      </c>
      <c r="G9" t="str" cm="1">
        <f t="array" ref="G9">INDEX('Linha 03'!$C$2:$ZZ$2,C9)</f>
        <v>Amaciante Myata Azul Cx/06 X 2l</v>
      </c>
      <c r="H9" s="5" cm="1">
        <f t="array" ref="H9">INDEX('Linha 03'!$C$4:$ZZ$1000,B9,C9)</f>
        <v>1.0416666666666701E-2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03'!$A$4:$A$1000,B10)</f>
        <v>20040006</v>
      </c>
      <c r="E10" t="str" cm="1">
        <f t="array" ref="E10">INDEX('Linha 03'!$B$4:$B$1000,B10)</f>
        <v>Amaciante Aquafast Azul Fresc. Manha Cx/06 X 2l</v>
      </c>
      <c r="F10" cm="1">
        <f t="array" ref="F10">INDEX('Linha 03'!$C$3:$ZZ$3,C10)</f>
        <v>20040057</v>
      </c>
      <c r="G10" t="str" cm="1">
        <f t="array" ref="G10">INDEX('Linha 03'!$C$2:$ZZ$2,C10)</f>
        <v>Amaciante Myata Rosa Cx/06 X 2l</v>
      </c>
      <c r="H10" s="5" cm="1">
        <f t="array" ref="H10">INDEX('Linha 03'!$C$4:$ZZ$1000,B10,C10)</f>
        <v>1.0416666666666701E-2</v>
      </c>
    </row>
    <row r="11" spans="1:8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03'!$A$4:$A$1000,B11)</f>
        <v>20040006</v>
      </c>
      <c r="E11" t="str" cm="1">
        <f t="array" ref="E11">INDEX('Linha 03'!$B$4:$B$1000,B11)</f>
        <v>Amaciante Aquafast Azul Fresc. Manha Cx/06 X 2l</v>
      </c>
      <c r="F11" cm="1">
        <f t="array" ref="F11">INDEX('Linha 03'!$C$3:$ZZ$3,C11)</f>
        <v>20040084</v>
      </c>
      <c r="G11" t="str" cm="1">
        <f t="array" ref="G11">INDEX('Linha 03'!$C$2:$ZZ$2,C11)</f>
        <v>Amaciante Aquafast Vermelho Seducao Cx C/06 X 2l</v>
      </c>
      <c r="H11" s="5" cm="1">
        <f t="array" ref="H11">INDEX('Linha 03'!$C$4:$ZZ$1000,B11,C11)</f>
        <v>1.0416666666666701E-2</v>
      </c>
    </row>
    <row r="12" spans="1:8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03'!$A$4:$A$1000,B12)</f>
        <v>20040006</v>
      </c>
      <c r="E12" t="str" cm="1">
        <f t="array" ref="E12">INDEX('Linha 03'!$B$4:$B$1000,B12)</f>
        <v>Amaciante Aquafast Azul Fresc. Manha Cx/06 X 2l</v>
      </c>
      <c r="F12" cm="1">
        <f t="array" ref="F12">INDEX('Linha 03'!$C$3:$ZZ$3,C12)</f>
        <v>20040089</v>
      </c>
      <c r="G12" t="str" cm="1">
        <f t="array" ref="G12">INDEX('Linha 03'!$C$2:$ZZ$2,C12)</f>
        <v>Amaciante Aquafast Roxo Magia Cx/06 X 2l</v>
      </c>
      <c r="H12" s="5" cm="1">
        <f t="array" ref="H12">INDEX('Linha 03'!$C$4:$ZZ$1000,B12,C12)</f>
        <v>1.0416666666666701E-2</v>
      </c>
    </row>
    <row r="13" spans="1:8" x14ac:dyDescent="0.25">
      <c r="A13">
        <v>11</v>
      </c>
      <c r="B13">
        <f t="shared" si="0"/>
        <v>1</v>
      </c>
      <c r="C13">
        <f t="shared" si="1"/>
        <v>11</v>
      </c>
      <c r="D13" cm="1">
        <f t="array" ref="D13">INDEX('Linha 03'!$A$4:$A$1000,B13)</f>
        <v>20040006</v>
      </c>
      <c r="E13" t="str" cm="1">
        <f t="array" ref="E13">INDEX('Linha 03'!$B$4:$B$1000,B13)</f>
        <v>Amaciante Aquafast Azul Fresc. Manha Cx/06 X 2l</v>
      </c>
      <c r="F13" cm="1">
        <f t="array" ref="F13">INDEX('Linha 03'!$C$3:$ZZ$3,C13)</f>
        <v>20040094</v>
      </c>
      <c r="G13" t="str" cm="1">
        <f t="array" ref="G13">INDEX('Linha 03'!$C$2:$ZZ$2,C13)</f>
        <v>Amaciante Aquafast Energia Cx/06 X 2l</v>
      </c>
      <c r="H13" s="5" cm="1">
        <f t="array" ref="H13">INDEX('Linha 03'!$C$4:$ZZ$1000,B13,C13)</f>
        <v>1.0416666666666701E-2</v>
      </c>
    </row>
    <row r="14" spans="1:8" x14ac:dyDescent="0.25">
      <c r="A14">
        <v>12</v>
      </c>
      <c r="B14">
        <f t="shared" si="0"/>
        <v>1</v>
      </c>
      <c r="C14">
        <f t="shared" si="1"/>
        <v>12</v>
      </c>
      <c r="D14" cm="1">
        <f t="array" ref="D14">INDEX('Linha 03'!$A$4:$A$1000,B14)</f>
        <v>20040006</v>
      </c>
      <c r="E14" t="str" cm="1">
        <f t="array" ref="E14">INDEX('Linha 03'!$B$4:$B$1000,B14)</f>
        <v>Amaciante Aquafast Azul Fresc. Manha Cx/06 X 2l</v>
      </c>
      <c r="F14" cm="1">
        <f t="array" ref="F14">INDEX('Linha 03'!$C$3:$ZZ$3,C14)</f>
        <v>20050010</v>
      </c>
      <c r="G14" t="str" cm="1">
        <f t="array" ref="G14">INDEX('Linha 03'!$C$2:$ZZ$2,C14)</f>
        <v>Desinfetante Aquafast Campos Lavanda Cx/06 X 2l</v>
      </c>
      <c r="H14" s="5" cm="1">
        <f t="array" ref="H14">INDEX('Linha 03'!$C$4:$ZZ$1000,B14,C14)</f>
        <v>1.0416666666666666E-2</v>
      </c>
    </row>
    <row r="15" spans="1:8" x14ac:dyDescent="0.25">
      <c r="A15">
        <v>13</v>
      </c>
      <c r="B15">
        <f t="shared" si="0"/>
        <v>1</v>
      </c>
      <c r="C15">
        <f t="shared" si="1"/>
        <v>13</v>
      </c>
      <c r="D15" cm="1">
        <f t="array" ref="D15">INDEX('Linha 03'!$A$4:$A$1000,B15)</f>
        <v>20040006</v>
      </c>
      <c r="E15" t="str" cm="1">
        <f t="array" ref="E15">INDEX('Linha 03'!$B$4:$B$1000,B15)</f>
        <v>Amaciante Aquafast Azul Fresc. Manha Cx/06 X 2l</v>
      </c>
      <c r="F15" cm="1">
        <f t="array" ref="F15">INDEX('Linha 03'!$C$3:$ZZ$3,C15)</f>
        <v>20050011</v>
      </c>
      <c r="G15" t="str" cm="1">
        <f t="array" ref="G15">INDEX('Linha 03'!$C$2:$ZZ$2,C15)</f>
        <v>Desinfetante Aquafast Jardim Florido Cx/06 X 2l</v>
      </c>
      <c r="H15" s="5" cm="1">
        <f t="array" ref="H15">INDEX('Linha 03'!$C$4:$ZZ$1000,B15,C15)</f>
        <v>1.04166666666666E-2</v>
      </c>
    </row>
    <row r="16" spans="1:8" x14ac:dyDescent="0.25">
      <c r="A16">
        <v>14</v>
      </c>
      <c r="B16">
        <f t="shared" si="0"/>
        <v>1</v>
      </c>
      <c r="C16">
        <f t="shared" si="1"/>
        <v>14</v>
      </c>
      <c r="D16" cm="1">
        <f t="array" ref="D16">INDEX('Linha 03'!$A$4:$A$1000,B16)</f>
        <v>20040006</v>
      </c>
      <c r="E16" t="str" cm="1">
        <f t="array" ref="E16">INDEX('Linha 03'!$B$4:$B$1000,B16)</f>
        <v>Amaciante Aquafast Azul Fresc. Manha Cx/06 X 2l</v>
      </c>
      <c r="F16" cm="1">
        <f t="array" ref="F16">INDEX('Linha 03'!$C$3:$ZZ$3,C16)</f>
        <v>20050016</v>
      </c>
      <c r="G16" t="str" cm="1">
        <f t="array" ref="G16">INDEX('Linha 03'!$C$2:$ZZ$2,C16)</f>
        <v>Desinfetante Aquafast Marine Cx/06 X 2l</v>
      </c>
      <c r="H16" s="5" cm="1">
        <f t="array" ref="H16">INDEX('Linha 03'!$C$4:$ZZ$1000,B16,C16)</f>
        <v>1.04166666666666E-2</v>
      </c>
    </row>
    <row r="17" spans="1:8" x14ac:dyDescent="0.25">
      <c r="A17">
        <v>15</v>
      </c>
      <c r="B17">
        <f t="shared" si="0"/>
        <v>1</v>
      </c>
      <c r="C17">
        <f t="shared" si="1"/>
        <v>15</v>
      </c>
      <c r="D17" cm="1">
        <f t="array" ref="D17">INDEX('Linha 03'!$A$4:$A$1000,B17)</f>
        <v>20040006</v>
      </c>
      <c r="E17" t="str" cm="1">
        <f t="array" ref="E17">INDEX('Linha 03'!$B$4:$B$1000,B17)</f>
        <v>Amaciante Aquafast Azul Fresc. Manha Cx/06 X 2l</v>
      </c>
      <c r="F17" cm="1">
        <f t="array" ref="F17">INDEX('Linha 03'!$C$3:$ZZ$3,C17)</f>
        <v>20050031</v>
      </c>
      <c r="G17" t="str" cm="1">
        <f t="array" ref="G17">INDEX('Linha 03'!$C$2:$ZZ$2,C17)</f>
        <v>Desinfetante Ito Lavanda Cx/06 X 2l</v>
      </c>
      <c r="H17" s="5" cm="1">
        <f t="array" ref="H17">INDEX('Linha 03'!$C$4:$ZZ$1000,B17,C17)</f>
        <v>1.04166666666666E-2</v>
      </c>
    </row>
    <row r="18" spans="1:8" x14ac:dyDescent="0.25">
      <c r="A18">
        <v>16</v>
      </c>
      <c r="B18">
        <f t="shared" si="0"/>
        <v>1</v>
      </c>
      <c r="C18">
        <f t="shared" si="1"/>
        <v>16</v>
      </c>
      <c r="D18" cm="1">
        <f t="array" ref="D18">INDEX('Linha 03'!$A$4:$A$1000,B18)</f>
        <v>20040006</v>
      </c>
      <c r="E18" t="str" cm="1">
        <f t="array" ref="E18">INDEX('Linha 03'!$B$4:$B$1000,B18)</f>
        <v>Amaciante Aquafast Azul Fresc. Manha Cx/06 X 2l</v>
      </c>
      <c r="F18" cm="1">
        <f t="array" ref="F18">INDEX('Linha 03'!$C$3:$ZZ$3,C18)</f>
        <v>20050032</v>
      </c>
      <c r="G18" t="str" cm="1">
        <f t="array" ref="G18">INDEX('Linha 03'!$C$2:$ZZ$2,C18)</f>
        <v>Desinfetante Ito Floral Cx/06 X 2l</v>
      </c>
      <c r="H18" s="5" cm="1">
        <f t="array" ref="H18">INDEX('Linha 03'!$C$4:$ZZ$1000,B18,C18)</f>
        <v>1.04166666666665E-2</v>
      </c>
    </row>
    <row r="19" spans="1:8" x14ac:dyDescent="0.25">
      <c r="A19">
        <v>17</v>
      </c>
      <c r="B19">
        <f t="shared" si="0"/>
        <v>1</v>
      </c>
      <c r="C19">
        <f t="shared" si="1"/>
        <v>17</v>
      </c>
      <c r="D19" cm="1">
        <f t="array" ref="D19">INDEX('Linha 03'!$A$4:$A$1000,B19)</f>
        <v>20040006</v>
      </c>
      <c r="E19" t="str" cm="1">
        <f t="array" ref="E19">INDEX('Linha 03'!$B$4:$B$1000,B19)</f>
        <v>Amaciante Aquafast Azul Fresc. Manha Cx/06 X 2l</v>
      </c>
      <c r="F19" cm="1">
        <f t="array" ref="F19">INDEX('Linha 03'!$C$3:$ZZ$3,C19)</f>
        <v>20050034</v>
      </c>
      <c r="G19" t="str" cm="1">
        <f t="array" ref="G19">INDEX('Linha 03'!$C$2:$ZZ$2,C19)</f>
        <v>Desinfetante Ito Eucalipto Cx/06 X 2l</v>
      </c>
      <c r="H19" s="5" cm="1">
        <f t="array" ref="H19">INDEX('Linha 03'!$C$4:$ZZ$1000,B19,C19)</f>
        <v>1.04166666666665E-2</v>
      </c>
    </row>
    <row r="20" spans="1:8" x14ac:dyDescent="0.25">
      <c r="A20">
        <v>18</v>
      </c>
      <c r="B20">
        <f t="shared" si="0"/>
        <v>1</v>
      </c>
      <c r="C20">
        <f t="shared" si="1"/>
        <v>18</v>
      </c>
      <c r="D20" cm="1">
        <f t="array" ref="D20">INDEX('Linha 03'!$A$4:$A$1000,B20)</f>
        <v>20040006</v>
      </c>
      <c r="E20" t="str" cm="1">
        <f t="array" ref="E20">INDEX('Linha 03'!$B$4:$B$1000,B20)</f>
        <v>Amaciante Aquafast Azul Fresc. Manha Cx/06 X 2l</v>
      </c>
      <c r="F20" cm="1">
        <f t="array" ref="F20">INDEX('Linha 03'!$C$3:$ZZ$3,C20)</f>
        <v>20050077</v>
      </c>
      <c r="G20" t="str" cm="1">
        <f t="array" ref="G20">INDEX('Linha 03'!$C$2:$ZZ$2,C20)</f>
        <v>Desinfetante Myata Lavanda Cx/06 X 2l</v>
      </c>
      <c r="H20" s="5" cm="1">
        <f t="array" ref="H20">INDEX('Linha 03'!$C$4:$ZZ$1000,B20,C20)</f>
        <v>1.04166666666665E-2</v>
      </c>
    </row>
    <row r="21" spans="1:8" x14ac:dyDescent="0.25">
      <c r="A21">
        <v>19</v>
      </c>
      <c r="B21">
        <f t="shared" si="0"/>
        <v>1</v>
      </c>
      <c r="C21">
        <f t="shared" si="1"/>
        <v>19</v>
      </c>
      <c r="D21" cm="1">
        <f t="array" ref="D21">INDEX('Linha 03'!$A$4:$A$1000,B21)</f>
        <v>20040006</v>
      </c>
      <c r="E21" t="str" cm="1">
        <f t="array" ref="E21">INDEX('Linha 03'!$B$4:$B$1000,B21)</f>
        <v>Amaciante Aquafast Azul Fresc. Manha Cx/06 X 2l</v>
      </c>
      <c r="F21" cm="1">
        <f t="array" ref="F21">INDEX('Linha 03'!$C$3:$ZZ$3,C21)</f>
        <v>20050078</v>
      </c>
      <c r="G21" t="str" cm="1">
        <f t="array" ref="G21">INDEX('Linha 03'!$C$2:$ZZ$2,C21)</f>
        <v>Desinfetante Myata Floral Cx/06 X 2l</v>
      </c>
      <c r="H21" s="5" cm="1">
        <f t="array" ref="H21">INDEX('Linha 03'!$C$4:$ZZ$1000,B21,C21)</f>
        <v>1.0416666666666401E-2</v>
      </c>
    </row>
    <row r="22" spans="1:8" x14ac:dyDescent="0.25">
      <c r="A22">
        <v>20</v>
      </c>
      <c r="B22">
        <f t="shared" si="0"/>
        <v>1</v>
      </c>
      <c r="C22">
        <f t="shared" si="1"/>
        <v>20</v>
      </c>
      <c r="D22" cm="1">
        <f t="array" ref="D22">INDEX('Linha 03'!$A$4:$A$1000,B22)</f>
        <v>20040006</v>
      </c>
      <c r="E22" t="str" cm="1">
        <f t="array" ref="E22">INDEX('Linha 03'!$B$4:$B$1000,B22)</f>
        <v>Amaciante Aquafast Azul Fresc. Manha Cx/06 X 2l</v>
      </c>
      <c r="F22" cm="1">
        <f t="array" ref="F22">INDEX('Linha 03'!$C$3:$ZZ$3,C22)</f>
        <v>20050115</v>
      </c>
      <c r="G22" t="str" cm="1">
        <f t="array" ref="G22">INDEX('Linha 03'!$C$2:$ZZ$2,C22)</f>
        <v>Desinfetante Aquafast Paixao Cx/06 X 2l</v>
      </c>
      <c r="H22" s="5" cm="1">
        <f t="array" ref="H22">INDEX('Linha 03'!$C$4:$ZZ$1000,B22,C22)</f>
        <v>1.0416666666666401E-2</v>
      </c>
    </row>
    <row r="23" spans="1:8" x14ac:dyDescent="0.25">
      <c r="A23">
        <v>21</v>
      </c>
      <c r="B23">
        <f t="shared" si="0"/>
        <v>1</v>
      </c>
      <c r="C23">
        <f t="shared" si="1"/>
        <v>21</v>
      </c>
      <c r="D23" cm="1">
        <f t="array" ref="D23">INDEX('Linha 03'!$A$4:$A$1000,B23)</f>
        <v>20040006</v>
      </c>
      <c r="E23" t="str" cm="1">
        <f t="array" ref="E23">INDEX('Linha 03'!$B$4:$B$1000,B23)</f>
        <v>Amaciante Aquafast Azul Fresc. Manha Cx/06 X 2l</v>
      </c>
      <c r="F23" cm="1">
        <f t="array" ref="F23">INDEX('Linha 03'!$C$3:$ZZ$3,C23)</f>
        <v>20050117</v>
      </c>
      <c r="G23" t="str" cm="1">
        <f t="array" ref="G23">INDEX('Linha 03'!$C$2:$ZZ$2,C23)</f>
        <v>Desinfetante Aquafast Harmonia Natural Cx/06 X 2l</v>
      </c>
      <c r="H23" s="5" cm="1">
        <f t="array" ref="H23">INDEX('Linha 03'!$C$4:$ZZ$1000,B23,C23)</f>
        <v>1.0416666666666401E-2</v>
      </c>
    </row>
    <row r="24" spans="1:8" x14ac:dyDescent="0.25">
      <c r="A24">
        <v>22</v>
      </c>
      <c r="B24">
        <f t="shared" si="0"/>
        <v>1</v>
      </c>
      <c r="C24">
        <f t="shared" si="1"/>
        <v>22</v>
      </c>
      <c r="D24" cm="1">
        <f t="array" ref="D24">INDEX('Linha 03'!$A$4:$A$1000,B24)</f>
        <v>20040006</v>
      </c>
      <c r="E24" t="str" cm="1">
        <f t="array" ref="E24">INDEX('Linha 03'!$B$4:$B$1000,B24)</f>
        <v>Amaciante Aquafast Azul Fresc. Manha Cx/06 X 2l</v>
      </c>
      <c r="F24" cm="1">
        <f t="array" ref="F24">INDEX('Linha 03'!$C$3:$ZZ$3,C24)</f>
        <v>20050123</v>
      </c>
      <c r="G24" t="str" cm="1">
        <f t="array" ref="G24">INDEX('Linha 03'!$C$2:$ZZ$2,C24)</f>
        <v>Desinfetante Ito Harmonia Natural Cx/06 X 2l</v>
      </c>
      <c r="H24" s="5" cm="1">
        <f t="array" ref="H24">INDEX('Linha 03'!$C$4:$ZZ$1000,B24,C24)</f>
        <v>1.04166666666663E-2</v>
      </c>
    </row>
    <row r="25" spans="1:8" x14ac:dyDescent="0.25">
      <c r="A25">
        <v>23</v>
      </c>
      <c r="B25">
        <f t="shared" si="0"/>
        <v>1</v>
      </c>
      <c r="C25">
        <f t="shared" si="1"/>
        <v>23</v>
      </c>
      <c r="D25" cm="1">
        <f t="array" ref="D25">INDEX('Linha 03'!$A$4:$A$1000,B25)</f>
        <v>20040006</v>
      </c>
      <c r="E25" t="str" cm="1">
        <f t="array" ref="E25">INDEX('Linha 03'!$B$4:$B$1000,B25)</f>
        <v>Amaciante Aquafast Azul Fresc. Manha Cx/06 X 2l</v>
      </c>
      <c r="F25" cm="1">
        <f t="array" ref="F25">INDEX('Linha 03'!$C$3:$ZZ$3,C25)</f>
        <v>20050124</v>
      </c>
      <c r="G25" t="str" cm="1">
        <f t="array" ref="G25">INDEX('Linha 03'!$C$2:$ZZ$2,C25)</f>
        <v>Desinfetante Myata Harmonia Natural Cx/06 X 2l</v>
      </c>
      <c r="H25" s="5" cm="1">
        <f t="array" ref="H25">INDEX('Linha 03'!$C$4:$ZZ$1000,B25,C25)</f>
        <v>1.04166666666663E-2</v>
      </c>
    </row>
    <row r="26" spans="1:8" x14ac:dyDescent="0.25">
      <c r="A26">
        <v>24</v>
      </c>
      <c r="B26">
        <f t="shared" si="0"/>
        <v>1</v>
      </c>
      <c r="C26">
        <f t="shared" si="1"/>
        <v>24</v>
      </c>
      <c r="D26" cm="1">
        <f t="array" ref="D26">INDEX('Linha 03'!$A$4:$A$1000,B26)</f>
        <v>20040006</v>
      </c>
      <c r="E26" t="str" cm="1">
        <f t="array" ref="E26">INDEX('Linha 03'!$B$4:$B$1000,B26)</f>
        <v>Amaciante Aquafast Azul Fresc. Manha Cx/06 X 2l</v>
      </c>
      <c r="F26" cm="1">
        <f t="array" ref="F26">INDEX('Linha 03'!$C$3:$ZZ$3,C26)</f>
        <v>20050142</v>
      </c>
      <c r="G26" t="str" cm="1">
        <f t="array" ref="G26">INDEX('Linha 03'!$C$2:$ZZ$2,C26)</f>
        <v>Desinfetante Ito Marine Cx/06 X 2l</v>
      </c>
      <c r="H26" s="5" cm="1">
        <f t="array" ref="H26">INDEX('Linha 03'!$C$4:$ZZ$1000,B26,C26)</f>
        <v>1.0416666666666199E-2</v>
      </c>
    </row>
    <row r="27" spans="1:8" x14ac:dyDescent="0.25">
      <c r="A27">
        <v>25</v>
      </c>
      <c r="B27">
        <f t="shared" si="0"/>
        <v>1</v>
      </c>
      <c r="C27">
        <f t="shared" si="1"/>
        <v>25</v>
      </c>
      <c r="D27" cm="1">
        <f t="array" ref="D27">INDEX('Linha 03'!$A$4:$A$1000,B27)</f>
        <v>20040006</v>
      </c>
      <c r="E27" t="str" cm="1">
        <f t="array" ref="E27">INDEX('Linha 03'!$B$4:$B$1000,B27)</f>
        <v>Amaciante Aquafast Azul Fresc. Manha Cx/06 X 2l</v>
      </c>
      <c r="F27" cm="1">
        <f t="array" ref="F27">INDEX('Linha 03'!$C$3:$ZZ$3,C27)</f>
        <v>20050159</v>
      </c>
      <c r="G27" t="str" cm="1">
        <f t="array" ref="G27">INDEX('Linha 03'!$C$2:$ZZ$2,C27)</f>
        <v>Desinfetante Aquafast Cha Branco Cx/06 X 2l</v>
      </c>
      <c r="H27" s="5" cm="1">
        <f t="array" ref="H27">INDEX('Linha 03'!$C$4:$ZZ$1000,B27,C27)</f>
        <v>1.3888888888888888E-2</v>
      </c>
    </row>
    <row r="28" spans="1:8" x14ac:dyDescent="0.25">
      <c r="A28">
        <v>26</v>
      </c>
      <c r="B28">
        <f t="shared" si="0"/>
        <v>1</v>
      </c>
      <c r="C28">
        <f t="shared" si="1"/>
        <v>26</v>
      </c>
      <c r="D28" cm="1">
        <f t="array" ref="D28">INDEX('Linha 03'!$A$4:$A$1000,B28)</f>
        <v>20040006</v>
      </c>
      <c r="E28" t="str" cm="1">
        <f t="array" ref="E28">INDEX('Linha 03'!$B$4:$B$1000,B28)</f>
        <v>Amaciante Aquafast Azul Fresc. Manha Cx/06 X 2l</v>
      </c>
      <c r="F28" cm="1">
        <f t="array" ref="F28">INDEX('Linha 03'!$C$3:$ZZ$3,C28)</f>
        <v>20060007</v>
      </c>
      <c r="G28" t="str" cm="1">
        <f t="array" ref="G28">INDEX('Linha 03'!$C$2:$ZZ$2,C28)</f>
        <v>Limp Perf Aquafast Magia Seducao Cx/06 X 2l (Promoc)</v>
      </c>
      <c r="H28" s="5" cm="1">
        <f t="array" ref="H28">INDEX('Linha 03'!$C$4:$ZZ$1000,B28,C28)</f>
        <v>0</v>
      </c>
    </row>
    <row r="29" spans="1:8" x14ac:dyDescent="0.25">
      <c r="A29">
        <v>27</v>
      </c>
      <c r="B29">
        <f t="shared" si="0"/>
        <v>1</v>
      </c>
      <c r="C29">
        <f t="shared" si="1"/>
        <v>27</v>
      </c>
      <c r="D29" cm="1">
        <f t="array" ref="D29">INDEX('Linha 03'!$A$4:$A$1000,B29)</f>
        <v>20040006</v>
      </c>
      <c r="E29" t="str" cm="1">
        <f t="array" ref="E29">INDEX('Linha 03'!$B$4:$B$1000,B29)</f>
        <v>Amaciante Aquafast Azul Fresc. Manha Cx/06 X 2l</v>
      </c>
      <c r="F29" cm="1">
        <f t="array" ref="F29">INDEX('Linha 03'!$C$3:$ZZ$3,C29)</f>
        <v>20060009</v>
      </c>
      <c r="G29" t="str" cm="1">
        <f t="array" ref="G29">INDEX('Linha 03'!$C$2:$ZZ$2,C29)</f>
        <v>Limp Perf Aquafast Frescor Da Manha Cx/06 X 2l (Promoc)</v>
      </c>
      <c r="H29" s="5" cm="1">
        <f t="array" ref="H29">INDEX('Linha 03'!$C$4:$ZZ$1000,B29,C29)</f>
        <v>0</v>
      </c>
    </row>
    <row r="30" spans="1:8" x14ac:dyDescent="0.25">
      <c r="A30">
        <v>28</v>
      </c>
      <c r="B30">
        <f t="shared" si="0"/>
        <v>1</v>
      </c>
      <c r="C30">
        <f t="shared" si="1"/>
        <v>28</v>
      </c>
      <c r="D30" cm="1">
        <f t="array" ref="D30">INDEX('Linha 03'!$A$4:$A$1000,B30)</f>
        <v>20040006</v>
      </c>
      <c r="E30" t="str" cm="1">
        <f t="array" ref="E30">INDEX('Linha 03'!$B$4:$B$1000,B30)</f>
        <v>Amaciante Aquafast Azul Fresc. Manha Cx/06 X 2l</v>
      </c>
      <c r="F30" cm="1">
        <f t="array" ref="F30">INDEX('Linha 03'!$C$3:$ZZ$3,C30)</f>
        <v>20060017</v>
      </c>
      <c r="G30" t="str" cm="1">
        <f t="array" ref="G30">INDEX('Linha 03'!$C$2:$ZZ$2,C30)</f>
        <v>Limp Perf Aquafast Doce Romance Cx/06 X 2l (Promoc)</v>
      </c>
      <c r="H30" s="5" cm="1">
        <f t="array" ref="H30">INDEX('Linha 03'!$C$4:$ZZ$1000,B30,C30)</f>
        <v>0</v>
      </c>
    </row>
    <row r="31" spans="1:8" x14ac:dyDescent="0.25">
      <c r="A31">
        <v>29</v>
      </c>
      <c r="B31">
        <f t="shared" si="0"/>
        <v>1</v>
      </c>
      <c r="C31">
        <f t="shared" si="1"/>
        <v>29</v>
      </c>
      <c r="D31" cm="1">
        <f t="array" ref="D31">INDEX('Linha 03'!$A$4:$A$1000,B31)</f>
        <v>20040006</v>
      </c>
      <c r="E31" t="str" cm="1">
        <f t="array" ref="E31">INDEX('Linha 03'!$B$4:$B$1000,B31)</f>
        <v>Amaciante Aquafast Azul Fresc. Manha Cx/06 X 2l</v>
      </c>
      <c r="F31" cm="1">
        <f t="array" ref="F31">INDEX('Linha 03'!$C$3:$ZZ$3,C31)</f>
        <v>20060028</v>
      </c>
      <c r="G31" t="str" cm="1">
        <f t="array" ref="G31">INDEX('Linha 03'!$C$2:$ZZ$2,C31)</f>
        <v>Limp Perf Aquafast Essencia Natural Cx06 X 2l</v>
      </c>
      <c r="H31" s="5" cm="1">
        <f t="array" ref="H31">INDEX('Linha 03'!$C$4:$ZZ$1000,B31,C31)</f>
        <v>0</v>
      </c>
    </row>
    <row r="32" spans="1:8" x14ac:dyDescent="0.25">
      <c r="A32">
        <v>30</v>
      </c>
      <c r="B32">
        <f t="shared" si="0"/>
        <v>1</v>
      </c>
      <c r="C32">
        <f t="shared" si="1"/>
        <v>30</v>
      </c>
      <c r="D32" cm="1">
        <f t="array" ref="D32">INDEX('Linha 03'!$A$4:$A$1000,B32)</f>
        <v>20040006</v>
      </c>
      <c r="E32" t="str" cm="1">
        <f t="array" ref="E32">INDEX('Linha 03'!$B$4:$B$1000,B32)</f>
        <v>Amaciante Aquafast Azul Fresc. Manha Cx/06 X 2l</v>
      </c>
      <c r="F32" cm="1">
        <f t="array" ref="F32">INDEX('Linha 03'!$C$3:$ZZ$3,C32)</f>
        <v>20200003</v>
      </c>
      <c r="G32" t="str" cm="1">
        <f t="array" ref="G32">INDEX('Linha 03'!$C$2:$ZZ$2,C32)</f>
        <v>Lava Roup. Aquafast Baby Cx/12 X 1l</v>
      </c>
      <c r="H32" s="5" cm="1">
        <f t="array" ref="H32">INDEX('Linha 03'!$C$4:$ZZ$1000,B32,C32)</f>
        <v>0</v>
      </c>
    </row>
    <row r="33" spans="1:8" x14ac:dyDescent="0.25">
      <c r="A33">
        <v>31</v>
      </c>
      <c r="B33">
        <f t="shared" si="0"/>
        <v>1</v>
      </c>
      <c r="C33">
        <f t="shared" si="1"/>
        <v>31</v>
      </c>
      <c r="D33" cm="1">
        <f t="array" ref="D33">INDEX('Linha 03'!$A$4:$A$1000,B33)</f>
        <v>20040006</v>
      </c>
      <c r="E33" t="str" cm="1">
        <f t="array" ref="E33">INDEX('Linha 03'!$B$4:$B$1000,B33)</f>
        <v>Amaciante Aquafast Azul Fresc. Manha Cx/06 X 2l</v>
      </c>
      <c r="F33" cm="1">
        <f t="array" ref="F33">INDEX('Linha 03'!$C$3:$ZZ$3,C33)</f>
        <v>20200005</v>
      </c>
      <c r="G33" t="str" cm="1">
        <f t="array" ref="G33">INDEX('Linha 03'!$C$2:$ZZ$2,C33)</f>
        <v>Lava Roupas Aquafast Multi Acao Cx/06 X 2l</v>
      </c>
      <c r="H33" s="5" cm="1">
        <f t="array" ref="H33">INDEX('Linha 03'!$C$4:$ZZ$1000,B33,C33)</f>
        <v>0</v>
      </c>
    </row>
    <row r="34" spans="1:8" x14ac:dyDescent="0.25">
      <c r="A34">
        <v>32</v>
      </c>
      <c r="B34">
        <f t="shared" si="0"/>
        <v>1</v>
      </c>
      <c r="C34">
        <f t="shared" si="1"/>
        <v>32</v>
      </c>
      <c r="D34" cm="1">
        <f t="array" ref="D34">INDEX('Linha 03'!$A$4:$A$1000,B34)</f>
        <v>20040006</v>
      </c>
      <c r="E34" t="str" cm="1">
        <f t="array" ref="E34">INDEX('Linha 03'!$B$4:$B$1000,B34)</f>
        <v>Amaciante Aquafast Azul Fresc. Manha Cx/06 X 2l</v>
      </c>
      <c r="F34" cm="1">
        <f t="array" ref="F34">INDEX('Linha 03'!$C$3:$ZZ$3,C34)</f>
        <v>20200006</v>
      </c>
      <c r="G34" t="str" cm="1">
        <f t="array" ref="G34">INDEX('Linha 03'!$C$2:$ZZ$2,C34)</f>
        <v>Lava Roupas Aquafast Glicerina Cx/06 X 2l</v>
      </c>
      <c r="H34" s="5" cm="1">
        <f t="array" ref="H34">INDEX('Linha 03'!$C$4:$ZZ$1000,B34,C34)</f>
        <v>0</v>
      </c>
    </row>
    <row r="35" spans="1:8" x14ac:dyDescent="0.25">
      <c r="A35">
        <v>33</v>
      </c>
      <c r="B35">
        <f t="shared" si="0"/>
        <v>1</v>
      </c>
      <c r="C35">
        <f t="shared" si="1"/>
        <v>33</v>
      </c>
      <c r="D35" cm="1">
        <f t="array" ref="D35">INDEX('Linha 03'!$A$4:$A$1000,B35)</f>
        <v>20040006</v>
      </c>
      <c r="E35" t="str" cm="1">
        <f t="array" ref="E35">INDEX('Linha 03'!$B$4:$B$1000,B35)</f>
        <v>Amaciante Aquafast Azul Fresc. Manha Cx/06 X 2l</v>
      </c>
      <c r="F35" cm="1">
        <f t="array" ref="F35">INDEX('Linha 03'!$C$3:$ZZ$3,C35)</f>
        <v>20200015</v>
      </c>
      <c r="G35" t="str" cm="1">
        <f t="array" ref="G35">INDEX('Linha 03'!$C$2:$ZZ$2,C35)</f>
        <v>Lava Roup. Aquafast Multiacao Cx/12 X 1l</v>
      </c>
      <c r="H35" s="5" cm="1">
        <f t="array" ref="H35">INDEX('Linha 03'!$C$4:$ZZ$1000,B35,C35)</f>
        <v>0</v>
      </c>
    </row>
    <row r="36" spans="1:8" x14ac:dyDescent="0.25">
      <c r="A36">
        <v>34</v>
      </c>
      <c r="B36">
        <f t="shared" si="0"/>
        <v>1</v>
      </c>
      <c r="C36">
        <f t="shared" si="1"/>
        <v>34</v>
      </c>
      <c r="D36" cm="1">
        <f t="array" ref="D36">INDEX('Linha 03'!$A$4:$A$1000,B36)</f>
        <v>20040006</v>
      </c>
      <c r="E36" t="str" cm="1">
        <f t="array" ref="E36">INDEX('Linha 03'!$B$4:$B$1000,B36)</f>
        <v>Amaciante Aquafast Azul Fresc. Manha Cx/06 X 2l</v>
      </c>
      <c r="F36" cm="1">
        <f t="array" ref="F36">INDEX('Linha 03'!$C$3:$ZZ$3,C36)</f>
        <v>20200036</v>
      </c>
      <c r="G36" t="str" cm="1">
        <f t="array" ref="G36">INDEX('Linha 03'!$C$2:$ZZ$2,C36)</f>
        <v>Lava Roupas Aquafast Ternura Cx/06 X 2l</v>
      </c>
      <c r="H36" s="5" cm="1">
        <f t="array" ref="H36">INDEX('Linha 03'!$C$4:$ZZ$1000,B36,C36)</f>
        <v>0</v>
      </c>
    </row>
    <row r="37" spans="1:8" x14ac:dyDescent="0.25">
      <c r="A37">
        <v>35</v>
      </c>
      <c r="B37">
        <f t="shared" si="0"/>
        <v>1</v>
      </c>
      <c r="C37">
        <f t="shared" si="1"/>
        <v>35</v>
      </c>
      <c r="D37" cm="1">
        <f t="array" ref="D37">INDEX('Linha 03'!$A$4:$A$1000,B37)</f>
        <v>20040006</v>
      </c>
      <c r="E37" t="str" cm="1">
        <f t="array" ref="E37">INDEX('Linha 03'!$B$4:$B$1000,B37)</f>
        <v>Amaciante Aquafast Azul Fresc. Manha Cx/06 X 2l</v>
      </c>
      <c r="F37" cm="1">
        <f t="array" ref="F37">INDEX('Linha 03'!$C$3:$ZZ$3,C37)</f>
        <v>20200063</v>
      </c>
      <c r="G37" t="str" cm="1">
        <f t="array" ref="G37">INDEX('Linha 03'!$C$2:$ZZ$2,C37)</f>
        <v>Lava Roup. Aquafast Tradicional Cx/12 X 1l</v>
      </c>
      <c r="H37" s="5" cm="1">
        <f t="array" ref="H37">INDEX('Linha 03'!$C$4:$ZZ$1000,B37,C37)</f>
        <v>0</v>
      </c>
    </row>
    <row r="38" spans="1:8" x14ac:dyDescent="0.25">
      <c r="A38">
        <v>36</v>
      </c>
      <c r="B38">
        <f t="shared" si="0"/>
        <v>1</v>
      </c>
      <c r="C38">
        <f t="shared" si="1"/>
        <v>36</v>
      </c>
      <c r="D38" cm="1">
        <f t="array" ref="D38">INDEX('Linha 03'!$A$4:$A$1000,B38)</f>
        <v>20040006</v>
      </c>
      <c r="E38" t="str" cm="1">
        <f t="array" ref="E38">INDEX('Linha 03'!$B$4:$B$1000,B38)</f>
        <v>Amaciante Aquafast Azul Fresc. Manha Cx/06 X 2l</v>
      </c>
      <c r="F38" cm="1">
        <f t="array" ref="F38">INDEX('Linha 03'!$C$3:$ZZ$3,C38)</f>
        <v>20200064</v>
      </c>
      <c r="G38" t="str" cm="1">
        <f t="array" ref="G38">INDEX('Linha 03'!$C$2:$ZZ$2,C38)</f>
        <v>Lava Roup. Aquafast Flores B. E Baunilha Cx/12 X 1l</v>
      </c>
      <c r="H38" s="5" cm="1">
        <f t="array" ref="H38">INDEX('Linha 03'!$C$4:$ZZ$1000,B38,C38)</f>
        <v>0</v>
      </c>
    </row>
    <row r="39" spans="1:8" x14ac:dyDescent="0.25">
      <c r="A39">
        <v>37</v>
      </c>
      <c r="B39">
        <f t="shared" si="0"/>
        <v>1</v>
      </c>
      <c r="C39">
        <f t="shared" si="1"/>
        <v>37</v>
      </c>
      <c r="D39" cm="1">
        <f t="array" ref="D39">INDEX('Linha 03'!$A$4:$A$1000,B39)</f>
        <v>20040006</v>
      </c>
      <c r="E39" t="str" cm="1">
        <f t="array" ref="E39">INDEX('Linha 03'!$B$4:$B$1000,B39)</f>
        <v>Amaciante Aquafast Azul Fresc. Manha Cx/06 X 2l</v>
      </c>
      <c r="F39" cm="1">
        <f t="array" ref="F39">INDEX('Linha 03'!$C$3:$ZZ$3,C39)</f>
        <v>20200065</v>
      </c>
      <c r="G39" t="str" cm="1">
        <f t="array" ref="G39">INDEX('Linha 03'!$C$2:$ZZ$2,C39)</f>
        <v>Lava Roupas Aquafast Flores B. E Baunilha Cx/06 X 2l</v>
      </c>
      <c r="H39" s="5" cm="1">
        <f t="array" ref="H39">INDEX('Linha 03'!$C$4:$ZZ$1000,B39,C39)</f>
        <v>0</v>
      </c>
    </row>
    <row r="40" spans="1:8" x14ac:dyDescent="0.25">
      <c r="A40">
        <v>38</v>
      </c>
      <c r="B40">
        <f t="shared" si="0"/>
        <v>1</v>
      </c>
      <c r="C40">
        <f t="shared" si="1"/>
        <v>38</v>
      </c>
      <c r="D40" cm="1">
        <f t="array" ref="D40">INDEX('Linha 03'!$A$4:$A$1000,B40)</f>
        <v>20040006</v>
      </c>
      <c r="E40" t="str" cm="1">
        <f t="array" ref="E40">INDEX('Linha 03'!$B$4:$B$1000,B40)</f>
        <v>Amaciante Aquafast Azul Fresc. Manha Cx/06 X 2l</v>
      </c>
      <c r="F40" cm="1">
        <f t="array" ref="F40">INDEX('Linha 03'!$C$3:$ZZ$3,C40)</f>
        <v>20200072</v>
      </c>
      <c r="G40" t="str" cm="1">
        <f t="array" ref="G40">INDEX('Linha 03'!$C$2:$ZZ$2,C40)</f>
        <v>Lava Roupas Aquafast Lavagem Rapida Total Clean Cx/12 X 1l</v>
      </c>
      <c r="H40" s="5" cm="1">
        <f t="array" ref="H40">INDEX('Linha 03'!$C$4:$ZZ$1000,B40,C40)</f>
        <v>0</v>
      </c>
    </row>
    <row r="41" spans="1:8" x14ac:dyDescent="0.25">
      <c r="A41">
        <v>39</v>
      </c>
      <c r="B41">
        <f t="shared" si="0"/>
        <v>1</v>
      </c>
      <c r="C41">
        <f t="shared" si="1"/>
        <v>39</v>
      </c>
      <c r="D41" cm="1">
        <f t="array" ref="D41">INDEX('Linha 03'!$A$4:$A$1000,B41)</f>
        <v>20040006</v>
      </c>
      <c r="E41" t="str" cm="1">
        <f t="array" ref="E41">INDEX('Linha 03'!$B$4:$B$1000,B41)</f>
        <v>Amaciante Aquafast Azul Fresc. Manha Cx/06 X 2l</v>
      </c>
      <c r="F41" cm="1">
        <f t="array" ref="F41">INDEX('Linha 03'!$C$3:$ZZ$3,C41)</f>
        <v>20200074</v>
      </c>
      <c r="G41" t="str" cm="1">
        <f t="array" ref="G41">INDEX('Linha 03'!$C$2:$ZZ$2,C41)</f>
        <v>Lava Roupas Aquafast Lavagem Rapida Fresh Clean Cx/12 X 1l</v>
      </c>
      <c r="H41" s="5" cm="1">
        <f t="array" ref="H41">INDEX('Linha 03'!$C$4:$ZZ$1000,B41,C41)</f>
        <v>0</v>
      </c>
    </row>
    <row r="42" spans="1:8" x14ac:dyDescent="0.25">
      <c r="A42">
        <v>40</v>
      </c>
      <c r="B42">
        <f t="shared" si="0"/>
        <v>1</v>
      </c>
      <c r="C42">
        <f t="shared" si="1"/>
        <v>40</v>
      </c>
      <c r="D42" cm="1">
        <f t="array" ref="D42">INDEX('Linha 03'!$A$4:$A$1000,B42)</f>
        <v>20040006</v>
      </c>
      <c r="E42" t="str" cm="1">
        <f t="array" ref="E42">INDEX('Linha 03'!$B$4:$B$1000,B42)</f>
        <v>Amaciante Aquafast Azul Fresc. Manha Cx/06 X 2l</v>
      </c>
      <c r="F42" cm="1">
        <f t="array" ref="F42">INDEX('Linha 03'!$C$3:$ZZ$3,C42)</f>
        <v>20250005</v>
      </c>
      <c r="G42" t="str" cm="1">
        <f t="array" ref="G42">INDEX('Linha 03'!$C$2:$ZZ$2,C42)</f>
        <v>Neutralizador De Odores Aquafast Floral Cx/06 X 2l</v>
      </c>
      <c r="H42" s="5" cm="1">
        <f t="array" ref="H42">INDEX('Linha 03'!$C$4:$ZZ$1000,B42,C42)</f>
        <v>0</v>
      </c>
    </row>
    <row r="43" spans="1:8" x14ac:dyDescent="0.25">
      <c r="A43">
        <v>41</v>
      </c>
      <c r="B43">
        <f t="shared" si="0"/>
        <v>1</v>
      </c>
      <c r="C43">
        <f t="shared" si="1"/>
        <v>41</v>
      </c>
      <c r="D43" cm="1">
        <f t="array" ref="D43">INDEX('Linha 03'!$A$4:$A$1000,B43)</f>
        <v>20040006</v>
      </c>
      <c r="E43" t="str" cm="1">
        <f t="array" ref="E43">INDEX('Linha 03'!$B$4:$B$1000,B43)</f>
        <v>Amaciante Aquafast Azul Fresc. Manha Cx/06 X 2l</v>
      </c>
      <c r="F43" cm="1">
        <f t="array" ref="F43">INDEX('Linha 03'!$C$3:$ZZ$3,C43)</f>
        <v>20250007</v>
      </c>
      <c r="G43" t="str" cm="1">
        <f t="array" ref="G43">INDEX('Linha 03'!$C$2:$ZZ$2,C43)</f>
        <v>Neutralizador De Odores Aquafast Marine Cx/06 2l</v>
      </c>
      <c r="H43" s="5" cm="1">
        <f t="array" ref="H43">INDEX('Linha 03'!$C$4:$ZZ$1000,B43,C43)</f>
        <v>0</v>
      </c>
    </row>
    <row r="44" spans="1:8" x14ac:dyDescent="0.25">
      <c r="A44">
        <v>42</v>
      </c>
      <c r="B44">
        <f t="shared" si="0"/>
        <v>2</v>
      </c>
      <c r="C44">
        <f t="shared" si="1"/>
        <v>1</v>
      </c>
      <c r="D44" cm="1">
        <f t="array" ref="D44">INDEX('Linha 03'!$A$4:$A$1000,B44)</f>
        <v>20040008</v>
      </c>
      <c r="E44" t="str" cm="1">
        <f t="array" ref="E44">INDEX('Linha 03'!$B$4:$B$1000,B44)</f>
        <v>Amaciante Aquafast Rosa Jard. Florid Cx/06 X 2l</v>
      </c>
      <c r="F44" cm="1">
        <f t="array" ref="F44">INDEX('Linha 03'!$C$3:$ZZ$3,C44)</f>
        <v>20040006</v>
      </c>
      <c r="G44" t="str" cm="1">
        <f t="array" ref="G44">INDEX('Linha 03'!$C$2:$ZZ$2,C44)</f>
        <v>Amaciante Aquafast Azul Fresc. Manha Cx/06 X 2l</v>
      </c>
      <c r="H44" s="5" cm="1">
        <f t="array" ref="H44">INDEX('Linha 03'!$C$4:$ZZ$1000,B44,C44)</f>
        <v>6.9444444444444441E-3</v>
      </c>
    </row>
    <row r="45" spans="1:8" x14ac:dyDescent="0.25">
      <c r="A45">
        <v>43</v>
      </c>
      <c r="B45">
        <f t="shared" si="0"/>
        <v>2</v>
      </c>
      <c r="C45">
        <f t="shared" si="1"/>
        <v>2</v>
      </c>
      <c r="D45" cm="1">
        <f t="array" ref="D45">INDEX('Linha 03'!$A$4:$A$1000,B45)</f>
        <v>20040008</v>
      </c>
      <c r="E45" t="str" cm="1">
        <f t="array" ref="E45">INDEX('Linha 03'!$B$4:$B$1000,B45)</f>
        <v>Amaciante Aquafast Rosa Jard. Florid Cx/06 X 2l</v>
      </c>
      <c r="F45" cm="1">
        <f t="array" ref="F45">INDEX('Linha 03'!$C$3:$ZZ$3,C45)</f>
        <v>20040008</v>
      </c>
      <c r="G45" t="str" cm="1">
        <f t="array" ref="G45">INDEX('Linha 03'!$C$2:$ZZ$2,C45)</f>
        <v>Amaciante Aquafast Rosa Jard. Florid Cx/06 X 2l</v>
      </c>
      <c r="H45" s="5" cm="1">
        <f t="array" ref="H45">INDEX('Linha 03'!$C$4:$ZZ$1000,B45,C45)</f>
        <v>0</v>
      </c>
    </row>
    <row r="46" spans="1:8" x14ac:dyDescent="0.25">
      <c r="A46">
        <v>44</v>
      </c>
      <c r="B46">
        <f t="shared" si="0"/>
        <v>2</v>
      </c>
      <c r="C46">
        <f t="shared" si="1"/>
        <v>3</v>
      </c>
      <c r="D46" cm="1">
        <f t="array" ref="D46">INDEX('Linha 03'!$A$4:$A$1000,B46)</f>
        <v>20040008</v>
      </c>
      <c r="E46" t="str" cm="1">
        <f t="array" ref="E46">INDEX('Linha 03'!$B$4:$B$1000,B46)</f>
        <v>Amaciante Aquafast Rosa Jard. Florid Cx/06 X 2l</v>
      </c>
      <c r="F46" cm="1">
        <f t="array" ref="F46">INDEX('Linha 03'!$C$3:$ZZ$3,C46)</f>
        <v>20040009</v>
      </c>
      <c r="G46" t="str" cm="1">
        <f t="array" ref="G46">INDEX('Linha 03'!$C$2:$ZZ$2,C46)</f>
        <v>Amaciante Aquafast Branco Pura Caric. Cx/06 X 2l</v>
      </c>
      <c r="H46" s="5" cm="1">
        <f t="array" ref="H46">INDEX('Linha 03'!$C$4:$ZZ$1000,B46,C46)</f>
        <v>6.9444444444444441E-3</v>
      </c>
    </row>
    <row r="47" spans="1:8" x14ac:dyDescent="0.25">
      <c r="A47">
        <v>45</v>
      </c>
      <c r="B47">
        <f t="shared" si="0"/>
        <v>2</v>
      </c>
      <c r="C47">
        <f t="shared" si="1"/>
        <v>4</v>
      </c>
      <c r="D47" cm="1">
        <f t="array" ref="D47">INDEX('Linha 03'!$A$4:$A$1000,B47)</f>
        <v>20040008</v>
      </c>
      <c r="E47" t="str" cm="1">
        <f t="array" ref="E47">INDEX('Linha 03'!$B$4:$B$1000,B47)</f>
        <v>Amaciante Aquafast Rosa Jard. Florid Cx/06 X 2l</v>
      </c>
      <c r="F47" cm="1">
        <f t="array" ref="F47">INDEX('Linha 03'!$C$3:$ZZ$3,C47)</f>
        <v>20040026</v>
      </c>
      <c r="G47" t="str" cm="1">
        <f t="array" ref="G47">INDEX('Linha 03'!$C$2:$ZZ$2,C47)</f>
        <v>Amaciante Ito Azul Cx/06 X 2l</v>
      </c>
      <c r="H47" s="5" cm="1">
        <f t="array" ref="H47">INDEX('Linha 03'!$C$4:$ZZ$1000,B47,C47)</f>
        <v>6.9444444444444441E-3</v>
      </c>
    </row>
    <row r="48" spans="1:8" x14ac:dyDescent="0.25">
      <c r="A48">
        <v>46</v>
      </c>
      <c r="B48">
        <f t="shared" si="0"/>
        <v>2</v>
      </c>
      <c r="C48">
        <f t="shared" si="1"/>
        <v>5</v>
      </c>
      <c r="D48" cm="1">
        <f t="array" ref="D48">INDEX('Linha 03'!$A$4:$A$1000,B48)</f>
        <v>20040008</v>
      </c>
      <c r="E48" t="str" cm="1">
        <f t="array" ref="E48">INDEX('Linha 03'!$B$4:$B$1000,B48)</f>
        <v>Amaciante Aquafast Rosa Jard. Florid Cx/06 X 2l</v>
      </c>
      <c r="F48" cm="1">
        <f t="array" ref="F48">INDEX('Linha 03'!$C$3:$ZZ$3,C48)</f>
        <v>20040028</v>
      </c>
      <c r="G48" t="str" cm="1">
        <f t="array" ref="G48">INDEX('Linha 03'!$C$2:$ZZ$2,C48)</f>
        <v>Amaciante Ito Rosa Cx/06 X 2l</v>
      </c>
      <c r="H48" s="5" cm="1">
        <f t="array" ref="H48">INDEX('Linha 03'!$C$4:$ZZ$1000,B48,C48)</f>
        <v>6.9444444444444397E-3</v>
      </c>
    </row>
    <row r="49" spans="1:8" x14ac:dyDescent="0.25">
      <c r="A49">
        <v>47</v>
      </c>
      <c r="B49">
        <f t="shared" si="0"/>
        <v>2</v>
      </c>
      <c r="C49">
        <f t="shared" si="1"/>
        <v>6</v>
      </c>
      <c r="D49" cm="1">
        <f t="array" ref="D49">INDEX('Linha 03'!$A$4:$A$1000,B49)</f>
        <v>20040008</v>
      </c>
      <c r="E49" t="str" cm="1">
        <f t="array" ref="E49">INDEX('Linha 03'!$B$4:$B$1000,B49)</f>
        <v>Amaciante Aquafast Rosa Jard. Florid Cx/06 X 2l</v>
      </c>
      <c r="F49" cm="1">
        <f t="array" ref="F49">INDEX('Linha 03'!$C$3:$ZZ$3,C49)</f>
        <v>20040029</v>
      </c>
      <c r="G49" t="str" cm="1">
        <f t="array" ref="G49">INDEX('Linha 03'!$C$2:$ZZ$2,C49)</f>
        <v>Amaciante Ito Branco Cx/06 X 2l</v>
      </c>
      <c r="H49" s="5" cm="1">
        <f t="array" ref="H49">INDEX('Linha 03'!$C$4:$ZZ$1000,B49,C49)</f>
        <v>6.9444444444444397E-3</v>
      </c>
    </row>
    <row r="50" spans="1:8" x14ac:dyDescent="0.25">
      <c r="A50">
        <v>48</v>
      </c>
      <c r="B50">
        <f t="shared" si="0"/>
        <v>2</v>
      </c>
      <c r="C50">
        <f t="shared" si="1"/>
        <v>7</v>
      </c>
      <c r="D50" cm="1">
        <f t="array" ref="D50">INDEX('Linha 03'!$A$4:$A$1000,B50)</f>
        <v>20040008</v>
      </c>
      <c r="E50" t="str" cm="1">
        <f t="array" ref="E50">INDEX('Linha 03'!$B$4:$B$1000,B50)</f>
        <v>Amaciante Aquafast Rosa Jard. Florid Cx/06 X 2l</v>
      </c>
      <c r="F50" cm="1">
        <f t="array" ref="F50">INDEX('Linha 03'!$C$3:$ZZ$3,C50)</f>
        <v>20040055</v>
      </c>
      <c r="G50" t="str" cm="1">
        <f t="array" ref="G50">INDEX('Linha 03'!$C$2:$ZZ$2,C50)</f>
        <v>Amaciante Myata Azul Cx/06 X 2l</v>
      </c>
      <c r="H50" s="5" cm="1">
        <f t="array" ref="H50">INDEX('Linha 03'!$C$4:$ZZ$1000,B50,C50)</f>
        <v>6.9444444444444397E-3</v>
      </c>
    </row>
    <row r="51" spans="1:8" x14ac:dyDescent="0.25">
      <c r="A51">
        <v>49</v>
      </c>
      <c r="B51">
        <f t="shared" si="0"/>
        <v>2</v>
      </c>
      <c r="C51">
        <f t="shared" si="1"/>
        <v>8</v>
      </c>
      <c r="D51" cm="1">
        <f t="array" ref="D51">INDEX('Linha 03'!$A$4:$A$1000,B51)</f>
        <v>20040008</v>
      </c>
      <c r="E51" t="str" cm="1">
        <f t="array" ref="E51">INDEX('Linha 03'!$B$4:$B$1000,B51)</f>
        <v>Amaciante Aquafast Rosa Jard. Florid Cx/06 X 2l</v>
      </c>
      <c r="F51" cm="1">
        <f t="array" ref="F51">INDEX('Linha 03'!$C$3:$ZZ$3,C51)</f>
        <v>20040057</v>
      </c>
      <c r="G51" t="str" cm="1">
        <f t="array" ref="G51">INDEX('Linha 03'!$C$2:$ZZ$2,C51)</f>
        <v>Amaciante Myata Rosa Cx/06 X 2l</v>
      </c>
      <c r="H51" s="5" cm="1">
        <f t="array" ref="H51">INDEX('Linha 03'!$C$4:$ZZ$1000,B51,C51)</f>
        <v>6.9444444444444397E-3</v>
      </c>
    </row>
    <row r="52" spans="1:8" x14ac:dyDescent="0.25">
      <c r="A52">
        <v>50</v>
      </c>
      <c r="B52">
        <f t="shared" si="0"/>
        <v>2</v>
      </c>
      <c r="C52">
        <f t="shared" si="1"/>
        <v>9</v>
      </c>
      <c r="D52" cm="1">
        <f t="array" ref="D52">INDEX('Linha 03'!$A$4:$A$1000,B52)</f>
        <v>20040008</v>
      </c>
      <c r="E52" t="str" cm="1">
        <f t="array" ref="E52">INDEX('Linha 03'!$B$4:$B$1000,B52)</f>
        <v>Amaciante Aquafast Rosa Jard. Florid Cx/06 X 2l</v>
      </c>
      <c r="F52" cm="1">
        <f t="array" ref="F52">INDEX('Linha 03'!$C$3:$ZZ$3,C52)</f>
        <v>20040084</v>
      </c>
      <c r="G52" t="str" cm="1">
        <f t="array" ref="G52">INDEX('Linha 03'!$C$2:$ZZ$2,C52)</f>
        <v>Amaciante Aquafast Vermelho Seducao Cx C/06 X 2l</v>
      </c>
      <c r="H52" s="5" cm="1">
        <f t="array" ref="H52">INDEX('Linha 03'!$C$4:$ZZ$1000,B52,C52)</f>
        <v>6.9444444444444441E-3</v>
      </c>
    </row>
    <row r="53" spans="1:8" x14ac:dyDescent="0.25">
      <c r="A53">
        <v>51</v>
      </c>
      <c r="B53">
        <f t="shared" si="0"/>
        <v>2</v>
      </c>
      <c r="C53">
        <f t="shared" si="1"/>
        <v>10</v>
      </c>
      <c r="D53" cm="1">
        <f t="array" ref="D53">INDEX('Linha 03'!$A$4:$A$1000,B53)</f>
        <v>20040008</v>
      </c>
      <c r="E53" t="str" cm="1">
        <f t="array" ref="E53">INDEX('Linha 03'!$B$4:$B$1000,B53)</f>
        <v>Amaciante Aquafast Rosa Jard. Florid Cx/06 X 2l</v>
      </c>
      <c r="F53" cm="1">
        <f t="array" ref="F53">INDEX('Linha 03'!$C$3:$ZZ$3,C53)</f>
        <v>20040089</v>
      </c>
      <c r="G53" t="str" cm="1">
        <f t="array" ref="G53">INDEX('Linha 03'!$C$2:$ZZ$2,C53)</f>
        <v>Amaciante Aquafast Roxo Magia Cx/06 X 2l</v>
      </c>
      <c r="H53" s="5" cm="1">
        <f t="array" ref="H53">INDEX('Linha 03'!$C$4:$ZZ$1000,B53,C53)</f>
        <v>6.9444444444444501E-3</v>
      </c>
    </row>
    <row r="54" spans="1:8" x14ac:dyDescent="0.25">
      <c r="A54">
        <v>52</v>
      </c>
      <c r="B54">
        <f t="shared" si="0"/>
        <v>2</v>
      </c>
      <c r="C54">
        <f t="shared" si="1"/>
        <v>11</v>
      </c>
      <c r="D54" cm="1">
        <f t="array" ref="D54">INDEX('Linha 03'!$A$4:$A$1000,B54)</f>
        <v>20040008</v>
      </c>
      <c r="E54" t="str" cm="1">
        <f t="array" ref="E54">INDEX('Linha 03'!$B$4:$B$1000,B54)</f>
        <v>Amaciante Aquafast Rosa Jard. Florid Cx/06 X 2l</v>
      </c>
      <c r="F54" cm="1">
        <f t="array" ref="F54">INDEX('Linha 03'!$C$3:$ZZ$3,C54)</f>
        <v>20040094</v>
      </c>
      <c r="G54" t="str" cm="1">
        <f t="array" ref="G54">INDEX('Linha 03'!$C$2:$ZZ$2,C54)</f>
        <v>Amaciante Aquafast Energia Cx/06 X 2l</v>
      </c>
      <c r="H54" s="5" cm="1">
        <f t="array" ref="H54">INDEX('Linha 03'!$C$4:$ZZ$1000,B54,C54)</f>
        <v>6.9444444444444501E-3</v>
      </c>
    </row>
    <row r="55" spans="1:8" x14ac:dyDescent="0.25">
      <c r="A55">
        <v>53</v>
      </c>
      <c r="B55">
        <f t="shared" si="0"/>
        <v>2</v>
      </c>
      <c r="C55">
        <f t="shared" si="1"/>
        <v>12</v>
      </c>
      <c r="D55" cm="1">
        <f t="array" ref="D55">INDEX('Linha 03'!$A$4:$A$1000,B55)</f>
        <v>20040008</v>
      </c>
      <c r="E55" t="str" cm="1">
        <f t="array" ref="E55">INDEX('Linha 03'!$B$4:$B$1000,B55)</f>
        <v>Amaciante Aquafast Rosa Jard. Florid Cx/06 X 2l</v>
      </c>
      <c r="F55" cm="1">
        <f t="array" ref="F55">INDEX('Linha 03'!$C$3:$ZZ$3,C55)</f>
        <v>20050010</v>
      </c>
      <c r="G55" t="str" cm="1">
        <f t="array" ref="G55">INDEX('Linha 03'!$C$2:$ZZ$2,C55)</f>
        <v>Desinfetante Aquafast Campos Lavanda Cx/06 X 2l</v>
      </c>
      <c r="H55" s="5" cm="1">
        <f t="array" ref="H55">INDEX('Linha 03'!$C$4:$ZZ$1000,B55,C55)</f>
        <v>6.9444444444444597E-3</v>
      </c>
    </row>
    <row r="56" spans="1:8" x14ac:dyDescent="0.25">
      <c r="A56">
        <v>54</v>
      </c>
      <c r="B56">
        <f t="shared" si="0"/>
        <v>2</v>
      </c>
      <c r="C56">
        <f t="shared" si="1"/>
        <v>13</v>
      </c>
      <c r="D56" cm="1">
        <f t="array" ref="D56">INDEX('Linha 03'!$A$4:$A$1000,B56)</f>
        <v>20040008</v>
      </c>
      <c r="E56" t="str" cm="1">
        <f t="array" ref="E56">INDEX('Linha 03'!$B$4:$B$1000,B56)</f>
        <v>Amaciante Aquafast Rosa Jard. Florid Cx/06 X 2l</v>
      </c>
      <c r="F56" cm="1">
        <f t="array" ref="F56">INDEX('Linha 03'!$C$3:$ZZ$3,C56)</f>
        <v>20050011</v>
      </c>
      <c r="G56" t="str" cm="1">
        <f t="array" ref="G56">INDEX('Linha 03'!$C$2:$ZZ$2,C56)</f>
        <v>Desinfetante Aquafast Jardim Florido Cx/06 X 2l</v>
      </c>
      <c r="H56" s="5" cm="1">
        <f t="array" ref="H56">INDEX('Linha 03'!$C$4:$ZZ$1000,B56,C56)</f>
        <v>6.9444444444444597E-3</v>
      </c>
    </row>
    <row r="57" spans="1:8" x14ac:dyDescent="0.25">
      <c r="A57">
        <v>55</v>
      </c>
      <c r="B57">
        <f t="shared" si="0"/>
        <v>2</v>
      </c>
      <c r="C57">
        <f t="shared" si="1"/>
        <v>14</v>
      </c>
      <c r="D57" cm="1">
        <f t="array" ref="D57">INDEX('Linha 03'!$A$4:$A$1000,B57)</f>
        <v>20040008</v>
      </c>
      <c r="E57" t="str" cm="1">
        <f t="array" ref="E57">INDEX('Linha 03'!$B$4:$B$1000,B57)</f>
        <v>Amaciante Aquafast Rosa Jard. Florid Cx/06 X 2l</v>
      </c>
      <c r="F57" cm="1">
        <f t="array" ref="F57">INDEX('Linha 03'!$C$3:$ZZ$3,C57)</f>
        <v>20050016</v>
      </c>
      <c r="G57" t="str" cm="1">
        <f t="array" ref="G57">INDEX('Linha 03'!$C$2:$ZZ$2,C57)</f>
        <v>Desinfetante Aquafast Marine Cx/06 X 2l</v>
      </c>
      <c r="H57" s="5" cm="1">
        <f t="array" ref="H57">INDEX('Linha 03'!$C$4:$ZZ$1000,B57,C57)</f>
        <v>6.9444444444444701E-3</v>
      </c>
    </row>
    <row r="58" spans="1:8" x14ac:dyDescent="0.25">
      <c r="A58">
        <v>56</v>
      </c>
      <c r="B58">
        <f t="shared" si="0"/>
        <v>2</v>
      </c>
      <c r="C58">
        <f t="shared" si="1"/>
        <v>15</v>
      </c>
      <c r="D58" cm="1">
        <f t="array" ref="D58">INDEX('Linha 03'!$A$4:$A$1000,B58)</f>
        <v>20040008</v>
      </c>
      <c r="E58" t="str" cm="1">
        <f t="array" ref="E58">INDEX('Linha 03'!$B$4:$B$1000,B58)</f>
        <v>Amaciante Aquafast Rosa Jard. Florid Cx/06 X 2l</v>
      </c>
      <c r="F58" cm="1">
        <f t="array" ref="F58">INDEX('Linha 03'!$C$3:$ZZ$3,C58)</f>
        <v>20050031</v>
      </c>
      <c r="G58" t="str" cm="1">
        <f t="array" ref="G58">INDEX('Linha 03'!$C$2:$ZZ$2,C58)</f>
        <v>Desinfetante Ito Lavanda Cx/06 X 2l</v>
      </c>
      <c r="H58" s="5" cm="1">
        <f t="array" ref="H58">INDEX('Linha 03'!$C$4:$ZZ$1000,B58,C58)</f>
        <v>6.9444444444444701E-3</v>
      </c>
    </row>
    <row r="59" spans="1:8" x14ac:dyDescent="0.25">
      <c r="A59">
        <v>57</v>
      </c>
      <c r="B59">
        <f t="shared" si="0"/>
        <v>2</v>
      </c>
      <c r="C59">
        <f t="shared" si="1"/>
        <v>16</v>
      </c>
      <c r="D59" cm="1">
        <f t="array" ref="D59">INDEX('Linha 03'!$A$4:$A$1000,B59)</f>
        <v>20040008</v>
      </c>
      <c r="E59" t="str" cm="1">
        <f t="array" ref="E59">INDEX('Linha 03'!$B$4:$B$1000,B59)</f>
        <v>Amaciante Aquafast Rosa Jard. Florid Cx/06 X 2l</v>
      </c>
      <c r="F59" cm="1">
        <f t="array" ref="F59">INDEX('Linha 03'!$C$3:$ZZ$3,C59)</f>
        <v>20050032</v>
      </c>
      <c r="G59" t="str" cm="1">
        <f t="array" ref="G59">INDEX('Linha 03'!$C$2:$ZZ$2,C59)</f>
        <v>Desinfetante Ito Floral Cx/06 X 2l</v>
      </c>
      <c r="H59" s="5" cm="1">
        <f t="array" ref="H59">INDEX('Linha 03'!$C$4:$ZZ$1000,B59,C59)</f>
        <v>6.9444444444444701E-3</v>
      </c>
    </row>
    <row r="60" spans="1:8" x14ac:dyDescent="0.25">
      <c r="A60">
        <v>58</v>
      </c>
      <c r="B60">
        <f t="shared" si="0"/>
        <v>2</v>
      </c>
      <c r="C60">
        <f t="shared" si="1"/>
        <v>17</v>
      </c>
      <c r="D60" cm="1">
        <f t="array" ref="D60">INDEX('Linha 03'!$A$4:$A$1000,B60)</f>
        <v>20040008</v>
      </c>
      <c r="E60" t="str" cm="1">
        <f t="array" ref="E60">INDEX('Linha 03'!$B$4:$B$1000,B60)</f>
        <v>Amaciante Aquafast Rosa Jard. Florid Cx/06 X 2l</v>
      </c>
      <c r="F60" cm="1">
        <f t="array" ref="F60">INDEX('Linha 03'!$C$3:$ZZ$3,C60)</f>
        <v>20050034</v>
      </c>
      <c r="G60" t="str" cm="1">
        <f t="array" ref="G60">INDEX('Linha 03'!$C$2:$ZZ$2,C60)</f>
        <v>Desinfetante Ito Eucalipto Cx/06 X 2l</v>
      </c>
      <c r="H60" s="5" cm="1">
        <f t="array" ref="H60">INDEX('Linha 03'!$C$4:$ZZ$1000,B60,C60)</f>
        <v>6.9444444444444796E-3</v>
      </c>
    </row>
    <row r="61" spans="1:8" x14ac:dyDescent="0.25">
      <c r="A61">
        <v>59</v>
      </c>
      <c r="B61">
        <f t="shared" si="0"/>
        <v>2</v>
      </c>
      <c r="C61">
        <f t="shared" si="1"/>
        <v>18</v>
      </c>
      <c r="D61" cm="1">
        <f t="array" ref="D61">INDEX('Linha 03'!$A$4:$A$1000,B61)</f>
        <v>20040008</v>
      </c>
      <c r="E61" t="str" cm="1">
        <f t="array" ref="E61">INDEX('Linha 03'!$B$4:$B$1000,B61)</f>
        <v>Amaciante Aquafast Rosa Jard. Florid Cx/06 X 2l</v>
      </c>
      <c r="F61" cm="1">
        <f t="array" ref="F61">INDEX('Linha 03'!$C$3:$ZZ$3,C61)</f>
        <v>20050077</v>
      </c>
      <c r="G61" t="str" cm="1">
        <f t="array" ref="G61">INDEX('Linha 03'!$C$2:$ZZ$2,C61)</f>
        <v>Desinfetante Myata Lavanda Cx/06 X 2l</v>
      </c>
      <c r="H61" s="5" cm="1">
        <f t="array" ref="H61">INDEX('Linha 03'!$C$4:$ZZ$1000,B61,C61)</f>
        <v>6.9444444444444796E-3</v>
      </c>
    </row>
    <row r="62" spans="1:8" x14ac:dyDescent="0.25">
      <c r="A62">
        <v>60</v>
      </c>
      <c r="B62">
        <f t="shared" si="0"/>
        <v>2</v>
      </c>
      <c r="C62">
        <f t="shared" si="1"/>
        <v>19</v>
      </c>
      <c r="D62" cm="1">
        <f t="array" ref="D62">INDEX('Linha 03'!$A$4:$A$1000,B62)</f>
        <v>20040008</v>
      </c>
      <c r="E62" t="str" cm="1">
        <f t="array" ref="E62">INDEX('Linha 03'!$B$4:$B$1000,B62)</f>
        <v>Amaciante Aquafast Rosa Jard. Florid Cx/06 X 2l</v>
      </c>
      <c r="F62" cm="1">
        <f t="array" ref="F62">INDEX('Linha 03'!$C$3:$ZZ$3,C62)</f>
        <v>20050078</v>
      </c>
      <c r="G62" t="str" cm="1">
        <f t="array" ref="G62">INDEX('Linha 03'!$C$2:$ZZ$2,C62)</f>
        <v>Desinfetante Myata Floral Cx/06 X 2l</v>
      </c>
      <c r="H62" s="5" cm="1">
        <f t="array" ref="H62">INDEX('Linha 03'!$C$4:$ZZ$1000,B62,C62)</f>
        <v>6.94444444444449E-3</v>
      </c>
    </row>
    <row r="63" spans="1:8" x14ac:dyDescent="0.25">
      <c r="A63">
        <v>61</v>
      </c>
      <c r="B63">
        <f t="shared" si="0"/>
        <v>2</v>
      </c>
      <c r="C63">
        <f t="shared" si="1"/>
        <v>20</v>
      </c>
      <c r="D63" cm="1">
        <f t="array" ref="D63">INDEX('Linha 03'!$A$4:$A$1000,B63)</f>
        <v>20040008</v>
      </c>
      <c r="E63" t="str" cm="1">
        <f t="array" ref="E63">INDEX('Linha 03'!$B$4:$B$1000,B63)</f>
        <v>Amaciante Aquafast Rosa Jard. Florid Cx/06 X 2l</v>
      </c>
      <c r="F63" cm="1">
        <f t="array" ref="F63">INDEX('Linha 03'!$C$3:$ZZ$3,C63)</f>
        <v>20050115</v>
      </c>
      <c r="G63" t="str" cm="1">
        <f t="array" ref="G63">INDEX('Linha 03'!$C$2:$ZZ$2,C63)</f>
        <v>Desinfetante Aquafast Paixao Cx/06 X 2l</v>
      </c>
      <c r="H63" s="5" cm="1">
        <f t="array" ref="H63">INDEX('Linha 03'!$C$4:$ZZ$1000,B63,C63)</f>
        <v>6.94444444444449E-3</v>
      </c>
    </row>
    <row r="64" spans="1:8" x14ac:dyDescent="0.25">
      <c r="A64">
        <v>62</v>
      </c>
      <c r="B64">
        <f t="shared" si="0"/>
        <v>2</v>
      </c>
      <c r="C64">
        <f t="shared" si="1"/>
        <v>21</v>
      </c>
      <c r="D64" cm="1">
        <f t="array" ref="D64">INDEX('Linha 03'!$A$4:$A$1000,B64)</f>
        <v>20040008</v>
      </c>
      <c r="E64" t="str" cm="1">
        <f t="array" ref="E64">INDEX('Linha 03'!$B$4:$B$1000,B64)</f>
        <v>Amaciante Aquafast Rosa Jard. Florid Cx/06 X 2l</v>
      </c>
      <c r="F64" cm="1">
        <f t="array" ref="F64">INDEX('Linha 03'!$C$3:$ZZ$3,C64)</f>
        <v>20050117</v>
      </c>
      <c r="G64" t="str" cm="1">
        <f t="array" ref="G64">INDEX('Linha 03'!$C$2:$ZZ$2,C64)</f>
        <v>Desinfetante Aquafast Harmonia Natural Cx/06 X 2l</v>
      </c>
      <c r="H64" s="5" cm="1">
        <f t="array" ref="H64">INDEX('Linha 03'!$C$4:$ZZ$1000,B64,C64)</f>
        <v>6.9444444444444996E-3</v>
      </c>
    </row>
    <row r="65" spans="1:8" x14ac:dyDescent="0.25">
      <c r="A65">
        <v>63</v>
      </c>
      <c r="B65">
        <f t="shared" si="0"/>
        <v>2</v>
      </c>
      <c r="C65">
        <f t="shared" si="1"/>
        <v>22</v>
      </c>
      <c r="D65" cm="1">
        <f t="array" ref="D65">INDEX('Linha 03'!$A$4:$A$1000,B65)</f>
        <v>20040008</v>
      </c>
      <c r="E65" t="str" cm="1">
        <f t="array" ref="E65">INDEX('Linha 03'!$B$4:$B$1000,B65)</f>
        <v>Amaciante Aquafast Rosa Jard. Florid Cx/06 X 2l</v>
      </c>
      <c r="F65" cm="1">
        <f t="array" ref="F65">INDEX('Linha 03'!$C$3:$ZZ$3,C65)</f>
        <v>20050123</v>
      </c>
      <c r="G65" t="str" cm="1">
        <f t="array" ref="G65">INDEX('Linha 03'!$C$2:$ZZ$2,C65)</f>
        <v>Desinfetante Ito Harmonia Natural Cx/06 X 2l</v>
      </c>
      <c r="H65" s="5" cm="1">
        <f t="array" ref="H65">INDEX('Linha 03'!$C$4:$ZZ$1000,B65,C65)</f>
        <v>6.9444444444444996E-3</v>
      </c>
    </row>
    <row r="66" spans="1:8" x14ac:dyDescent="0.25">
      <c r="A66">
        <v>64</v>
      </c>
      <c r="B66">
        <f t="shared" si="0"/>
        <v>2</v>
      </c>
      <c r="C66">
        <f t="shared" si="1"/>
        <v>23</v>
      </c>
      <c r="D66" cm="1">
        <f t="array" ref="D66">INDEX('Linha 03'!$A$4:$A$1000,B66)</f>
        <v>20040008</v>
      </c>
      <c r="E66" t="str" cm="1">
        <f t="array" ref="E66">INDEX('Linha 03'!$B$4:$B$1000,B66)</f>
        <v>Amaciante Aquafast Rosa Jard. Florid Cx/06 X 2l</v>
      </c>
      <c r="F66" cm="1">
        <f t="array" ref="F66">INDEX('Linha 03'!$C$3:$ZZ$3,C66)</f>
        <v>20050124</v>
      </c>
      <c r="G66" t="str" cm="1">
        <f t="array" ref="G66">INDEX('Linha 03'!$C$2:$ZZ$2,C66)</f>
        <v>Desinfetante Myata Harmonia Natural Cx/06 X 2l</v>
      </c>
      <c r="H66" s="5" cm="1">
        <f t="array" ref="H66">INDEX('Linha 03'!$C$4:$ZZ$1000,B66,C66)</f>
        <v>6.9444444444444996E-3</v>
      </c>
    </row>
    <row r="67" spans="1:8" x14ac:dyDescent="0.25">
      <c r="A67">
        <v>65</v>
      </c>
      <c r="B67">
        <f t="shared" si="0"/>
        <v>2</v>
      </c>
      <c r="C67">
        <f t="shared" si="1"/>
        <v>24</v>
      </c>
      <c r="D67" cm="1">
        <f t="array" ref="D67">INDEX('Linha 03'!$A$4:$A$1000,B67)</f>
        <v>20040008</v>
      </c>
      <c r="E67" t="str" cm="1">
        <f t="array" ref="E67">INDEX('Linha 03'!$B$4:$B$1000,B67)</f>
        <v>Amaciante Aquafast Rosa Jard. Florid Cx/06 X 2l</v>
      </c>
      <c r="F67" cm="1">
        <f t="array" ref="F67">INDEX('Linha 03'!$C$3:$ZZ$3,C67)</f>
        <v>20050142</v>
      </c>
      <c r="G67" t="str" cm="1">
        <f t="array" ref="G67">INDEX('Linha 03'!$C$2:$ZZ$2,C67)</f>
        <v>Desinfetante Ito Marine Cx/06 X 2l</v>
      </c>
      <c r="H67" s="5" cm="1">
        <f t="array" ref="H67">INDEX('Linha 03'!$C$4:$ZZ$1000,B67,C67)</f>
        <v>6.94444444444451E-3</v>
      </c>
    </row>
    <row r="68" spans="1:8" x14ac:dyDescent="0.25">
      <c r="A68">
        <v>66</v>
      </c>
      <c r="B68">
        <f t="shared" ref="B68:B131" si="2">INT((A68-1)/$B$1)+1</f>
        <v>2</v>
      </c>
      <c r="C68">
        <f t="shared" ref="C68:C131" si="3">MOD(A68-1,$B$1)+1</f>
        <v>25</v>
      </c>
      <c r="D68" cm="1">
        <f t="array" ref="D68">INDEX('Linha 03'!$A$4:$A$1000,B68)</f>
        <v>20040008</v>
      </c>
      <c r="E68" t="str" cm="1">
        <f t="array" ref="E68">INDEX('Linha 03'!$B$4:$B$1000,B68)</f>
        <v>Amaciante Aquafast Rosa Jard. Florid Cx/06 X 2l</v>
      </c>
      <c r="F68" cm="1">
        <f t="array" ref="F68">INDEX('Linha 03'!$C$3:$ZZ$3,C68)</f>
        <v>20050159</v>
      </c>
      <c r="G68" t="str" cm="1">
        <f t="array" ref="G68">INDEX('Linha 03'!$C$2:$ZZ$2,C68)</f>
        <v>Desinfetante Aquafast Cha Branco Cx/06 X 2l</v>
      </c>
      <c r="H68" s="5" cm="1">
        <f t="array" ref="H68">INDEX('Linha 03'!$C$4:$ZZ$1000,B68,C68)</f>
        <v>1.3888888888888888E-2</v>
      </c>
    </row>
    <row r="69" spans="1:8" x14ac:dyDescent="0.25">
      <c r="A69">
        <v>67</v>
      </c>
      <c r="B69">
        <f t="shared" si="2"/>
        <v>2</v>
      </c>
      <c r="C69">
        <f t="shared" si="3"/>
        <v>26</v>
      </c>
      <c r="D69" cm="1">
        <f t="array" ref="D69">INDEX('Linha 03'!$A$4:$A$1000,B69)</f>
        <v>20040008</v>
      </c>
      <c r="E69" t="str" cm="1">
        <f t="array" ref="E69">INDEX('Linha 03'!$B$4:$B$1000,B69)</f>
        <v>Amaciante Aquafast Rosa Jard. Florid Cx/06 X 2l</v>
      </c>
      <c r="F69" cm="1">
        <f t="array" ref="F69">INDEX('Linha 03'!$C$3:$ZZ$3,C69)</f>
        <v>20060007</v>
      </c>
      <c r="G69" t="str" cm="1">
        <f t="array" ref="G69">INDEX('Linha 03'!$C$2:$ZZ$2,C69)</f>
        <v>Limp Perf Aquafast Magia Seducao Cx/06 X 2l (Promoc)</v>
      </c>
      <c r="H69" s="5" cm="1">
        <f t="array" ref="H69">INDEX('Linha 03'!$C$4:$ZZ$1000,B69,C69)</f>
        <v>6.9444444444444996E-3</v>
      </c>
    </row>
    <row r="70" spans="1:8" x14ac:dyDescent="0.25">
      <c r="A70">
        <v>68</v>
      </c>
      <c r="B70">
        <f t="shared" si="2"/>
        <v>2</v>
      </c>
      <c r="C70">
        <f t="shared" si="3"/>
        <v>27</v>
      </c>
      <c r="D70" cm="1">
        <f t="array" ref="D70">INDEX('Linha 03'!$A$4:$A$1000,B70)</f>
        <v>20040008</v>
      </c>
      <c r="E70" t="str" cm="1">
        <f t="array" ref="E70">INDEX('Linha 03'!$B$4:$B$1000,B70)</f>
        <v>Amaciante Aquafast Rosa Jard. Florid Cx/06 X 2l</v>
      </c>
      <c r="F70" cm="1">
        <f t="array" ref="F70">INDEX('Linha 03'!$C$3:$ZZ$3,C70)</f>
        <v>20060009</v>
      </c>
      <c r="G70" t="str" cm="1">
        <f t="array" ref="G70">INDEX('Linha 03'!$C$2:$ZZ$2,C70)</f>
        <v>Limp Perf Aquafast Frescor Da Manha Cx/06 X 2l (Promoc)</v>
      </c>
      <c r="H70" s="5" cm="1">
        <f t="array" ref="H70">INDEX('Linha 03'!$C$4:$ZZ$1000,B70,C70)</f>
        <v>6.94444444444451E-3</v>
      </c>
    </row>
    <row r="71" spans="1:8" x14ac:dyDescent="0.25">
      <c r="A71">
        <v>69</v>
      </c>
      <c r="B71">
        <f t="shared" si="2"/>
        <v>2</v>
      </c>
      <c r="C71">
        <f t="shared" si="3"/>
        <v>28</v>
      </c>
      <c r="D71" cm="1">
        <f t="array" ref="D71">INDEX('Linha 03'!$A$4:$A$1000,B71)</f>
        <v>20040008</v>
      </c>
      <c r="E71" t="str" cm="1">
        <f t="array" ref="E71">INDEX('Linha 03'!$B$4:$B$1000,B71)</f>
        <v>Amaciante Aquafast Rosa Jard. Florid Cx/06 X 2l</v>
      </c>
      <c r="F71" cm="1">
        <f t="array" ref="F71">INDEX('Linha 03'!$C$3:$ZZ$3,C71)</f>
        <v>20060017</v>
      </c>
      <c r="G71" t="str" cm="1">
        <f t="array" ref="G71">INDEX('Linha 03'!$C$2:$ZZ$2,C71)</f>
        <v>Limp Perf Aquafast Doce Romance Cx/06 X 2l (Promoc)</v>
      </c>
      <c r="H71" s="5" cm="1">
        <f t="array" ref="H71">INDEX('Linha 03'!$C$4:$ZZ$1000,B71,C71)</f>
        <v>6.9444444444445204E-3</v>
      </c>
    </row>
    <row r="72" spans="1:8" x14ac:dyDescent="0.25">
      <c r="A72">
        <v>70</v>
      </c>
      <c r="B72">
        <f t="shared" si="2"/>
        <v>2</v>
      </c>
      <c r="C72">
        <f t="shared" si="3"/>
        <v>29</v>
      </c>
      <c r="D72" cm="1">
        <f t="array" ref="D72">INDEX('Linha 03'!$A$4:$A$1000,B72)</f>
        <v>20040008</v>
      </c>
      <c r="E72" t="str" cm="1">
        <f t="array" ref="E72">INDEX('Linha 03'!$B$4:$B$1000,B72)</f>
        <v>Amaciante Aquafast Rosa Jard. Florid Cx/06 X 2l</v>
      </c>
      <c r="F72" cm="1">
        <f t="array" ref="F72">INDEX('Linha 03'!$C$3:$ZZ$3,C72)</f>
        <v>20060028</v>
      </c>
      <c r="G72" t="str" cm="1">
        <f t="array" ref="G72">INDEX('Linha 03'!$C$2:$ZZ$2,C72)</f>
        <v>Limp Perf Aquafast Essencia Natural Cx06 X 2l</v>
      </c>
      <c r="H72" s="5" cm="1">
        <f t="array" ref="H72">INDEX('Linha 03'!$C$4:$ZZ$1000,B72,C72)</f>
        <v>6.9444444444445299E-3</v>
      </c>
    </row>
    <row r="73" spans="1:8" x14ac:dyDescent="0.25">
      <c r="A73">
        <v>71</v>
      </c>
      <c r="B73">
        <f t="shared" si="2"/>
        <v>2</v>
      </c>
      <c r="C73">
        <f t="shared" si="3"/>
        <v>30</v>
      </c>
      <c r="D73" cm="1">
        <f t="array" ref="D73">INDEX('Linha 03'!$A$4:$A$1000,B73)</f>
        <v>20040008</v>
      </c>
      <c r="E73" t="str" cm="1">
        <f t="array" ref="E73">INDEX('Linha 03'!$B$4:$B$1000,B73)</f>
        <v>Amaciante Aquafast Rosa Jard. Florid Cx/06 X 2l</v>
      </c>
      <c r="F73" cm="1">
        <f t="array" ref="F73">INDEX('Linha 03'!$C$3:$ZZ$3,C73)</f>
        <v>20200003</v>
      </c>
      <c r="G73" t="str" cm="1">
        <f t="array" ref="G73">INDEX('Linha 03'!$C$2:$ZZ$2,C73)</f>
        <v>Lava Roup. Aquafast Baby Cx/12 X 1l</v>
      </c>
      <c r="H73" s="5" cm="1">
        <f t="array" ref="H73">INDEX('Linha 03'!$C$4:$ZZ$1000,B73,C73)</f>
        <v>6.9444444444445403E-3</v>
      </c>
    </row>
    <row r="74" spans="1:8" x14ac:dyDescent="0.25">
      <c r="A74">
        <v>72</v>
      </c>
      <c r="B74">
        <f t="shared" si="2"/>
        <v>2</v>
      </c>
      <c r="C74">
        <f t="shared" si="3"/>
        <v>31</v>
      </c>
      <c r="D74" cm="1">
        <f t="array" ref="D74">INDEX('Linha 03'!$A$4:$A$1000,B74)</f>
        <v>20040008</v>
      </c>
      <c r="E74" t="str" cm="1">
        <f t="array" ref="E74">INDEX('Linha 03'!$B$4:$B$1000,B74)</f>
        <v>Amaciante Aquafast Rosa Jard. Florid Cx/06 X 2l</v>
      </c>
      <c r="F74" cm="1">
        <f t="array" ref="F74">INDEX('Linha 03'!$C$3:$ZZ$3,C74)</f>
        <v>20200005</v>
      </c>
      <c r="G74" t="str" cm="1">
        <f t="array" ref="G74">INDEX('Linha 03'!$C$2:$ZZ$2,C74)</f>
        <v>Lava Roupas Aquafast Multi Acao Cx/06 X 2l</v>
      </c>
      <c r="H74" s="5" cm="1">
        <f t="array" ref="H74">INDEX('Linha 03'!$C$4:$ZZ$1000,B74,C74)</f>
        <v>6.9444444444445499E-3</v>
      </c>
    </row>
    <row r="75" spans="1:8" x14ac:dyDescent="0.25">
      <c r="A75">
        <v>73</v>
      </c>
      <c r="B75">
        <f t="shared" si="2"/>
        <v>2</v>
      </c>
      <c r="C75">
        <f t="shared" si="3"/>
        <v>32</v>
      </c>
      <c r="D75" cm="1">
        <f t="array" ref="D75">INDEX('Linha 03'!$A$4:$A$1000,B75)</f>
        <v>20040008</v>
      </c>
      <c r="E75" t="str" cm="1">
        <f t="array" ref="E75">INDEX('Linha 03'!$B$4:$B$1000,B75)</f>
        <v>Amaciante Aquafast Rosa Jard. Florid Cx/06 X 2l</v>
      </c>
      <c r="F75" cm="1">
        <f t="array" ref="F75">INDEX('Linha 03'!$C$3:$ZZ$3,C75)</f>
        <v>20200006</v>
      </c>
      <c r="G75" t="str" cm="1">
        <f t="array" ref="G75">INDEX('Linha 03'!$C$2:$ZZ$2,C75)</f>
        <v>Lava Roupas Aquafast Glicerina Cx/06 X 2l</v>
      </c>
      <c r="H75" s="5" cm="1">
        <f t="array" ref="H75">INDEX('Linha 03'!$C$4:$ZZ$1000,B75,C75)</f>
        <v>6.9444444444445603E-3</v>
      </c>
    </row>
    <row r="76" spans="1:8" x14ac:dyDescent="0.25">
      <c r="A76">
        <v>74</v>
      </c>
      <c r="B76">
        <f t="shared" si="2"/>
        <v>2</v>
      </c>
      <c r="C76">
        <f t="shared" si="3"/>
        <v>33</v>
      </c>
      <c r="D76" cm="1">
        <f t="array" ref="D76">INDEX('Linha 03'!$A$4:$A$1000,B76)</f>
        <v>20040008</v>
      </c>
      <c r="E76" t="str" cm="1">
        <f t="array" ref="E76">INDEX('Linha 03'!$B$4:$B$1000,B76)</f>
        <v>Amaciante Aquafast Rosa Jard. Florid Cx/06 X 2l</v>
      </c>
      <c r="F76" cm="1">
        <f t="array" ref="F76">INDEX('Linha 03'!$C$3:$ZZ$3,C76)</f>
        <v>20200015</v>
      </c>
      <c r="G76" t="str" cm="1">
        <f t="array" ref="G76">INDEX('Linha 03'!$C$2:$ZZ$2,C76)</f>
        <v>Lava Roup. Aquafast Multiacao Cx/12 X 1l</v>
      </c>
      <c r="H76" s="5" cm="1">
        <f t="array" ref="H76">INDEX('Linha 03'!$C$4:$ZZ$1000,B76,C76)</f>
        <v>6.9444444444445698E-3</v>
      </c>
    </row>
    <row r="77" spans="1:8" x14ac:dyDescent="0.25">
      <c r="A77">
        <v>75</v>
      </c>
      <c r="B77">
        <f t="shared" si="2"/>
        <v>2</v>
      </c>
      <c r="C77">
        <f t="shared" si="3"/>
        <v>34</v>
      </c>
      <c r="D77" cm="1">
        <f t="array" ref="D77">INDEX('Linha 03'!$A$4:$A$1000,B77)</f>
        <v>20040008</v>
      </c>
      <c r="E77" t="str" cm="1">
        <f t="array" ref="E77">INDEX('Linha 03'!$B$4:$B$1000,B77)</f>
        <v>Amaciante Aquafast Rosa Jard. Florid Cx/06 X 2l</v>
      </c>
      <c r="F77" cm="1">
        <f t="array" ref="F77">INDEX('Linha 03'!$C$3:$ZZ$3,C77)</f>
        <v>20200036</v>
      </c>
      <c r="G77" t="str" cm="1">
        <f t="array" ref="G77">INDEX('Linha 03'!$C$2:$ZZ$2,C77)</f>
        <v>Lava Roupas Aquafast Ternura Cx/06 X 2l</v>
      </c>
      <c r="H77" s="5" cm="1">
        <f t="array" ref="H77">INDEX('Linha 03'!$C$4:$ZZ$1000,B77,C77)</f>
        <v>6.9444444444445802E-3</v>
      </c>
    </row>
    <row r="78" spans="1:8" x14ac:dyDescent="0.25">
      <c r="A78">
        <v>76</v>
      </c>
      <c r="B78">
        <f t="shared" si="2"/>
        <v>2</v>
      </c>
      <c r="C78">
        <f t="shared" si="3"/>
        <v>35</v>
      </c>
      <c r="D78" cm="1">
        <f t="array" ref="D78">INDEX('Linha 03'!$A$4:$A$1000,B78)</f>
        <v>20040008</v>
      </c>
      <c r="E78" t="str" cm="1">
        <f t="array" ref="E78">INDEX('Linha 03'!$B$4:$B$1000,B78)</f>
        <v>Amaciante Aquafast Rosa Jard. Florid Cx/06 X 2l</v>
      </c>
      <c r="F78" cm="1">
        <f t="array" ref="F78">INDEX('Linha 03'!$C$3:$ZZ$3,C78)</f>
        <v>20200063</v>
      </c>
      <c r="G78" t="str" cm="1">
        <f t="array" ref="G78">INDEX('Linha 03'!$C$2:$ZZ$2,C78)</f>
        <v>Lava Roup. Aquafast Tradicional Cx/12 X 1l</v>
      </c>
      <c r="H78" s="5" cm="1">
        <f t="array" ref="H78">INDEX('Linha 03'!$C$4:$ZZ$1000,B78,C78)</f>
        <v>6.9444444444445898E-3</v>
      </c>
    </row>
    <row r="79" spans="1:8" x14ac:dyDescent="0.25">
      <c r="A79">
        <v>77</v>
      </c>
      <c r="B79">
        <f t="shared" si="2"/>
        <v>2</v>
      </c>
      <c r="C79">
        <f t="shared" si="3"/>
        <v>36</v>
      </c>
      <c r="D79" cm="1">
        <f t="array" ref="D79">INDEX('Linha 03'!$A$4:$A$1000,B79)</f>
        <v>20040008</v>
      </c>
      <c r="E79" t="str" cm="1">
        <f t="array" ref="E79">INDEX('Linha 03'!$B$4:$B$1000,B79)</f>
        <v>Amaciante Aquafast Rosa Jard. Florid Cx/06 X 2l</v>
      </c>
      <c r="F79" cm="1">
        <f t="array" ref="F79">INDEX('Linha 03'!$C$3:$ZZ$3,C79)</f>
        <v>20200064</v>
      </c>
      <c r="G79" t="str" cm="1">
        <f t="array" ref="G79">INDEX('Linha 03'!$C$2:$ZZ$2,C79)</f>
        <v>Lava Roup. Aquafast Flores B. E Baunilha Cx/12 X 1l</v>
      </c>
      <c r="H79" s="5" cm="1">
        <f t="array" ref="H79">INDEX('Linha 03'!$C$4:$ZZ$1000,B79,C79)</f>
        <v>6.9444444444446002E-3</v>
      </c>
    </row>
    <row r="80" spans="1:8" x14ac:dyDescent="0.25">
      <c r="A80">
        <v>78</v>
      </c>
      <c r="B80">
        <f t="shared" si="2"/>
        <v>2</v>
      </c>
      <c r="C80">
        <f t="shared" si="3"/>
        <v>37</v>
      </c>
      <c r="D80" cm="1">
        <f t="array" ref="D80">INDEX('Linha 03'!$A$4:$A$1000,B80)</f>
        <v>20040008</v>
      </c>
      <c r="E80" t="str" cm="1">
        <f t="array" ref="E80">INDEX('Linha 03'!$B$4:$B$1000,B80)</f>
        <v>Amaciante Aquafast Rosa Jard. Florid Cx/06 X 2l</v>
      </c>
      <c r="F80" cm="1">
        <f t="array" ref="F80">INDEX('Linha 03'!$C$3:$ZZ$3,C80)</f>
        <v>20200065</v>
      </c>
      <c r="G80" t="str" cm="1">
        <f t="array" ref="G80">INDEX('Linha 03'!$C$2:$ZZ$2,C80)</f>
        <v>Lava Roupas Aquafast Flores B. E Baunilha Cx/06 X 2l</v>
      </c>
      <c r="H80" s="5" cm="1">
        <f t="array" ref="H80">INDEX('Linha 03'!$C$4:$ZZ$1000,B80,C80)</f>
        <v>6.9444444444446097E-3</v>
      </c>
    </row>
    <row r="81" spans="1:8" x14ac:dyDescent="0.25">
      <c r="A81">
        <v>79</v>
      </c>
      <c r="B81">
        <f t="shared" si="2"/>
        <v>2</v>
      </c>
      <c r="C81">
        <f t="shared" si="3"/>
        <v>38</v>
      </c>
      <c r="D81" cm="1">
        <f t="array" ref="D81">INDEX('Linha 03'!$A$4:$A$1000,B81)</f>
        <v>20040008</v>
      </c>
      <c r="E81" t="str" cm="1">
        <f t="array" ref="E81">INDEX('Linha 03'!$B$4:$B$1000,B81)</f>
        <v>Amaciante Aquafast Rosa Jard. Florid Cx/06 X 2l</v>
      </c>
      <c r="F81" cm="1">
        <f t="array" ref="F81">INDEX('Linha 03'!$C$3:$ZZ$3,C81)</f>
        <v>20200072</v>
      </c>
      <c r="G81" t="str" cm="1">
        <f t="array" ref="G81">INDEX('Linha 03'!$C$2:$ZZ$2,C81)</f>
        <v>Lava Roupas Aquafast Lavagem Rapida Total Clean Cx/12 X 1l</v>
      </c>
      <c r="H81" s="5" cm="1">
        <f t="array" ref="H81">INDEX('Linha 03'!$C$4:$ZZ$1000,B81,C81)</f>
        <v>6.9444444444446201E-3</v>
      </c>
    </row>
    <row r="82" spans="1:8" x14ac:dyDescent="0.25">
      <c r="A82">
        <v>80</v>
      </c>
      <c r="B82">
        <f t="shared" si="2"/>
        <v>2</v>
      </c>
      <c r="C82">
        <f t="shared" si="3"/>
        <v>39</v>
      </c>
      <c r="D82" cm="1">
        <f t="array" ref="D82">INDEX('Linha 03'!$A$4:$A$1000,B82)</f>
        <v>20040008</v>
      </c>
      <c r="E82" t="str" cm="1">
        <f t="array" ref="E82">INDEX('Linha 03'!$B$4:$B$1000,B82)</f>
        <v>Amaciante Aquafast Rosa Jard. Florid Cx/06 X 2l</v>
      </c>
      <c r="F82" cm="1">
        <f t="array" ref="F82">INDEX('Linha 03'!$C$3:$ZZ$3,C82)</f>
        <v>20200074</v>
      </c>
      <c r="G82" t="str" cm="1">
        <f t="array" ref="G82">INDEX('Linha 03'!$C$2:$ZZ$2,C82)</f>
        <v>Lava Roupas Aquafast Lavagem Rapida Fresh Clean Cx/12 X 1l</v>
      </c>
      <c r="H82" s="5" cm="1">
        <f t="array" ref="H82">INDEX('Linha 03'!$C$4:$ZZ$1000,B82,C82)</f>
        <v>6.9444444444446297E-3</v>
      </c>
    </row>
    <row r="83" spans="1:8" x14ac:dyDescent="0.25">
      <c r="A83">
        <v>81</v>
      </c>
      <c r="B83">
        <f t="shared" si="2"/>
        <v>2</v>
      </c>
      <c r="C83">
        <f t="shared" si="3"/>
        <v>40</v>
      </c>
      <c r="D83" cm="1">
        <f t="array" ref="D83">INDEX('Linha 03'!$A$4:$A$1000,B83)</f>
        <v>20040008</v>
      </c>
      <c r="E83" t="str" cm="1">
        <f t="array" ref="E83">INDEX('Linha 03'!$B$4:$B$1000,B83)</f>
        <v>Amaciante Aquafast Rosa Jard. Florid Cx/06 X 2l</v>
      </c>
      <c r="F83" cm="1">
        <f t="array" ref="F83">INDEX('Linha 03'!$C$3:$ZZ$3,C83)</f>
        <v>20250005</v>
      </c>
      <c r="G83" t="str" cm="1">
        <f t="array" ref="G83">INDEX('Linha 03'!$C$2:$ZZ$2,C83)</f>
        <v>Neutralizador De Odores Aquafast Floral Cx/06 X 2l</v>
      </c>
      <c r="H83" s="5" cm="1">
        <f t="array" ref="H83">INDEX('Linha 03'!$C$4:$ZZ$1000,B83,C83)</f>
        <v>6.9444444444446496E-3</v>
      </c>
    </row>
    <row r="84" spans="1:8" x14ac:dyDescent="0.25">
      <c r="A84">
        <v>82</v>
      </c>
      <c r="B84">
        <f t="shared" si="2"/>
        <v>2</v>
      </c>
      <c r="C84">
        <f t="shared" si="3"/>
        <v>41</v>
      </c>
      <c r="D84" cm="1">
        <f t="array" ref="D84">INDEX('Linha 03'!$A$4:$A$1000,B84)</f>
        <v>20040008</v>
      </c>
      <c r="E84" t="str" cm="1">
        <f t="array" ref="E84">INDEX('Linha 03'!$B$4:$B$1000,B84)</f>
        <v>Amaciante Aquafast Rosa Jard. Florid Cx/06 X 2l</v>
      </c>
      <c r="F84" cm="1">
        <f t="array" ref="F84">INDEX('Linha 03'!$C$3:$ZZ$3,C84)</f>
        <v>20250007</v>
      </c>
      <c r="G84" t="str" cm="1">
        <f t="array" ref="G84">INDEX('Linha 03'!$C$2:$ZZ$2,C84)</f>
        <v>Neutralizador De Odores Aquafast Marine Cx/06 2l</v>
      </c>
      <c r="H84" s="5" cm="1">
        <f t="array" ref="H84">INDEX('Linha 03'!$C$4:$ZZ$1000,B84,C84)</f>
        <v>6.94444444444466E-3</v>
      </c>
    </row>
    <row r="85" spans="1:8" x14ac:dyDescent="0.25">
      <c r="A85">
        <v>83</v>
      </c>
      <c r="B85">
        <f t="shared" si="2"/>
        <v>3</v>
      </c>
      <c r="C85">
        <f t="shared" si="3"/>
        <v>1</v>
      </c>
      <c r="D85" cm="1">
        <f t="array" ref="D85">INDEX('Linha 03'!$A$4:$A$1000,B85)</f>
        <v>20040009</v>
      </c>
      <c r="E85" t="str" cm="1">
        <f t="array" ref="E85">INDEX('Linha 03'!$B$4:$B$1000,B85)</f>
        <v>Amaciante Aquafast Branco Pura Caric. Cx/06 X 2l</v>
      </c>
      <c r="F85" cm="1">
        <f t="array" ref="F85">INDEX('Linha 03'!$C$3:$ZZ$3,C85)</f>
        <v>20040006</v>
      </c>
      <c r="G85" t="str" cm="1">
        <f t="array" ref="G85">INDEX('Linha 03'!$C$2:$ZZ$2,C85)</f>
        <v>Amaciante Aquafast Azul Fresc. Manha Cx/06 X 2l</v>
      </c>
      <c r="H85" s="5" cm="1">
        <f t="array" ref="H85">INDEX('Linha 03'!$C$4:$ZZ$1000,B85,C85)</f>
        <v>0</v>
      </c>
    </row>
    <row r="86" spans="1:8" x14ac:dyDescent="0.25">
      <c r="A86">
        <v>84</v>
      </c>
      <c r="B86">
        <f t="shared" si="2"/>
        <v>3</v>
      </c>
      <c r="C86">
        <f t="shared" si="3"/>
        <v>2</v>
      </c>
      <c r="D86" cm="1">
        <f t="array" ref="D86">INDEX('Linha 03'!$A$4:$A$1000,B86)</f>
        <v>20040009</v>
      </c>
      <c r="E86" t="str" cm="1">
        <f t="array" ref="E86">INDEX('Linha 03'!$B$4:$B$1000,B86)</f>
        <v>Amaciante Aquafast Branco Pura Caric. Cx/06 X 2l</v>
      </c>
      <c r="F86" cm="1">
        <f t="array" ref="F86">INDEX('Linha 03'!$C$3:$ZZ$3,C86)</f>
        <v>20040008</v>
      </c>
      <c r="G86" t="str" cm="1">
        <f t="array" ref="G86">INDEX('Linha 03'!$C$2:$ZZ$2,C86)</f>
        <v>Amaciante Aquafast Rosa Jard. Florid Cx/06 X 2l</v>
      </c>
      <c r="H86" s="5" cm="1">
        <f t="array" ref="H86">INDEX('Linha 03'!$C$4:$ZZ$1000,B86,C86)</f>
        <v>0</v>
      </c>
    </row>
    <row r="87" spans="1:8" x14ac:dyDescent="0.25">
      <c r="A87">
        <v>85</v>
      </c>
      <c r="B87">
        <f t="shared" si="2"/>
        <v>3</v>
      </c>
      <c r="C87">
        <f t="shared" si="3"/>
        <v>3</v>
      </c>
      <c r="D87" cm="1">
        <f t="array" ref="D87">INDEX('Linha 03'!$A$4:$A$1000,B87)</f>
        <v>20040009</v>
      </c>
      <c r="E87" t="str" cm="1">
        <f t="array" ref="E87">INDEX('Linha 03'!$B$4:$B$1000,B87)</f>
        <v>Amaciante Aquafast Branco Pura Caric. Cx/06 X 2l</v>
      </c>
      <c r="F87" cm="1">
        <f t="array" ref="F87">INDEX('Linha 03'!$C$3:$ZZ$3,C87)</f>
        <v>20040009</v>
      </c>
      <c r="G87" t="str" cm="1">
        <f t="array" ref="G87">INDEX('Linha 03'!$C$2:$ZZ$2,C87)</f>
        <v>Amaciante Aquafast Branco Pura Caric. Cx/06 X 2l</v>
      </c>
      <c r="H87" s="5" cm="1">
        <f t="array" ref="H87">INDEX('Linha 03'!$C$4:$ZZ$1000,B87,C87)</f>
        <v>0</v>
      </c>
    </row>
    <row r="88" spans="1:8" x14ac:dyDescent="0.25">
      <c r="A88">
        <v>86</v>
      </c>
      <c r="B88">
        <f t="shared" si="2"/>
        <v>3</v>
      </c>
      <c r="C88">
        <f t="shared" si="3"/>
        <v>4</v>
      </c>
      <c r="D88" cm="1">
        <f t="array" ref="D88">INDEX('Linha 03'!$A$4:$A$1000,B88)</f>
        <v>20040009</v>
      </c>
      <c r="E88" t="str" cm="1">
        <f t="array" ref="E88">INDEX('Linha 03'!$B$4:$B$1000,B88)</f>
        <v>Amaciante Aquafast Branco Pura Caric. Cx/06 X 2l</v>
      </c>
      <c r="F88" cm="1">
        <f t="array" ref="F88">INDEX('Linha 03'!$C$3:$ZZ$3,C88)</f>
        <v>20040026</v>
      </c>
      <c r="G88" t="str" cm="1">
        <f t="array" ref="G88">INDEX('Linha 03'!$C$2:$ZZ$2,C88)</f>
        <v>Amaciante Ito Azul Cx/06 X 2l</v>
      </c>
      <c r="H88" s="5" cm="1">
        <f t="array" ref="H88">INDEX('Linha 03'!$C$4:$ZZ$1000,B88,C88)</f>
        <v>0</v>
      </c>
    </row>
    <row r="89" spans="1:8" x14ac:dyDescent="0.25">
      <c r="A89">
        <v>87</v>
      </c>
      <c r="B89">
        <f t="shared" si="2"/>
        <v>3</v>
      </c>
      <c r="C89">
        <f t="shared" si="3"/>
        <v>5</v>
      </c>
      <c r="D89" cm="1">
        <f t="array" ref="D89">INDEX('Linha 03'!$A$4:$A$1000,B89)</f>
        <v>20040009</v>
      </c>
      <c r="E89" t="str" cm="1">
        <f t="array" ref="E89">INDEX('Linha 03'!$B$4:$B$1000,B89)</f>
        <v>Amaciante Aquafast Branco Pura Caric. Cx/06 X 2l</v>
      </c>
      <c r="F89" cm="1">
        <f t="array" ref="F89">INDEX('Linha 03'!$C$3:$ZZ$3,C89)</f>
        <v>20040028</v>
      </c>
      <c r="G89" t="str" cm="1">
        <f t="array" ref="G89">INDEX('Linha 03'!$C$2:$ZZ$2,C89)</f>
        <v>Amaciante Ito Rosa Cx/06 X 2l</v>
      </c>
      <c r="H89" s="5" cm="1">
        <f t="array" ref="H89">INDEX('Linha 03'!$C$4:$ZZ$1000,B89,C89)</f>
        <v>0</v>
      </c>
    </row>
    <row r="90" spans="1:8" x14ac:dyDescent="0.25">
      <c r="A90">
        <v>88</v>
      </c>
      <c r="B90">
        <f t="shared" si="2"/>
        <v>3</v>
      </c>
      <c r="C90">
        <f t="shared" si="3"/>
        <v>6</v>
      </c>
      <c r="D90" cm="1">
        <f t="array" ref="D90">INDEX('Linha 03'!$A$4:$A$1000,B90)</f>
        <v>20040009</v>
      </c>
      <c r="E90" t="str" cm="1">
        <f t="array" ref="E90">INDEX('Linha 03'!$B$4:$B$1000,B90)</f>
        <v>Amaciante Aquafast Branco Pura Caric. Cx/06 X 2l</v>
      </c>
      <c r="F90" cm="1">
        <f t="array" ref="F90">INDEX('Linha 03'!$C$3:$ZZ$3,C90)</f>
        <v>20040029</v>
      </c>
      <c r="G90" t="str" cm="1">
        <f t="array" ref="G90">INDEX('Linha 03'!$C$2:$ZZ$2,C90)</f>
        <v>Amaciante Ito Branco Cx/06 X 2l</v>
      </c>
      <c r="H90" s="5" cm="1">
        <f t="array" ref="H90">INDEX('Linha 03'!$C$4:$ZZ$1000,B90,C90)</f>
        <v>0</v>
      </c>
    </row>
    <row r="91" spans="1:8" x14ac:dyDescent="0.25">
      <c r="A91">
        <v>89</v>
      </c>
      <c r="B91">
        <f t="shared" si="2"/>
        <v>3</v>
      </c>
      <c r="C91">
        <f t="shared" si="3"/>
        <v>7</v>
      </c>
      <c r="D91" cm="1">
        <f t="array" ref="D91">INDEX('Linha 03'!$A$4:$A$1000,B91)</f>
        <v>20040009</v>
      </c>
      <c r="E91" t="str" cm="1">
        <f t="array" ref="E91">INDEX('Linha 03'!$B$4:$B$1000,B91)</f>
        <v>Amaciante Aquafast Branco Pura Caric. Cx/06 X 2l</v>
      </c>
      <c r="F91" cm="1">
        <f t="array" ref="F91">INDEX('Linha 03'!$C$3:$ZZ$3,C91)</f>
        <v>20040055</v>
      </c>
      <c r="G91" t="str" cm="1">
        <f t="array" ref="G91">INDEX('Linha 03'!$C$2:$ZZ$2,C91)</f>
        <v>Amaciante Myata Azul Cx/06 X 2l</v>
      </c>
      <c r="H91" s="5" cm="1">
        <f t="array" ref="H91">INDEX('Linha 03'!$C$4:$ZZ$1000,B91,C91)</f>
        <v>0</v>
      </c>
    </row>
    <row r="92" spans="1:8" x14ac:dyDescent="0.25">
      <c r="A92">
        <v>90</v>
      </c>
      <c r="B92">
        <f t="shared" si="2"/>
        <v>3</v>
      </c>
      <c r="C92">
        <f t="shared" si="3"/>
        <v>8</v>
      </c>
      <c r="D92" cm="1">
        <f t="array" ref="D92">INDEX('Linha 03'!$A$4:$A$1000,B92)</f>
        <v>20040009</v>
      </c>
      <c r="E92" t="str" cm="1">
        <f t="array" ref="E92">INDEX('Linha 03'!$B$4:$B$1000,B92)</f>
        <v>Amaciante Aquafast Branco Pura Caric. Cx/06 X 2l</v>
      </c>
      <c r="F92" cm="1">
        <f t="array" ref="F92">INDEX('Linha 03'!$C$3:$ZZ$3,C92)</f>
        <v>20040057</v>
      </c>
      <c r="G92" t="str" cm="1">
        <f t="array" ref="G92">INDEX('Linha 03'!$C$2:$ZZ$2,C92)</f>
        <v>Amaciante Myata Rosa Cx/06 X 2l</v>
      </c>
      <c r="H92" s="5" cm="1">
        <f t="array" ref="H92">INDEX('Linha 03'!$C$4:$ZZ$1000,B92,C92)</f>
        <v>0</v>
      </c>
    </row>
    <row r="93" spans="1:8" x14ac:dyDescent="0.25">
      <c r="A93">
        <v>91</v>
      </c>
      <c r="B93">
        <f t="shared" si="2"/>
        <v>3</v>
      </c>
      <c r="C93">
        <f t="shared" si="3"/>
        <v>9</v>
      </c>
      <c r="D93" cm="1">
        <f t="array" ref="D93">INDEX('Linha 03'!$A$4:$A$1000,B93)</f>
        <v>20040009</v>
      </c>
      <c r="E93" t="str" cm="1">
        <f t="array" ref="E93">INDEX('Linha 03'!$B$4:$B$1000,B93)</f>
        <v>Amaciante Aquafast Branco Pura Caric. Cx/06 X 2l</v>
      </c>
      <c r="F93" cm="1">
        <f t="array" ref="F93">INDEX('Linha 03'!$C$3:$ZZ$3,C93)</f>
        <v>20040084</v>
      </c>
      <c r="G93" t="str" cm="1">
        <f t="array" ref="G93">INDEX('Linha 03'!$C$2:$ZZ$2,C93)</f>
        <v>Amaciante Aquafast Vermelho Seducao Cx C/06 X 2l</v>
      </c>
      <c r="H93" s="5" cm="1">
        <f t="array" ref="H93">INDEX('Linha 03'!$C$4:$ZZ$1000,B93,C93)</f>
        <v>0</v>
      </c>
    </row>
    <row r="94" spans="1:8" x14ac:dyDescent="0.25">
      <c r="A94">
        <v>92</v>
      </c>
      <c r="B94">
        <f t="shared" si="2"/>
        <v>3</v>
      </c>
      <c r="C94">
        <f t="shared" si="3"/>
        <v>10</v>
      </c>
      <c r="D94" cm="1">
        <f t="array" ref="D94">INDEX('Linha 03'!$A$4:$A$1000,B94)</f>
        <v>20040009</v>
      </c>
      <c r="E94" t="str" cm="1">
        <f t="array" ref="E94">INDEX('Linha 03'!$B$4:$B$1000,B94)</f>
        <v>Amaciante Aquafast Branco Pura Caric. Cx/06 X 2l</v>
      </c>
      <c r="F94" cm="1">
        <f t="array" ref="F94">INDEX('Linha 03'!$C$3:$ZZ$3,C94)</f>
        <v>20040089</v>
      </c>
      <c r="G94" t="str" cm="1">
        <f t="array" ref="G94">INDEX('Linha 03'!$C$2:$ZZ$2,C94)</f>
        <v>Amaciante Aquafast Roxo Magia Cx/06 X 2l</v>
      </c>
      <c r="H94" s="5" cm="1">
        <f t="array" ref="H94">INDEX('Linha 03'!$C$4:$ZZ$1000,B94,C94)</f>
        <v>0</v>
      </c>
    </row>
    <row r="95" spans="1:8" x14ac:dyDescent="0.25">
      <c r="A95">
        <v>93</v>
      </c>
      <c r="B95">
        <f t="shared" si="2"/>
        <v>3</v>
      </c>
      <c r="C95">
        <f t="shared" si="3"/>
        <v>11</v>
      </c>
      <c r="D95" cm="1">
        <f t="array" ref="D95">INDEX('Linha 03'!$A$4:$A$1000,B95)</f>
        <v>20040009</v>
      </c>
      <c r="E95" t="str" cm="1">
        <f t="array" ref="E95">INDEX('Linha 03'!$B$4:$B$1000,B95)</f>
        <v>Amaciante Aquafast Branco Pura Caric. Cx/06 X 2l</v>
      </c>
      <c r="F95" cm="1">
        <f t="array" ref="F95">INDEX('Linha 03'!$C$3:$ZZ$3,C95)</f>
        <v>20040094</v>
      </c>
      <c r="G95" t="str" cm="1">
        <f t="array" ref="G95">INDEX('Linha 03'!$C$2:$ZZ$2,C95)</f>
        <v>Amaciante Aquafast Energia Cx/06 X 2l</v>
      </c>
      <c r="H95" s="5" cm="1">
        <f t="array" ref="H95">INDEX('Linha 03'!$C$4:$ZZ$1000,B95,C95)</f>
        <v>0</v>
      </c>
    </row>
    <row r="96" spans="1:8" x14ac:dyDescent="0.25">
      <c r="A96">
        <v>94</v>
      </c>
      <c r="B96">
        <f t="shared" si="2"/>
        <v>3</v>
      </c>
      <c r="C96">
        <f t="shared" si="3"/>
        <v>12</v>
      </c>
      <c r="D96" cm="1">
        <f t="array" ref="D96">INDEX('Linha 03'!$A$4:$A$1000,B96)</f>
        <v>20040009</v>
      </c>
      <c r="E96" t="str" cm="1">
        <f t="array" ref="E96">INDEX('Linha 03'!$B$4:$B$1000,B96)</f>
        <v>Amaciante Aquafast Branco Pura Caric. Cx/06 X 2l</v>
      </c>
      <c r="F96" cm="1">
        <f t="array" ref="F96">INDEX('Linha 03'!$C$3:$ZZ$3,C96)</f>
        <v>20050010</v>
      </c>
      <c r="G96" t="str" cm="1">
        <f t="array" ref="G96">INDEX('Linha 03'!$C$2:$ZZ$2,C96)</f>
        <v>Desinfetante Aquafast Campos Lavanda Cx/06 X 2l</v>
      </c>
      <c r="H96" s="5" cm="1">
        <f t="array" ref="H96">INDEX('Linha 03'!$C$4:$ZZ$1000,B96,C96)</f>
        <v>0</v>
      </c>
    </row>
    <row r="97" spans="1:8" x14ac:dyDescent="0.25">
      <c r="A97">
        <v>95</v>
      </c>
      <c r="B97">
        <f t="shared" si="2"/>
        <v>3</v>
      </c>
      <c r="C97">
        <f t="shared" si="3"/>
        <v>13</v>
      </c>
      <c r="D97" cm="1">
        <f t="array" ref="D97">INDEX('Linha 03'!$A$4:$A$1000,B97)</f>
        <v>20040009</v>
      </c>
      <c r="E97" t="str" cm="1">
        <f t="array" ref="E97">INDEX('Linha 03'!$B$4:$B$1000,B97)</f>
        <v>Amaciante Aquafast Branco Pura Caric. Cx/06 X 2l</v>
      </c>
      <c r="F97" cm="1">
        <f t="array" ref="F97">INDEX('Linha 03'!$C$3:$ZZ$3,C97)</f>
        <v>20050011</v>
      </c>
      <c r="G97" t="str" cm="1">
        <f t="array" ref="G97">INDEX('Linha 03'!$C$2:$ZZ$2,C97)</f>
        <v>Desinfetante Aquafast Jardim Florido Cx/06 X 2l</v>
      </c>
      <c r="H97" s="5" cm="1">
        <f t="array" ref="H97">INDEX('Linha 03'!$C$4:$ZZ$1000,B97,C97)</f>
        <v>0</v>
      </c>
    </row>
    <row r="98" spans="1:8" x14ac:dyDescent="0.25">
      <c r="A98">
        <v>96</v>
      </c>
      <c r="B98">
        <f t="shared" si="2"/>
        <v>3</v>
      </c>
      <c r="C98">
        <f t="shared" si="3"/>
        <v>14</v>
      </c>
      <c r="D98" cm="1">
        <f t="array" ref="D98">INDEX('Linha 03'!$A$4:$A$1000,B98)</f>
        <v>20040009</v>
      </c>
      <c r="E98" t="str" cm="1">
        <f t="array" ref="E98">INDEX('Linha 03'!$B$4:$B$1000,B98)</f>
        <v>Amaciante Aquafast Branco Pura Caric. Cx/06 X 2l</v>
      </c>
      <c r="F98" cm="1">
        <f t="array" ref="F98">INDEX('Linha 03'!$C$3:$ZZ$3,C98)</f>
        <v>20050016</v>
      </c>
      <c r="G98" t="str" cm="1">
        <f t="array" ref="G98">INDEX('Linha 03'!$C$2:$ZZ$2,C98)</f>
        <v>Desinfetante Aquafast Marine Cx/06 X 2l</v>
      </c>
      <c r="H98" s="5" cm="1">
        <f t="array" ref="H98">INDEX('Linha 03'!$C$4:$ZZ$1000,B98,C98)</f>
        <v>0</v>
      </c>
    </row>
    <row r="99" spans="1:8" x14ac:dyDescent="0.25">
      <c r="A99">
        <v>97</v>
      </c>
      <c r="B99">
        <f t="shared" si="2"/>
        <v>3</v>
      </c>
      <c r="C99">
        <f t="shared" si="3"/>
        <v>15</v>
      </c>
      <c r="D99" cm="1">
        <f t="array" ref="D99">INDEX('Linha 03'!$A$4:$A$1000,B99)</f>
        <v>20040009</v>
      </c>
      <c r="E99" t="str" cm="1">
        <f t="array" ref="E99">INDEX('Linha 03'!$B$4:$B$1000,B99)</f>
        <v>Amaciante Aquafast Branco Pura Caric. Cx/06 X 2l</v>
      </c>
      <c r="F99" cm="1">
        <f t="array" ref="F99">INDEX('Linha 03'!$C$3:$ZZ$3,C99)</f>
        <v>20050031</v>
      </c>
      <c r="G99" t="str" cm="1">
        <f t="array" ref="G99">INDEX('Linha 03'!$C$2:$ZZ$2,C99)</f>
        <v>Desinfetante Ito Lavanda Cx/06 X 2l</v>
      </c>
      <c r="H99" s="5" cm="1">
        <f t="array" ref="H99">INDEX('Linha 03'!$C$4:$ZZ$1000,B99,C99)</f>
        <v>0</v>
      </c>
    </row>
    <row r="100" spans="1:8" x14ac:dyDescent="0.25">
      <c r="A100">
        <v>98</v>
      </c>
      <c r="B100">
        <f t="shared" si="2"/>
        <v>3</v>
      </c>
      <c r="C100">
        <f t="shared" si="3"/>
        <v>16</v>
      </c>
      <c r="D100" cm="1">
        <f t="array" ref="D100">INDEX('Linha 03'!$A$4:$A$1000,B100)</f>
        <v>20040009</v>
      </c>
      <c r="E100" t="str" cm="1">
        <f t="array" ref="E100">INDEX('Linha 03'!$B$4:$B$1000,B100)</f>
        <v>Amaciante Aquafast Branco Pura Caric. Cx/06 X 2l</v>
      </c>
      <c r="F100" cm="1">
        <f t="array" ref="F100">INDEX('Linha 03'!$C$3:$ZZ$3,C100)</f>
        <v>20050032</v>
      </c>
      <c r="G100" t="str" cm="1">
        <f t="array" ref="G100">INDEX('Linha 03'!$C$2:$ZZ$2,C100)</f>
        <v>Desinfetante Ito Floral Cx/06 X 2l</v>
      </c>
      <c r="H100" s="5" cm="1">
        <f t="array" ref="H100">INDEX('Linha 03'!$C$4:$ZZ$1000,B100,C100)</f>
        <v>0</v>
      </c>
    </row>
    <row r="101" spans="1:8" x14ac:dyDescent="0.25">
      <c r="A101">
        <v>99</v>
      </c>
      <c r="B101">
        <f t="shared" si="2"/>
        <v>3</v>
      </c>
      <c r="C101">
        <f t="shared" si="3"/>
        <v>17</v>
      </c>
      <c r="D101" cm="1">
        <f t="array" ref="D101">INDEX('Linha 03'!$A$4:$A$1000,B101)</f>
        <v>20040009</v>
      </c>
      <c r="E101" t="str" cm="1">
        <f t="array" ref="E101">INDEX('Linha 03'!$B$4:$B$1000,B101)</f>
        <v>Amaciante Aquafast Branco Pura Caric. Cx/06 X 2l</v>
      </c>
      <c r="F101" cm="1">
        <f t="array" ref="F101">INDEX('Linha 03'!$C$3:$ZZ$3,C101)</f>
        <v>20050034</v>
      </c>
      <c r="G101" t="str" cm="1">
        <f t="array" ref="G101">INDEX('Linha 03'!$C$2:$ZZ$2,C101)</f>
        <v>Desinfetante Ito Eucalipto Cx/06 X 2l</v>
      </c>
      <c r="H101" s="5" cm="1">
        <f t="array" ref="H101">INDEX('Linha 03'!$C$4:$ZZ$1000,B101,C101)</f>
        <v>0</v>
      </c>
    </row>
    <row r="102" spans="1:8" x14ac:dyDescent="0.25">
      <c r="A102">
        <v>100</v>
      </c>
      <c r="B102">
        <f t="shared" si="2"/>
        <v>3</v>
      </c>
      <c r="C102">
        <f t="shared" si="3"/>
        <v>18</v>
      </c>
      <c r="D102" cm="1">
        <f t="array" ref="D102">INDEX('Linha 03'!$A$4:$A$1000,B102)</f>
        <v>20040009</v>
      </c>
      <c r="E102" t="str" cm="1">
        <f t="array" ref="E102">INDEX('Linha 03'!$B$4:$B$1000,B102)</f>
        <v>Amaciante Aquafast Branco Pura Caric. Cx/06 X 2l</v>
      </c>
      <c r="F102" cm="1">
        <f t="array" ref="F102">INDEX('Linha 03'!$C$3:$ZZ$3,C102)</f>
        <v>20050077</v>
      </c>
      <c r="G102" t="str" cm="1">
        <f t="array" ref="G102">INDEX('Linha 03'!$C$2:$ZZ$2,C102)</f>
        <v>Desinfetante Myata Lavanda Cx/06 X 2l</v>
      </c>
      <c r="H102" s="5" cm="1">
        <f t="array" ref="H102">INDEX('Linha 03'!$C$4:$ZZ$1000,B102,C102)</f>
        <v>0</v>
      </c>
    </row>
    <row r="103" spans="1:8" x14ac:dyDescent="0.25">
      <c r="A103">
        <v>101</v>
      </c>
      <c r="B103">
        <f t="shared" si="2"/>
        <v>3</v>
      </c>
      <c r="C103">
        <f t="shared" si="3"/>
        <v>19</v>
      </c>
      <c r="D103" cm="1">
        <f t="array" ref="D103">INDEX('Linha 03'!$A$4:$A$1000,B103)</f>
        <v>20040009</v>
      </c>
      <c r="E103" t="str" cm="1">
        <f t="array" ref="E103">INDEX('Linha 03'!$B$4:$B$1000,B103)</f>
        <v>Amaciante Aquafast Branco Pura Caric. Cx/06 X 2l</v>
      </c>
      <c r="F103" cm="1">
        <f t="array" ref="F103">INDEX('Linha 03'!$C$3:$ZZ$3,C103)</f>
        <v>20050078</v>
      </c>
      <c r="G103" t="str" cm="1">
        <f t="array" ref="G103">INDEX('Linha 03'!$C$2:$ZZ$2,C103)</f>
        <v>Desinfetante Myata Floral Cx/06 X 2l</v>
      </c>
      <c r="H103" s="5" cm="1">
        <f t="array" ref="H103">INDEX('Linha 03'!$C$4:$ZZ$1000,B103,C103)</f>
        <v>0</v>
      </c>
    </row>
    <row r="104" spans="1:8" x14ac:dyDescent="0.25">
      <c r="A104">
        <v>102</v>
      </c>
      <c r="B104">
        <f t="shared" si="2"/>
        <v>3</v>
      </c>
      <c r="C104">
        <f t="shared" si="3"/>
        <v>20</v>
      </c>
      <c r="D104" cm="1">
        <f t="array" ref="D104">INDEX('Linha 03'!$A$4:$A$1000,B104)</f>
        <v>20040009</v>
      </c>
      <c r="E104" t="str" cm="1">
        <f t="array" ref="E104">INDEX('Linha 03'!$B$4:$B$1000,B104)</f>
        <v>Amaciante Aquafast Branco Pura Caric. Cx/06 X 2l</v>
      </c>
      <c r="F104" cm="1">
        <f t="array" ref="F104">INDEX('Linha 03'!$C$3:$ZZ$3,C104)</f>
        <v>20050115</v>
      </c>
      <c r="G104" t="str" cm="1">
        <f t="array" ref="G104">INDEX('Linha 03'!$C$2:$ZZ$2,C104)</f>
        <v>Desinfetante Aquafast Paixao Cx/06 X 2l</v>
      </c>
      <c r="H104" s="5" cm="1">
        <f t="array" ref="H104">INDEX('Linha 03'!$C$4:$ZZ$1000,B104,C104)</f>
        <v>0</v>
      </c>
    </row>
    <row r="105" spans="1:8" x14ac:dyDescent="0.25">
      <c r="A105">
        <v>103</v>
      </c>
      <c r="B105">
        <f t="shared" si="2"/>
        <v>3</v>
      </c>
      <c r="C105">
        <f t="shared" si="3"/>
        <v>21</v>
      </c>
      <c r="D105" cm="1">
        <f t="array" ref="D105">INDEX('Linha 03'!$A$4:$A$1000,B105)</f>
        <v>20040009</v>
      </c>
      <c r="E105" t="str" cm="1">
        <f t="array" ref="E105">INDEX('Linha 03'!$B$4:$B$1000,B105)</f>
        <v>Amaciante Aquafast Branco Pura Caric. Cx/06 X 2l</v>
      </c>
      <c r="F105" cm="1">
        <f t="array" ref="F105">INDEX('Linha 03'!$C$3:$ZZ$3,C105)</f>
        <v>20050117</v>
      </c>
      <c r="G105" t="str" cm="1">
        <f t="array" ref="G105">INDEX('Linha 03'!$C$2:$ZZ$2,C105)</f>
        <v>Desinfetante Aquafast Harmonia Natural Cx/06 X 2l</v>
      </c>
      <c r="H105" s="5" cm="1">
        <f t="array" ref="H105">INDEX('Linha 03'!$C$4:$ZZ$1000,B105,C105)</f>
        <v>0</v>
      </c>
    </row>
    <row r="106" spans="1:8" x14ac:dyDescent="0.25">
      <c r="A106">
        <v>104</v>
      </c>
      <c r="B106">
        <f t="shared" si="2"/>
        <v>3</v>
      </c>
      <c r="C106">
        <f t="shared" si="3"/>
        <v>22</v>
      </c>
      <c r="D106" cm="1">
        <f t="array" ref="D106">INDEX('Linha 03'!$A$4:$A$1000,B106)</f>
        <v>20040009</v>
      </c>
      <c r="E106" t="str" cm="1">
        <f t="array" ref="E106">INDEX('Linha 03'!$B$4:$B$1000,B106)</f>
        <v>Amaciante Aquafast Branco Pura Caric. Cx/06 X 2l</v>
      </c>
      <c r="F106" cm="1">
        <f t="array" ref="F106">INDEX('Linha 03'!$C$3:$ZZ$3,C106)</f>
        <v>20050123</v>
      </c>
      <c r="G106" t="str" cm="1">
        <f t="array" ref="G106">INDEX('Linha 03'!$C$2:$ZZ$2,C106)</f>
        <v>Desinfetante Ito Harmonia Natural Cx/06 X 2l</v>
      </c>
      <c r="H106" s="5" cm="1">
        <f t="array" ref="H106">INDEX('Linha 03'!$C$4:$ZZ$1000,B106,C106)</f>
        <v>0</v>
      </c>
    </row>
    <row r="107" spans="1:8" x14ac:dyDescent="0.25">
      <c r="A107">
        <v>105</v>
      </c>
      <c r="B107">
        <f t="shared" si="2"/>
        <v>3</v>
      </c>
      <c r="C107">
        <f t="shared" si="3"/>
        <v>23</v>
      </c>
      <c r="D107" cm="1">
        <f t="array" ref="D107">INDEX('Linha 03'!$A$4:$A$1000,B107)</f>
        <v>20040009</v>
      </c>
      <c r="E107" t="str" cm="1">
        <f t="array" ref="E107">INDEX('Linha 03'!$B$4:$B$1000,B107)</f>
        <v>Amaciante Aquafast Branco Pura Caric. Cx/06 X 2l</v>
      </c>
      <c r="F107" cm="1">
        <f t="array" ref="F107">INDEX('Linha 03'!$C$3:$ZZ$3,C107)</f>
        <v>20050124</v>
      </c>
      <c r="G107" t="str" cm="1">
        <f t="array" ref="G107">INDEX('Linha 03'!$C$2:$ZZ$2,C107)</f>
        <v>Desinfetante Myata Harmonia Natural Cx/06 X 2l</v>
      </c>
      <c r="H107" s="5" cm="1">
        <f t="array" ref="H107">INDEX('Linha 03'!$C$4:$ZZ$1000,B107,C107)</f>
        <v>0</v>
      </c>
    </row>
    <row r="108" spans="1:8" x14ac:dyDescent="0.25">
      <c r="A108">
        <v>106</v>
      </c>
      <c r="B108">
        <f t="shared" si="2"/>
        <v>3</v>
      </c>
      <c r="C108">
        <f t="shared" si="3"/>
        <v>24</v>
      </c>
      <c r="D108" cm="1">
        <f t="array" ref="D108">INDEX('Linha 03'!$A$4:$A$1000,B108)</f>
        <v>20040009</v>
      </c>
      <c r="E108" t="str" cm="1">
        <f t="array" ref="E108">INDEX('Linha 03'!$B$4:$B$1000,B108)</f>
        <v>Amaciante Aquafast Branco Pura Caric. Cx/06 X 2l</v>
      </c>
      <c r="F108" cm="1">
        <f t="array" ref="F108">INDEX('Linha 03'!$C$3:$ZZ$3,C108)</f>
        <v>20050142</v>
      </c>
      <c r="G108" t="str" cm="1">
        <f t="array" ref="G108">INDEX('Linha 03'!$C$2:$ZZ$2,C108)</f>
        <v>Desinfetante Ito Marine Cx/06 X 2l</v>
      </c>
      <c r="H108" s="5" cm="1">
        <f t="array" ref="H108">INDEX('Linha 03'!$C$4:$ZZ$1000,B108,C108)</f>
        <v>0</v>
      </c>
    </row>
    <row r="109" spans="1:8" x14ac:dyDescent="0.25">
      <c r="A109">
        <v>107</v>
      </c>
      <c r="B109">
        <f t="shared" si="2"/>
        <v>3</v>
      </c>
      <c r="C109">
        <f t="shared" si="3"/>
        <v>25</v>
      </c>
      <c r="D109" cm="1">
        <f t="array" ref="D109">INDEX('Linha 03'!$A$4:$A$1000,B109)</f>
        <v>20040009</v>
      </c>
      <c r="E109" t="str" cm="1">
        <f t="array" ref="E109">INDEX('Linha 03'!$B$4:$B$1000,B109)</f>
        <v>Amaciante Aquafast Branco Pura Caric. Cx/06 X 2l</v>
      </c>
      <c r="F109" cm="1">
        <f t="array" ref="F109">INDEX('Linha 03'!$C$3:$ZZ$3,C109)</f>
        <v>20050159</v>
      </c>
      <c r="G109" t="str" cm="1">
        <f t="array" ref="G109">INDEX('Linha 03'!$C$2:$ZZ$2,C109)</f>
        <v>Desinfetante Aquafast Cha Branco Cx/06 X 2l</v>
      </c>
      <c r="H109" s="5" cm="1">
        <f t="array" ref="H109">INDEX('Linha 03'!$C$4:$ZZ$1000,B109,C109)</f>
        <v>1.38888888888889E-2</v>
      </c>
    </row>
    <row r="110" spans="1:8" x14ac:dyDescent="0.25">
      <c r="A110">
        <v>108</v>
      </c>
      <c r="B110">
        <f t="shared" si="2"/>
        <v>3</v>
      </c>
      <c r="C110">
        <f t="shared" si="3"/>
        <v>26</v>
      </c>
      <c r="D110" cm="1">
        <f t="array" ref="D110">INDEX('Linha 03'!$A$4:$A$1000,B110)</f>
        <v>20040009</v>
      </c>
      <c r="E110" t="str" cm="1">
        <f t="array" ref="E110">INDEX('Linha 03'!$B$4:$B$1000,B110)</f>
        <v>Amaciante Aquafast Branco Pura Caric. Cx/06 X 2l</v>
      </c>
      <c r="F110" cm="1">
        <f t="array" ref="F110">INDEX('Linha 03'!$C$3:$ZZ$3,C110)</f>
        <v>20060007</v>
      </c>
      <c r="G110" t="str" cm="1">
        <f t="array" ref="G110">INDEX('Linha 03'!$C$2:$ZZ$2,C110)</f>
        <v>Limp Perf Aquafast Magia Seducao Cx/06 X 2l (Promoc)</v>
      </c>
      <c r="H110" s="5" cm="1">
        <f t="array" ref="H110">INDEX('Linha 03'!$C$4:$ZZ$1000,B110,C110)</f>
        <v>0</v>
      </c>
    </row>
    <row r="111" spans="1:8" x14ac:dyDescent="0.25">
      <c r="A111">
        <v>109</v>
      </c>
      <c r="B111">
        <f t="shared" si="2"/>
        <v>3</v>
      </c>
      <c r="C111">
        <f t="shared" si="3"/>
        <v>27</v>
      </c>
      <c r="D111" cm="1">
        <f t="array" ref="D111">INDEX('Linha 03'!$A$4:$A$1000,B111)</f>
        <v>20040009</v>
      </c>
      <c r="E111" t="str" cm="1">
        <f t="array" ref="E111">INDEX('Linha 03'!$B$4:$B$1000,B111)</f>
        <v>Amaciante Aquafast Branco Pura Caric. Cx/06 X 2l</v>
      </c>
      <c r="F111" cm="1">
        <f t="array" ref="F111">INDEX('Linha 03'!$C$3:$ZZ$3,C111)</f>
        <v>20060009</v>
      </c>
      <c r="G111" t="str" cm="1">
        <f t="array" ref="G111">INDEX('Linha 03'!$C$2:$ZZ$2,C111)</f>
        <v>Limp Perf Aquafast Frescor Da Manha Cx/06 X 2l (Promoc)</v>
      </c>
      <c r="H111" s="5" cm="1">
        <f t="array" ref="H111">INDEX('Linha 03'!$C$4:$ZZ$1000,B111,C111)</f>
        <v>0</v>
      </c>
    </row>
    <row r="112" spans="1:8" x14ac:dyDescent="0.25">
      <c r="A112">
        <v>110</v>
      </c>
      <c r="B112">
        <f t="shared" si="2"/>
        <v>3</v>
      </c>
      <c r="C112">
        <f t="shared" si="3"/>
        <v>28</v>
      </c>
      <c r="D112" cm="1">
        <f t="array" ref="D112">INDEX('Linha 03'!$A$4:$A$1000,B112)</f>
        <v>20040009</v>
      </c>
      <c r="E112" t="str" cm="1">
        <f t="array" ref="E112">INDEX('Linha 03'!$B$4:$B$1000,B112)</f>
        <v>Amaciante Aquafast Branco Pura Caric. Cx/06 X 2l</v>
      </c>
      <c r="F112" cm="1">
        <f t="array" ref="F112">INDEX('Linha 03'!$C$3:$ZZ$3,C112)</f>
        <v>20060017</v>
      </c>
      <c r="G112" t="str" cm="1">
        <f t="array" ref="G112">INDEX('Linha 03'!$C$2:$ZZ$2,C112)</f>
        <v>Limp Perf Aquafast Doce Romance Cx/06 X 2l (Promoc)</v>
      </c>
      <c r="H112" s="5" cm="1">
        <f t="array" ref="H112">INDEX('Linha 03'!$C$4:$ZZ$1000,B112,C112)</f>
        <v>0</v>
      </c>
    </row>
    <row r="113" spans="1:8" x14ac:dyDescent="0.25">
      <c r="A113">
        <v>111</v>
      </c>
      <c r="B113">
        <f t="shared" si="2"/>
        <v>3</v>
      </c>
      <c r="C113">
        <f t="shared" si="3"/>
        <v>29</v>
      </c>
      <c r="D113" cm="1">
        <f t="array" ref="D113">INDEX('Linha 03'!$A$4:$A$1000,B113)</f>
        <v>20040009</v>
      </c>
      <c r="E113" t="str" cm="1">
        <f t="array" ref="E113">INDEX('Linha 03'!$B$4:$B$1000,B113)</f>
        <v>Amaciante Aquafast Branco Pura Caric. Cx/06 X 2l</v>
      </c>
      <c r="F113" cm="1">
        <f t="array" ref="F113">INDEX('Linha 03'!$C$3:$ZZ$3,C113)</f>
        <v>20060028</v>
      </c>
      <c r="G113" t="str" cm="1">
        <f t="array" ref="G113">INDEX('Linha 03'!$C$2:$ZZ$2,C113)</f>
        <v>Limp Perf Aquafast Essencia Natural Cx06 X 2l</v>
      </c>
      <c r="H113" s="5" cm="1">
        <f t="array" ref="H113">INDEX('Linha 03'!$C$4:$ZZ$1000,B113,C113)</f>
        <v>0</v>
      </c>
    </row>
    <row r="114" spans="1:8" x14ac:dyDescent="0.25">
      <c r="A114">
        <v>112</v>
      </c>
      <c r="B114">
        <f t="shared" si="2"/>
        <v>3</v>
      </c>
      <c r="C114">
        <f t="shared" si="3"/>
        <v>30</v>
      </c>
      <c r="D114" cm="1">
        <f t="array" ref="D114">INDEX('Linha 03'!$A$4:$A$1000,B114)</f>
        <v>20040009</v>
      </c>
      <c r="E114" t="str" cm="1">
        <f t="array" ref="E114">INDEX('Linha 03'!$B$4:$B$1000,B114)</f>
        <v>Amaciante Aquafast Branco Pura Caric. Cx/06 X 2l</v>
      </c>
      <c r="F114" cm="1">
        <f t="array" ref="F114">INDEX('Linha 03'!$C$3:$ZZ$3,C114)</f>
        <v>20200003</v>
      </c>
      <c r="G114" t="str" cm="1">
        <f t="array" ref="G114">INDEX('Linha 03'!$C$2:$ZZ$2,C114)</f>
        <v>Lava Roup. Aquafast Baby Cx/12 X 1l</v>
      </c>
      <c r="H114" s="5" cm="1">
        <f t="array" ref="H114">INDEX('Linha 03'!$C$4:$ZZ$1000,B114,C114)</f>
        <v>0</v>
      </c>
    </row>
    <row r="115" spans="1:8" x14ac:dyDescent="0.25">
      <c r="A115">
        <v>113</v>
      </c>
      <c r="B115">
        <f t="shared" si="2"/>
        <v>3</v>
      </c>
      <c r="C115">
        <f t="shared" si="3"/>
        <v>31</v>
      </c>
      <c r="D115" cm="1">
        <f t="array" ref="D115">INDEX('Linha 03'!$A$4:$A$1000,B115)</f>
        <v>20040009</v>
      </c>
      <c r="E115" t="str" cm="1">
        <f t="array" ref="E115">INDEX('Linha 03'!$B$4:$B$1000,B115)</f>
        <v>Amaciante Aquafast Branco Pura Caric. Cx/06 X 2l</v>
      </c>
      <c r="F115" cm="1">
        <f t="array" ref="F115">INDEX('Linha 03'!$C$3:$ZZ$3,C115)</f>
        <v>20200005</v>
      </c>
      <c r="G115" t="str" cm="1">
        <f t="array" ref="G115">INDEX('Linha 03'!$C$2:$ZZ$2,C115)</f>
        <v>Lava Roupas Aquafast Multi Acao Cx/06 X 2l</v>
      </c>
      <c r="H115" s="5" cm="1">
        <f t="array" ref="H115">INDEX('Linha 03'!$C$4:$ZZ$1000,B115,C115)</f>
        <v>0</v>
      </c>
    </row>
    <row r="116" spans="1:8" x14ac:dyDescent="0.25">
      <c r="A116">
        <v>114</v>
      </c>
      <c r="B116">
        <f t="shared" si="2"/>
        <v>3</v>
      </c>
      <c r="C116">
        <f t="shared" si="3"/>
        <v>32</v>
      </c>
      <c r="D116" cm="1">
        <f t="array" ref="D116">INDEX('Linha 03'!$A$4:$A$1000,B116)</f>
        <v>20040009</v>
      </c>
      <c r="E116" t="str" cm="1">
        <f t="array" ref="E116">INDEX('Linha 03'!$B$4:$B$1000,B116)</f>
        <v>Amaciante Aquafast Branco Pura Caric. Cx/06 X 2l</v>
      </c>
      <c r="F116" cm="1">
        <f t="array" ref="F116">INDEX('Linha 03'!$C$3:$ZZ$3,C116)</f>
        <v>20200006</v>
      </c>
      <c r="G116" t="str" cm="1">
        <f t="array" ref="G116">INDEX('Linha 03'!$C$2:$ZZ$2,C116)</f>
        <v>Lava Roupas Aquafast Glicerina Cx/06 X 2l</v>
      </c>
      <c r="H116" s="5" cm="1">
        <f t="array" ref="H116">INDEX('Linha 03'!$C$4:$ZZ$1000,B116,C116)</f>
        <v>0</v>
      </c>
    </row>
    <row r="117" spans="1:8" x14ac:dyDescent="0.25">
      <c r="A117">
        <v>115</v>
      </c>
      <c r="B117">
        <f t="shared" si="2"/>
        <v>3</v>
      </c>
      <c r="C117">
        <f t="shared" si="3"/>
        <v>33</v>
      </c>
      <c r="D117" cm="1">
        <f t="array" ref="D117">INDEX('Linha 03'!$A$4:$A$1000,B117)</f>
        <v>20040009</v>
      </c>
      <c r="E117" t="str" cm="1">
        <f t="array" ref="E117">INDEX('Linha 03'!$B$4:$B$1000,B117)</f>
        <v>Amaciante Aquafast Branco Pura Caric. Cx/06 X 2l</v>
      </c>
      <c r="F117" cm="1">
        <f t="array" ref="F117">INDEX('Linha 03'!$C$3:$ZZ$3,C117)</f>
        <v>20200015</v>
      </c>
      <c r="G117" t="str" cm="1">
        <f t="array" ref="G117">INDEX('Linha 03'!$C$2:$ZZ$2,C117)</f>
        <v>Lava Roup. Aquafast Multiacao Cx/12 X 1l</v>
      </c>
      <c r="H117" s="5" cm="1">
        <f t="array" ref="H117">INDEX('Linha 03'!$C$4:$ZZ$1000,B117,C117)</f>
        <v>0</v>
      </c>
    </row>
    <row r="118" spans="1:8" x14ac:dyDescent="0.25">
      <c r="A118">
        <v>116</v>
      </c>
      <c r="B118">
        <f t="shared" si="2"/>
        <v>3</v>
      </c>
      <c r="C118">
        <f t="shared" si="3"/>
        <v>34</v>
      </c>
      <c r="D118" cm="1">
        <f t="array" ref="D118">INDEX('Linha 03'!$A$4:$A$1000,B118)</f>
        <v>20040009</v>
      </c>
      <c r="E118" t="str" cm="1">
        <f t="array" ref="E118">INDEX('Linha 03'!$B$4:$B$1000,B118)</f>
        <v>Amaciante Aquafast Branco Pura Caric. Cx/06 X 2l</v>
      </c>
      <c r="F118" cm="1">
        <f t="array" ref="F118">INDEX('Linha 03'!$C$3:$ZZ$3,C118)</f>
        <v>20200036</v>
      </c>
      <c r="G118" t="str" cm="1">
        <f t="array" ref="G118">INDEX('Linha 03'!$C$2:$ZZ$2,C118)</f>
        <v>Lava Roupas Aquafast Ternura Cx/06 X 2l</v>
      </c>
      <c r="H118" s="5" cm="1">
        <f t="array" ref="H118">INDEX('Linha 03'!$C$4:$ZZ$1000,B118,C118)</f>
        <v>0</v>
      </c>
    </row>
    <row r="119" spans="1:8" x14ac:dyDescent="0.25">
      <c r="A119">
        <v>117</v>
      </c>
      <c r="B119">
        <f t="shared" si="2"/>
        <v>3</v>
      </c>
      <c r="C119">
        <f t="shared" si="3"/>
        <v>35</v>
      </c>
      <c r="D119" cm="1">
        <f t="array" ref="D119">INDEX('Linha 03'!$A$4:$A$1000,B119)</f>
        <v>20040009</v>
      </c>
      <c r="E119" t="str" cm="1">
        <f t="array" ref="E119">INDEX('Linha 03'!$B$4:$B$1000,B119)</f>
        <v>Amaciante Aquafast Branco Pura Caric. Cx/06 X 2l</v>
      </c>
      <c r="F119" cm="1">
        <f t="array" ref="F119">INDEX('Linha 03'!$C$3:$ZZ$3,C119)</f>
        <v>20200063</v>
      </c>
      <c r="G119" t="str" cm="1">
        <f t="array" ref="G119">INDEX('Linha 03'!$C$2:$ZZ$2,C119)</f>
        <v>Lava Roup. Aquafast Tradicional Cx/12 X 1l</v>
      </c>
      <c r="H119" s="5" cm="1">
        <f t="array" ref="H119">INDEX('Linha 03'!$C$4:$ZZ$1000,B119,C119)</f>
        <v>0</v>
      </c>
    </row>
    <row r="120" spans="1:8" x14ac:dyDescent="0.25">
      <c r="A120">
        <v>118</v>
      </c>
      <c r="B120">
        <f t="shared" si="2"/>
        <v>3</v>
      </c>
      <c r="C120">
        <f t="shared" si="3"/>
        <v>36</v>
      </c>
      <c r="D120" cm="1">
        <f t="array" ref="D120">INDEX('Linha 03'!$A$4:$A$1000,B120)</f>
        <v>20040009</v>
      </c>
      <c r="E120" t="str" cm="1">
        <f t="array" ref="E120">INDEX('Linha 03'!$B$4:$B$1000,B120)</f>
        <v>Amaciante Aquafast Branco Pura Caric. Cx/06 X 2l</v>
      </c>
      <c r="F120" cm="1">
        <f t="array" ref="F120">INDEX('Linha 03'!$C$3:$ZZ$3,C120)</f>
        <v>20200064</v>
      </c>
      <c r="G120" t="str" cm="1">
        <f t="array" ref="G120">INDEX('Linha 03'!$C$2:$ZZ$2,C120)</f>
        <v>Lava Roup. Aquafast Flores B. E Baunilha Cx/12 X 1l</v>
      </c>
      <c r="H120" s="5" cm="1">
        <f t="array" ref="H120">INDEX('Linha 03'!$C$4:$ZZ$1000,B120,C120)</f>
        <v>0</v>
      </c>
    </row>
    <row r="121" spans="1:8" x14ac:dyDescent="0.25">
      <c r="A121">
        <v>119</v>
      </c>
      <c r="B121">
        <f t="shared" si="2"/>
        <v>3</v>
      </c>
      <c r="C121">
        <f t="shared" si="3"/>
        <v>37</v>
      </c>
      <c r="D121" cm="1">
        <f t="array" ref="D121">INDEX('Linha 03'!$A$4:$A$1000,B121)</f>
        <v>20040009</v>
      </c>
      <c r="E121" t="str" cm="1">
        <f t="array" ref="E121">INDEX('Linha 03'!$B$4:$B$1000,B121)</f>
        <v>Amaciante Aquafast Branco Pura Caric. Cx/06 X 2l</v>
      </c>
      <c r="F121" cm="1">
        <f t="array" ref="F121">INDEX('Linha 03'!$C$3:$ZZ$3,C121)</f>
        <v>20200065</v>
      </c>
      <c r="G121" t="str" cm="1">
        <f t="array" ref="G121">INDEX('Linha 03'!$C$2:$ZZ$2,C121)</f>
        <v>Lava Roupas Aquafast Flores B. E Baunilha Cx/06 X 2l</v>
      </c>
      <c r="H121" s="5" cm="1">
        <f t="array" ref="H121">INDEX('Linha 03'!$C$4:$ZZ$1000,B121,C121)</f>
        <v>0</v>
      </c>
    </row>
    <row r="122" spans="1:8" x14ac:dyDescent="0.25">
      <c r="A122">
        <v>120</v>
      </c>
      <c r="B122">
        <f t="shared" si="2"/>
        <v>3</v>
      </c>
      <c r="C122">
        <f t="shared" si="3"/>
        <v>38</v>
      </c>
      <c r="D122" cm="1">
        <f t="array" ref="D122">INDEX('Linha 03'!$A$4:$A$1000,B122)</f>
        <v>20040009</v>
      </c>
      <c r="E122" t="str" cm="1">
        <f t="array" ref="E122">INDEX('Linha 03'!$B$4:$B$1000,B122)</f>
        <v>Amaciante Aquafast Branco Pura Caric. Cx/06 X 2l</v>
      </c>
      <c r="F122" cm="1">
        <f t="array" ref="F122">INDEX('Linha 03'!$C$3:$ZZ$3,C122)</f>
        <v>20200072</v>
      </c>
      <c r="G122" t="str" cm="1">
        <f t="array" ref="G122">INDEX('Linha 03'!$C$2:$ZZ$2,C122)</f>
        <v>Lava Roupas Aquafast Lavagem Rapida Total Clean Cx/12 X 1l</v>
      </c>
      <c r="H122" s="5" cm="1">
        <f t="array" ref="H122">INDEX('Linha 03'!$C$4:$ZZ$1000,B122,C122)</f>
        <v>0</v>
      </c>
    </row>
    <row r="123" spans="1:8" x14ac:dyDescent="0.25">
      <c r="A123">
        <v>121</v>
      </c>
      <c r="B123">
        <f t="shared" si="2"/>
        <v>3</v>
      </c>
      <c r="C123">
        <f t="shared" si="3"/>
        <v>39</v>
      </c>
      <c r="D123" cm="1">
        <f t="array" ref="D123">INDEX('Linha 03'!$A$4:$A$1000,B123)</f>
        <v>20040009</v>
      </c>
      <c r="E123" t="str" cm="1">
        <f t="array" ref="E123">INDEX('Linha 03'!$B$4:$B$1000,B123)</f>
        <v>Amaciante Aquafast Branco Pura Caric. Cx/06 X 2l</v>
      </c>
      <c r="F123" cm="1">
        <f t="array" ref="F123">INDEX('Linha 03'!$C$3:$ZZ$3,C123)</f>
        <v>20200074</v>
      </c>
      <c r="G123" t="str" cm="1">
        <f t="array" ref="G123">INDEX('Linha 03'!$C$2:$ZZ$2,C123)</f>
        <v>Lava Roupas Aquafast Lavagem Rapida Fresh Clean Cx/12 X 1l</v>
      </c>
      <c r="H123" s="5" cm="1">
        <f t="array" ref="H123">INDEX('Linha 03'!$C$4:$ZZ$1000,B123,C123)</f>
        <v>0</v>
      </c>
    </row>
    <row r="124" spans="1:8" x14ac:dyDescent="0.25">
      <c r="A124">
        <v>122</v>
      </c>
      <c r="B124">
        <f t="shared" si="2"/>
        <v>3</v>
      </c>
      <c r="C124">
        <f t="shared" si="3"/>
        <v>40</v>
      </c>
      <c r="D124" cm="1">
        <f t="array" ref="D124">INDEX('Linha 03'!$A$4:$A$1000,B124)</f>
        <v>20040009</v>
      </c>
      <c r="E124" t="str" cm="1">
        <f t="array" ref="E124">INDEX('Linha 03'!$B$4:$B$1000,B124)</f>
        <v>Amaciante Aquafast Branco Pura Caric. Cx/06 X 2l</v>
      </c>
      <c r="F124" cm="1">
        <f t="array" ref="F124">INDEX('Linha 03'!$C$3:$ZZ$3,C124)</f>
        <v>20250005</v>
      </c>
      <c r="G124" t="str" cm="1">
        <f t="array" ref="G124">INDEX('Linha 03'!$C$2:$ZZ$2,C124)</f>
        <v>Neutralizador De Odores Aquafast Floral Cx/06 X 2l</v>
      </c>
      <c r="H124" s="5" cm="1">
        <f t="array" ref="H124">INDEX('Linha 03'!$C$4:$ZZ$1000,B124,C124)</f>
        <v>0</v>
      </c>
    </row>
    <row r="125" spans="1:8" x14ac:dyDescent="0.25">
      <c r="A125">
        <v>123</v>
      </c>
      <c r="B125">
        <f t="shared" si="2"/>
        <v>3</v>
      </c>
      <c r="C125">
        <f t="shared" si="3"/>
        <v>41</v>
      </c>
      <c r="D125" cm="1">
        <f t="array" ref="D125">INDEX('Linha 03'!$A$4:$A$1000,B125)</f>
        <v>20040009</v>
      </c>
      <c r="E125" t="str" cm="1">
        <f t="array" ref="E125">INDEX('Linha 03'!$B$4:$B$1000,B125)</f>
        <v>Amaciante Aquafast Branco Pura Caric. Cx/06 X 2l</v>
      </c>
      <c r="F125" cm="1">
        <f t="array" ref="F125">INDEX('Linha 03'!$C$3:$ZZ$3,C125)</f>
        <v>20250007</v>
      </c>
      <c r="G125" t="str" cm="1">
        <f t="array" ref="G125">INDEX('Linha 03'!$C$2:$ZZ$2,C125)</f>
        <v>Neutralizador De Odores Aquafast Marine Cx/06 2l</v>
      </c>
      <c r="H125" s="5" cm="1">
        <f t="array" ref="H125">INDEX('Linha 03'!$C$4:$ZZ$1000,B125,C125)</f>
        <v>0</v>
      </c>
    </row>
    <row r="126" spans="1:8" x14ac:dyDescent="0.25">
      <c r="A126">
        <v>124</v>
      </c>
      <c r="B126">
        <f t="shared" si="2"/>
        <v>4</v>
      </c>
      <c r="C126">
        <f t="shared" si="3"/>
        <v>1</v>
      </c>
      <c r="D126" cm="1">
        <f t="array" ref="D126">INDEX('Linha 03'!$A$4:$A$1000,B126)</f>
        <v>20040026</v>
      </c>
      <c r="E126" t="str" cm="1">
        <f t="array" ref="E126">INDEX('Linha 03'!$B$4:$B$1000,B126)</f>
        <v>Amaciante Ito Azul Cx/06 X 2l</v>
      </c>
      <c r="F126" cm="1">
        <f t="array" ref="F126">INDEX('Linha 03'!$C$3:$ZZ$3,C126)</f>
        <v>20040006</v>
      </c>
      <c r="G126" t="str" cm="1">
        <f t="array" ref="G126">INDEX('Linha 03'!$C$2:$ZZ$2,C126)</f>
        <v>Amaciante Aquafast Azul Fresc. Manha Cx/06 X 2l</v>
      </c>
      <c r="H126" s="5" cm="1">
        <f t="array" ref="H126">INDEX('Linha 03'!$C$4:$ZZ$1000,B126,C126)</f>
        <v>0</v>
      </c>
    </row>
    <row r="127" spans="1:8" x14ac:dyDescent="0.25">
      <c r="A127">
        <v>125</v>
      </c>
      <c r="B127">
        <f t="shared" si="2"/>
        <v>4</v>
      </c>
      <c r="C127">
        <f t="shared" si="3"/>
        <v>2</v>
      </c>
      <c r="D127" cm="1">
        <f t="array" ref="D127">INDEX('Linha 03'!$A$4:$A$1000,B127)</f>
        <v>20040026</v>
      </c>
      <c r="E127" t="str" cm="1">
        <f t="array" ref="E127">INDEX('Linha 03'!$B$4:$B$1000,B127)</f>
        <v>Amaciante Ito Azul Cx/06 X 2l</v>
      </c>
      <c r="F127" cm="1">
        <f t="array" ref="F127">INDEX('Linha 03'!$C$3:$ZZ$3,C127)</f>
        <v>20040008</v>
      </c>
      <c r="G127" t="str" cm="1">
        <f t="array" ref="G127">INDEX('Linha 03'!$C$2:$ZZ$2,C127)</f>
        <v>Amaciante Aquafast Rosa Jard. Florid Cx/06 X 2l</v>
      </c>
      <c r="H127" s="5" cm="1">
        <f t="array" ref="H127">INDEX('Linha 03'!$C$4:$ZZ$1000,B127,C127)</f>
        <v>0</v>
      </c>
    </row>
    <row r="128" spans="1:8" x14ac:dyDescent="0.25">
      <c r="A128">
        <v>126</v>
      </c>
      <c r="B128">
        <f t="shared" si="2"/>
        <v>4</v>
      </c>
      <c r="C128">
        <f t="shared" si="3"/>
        <v>3</v>
      </c>
      <c r="D128" cm="1">
        <f t="array" ref="D128">INDEX('Linha 03'!$A$4:$A$1000,B128)</f>
        <v>20040026</v>
      </c>
      <c r="E128" t="str" cm="1">
        <f t="array" ref="E128">INDEX('Linha 03'!$B$4:$B$1000,B128)</f>
        <v>Amaciante Ito Azul Cx/06 X 2l</v>
      </c>
      <c r="F128" cm="1">
        <f t="array" ref="F128">INDEX('Linha 03'!$C$3:$ZZ$3,C128)</f>
        <v>20040009</v>
      </c>
      <c r="G128" t="str" cm="1">
        <f t="array" ref="G128">INDEX('Linha 03'!$C$2:$ZZ$2,C128)</f>
        <v>Amaciante Aquafast Branco Pura Caric. Cx/06 X 2l</v>
      </c>
      <c r="H128" s="5" cm="1">
        <f t="array" ref="H128">INDEX('Linha 03'!$C$4:$ZZ$1000,B128,C128)</f>
        <v>0</v>
      </c>
    </row>
    <row r="129" spans="1:8" x14ac:dyDescent="0.25">
      <c r="A129">
        <v>127</v>
      </c>
      <c r="B129">
        <f t="shared" si="2"/>
        <v>4</v>
      </c>
      <c r="C129">
        <f t="shared" si="3"/>
        <v>4</v>
      </c>
      <c r="D129" cm="1">
        <f t="array" ref="D129">INDEX('Linha 03'!$A$4:$A$1000,B129)</f>
        <v>20040026</v>
      </c>
      <c r="E129" t="str" cm="1">
        <f t="array" ref="E129">INDEX('Linha 03'!$B$4:$B$1000,B129)</f>
        <v>Amaciante Ito Azul Cx/06 X 2l</v>
      </c>
      <c r="F129" cm="1">
        <f t="array" ref="F129">INDEX('Linha 03'!$C$3:$ZZ$3,C129)</f>
        <v>20040026</v>
      </c>
      <c r="G129" t="str" cm="1">
        <f t="array" ref="G129">INDEX('Linha 03'!$C$2:$ZZ$2,C129)</f>
        <v>Amaciante Ito Azul Cx/06 X 2l</v>
      </c>
      <c r="H129" s="5" cm="1">
        <f t="array" ref="H129">INDEX('Linha 03'!$C$4:$ZZ$1000,B129,C129)</f>
        <v>0</v>
      </c>
    </row>
    <row r="130" spans="1:8" x14ac:dyDescent="0.25">
      <c r="A130">
        <v>128</v>
      </c>
      <c r="B130">
        <f t="shared" si="2"/>
        <v>4</v>
      </c>
      <c r="C130">
        <f t="shared" si="3"/>
        <v>5</v>
      </c>
      <c r="D130" cm="1">
        <f t="array" ref="D130">INDEX('Linha 03'!$A$4:$A$1000,B130)</f>
        <v>20040026</v>
      </c>
      <c r="E130" t="str" cm="1">
        <f t="array" ref="E130">INDEX('Linha 03'!$B$4:$B$1000,B130)</f>
        <v>Amaciante Ito Azul Cx/06 X 2l</v>
      </c>
      <c r="F130" cm="1">
        <f t="array" ref="F130">INDEX('Linha 03'!$C$3:$ZZ$3,C130)</f>
        <v>20040028</v>
      </c>
      <c r="G130" t="str" cm="1">
        <f t="array" ref="G130">INDEX('Linha 03'!$C$2:$ZZ$2,C130)</f>
        <v>Amaciante Ito Rosa Cx/06 X 2l</v>
      </c>
      <c r="H130" s="5" cm="1">
        <f t="array" ref="H130">INDEX('Linha 03'!$C$4:$ZZ$1000,B130,C130)</f>
        <v>0</v>
      </c>
    </row>
    <row r="131" spans="1:8" x14ac:dyDescent="0.25">
      <c r="A131">
        <v>129</v>
      </c>
      <c r="B131">
        <f t="shared" si="2"/>
        <v>4</v>
      </c>
      <c r="C131">
        <f t="shared" si="3"/>
        <v>6</v>
      </c>
      <c r="D131" cm="1">
        <f t="array" ref="D131">INDEX('Linha 03'!$A$4:$A$1000,B131)</f>
        <v>20040026</v>
      </c>
      <c r="E131" t="str" cm="1">
        <f t="array" ref="E131">INDEX('Linha 03'!$B$4:$B$1000,B131)</f>
        <v>Amaciante Ito Azul Cx/06 X 2l</v>
      </c>
      <c r="F131" cm="1">
        <f t="array" ref="F131">INDEX('Linha 03'!$C$3:$ZZ$3,C131)</f>
        <v>20040029</v>
      </c>
      <c r="G131" t="str" cm="1">
        <f t="array" ref="G131">INDEX('Linha 03'!$C$2:$ZZ$2,C131)</f>
        <v>Amaciante Ito Branco Cx/06 X 2l</v>
      </c>
      <c r="H131" s="5" cm="1">
        <f t="array" ref="H131">INDEX('Linha 03'!$C$4:$ZZ$1000,B131,C131)</f>
        <v>0</v>
      </c>
    </row>
    <row r="132" spans="1:8" x14ac:dyDescent="0.25">
      <c r="A132">
        <v>130</v>
      </c>
      <c r="B132">
        <f t="shared" ref="B132:B195" si="4">INT((A132-1)/$B$1)+1</f>
        <v>4</v>
      </c>
      <c r="C132">
        <f t="shared" ref="C132:C195" si="5">MOD(A132-1,$B$1)+1</f>
        <v>7</v>
      </c>
      <c r="D132" cm="1">
        <f t="array" ref="D132">INDEX('Linha 03'!$A$4:$A$1000,B132)</f>
        <v>20040026</v>
      </c>
      <c r="E132" t="str" cm="1">
        <f t="array" ref="E132">INDEX('Linha 03'!$B$4:$B$1000,B132)</f>
        <v>Amaciante Ito Azul Cx/06 X 2l</v>
      </c>
      <c r="F132" cm="1">
        <f t="array" ref="F132">INDEX('Linha 03'!$C$3:$ZZ$3,C132)</f>
        <v>20040055</v>
      </c>
      <c r="G132" t="str" cm="1">
        <f t="array" ref="G132">INDEX('Linha 03'!$C$2:$ZZ$2,C132)</f>
        <v>Amaciante Myata Azul Cx/06 X 2l</v>
      </c>
      <c r="H132" s="5" cm="1">
        <f t="array" ref="H132">INDEX('Linha 03'!$C$4:$ZZ$1000,B132,C132)</f>
        <v>0</v>
      </c>
    </row>
    <row r="133" spans="1:8" x14ac:dyDescent="0.25">
      <c r="A133">
        <v>131</v>
      </c>
      <c r="B133">
        <f t="shared" si="4"/>
        <v>4</v>
      </c>
      <c r="C133">
        <f t="shared" si="5"/>
        <v>8</v>
      </c>
      <c r="D133" cm="1">
        <f t="array" ref="D133">INDEX('Linha 03'!$A$4:$A$1000,B133)</f>
        <v>20040026</v>
      </c>
      <c r="E133" t="str" cm="1">
        <f t="array" ref="E133">INDEX('Linha 03'!$B$4:$B$1000,B133)</f>
        <v>Amaciante Ito Azul Cx/06 X 2l</v>
      </c>
      <c r="F133" cm="1">
        <f t="array" ref="F133">INDEX('Linha 03'!$C$3:$ZZ$3,C133)</f>
        <v>20040057</v>
      </c>
      <c r="G133" t="str" cm="1">
        <f t="array" ref="G133">INDEX('Linha 03'!$C$2:$ZZ$2,C133)</f>
        <v>Amaciante Myata Rosa Cx/06 X 2l</v>
      </c>
      <c r="H133" s="5" cm="1">
        <f t="array" ref="H133">INDEX('Linha 03'!$C$4:$ZZ$1000,B133,C133)</f>
        <v>0</v>
      </c>
    </row>
    <row r="134" spans="1:8" x14ac:dyDescent="0.25">
      <c r="A134">
        <v>132</v>
      </c>
      <c r="B134">
        <f t="shared" si="4"/>
        <v>4</v>
      </c>
      <c r="C134">
        <f t="shared" si="5"/>
        <v>9</v>
      </c>
      <c r="D134" cm="1">
        <f t="array" ref="D134">INDEX('Linha 03'!$A$4:$A$1000,B134)</f>
        <v>20040026</v>
      </c>
      <c r="E134" t="str" cm="1">
        <f t="array" ref="E134">INDEX('Linha 03'!$B$4:$B$1000,B134)</f>
        <v>Amaciante Ito Azul Cx/06 X 2l</v>
      </c>
      <c r="F134" cm="1">
        <f t="array" ref="F134">INDEX('Linha 03'!$C$3:$ZZ$3,C134)</f>
        <v>20040084</v>
      </c>
      <c r="G134" t="str" cm="1">
        <f t="array" ref="G134">INDEX('Linha 03'!$C$2:$ZZ$2,C134)</f>
        <v>Amaciante Aquafast Vermelho Seducao Cx C/06 X 2l</v>
      </c>
      <c r="H134" s="5" cm="1">
        <f t="array" ref="H134">INDEX('Linha 03'!$C$4:$ZZ$1000,B134,C134)</f>
        <v>0</v>
      </c>
    </row>
    <row r="135" spans="1:8" x14ac:dyDescent="0.25">
      <c r="A135">
        <v>133</v>
      </c>
      <c r="B135">
        <f t="shared" si="4"/>
        <v>4</v>
      </c>
      <c r="C135">
        <f t="shared" si="5"/>
        <v>10</v>
      </c>
      <c r="D135" cm="1">
        <f t="array" ref="D135">INDEX('Linha 03'!$A$4:$A$1000,B135)</f>
        <v>20040026</v>
      </c>
      <c r="E135" t="str" cm="1">
        <f t="array" ref="E135">INDEX('Linha 03'!$B$4:$B$1000,B135)</f>
        <v>Amaciante Ito Azul Cx/06 X 2l</v>
      </c>
      <c r="F135" cm="1">
        <f t="array" ref="F135">INDEX('Linha 03'!$C$3:$ZZ$3,C135)</f>
        <v>20040089</v>
      </c>
      <c r="G135" t="str" cm="1">
        <f t="array" ref="G135">INDEX('Linha 03'!$C$2:$ZZ$2,C135)</f>
        <v>Amaciante Aquafast Roxo Magia Cx/06 X 2l</v>
      </c>
      <c r="H135" s="5" cm="1">
        <f t="array" ref="H135">INDEX('Linha 03'!$C$4:$ZZ$1000,B135,C135)</f>
        <v>0</v>
      </c>
    </row>
    <row r="136" spans="1:8" x14ac:dyDescent="0.25">
      <c r="A136">
        <v>134</v>
      </c>
      <c r="B136">
        <f t="shared" si="4"/>
        <v>4</v>
      </c>
      <c r="C136">
        <f t="shared" si="5"/>
        <v>11</v>
      </c>
      <c r="D136" cm="1">
        <f t="array" ref="D136">INDEX('Linha 03'!$A$4:$A$1000,B136)</f>
        <v>20040026</v>
      </c>
      <c r="E136" t="str" cm="1">
        <f t="array" ref="E136">INDEX('Linha 03'!$B$4:$B$1000,B136)</f>
        <v>Amaciante Ito Azul Cx/06 X 2l</v>
      </c>
      <c r="F136" cm="1">
        <f t="array" ref="F136">INDEX('Linha 03'!$C$3:$ZZ$3,C136)</f>
        <v>20040094</v>
      </c>
      <c r="G136" t="str" cm="1">
        <f t="array" ref="G136">INDEX('Linha 03'!$C$2:$ZZ$2,C136)</f>
        <v>Amaciante Aquafast Energia Cx/06 X 2l</v>
      </c>
      <c r="H136" s="5" cm="1">
        <f t="array" ref="H136">INDEX('Linha 03'!$C$4:$ZZ$1000,B136,C136)</f>
        <v>0</v>
      </c>
    </row>
    <row r="137" spans="1:8" x14ac:dyDescent="0.25">
      <c r="A137">
        <v>135</v>
      </c>
      <c r="B137">
        <f t="shared" si="4"/>
        <v>4</v>
      </c>
      <c r="C137">
        <f t="shared" si="5"/>
        <v>12</v>
      </c>
      <c r="D137" cm="1">
        <f t="array" ref="D137">INDEX('Linha 03'!$A$4:$A$1000,B137)</f>
        <v>20040026</v>
      </c>
      <c r="E137" t="str" cm="1">
        <f t="array" ref="E137">INDEX('Linha 03'!$B$4:$B$1000,B137)</f>
        <v>Amaciante Ito Azul Cx/06 X 2l</v>
      </c>
      <c r="F137" cm="1">
        <f t="array" ref="F137">INDEX('Linha 03'!$C$3:$ZZ$3,C137)</f>
        <v>20050010</v>
      </c>
      <c r="G137" t="str" cm="1">
        <f t="array" ref="G137">INDEX('Linha 03'!$C$2:$ZZ$2,C137)</f>
        <v>Desinfetante Aquafast Campos Lavanda Cx/06 X 2l</v>
      </c>
      <c r="H137" s="5" cm="1">
        <f t="array" ref="H137">INDEX('Linha 03'!$C$4:$ZZ$1000,B137,C137)</f>
        <v>0</v>
      </c>
    </row>
    <row r="138" spans="1:8" x14ac:dyDescent="0.25">
      <c r="A138">
        <v>136</v>
      </c>
      <c r="B138">
        <f t="shared" si="4"/>
        <v>4</v>
      </c>
      <c r="C138">
        <f t="shared" si="5"/>
        <v>13</v>
      </c>
      <c r="D138" cm="1">
        <f t="array" ref="D138">INDEX('Linha 03'!$A$4:$A$1000,B138)</f>
        <v>20040026</v>
      </c>
      <c r="E138" t="str" cm="1">
        <f t="array" ref="E138">INDEX('Linha 03'!$B$4:$B$1000,B138)</f>
        <v>Amaciante Ito Azul Cx/06 X 2l</v>
      </c>
      <c r="F138" cm="1">
        <f t="array" ref="F138">INDEX('Linha 03'!$C$3:$ZZ$3,C138)</f>
        <v>20050011</v>
      </c>
      <c r="G138" t="str" cm="1">
        <f t="array" ref="G138">INDEX('Linha 03'!$C$2:$ZZ$2,C138)</f>
        <v>Desinfetante Aquafast Jardim Florido Cx/06 X 2l</v>
      </c>
      <c r="H138" s="5" cm="1">
        <f t="array" ref="H138">INDEX('Linha 03'!$C$4:$ZZ$1000,B138,C138)</f>
        <v>0</v>
      </c>
    </row>
    <row r="139" spans="1:8" x14ac:dyDescent="0.25">
      <c r="A139">
        <v>137</v>
      </c>
      <c r="B139">
        <f t="shared" si="4"/>
        <v>4</v>
      </c>
      <c r="C139">
        <f t="shared" si="5"/>
        <v>14</v>
      </c>
      <c r="D139" cm="1">
        <f t="array" ref="D139">INDEX('Linha 03'!$A$4:$A$1000,B139)</f>
        <v>20040026</v>
      </c>
      <c r="E139" t="str" cm="1">
        <f t="array" ref="E139">INDEX('Linha 03'!$B$4:$B$1000,B139)</f>
        <v>Amaciante Ito Azul Cx/06 X 2l</v>
      </c>
      <c r="F139" cm="1">
        <f t="array" ref="F139">INDEX('Linha 03'!$C$3:$ZZ$3,C139)</f>
        <v>20050016</v>
      </c>
      <c r="G139" t="str" cm="1">
        <f t="array" ref="G139">INDEX('Linha 03'!$C$2:$ZZ$2,C139)</f>
        <v>Desinfetante Aquafast Marine Cx/06 X 2l</v>
      </c>
      <c r="H139" s="5" cm="1">
        <f t="array" ref="H139">INDEX('Linha 03'!$C$4:$ZZ$1000,B139,C139)</f>
        <v>0</v>
      </c>
    </row>
    <row r="140" spans="1:8" x14ac:dyDescent="0.25">
      <c r="A140">
        <v>138</v>
      </c>
      <c r="B140">
        <f t="shared" si="4"/>
        <v>4</v>
      </c>
      <c r="C140">
        <f t="shared" si="5"/>
        <v>15</v>
      </c>
      <c r="D140" cm="1">
        <f t="array" ref="D140">INDEX('Linha 03'!$A$4:$A$1000,B140)</f>
        <v>20040026</v>
      </c>
      <c r="E140" t="str" cm="1">
        <f t="array" ref="E140">INDEX('Linha 03'!$B$4:$B$1000,B140)</f>
        <v>Amaciante Ito Azul Cx/06 X 2l</v>
      </c>
      <c r="F140" cm="1">
        <f t="array" ref="F140">INDEX('Linha 03'!$C$3:$ZZ$3,C140)</f>
        <v>20050031</v>
      </c>
      <c r="G140" t="str" cm="1">
        <f t="array" ref="G140">INDEX('Linha 03'!$C$2:$ZZ$2,C140)</f>
        <v>Desinfetante Ito Lavanda Cx/06 X 2l</v>
      </c>
      <c r="H140" s="5" cm="1">
        <f t="array" ref="H140">INDEX('Linha 03'!$C$4:$ZZ$1000,B140,C140)</f>
        <v>0</v>
      </c>
    </row>
    <row r="141" spans="1:8" x14ac:dyDescent="0.25">
      <c r="A141">
        <v>139</v>
      </c>
      <c r="B141">
        <f t="shared" si="4"/>
        <v>4</v>
      </c>
      <c r="C141">
        <f t="shared" si="5"/>
        <v>16</v>
      </c>
      <c r="D141" cm="1">
        <f t="array" ref="D141">INDEX('Linha 03'!$A$4:$A$1000,B141)</f>
        <v>20040026</v>
      </c>
      <c r="E141" t="str" cm="1">
        <f t="array" ref="E141">INDEX('Linha 03'!$B$4:$B$1000,B141)</f>
        <v>Amaciante Ito Azul Cx/06 X 2l</v>
      </c>
      <c r="F141" cm="1">
        <f t="array" ref="F141">INDEX('Linha 03'!$C$3:$ZZ$3,C141)</f>
        <v>20050032</v>
      </c>
      <c r="G141" t="str" cm="1">
        <f t="array" ref="G141">INDEX('Linha 03'!$C$2:$ZZ$2,C141)</f>
        <v>Desinfetante Ito Floral Cx/06 X 2l</v>
      </c>
      <c r="H141" s="5" cm="1">
        <f t="array" ref="H141">INDEX('Linha 03'!$C$4:$ZZ$1000,B141,C141)</f>
        <v>0</v>
      </c>
    </row>
    <row r="142" spans="1:8" x14ac:dyDescent="0.25">
      <c r="A142">
        <v>140</v>
      </c>
      <c r="B142">
        <f t="shared" si="4"/>
        <v>4</v>
      </c>
      <c r="C142">
        <f t="shared" si="5"/>
        <v>17</v>
      </c>
      <c r="D142" cm="1">
        <f t="array" ref="D142">INDEX('Linha 03'!$A$4:$A$1000,B142)</f>
        <v>20040026</v>
      </c>
      <c r="E142" t="str" cm="1">
        <f t="array" ref="E142">INDEX('Linha 03'!$B$4:$B$1000,B142)</f>
        <v>Amaciante Ito Azul Cx/06 X 2l</v>
      </c>
      <c r="F142" cm="1">
        <f t="array" ref="F142">INDEX('Linha 03'!$C$3:$ZZ$3,C142)</f>
        <v>20050034</v>
      </c>
      <c r="G142" t="str" cm="1">
        <f t="array" ref="G142">INDEX('Linha 03'!$C$2:$ZZ$2,C142)</f>
        <v>Desinfetante Ito Eucalipto Cx/06 X 2l</v>
      </c>
      <c r="H142" s="5" cm="1">
        <f t="array" ref="H142">INDEX('Linha 03'!$C$4:$ZZ$1000,B142,C142)</f>
        <v>0</v>
      </c>
    </row>
    <row r="143" spans="1:8" x14ac:dyDescent="0.25">
      <c r="A143">
        <v>141</v>
      </c>
      <c r="B143">
        <f t="shared" si="4"/>
        <v>4</v>
      </c>
      <c r="C143">
        <f t="shared" si="5"/>
        <v>18</v>
      </c>
      <c r="D143" cm="1">
        <f t="array" ref="D143">INDEX('Linha 03'!$A$4:$A$1000,B143)</f>
        <v>20040026</v>
      </c>
      <c r="E143" t="str" cm="1">
        <f t="array" ref="E143">INDEX('Linha 03'!$B$4:$B$1000,B143)</f>
        <v>Amaciante Ito Azul Cx/06 X 2l</v>
      </c>
      <c r="F143" cm="1">
        <f t="array" ref="F143">INDEX('Linha 03'!$C$3:$ZZ$3,C143)</f>
        <v>20050077</v>
      </c>
      <c r="G143" t="str" cm="1">
        <f t="array" ref="G143">INDEX('Linha 03'!$C$2:$ZZ$2,C143)</f>
        <v>Desinfetante Myata Lavanda Cx/06 X 2l</v>
      </c>
      <c r="H143" s="5" cm="1">
        <f t="array" ref="H143">INDEX('Linha 03'!$C$4:$ZZ$1000,B143,C143)</f>
        <v>0</v>
      </c>
    </row>
    <row r="144" spans="1:8" x14ac:dyDescent="0.25">
      <c r="A144">
        <v>142</v>
      </c>
      <c r="B144">
        <f t="shared" si="4"/>
        <v>4</v>
      </c>
      <c r="C144">
        <f t="shared" si="5"/>
        <v>19</v>
      </c>
      <c r="D144" cm="1">
        <f t="array" ref="D144">INDEX('Linha 03'!$A$4:$A$1000,B144)</f>
        <v>20040026</v>
      </c>
      <c r="E144" t="str" cm="1">
        <f t="array" ref="E144">INDEX('Linha 03'!$B$4:$B$1000,B144)</f>
        <v>Amaciante Ito Azul Cx/06 X 2l</v>
      </c>
      <c r="F144" cm="1">
        <f t="array" ref="F144">INDEX('Linha 03'!$C$3:$ZZ$3,C144)</f>
        <v>20050078</v>
      </c>
      <c r="G144" t="str" cm="1">
        <f t="array" ref="G144">INDEX('Linha 03'!$C$2:$ZZ$2,C144)</f>
        <v>Desinfetante Myata Floral Cx/06 X 2l</v>
      </c>
      <c r="H144" s="5" cm="1">
        <f t="array" ref="H144">INDEX('Linha 03'!$C$4:$ZZ$1000,B144,C144)</f>
        <v>0</v>
      </c>
    </row>
    <row r="145" spans="1:8" x14ac:dyDescent="0.25">
      <c r="A145">
        <v>143</v>
      </c>
      <c r="B145">
        <f t="shared" si="4"/>
        <v>4</v>
      </c>
      <c r="C145">
        <f t="shared" si="5"/>
        <v>20</v>
      </c>
      <c r="D145" cm="1">
        <f t="array" ref="D145">INDEX('Linha 03'!$A$4:$A$1000,B145)</f>
        <v>20040026</v>
      </c>
      <c r="E145" t="str" cm="1">
        <f t="array" ref="E145">INDEX('Linha 03'!$B$4:$B$1000,B145)</f>
        <v>Amaciante Ito Azul Cx/06 X 2l</v>
      </c>
      <c r="F145" cm="1">
        <f t="array" ref="F145">INDEX('Linha 03'!$C$3:$ZZ$3,C145)</f>
        <v>20050115</v>
      </c>
      <c r="G145" t="str" cm="1">
        <f t="array" ref="G145">INDEX('Linha 03'!$C$2:$ZZ$2,C145)</f>
        <v>Desinfetante Aquafast Paixao Cx/06 X 2l</v>
      </c>
      <c r="H145" s="5" cm="1">
        <f t="array" ref="H145">INDEX('Linha 03'!$C$4:$ZZ$1000,B145,C145)</f>
        <v>0</v>
      </c>
    </row>
    <row r="146" spans="1:8" x14ac:dyDescent="0.25">
      <c r="A146">
        <v>144</v>
      </c>
      <c r="B146">
        <f t="shared" si="4"/>
        <v>4</v>
      </c>
      <c r="C146">
        <f t="shared" si="5"/>
        <v>21</v>
      </c>
      <c r="D146" cm="1">
        <f t="array" ref="D146">INDEX('Linha 03'!$A$4:$A$1000,B146)</f>
        <v>20040026</v>
      </c>
      <c r="E146" t="str" cm="1">
        <f t="array" ref="E146">INDEX('Linha 03'!$B$4:$B$1000,B146)</f>
        <v>Amaciante Ito Azul Cx/06 X 2l</v>
      </c>
      <c r="F146" cm="1">
        <f t="array" ref="F146">INDEX('Linha 03'!$C$3:$ZZ$3,C146)</f>
        <v>20050117</v>
      </c>
      <c r="G146" t="str" cm="1">
        <f t="array" ref="G146">INDEX('Linha 03'!$C$2:$ZZ$2,C146)</f>
        <v>Desinfetante Aquafast Harmonia Natural Cx/06 X 2l</v>
      </c>
      <c r="H146" s="5" cm="1">
        <f t="array" ref="H146">INDEX('Linha 03'!$C$4:$ZZ$1000,B146,C146)</f>
        <v>0</v>
      </c>
    </row>
    <row r="147" spans="1:8" x14ac:dyDescent="0.25">
      <c r="A147">
        <v>145</v>
      </c>
      <c r="B147">
        <f t="shared" si="4"/>
        <v>4</v>
      </c>
      <c r="C147">
        <f t="shared" si="5"/>
        <v>22</v>
      </c>
      <c r="D147" cm="1">
        <f t="array" ref="D147">INDEX('Linha 03'!$A$4:$A$1000,B147)</f>
        <v>20040026</v>
      </c>
      <c r="E147" t="str" cm="1">
        <f t="array" ref="E147">INDEX('Linha 03'!$B$4:$B$1000,B147)</f>
        <v>Amaciante Ito Azul Cx/06 X 2l</v>
      </c>
      <c r="F147" cm="1">
        <f t="array" ref="F147">INDEX('Linha 03'!$C$3:$ZZ$3,C147)</f>
        <v>20050123</v>
      </c>
      <c r="G147" t="str" cm="1">
        <f t="array" ref="G147">INDEX('Linha 03'!$C$2:$ZZ$2,C147)</f>
        <v>Desinfetante Ito Harmonia Natural Cx/06 X 2l</v>
      </c>
      <c r="H147" s="5" cm="1">
        <f t="array" ref="H147">INDEX('Linha 03'!$C$4:$ZZ$1000,B147,C147)</f>
        <v>0</v>
      </c>
    </row>
    <row r="148" spans="1:8" x14ac:dyDescent="0.25">
      <c r="A148">
        <v>146</v>
      </c>
      <c r="B148">
        <f t="shared" si="4"/>
        <v>4</v>
      </c>
      <c r="C148">
        <f t="shared" si="5"/>
        <v>23</v>
      </c>
      <c r="D148" cm="1">
        <f t="array" ref="D148">INDEX('Linha 03'!$A$4:$A$1000,B148)</f>
        <v>20040026</v>
      </c>
      <c r="E148" t="str" cm="1">
        <f t="array" ref="E148">INDEX('Linha 03'!$B$4:$B$1000,B148)</f>
        <v>Amaciante Ito Azul Cx/06 X 2l</v>
      </c>
      <c r="F148" cm="1">
        <f t="array" ref="F148">INDEX('Linha 03'!$C$3:$ZZ$3,C148)</f>
        <v>20050124</v>
      </c>
      <c r="G148" t="str" cm="1">
        <f t="array" ref="G148">INDEX('Linha 03'!$C$2:$ZZ$2,C148)</f>
        <v>Desinfetante Myata Harmonia Natural Cx/06 X 2l</v>
      </c>
      <c r="H148" s="5" cm="1">
        <f t="array" ref="H148">INDEX('Linha 03'!$C$4:$ZZ$1000,B148,C148)</f>
        <v>0</v>
      </c>
    </row>
    <row r="149" spans="1:8" x14ac:dyDescent="0.25">
      <c r="A149">
        <v>147</v>
      </c>
      <c r="B149">
        <f t="shared" si="4"/>
        <v>4</v>
      </c>
      <c r="C149">
        <f t="shared" si="5"/>
        <v>24</v>
      </c>
      <c r="D149" cm="1">
        <f t="array" ref="D149">INDEX('Linha 03'!$A$4:$A$1000,B149)</f>
        <v>20040026</v>
      </c>
      <c r="E149" t="str" cm="1">
        <f t="array" ref="E149">INDEX('Linha 03'!$B$4:$B$1000,B149)</f>
        <v>Amaciante Ito Azul Cx/06 X 2l</v>
      </c>
      <c r="F149" cm="1">
        <f t="array" ref="F149">INDEX('Linha 03'!$C$3:$ZZ$3,C149)</f>
        <v>20050142</v>
      </c>
      <c r="G149" t="str" cm="1">
        <f t="array" ref="G149">INDEX('Linha 03'!$C$2:$ZZ$2,C149)</f>
        <v>Desinfetante Ito Marine Cx/06 X 2l</v>
      </c>
      <c r="H149" s="5" cm="1">
        <f t="array" ref="H149">INDEX('Linha 03'!$C$4:$ZZ$1000,B149,C149)</f>
        <v>0</v>
      </c>
    </row>
    <row r="150" spans="1:8" x14ac:dyDescent="0.25">
      <c r="A150">
        <v>148</v>
      </c>
      <c r="B150">
        <f t="shared" si="4"/>
        <v>4</v>
      </c>
      <c r="C150">
        <f t="shared" si="5"/>
        <v>25</v>
      </c>
      <c r="D150" cm="1">
        <f t="array" ref="D150">INDEX('Linha 03'!$A$4:$A$1000,B150)</f>
        <v>20040026</v>
      </c>
      <c r="E150" t="str" cm="1">
        <f t="array" ref="E150">INDEX('Linha 03'!$B$4:$B$1000,B150)</f>
        <v>Amaciante Ito Azul Cx/06 X 2l</v>
      </c>
      <c r="F150" cm="1">
        <f t="array" ref="F150">INDEX('Linha 03'!$C$3:$ZZ$3,C150)</f>
        <v>20050159</v>
      </c>
      <c r="G150" t="str" cm="1">
        <f t="array" ref="G150">INDEX('Linha 03'!$C$2:$ZZ$2,C150)</f>
        <v>Desinfetante Aquafast Cha Branco Cx/06 X 2l</v>
      </c>
      <c r="H150" s="5" cm="1">
        <f t="array" ref="H150">INDEX('Linha 03'!$C$4:$ZZ$1000,B150,C150)</f>
        <v>1.38888888888889E-2</v>
      </c>
    </row>
    <row r="151" spans="1:8" x14ac:dyDescent="0.25">
      <c r="A151">
        <v>149</v>
      </c>
      <c r="B151">
        <f t="shared" si="4"/>
        <v>4</v>
      </c>
      <c r="C151">
        <f t="shared" si="5"/>
        <v>26</v>
      </c>
      <c r="D151" cm="1">
        <f t="array" ref="D151">INDEX('Linha 03'!$A$4:$A$1000,B151)</f>
        <v>20040026</v>
      </c>
      <c r="E151" t="str" cm="1">
        <f t="array" ref="E151">INDEX('Linha 03'!$B$4:$B$1000,B151)</f>
        <v>Amaciante Ito Azul Cx/06 X 2l</v>
      </c>
      <c r="F151" cm="1">
        <f t="array" ref="F151">INDEX('Linha 03'!$C$3:$ZZ$3,C151)</f>
        <v>20060007</v>
      </c>
      <c r="G151" t="str" cm="1">
        <f t="array" ref="G151">INDEX('Linha 03'!$C$2:$ZZ$2,C151)</f>
        <v>Limp Perf Aquafast Magia Seducao Cx/06 X 2l (Promoc)</v>
      </c>
      <c r="H151" s="5" cm="1">
        <f t="array" ref="H151">INDEX('Linha 03'!$C$4:$ZZ$1000,B151,C151)</f>
        <v>0</v>
      </c>
    </row>
    <row r="152" spans="1:8" x14ac:dyDescent="0.25">
      <c r="A152">
        <v>150</v>
      </c>
      <c r="B152">
        <f t="shared" si="4"/>
        <v>4</v>
      </c>
      <c r="C152">
        <f t="shared" si="5"/>
        <v>27</v>
      </c>
      <c r="D152" cm="1">
        <f t="array" ref="D152">INDEX('Linha 03'!$A$4:$A$1000,B152)</f>
        <v>20040026</v>
      </c>
      <c r="E152" t="str" cm="1">
        <f t="array" ref="E152">INDEX('Linha 03'!$B$4:$B$1000,B152)</f>
        <v>Amaciante Ito Azul Cx/06 X 2l</v>
      </c>
      <c r="F152" cm="1">
        <f t="array" ref="F152">INDEX('Linha 03'!$C$3:$ZZ$3,C152)</f>
        <v>20060009</v>
      </c>
      <c r="G152" t="str" cm="1">
        <f t="array" ref="G152">INDEX('Linha 03'!$C$2:$ZZ$2,C152)</f>
        <v>Limp Perf Aquafast Frescor Da Manha Cx/06 X 2l (Promoc)</v>
      </c>
      <c r="H152" s="5" cm="1">
        <f t="array" ref="H152">INDEX('Linha 03'!$C$4:$ZZ$1000,B152,C152)</f>
        <v>0</v>
      </c>
    </row>
    <row r="153" spans="1:8" x14ac:dyDescent="0.25">
      <c r="A153">
        <v>151</v>
      </c>
      <c r="B153">
        <f t="shared" si="4"/>
        <v>4</v>
      </c>
      <c r="C153">
        <f t="shared" si="5"/>
        <v>28</v>
      </c>
      <c r="D153" cm="1">
        <f t="array" ref="D153">INDEX('Linha 03'!$A$4:$A$1000,B153)</f>
        <v>20040026</v>
      </c>
      <c r="E153" t="str" cm="1">
        <f t="array" ref="E153">INDEX('Linha 03'!$B$4:$B$1000,B153)</f>
        <v>Amaciante Ito Azul Cx/06 X 2l</v>
      </c>
      <c r="F153" cm="1">
        <f t="array" ref="F153">INDEX('Linha 03'!$C$3:$ZZ$3,C153)</f>
        <v>20060017</v>
      </c>
      <c r="G153" t="str" cm="1">
        <f t="array" ref="G153">INDEX('Linha 03'!$C$2:$ZZ$2,C153)</f>
        <v>Limp Perf Aquafast Doce Romance Cx/06 X 2l (Promoc)</v>
      </c>
      <c r="H153" s="5" cm="1">
        <f t="array" ref="H153">INDEX('Linha 03'!$C$4:$ZZ$1000,B153,C153)</f>
        <v>0</v>
      </c>
    </row>
    <row r="154" spans="1:8" x14ac:dyDescent="0.25">
      <c r="A154">
        <v>152</v>
      </c>
      <c r="B154">
        <f t="shared" si="4"/>
        <v>4</v>
      </c>
      <c r="C154">
        <f t="shared" si="5"/>
        <v>29</v>
      </c>
      <c r="D154" cm="1">
        <f t="array" ref="D154">INDEX('Linha 03'!$A$4:$A$1000,B154)</f>
        <v>20040026</v>
      </c>
      <c r="E154" t="str" cm="1">
        <f t="array" ref="E154">INDEX('Linha 03'!$B$4:$B$1000,B154)</f>
        <v>Amaciante Ito Azul Cx/06 X 2l</v>
      </c>
      <c r="F154" cm="1">
        <f t="array" ref="F154">INDEX('Linha 03'!$C$3:$ZZ$3,C154)</f>
        <v>20060028</v>
      </c>
      <c r="G154" t="str" cm="1">
        <f t="array" ref="G154">INDEX('Linha 03'!$C$2:$ZZ$2,C154)</f>
        <v>Limp Perf Aquafast Essencia Natural Cx06 X 2l</v>
      </c>
      <c r="H154" s="5" cm="1">
        <f t="array" ref="H154">INDEX('Linha 03'!$C$4:$ZZ$1000,B154,C154)</f>
        <v>0</v>
      </c>
    </row>
    <row r="155" spans="1:8" x14ac:dyDescent="0.25">
      <c r="A155">
        <v>153</v>
      </c>
      <c r="B155">
        <f t="shared" si="4"/>
        <v>4</v>
      </c>
      <c r="C155">
        <f t="shared" si="5"/>
        <v>30</v>
      </c>
      <c r="D155" cm="1">
        <f t="array" ref="D155">INDEX('Linha 03'!$A$4:$A$1000,B155)</f>
        <v>20040026</v>
      </c>
      <c r="E155" t="str" cm="1">
        <f t="array" ref="E155">INDEX('Linha 03'!$B$4:$B$1000,B155)</f>
        <v>Amaciante Ito Azul Cx/06 X 2l</v>
      </c>
      <c r="F155" cm="1">
        <f t="array" ref="F155">INDEX('Linha 03'!$C$3:$ZZ$3,C155)</f>
        <v>20200003</v>
      </c>
      <c r="G155" t="str" cm="1">
        <f t="array" ref="G155">INDEX('Linha 03'!$C$2:$ZZ$2,C155)</f>
        <v>Lava Roup. Aquafast Baby Cx/12 X 1l</v>
      </c>
      <c r="H155" s="5" cm="1">
        <f t="array" ref="H155">INDEX('Linha 03'!$C$4:$ZZ$1000,B155,C155)</f>
        <v>0</v>
      </c>
    </row>
    <row r="156" spans="1:8" x14ac:dyDescent="0.25">
      <c r="A156">
        <v>154</v>
      </c>
      <c r="B156">
        <f t="shared" si="4"/>
        <v>4</v>
      </c>
      <c r="C156">
        <f t="shared" si="5"/>
        <v>31</v>
      </c>
      <c r="D156" cm="1">
        <f t="array" ref="D156">INDEX('Linha 03'!$A$4:$A$1000,B156)</f>
        <v>20040026</v>
      </c>
      <c r="E156" t="str" cm="1">
        <f t="array" ref="E156">INDEX('Linha 03'!$B$4:$B$1000,B156)</f>
        <v>Amaciante Ito Azul Cx/06 X 2l</v>
      </c>
      <c r="F156" cm="1">
        <f t="array" ref="F156">INDEX('Linha 03'!$C$3:$ZZ$3,C156)</f>
        <v>20200005</v>
      </c>
      <c r="G156" t="str" cm="1">
        <f t="array" ref="G156">INDEX('Linha 03'!$C$2:$ZZ$2,C156)</f>
        <v>Lava Roupas Aquafast Multi Acao Cx/06 X 2l</v>
      </c>
      <c r="H156" s="5" cm="1">
        <f t="array" ref="H156">INDEX('Linha 03'!$C$4:$ZZ$1000,B156,C156)</f>
        <v>0</v>
      </c>
    </row>
    <row r="157" spans="1:8" x14ac:dyDescent="0.25">
      <c r="A157">
        <v>155</v>
      </c>
      <c r="B157">
        <f t="shared" si="4"/>
        <v>4</v>
      </c>
      <c r="C157">
        <f t="shared" si="5"/>
        <v>32</v>
      </c>
      <c r="D157" cm="1">
        <f t="array" ref="D157">INDEX('Linha 03'!$A$4:$A$1000,B157)</f>
        <v>20040026</v>
      </c>
      <c r="E157" t="str" cm="1">
        <f t="array" ref="E157">INDEX('Linha 03'!$B$4:$B$1000,B157)</f>
        <v>Amaciante Ito Azul Cx/06 X 2l</v>
      </c>
      <c r="F157" cm="1">
        <f t="array" ref="F157">INDEX('Linha 03'!$C$3:$ZZ$3,C157)</f>
        <v>20200006</v>
      </c>
      <c r="G157" t="str" cm="1">
        <f t="array" ref="G157">INDEX('Linha 03'!$C$2:$ZZ$2,C157)</f>
        <v>Lava Roupas Aquafast Glicerina Cx/06 X 2l</v>
      </c>
      <c r="H157" s="5" cm="1">
        <f t="array" ref="H157">INDEX('Linha 03'!$C$4:$ZZ$1000,B157,C157)</f>
        <v>0</v>
      </c>
    </row>
    <row r="158" spans="1:8" x14ac:dyDescent="0.25">
      <c r="A158">
        <v>156</v>
      </c>
      <c r="B158">
        <f t="shared" si="4"/>
        <v>4</v>
      </c>
      <c r="C158">
        <f t="shared" si="5"/>
        <v>33</v>
      </c>
      <c r="D158" cm="1">
        <f t="array" ref="D158">INDEX('Linha 03'!$A$4:$A$1000,B158)</f>
        <v>20040026</v>
      </c>
      <c r="E158" t="str" cm="1">
        <f t="array" ref="E158">INDEX('Linha 03'!$B$4:$B$1000,B158)</f>
        <v>Amaciante Ito Azul Cx/06 X 2l</v>
      </c>
      <c r="F158" cm="1">
        <f t="array" ref="F158">INDEX('Linha 03'!$C$3:$ZZ$3,C158)</f>
        <v>20200015</v>
      </c>
      <c r="G158" t="str" cm="1">
        <f t="array" ref="G158">INDEX('Linha 03'!$C$2:$ZZ$2,C158)</f>
        <v>Lava Roup. Aquafast Multiacao Cx/12 X 1l</v>
      </c>
      <c r="H158" s="5" cm="1">
        <f t="array" ref="H158">INDEX('Linha 03'!$C$4:$ZZ$1000,B158,C158)</f>
        <v>0</v>
      </c>
    </row>
    <row r="159" spans="1:8" x14ac:dyDescent="0.25">
      <c r="A159">
        <v>157</v>
      </c>
      <c r="B159">
        <f t="shared" si="4"/>
        <v>4</v>
      </c>
      <c r="C159">
        <f t="shared" si="5"/>
        <v>34</v>
      </c>
      <c r="D159" cm="1">
        <f t="array" ref="D159">INDEX('Linha 03'!$A$4:$A$1000,B159)</f>
        <v>20040026</v>
      </c>
      <c r="E159" t="str" cm="1">
        <f t="array" ref="E159">INDEX('Linha 03'!$B$4:$B$1000,B159)</f>
        <v>Amaciante Ito Azul Cx/06 X 2l</v>
      </c>
      <c r="F159" cm="1">
        <f t="array" ref="F159">INDEX('Linha 03'!$C$3:$ZZ$3,C159)</f>
        <v>20200036</v>
      </c>
      <c r="G159" t="str" cm="1">
        <f t="array" ref="G159">INDEX('Linha 03'!$C$2:$ZZ$2,C159)</f>
        <v>Lava Roupas Aquafast Ternura Cx/06 X 2l</v>
      </c>
      <c r="H159" s="5" cm="1">
        <f t="array" ref="H159">INDEX('Linha 03'!$C$4:$ZZ$1000,B159,C159)</f>
        <v>0</v>
      </c>
    </row>
    <row r="160" spans="1:8" x14ac:dyDescent="0.25">
      <c r="A160">
        <v>158</v>
      </c>
      <c r="B160">
        <f t="shared" si="4"/>
        <v>4</v>
      </c>
      <c r="C160">
        <f t="shared" si="5"/>
        <v>35</v>
      </c>
      <c r="D160" cm="1">
        <f t="array" ref="D160">INDEX('Linha 03'!$A$4:$A$1000,B160)</f>
        <v>20040026</v>
      </c>
      <c r="E160" t="str" cm="1">
        <f t="array" ref="E160">INDEX('Linha 03'!$B$4:$B$1000,B160)</f>
        <v>Amaciante Ito Azul Cx/06 X 2l</v>
      </c>
      <c r="F160" cm="1">
        <f t="array" ref="F160">INDEX('Linha 03'!$C$3:$ZZ$3,C160)</f>
        <v>20200063</v>
      </c>
      <c r="G160" t="str" cm="1">
        <f t="array" ref="G160">INDEX('Linha 03'!$C$2:$ZZ$2,C160)</f>
        <v>Lava Roup. Aquafast Tradicional Cx/12 X 1l</v>
      </c>
      <c r="H160" s="5" cm="1">
        <f t="array" ref="H160">INDEX('Linha 03'!$C$4:$ZZ$1000,B160,C160)</f>
        <v>0</v>
      </c>
    </row>
    <row r="161" spans="1:8" x14ac:dyDescent="0.25">
      <c r="A161">
        <v>159</v>
      </c>
      <c r="B161">
        <f t="shared" si="4"/>
        <v>4</v>
      </c>
      <c r="C161">
        <f t="shared" si="5"/>
        <v>36</v>
      </c>
      <c r="D161" cm="1">
        <f t="array" ref="D161">INDEX('Linha 03'!$A$4:$A$1000,B161)</f>
        <v>20040026</v>
      </c>
      <c r="E161" t="str" cm="1">
        <f t="array" ref="E161">INDEX('Linha 03'!$B$4:$B$1000,B161)</f>
        <v>Amaciante Ito Azul Cx/06 X 2l</v>
      </c>
      <c r="F161" cm="1">
        <f t="array" ref="F161">INDEX('Linha 03'!$C$3:$ZZ$3,C161)</f>
        <v>20200064</v>
      </c>
      <c r="G161" t="str" cm="1">
        <f t="array" ref="G161">INDEX('Linha 03'!$C$2:$ZZ$2,C161)</f>
        <v>Lava Roup. Aquafast Flores B. E Baunilha Cx/12 X 1l</v>
      </c>
      <c r="H161" s="5" cm="1">
        <f t="array" ref="H161">INDEX('Linha 03'!$C$4:$ZZ$1000,B161,C161)</f>
        <v>0</v>
      </c>
    </row>
    <row r="162" spans="1:8" x14ac:dyDescent="0.25">
      <c r="A162">
        <v>160</v>
      </c>
      <c r="B162">
        <f t="shared" si="4"/>
        <v>4</v>
      </c>
      <c r="C162">
        <f t="shared" si="5"/>
        <v>37</v>
      </c>
      <c r="D162" cm="1">
        <f t="array" ref="D162">INDEX('Linha 03'!$A$4:$A$1000,B162)</f>
        <v>20040026</v>
      </c>
      <c r="E162" t="str" cm="1">
        <f t="array" ref="E162">INDEX('Linha 03'!$B$4:$B$1000,B162)</f>
        <v>Amaciante Ito Azul Cx/06 X 2l</v>
      </c>
      <c r="F162" cm="1">
        <f t="array" ref="F162">INDEX('Linha 03'!$C$3:$ZZ$3,C162)</f>
        <v>20200065</v>
      </c>
      <c r="G162" t="str" cm="1">
        <f t="array" ref="G162">INDEX('Linha 03'!$C$2:$ZZ$2,C162)</f>
        <v>Lava Roupas Aquafast Flores B. E Baunilha Cx/06 X 2l</v>
      </c>
      <c r="H162" s="5" cm="1">
        <f t="array" ref="H162">INDEX('Linha 03'!$C$4:$ZZ$1000,B162,C162)</f>
        <v>0</v>
      </c>
    </row>
    <row r="163" spans="1:8" x14ac:dyDescent="0.25">
      <c r="A163">
        <v>161</v>
      </c>
      <c r="B163">
        <f t="shared" si="4"/>
        <v>4</v>
      </c>
      <c r="C163">
        <f t="shared" si="5"/>
        <v>38</v>
      </c>
      <c r="D163" cm="1">
        <f t="array" ref="D163">INDEX('Linha 03'!$A$4:$A$1000,B163)</f>
        <v>20040026</v>
      </c>
      <c r="E163" t="str" cm="1">
        <f t="array" ref="E163">INDEX('Linha 03'!$B$4:$B$1000,B163)</f>
        <v>Amaciante Ito Azul Cx/06 X 2l</v>
      </c>
      <c r="F163" cm="1">
        <f t="array" ref="F163">INDEX('Linha 03'!$C$3:$ZZ$3,C163)</f>
        <v>20200072</v>
      </c>
      <c r="G163" t="str" cm="1">
        <f t="array" ref="G163">INDEX('Linha 03'!$C$2:$ZZ$2,C163)</f>
        <v>Lava Roupas Aquafast Lavagem Rapida Total Clean Cx/12 X 1l</v>
      </c>
      <c r="H163" s="5" cm="1">
        <f t="array" ref="H163">INDEX('Linha 03'!$C$4:$ZZ$1000,B163,C163)</f>
        <v>0</v>
      </c>
    </row>
    <row r="164" spans="1:8" x14ac:dyDescent="0.25">
      <c r="A164">
        <v>162</v>
      </c>
      <c r="B164">
        <f t="shared" si="4"/>
        <v>4</v>
      </c>
      <c r="C164">
        <f t="shared" si="5"/>
        <v>39</v>
      </c>
      <c r="D164" cm="1">
        <f t="array" ref="D164">INDEX('Linha 03'!$A$4:$A$1000,B164)</f>
        <v>20040026</v>
      </c>
      <c r="E164" t="str" cm="1">
        <f t="array" ref="E164">INDEX('Linha 03'!$B$4:$B$1000,B164)</f>
        <v>Amaciante Ito Azul Cx/06 X 2l</v>
      </c>
      <c r="F164" cm="1">
        <f t="array" ref="F164">INDEX('Linha 03'!$C$3:$ZZ$3,C164)</f>
        <v>20200074</v>
      </c>
      <c r="G164" t="str" cm="1">
        <f t="array" ref="G164">INDEX('Linha 03'!$C$2:$ZZ$2,C164)</f>
        <v>Lava Roupas Aquafast Lavagem Rapida Fresh Clean Cx/12 X 1l</v>
      </c>
      <c r="H164" s="5" cm="1">
        <f t="array" ref="H164">INDEX('Linha 03'!$C$4:$ZZ$1000,B164,C164)</f>
        <v>0</v>
      </c>
    </row>
    <row r="165" spans="1:8" x14ac:dyDescent="0.25">
      <c r="A165">
        <v>163</v>
      </c>
      <c r="B165">
        <f t="shared" si="4"/>
        <v>4</v>
      </c>
      <c r="C165">
        <f t="shared" si="5"/>
        <v>40</v>
      </c>
      <c r="D165" cm="1">
        <f t="array" ref="D165">INDEX('Linha 03'!$A$4:$A$1000,B165)</f>
        <v>20040026</v>
      </c>
      <c r="E165" t="str" cm="1">
        <f t="array" ref="E165">INDEX('Linha 03'!$B$4:$B$1000,B165)</f>
        <v>Amaciante Ito Azul Cx/06 X 2l</v>
      </c>
      <c r="F165" cm="1">
        <f t="array" ref="F165">INDEX('Linha 03'!$C$3:$ZZ$3,C165)</f>
        <v>20250005</v>
      </c>
      <c r="G165" t="str" cm="1">
        <f t="array" ref="G165">INDEX('Linha 03'!$C$2:$ZZ$2,C165)</f>
        <v>Neutralizador De Odores Aquafast Floral Cx/06 X 2l</v>
      </c>
      <c r="H165" s="5" cm="1">
        <f t="array" ref="H165">INDEX('Linha 03'!$C$4:$ZZ$1000,B165,C165)</f>
        <v>0</v>
      </c>
    </row>
    <row r="166" spans="1:8" x14ac:dyDescent="0.25">
      <c r="A166">
        <v>164</v>
      </c>
      <c r="B166">
        <f t="shared" si="4"/>
        <v>4</v>
      </c>
      <c r="C166">
        <f t="shared" si="5"/>
        <v>41</v>
      </c>
      <c r="D166" cm="1">
        <f t="array" ref="D166">INDEX('Linha 03'!$A$4:$A$1000,B166)</f>
        <v>20040026</v>
      </c>
      <c r="E166" t="str" cm="1">
        <f t="array" ref="E166">INDEX('Linha 03'!$B$4:$B$1000,B166)</f>
        <v>Amaciante Ito Azul Cx/06 X 2l</v>
      </c>
      <c r="F166" cm="1">
        <f t="array" ref="F166">INDEX('Linha 03'!$C$3:$ZZ$3,C166)</f>
        <v>20250007</v>
      </c>
      <c r="G166" t="str" cm="1">
        <f t="array" ref="G166">INDEX('Linha 03'!$C$2:$ZZ$2,C166)</f>
        <v>Neutralizador De Odores Aquafast Marine Cx/06 2l</v>
      </c>
      <c r="H166" s="5" cm="1">
        <f t="array" ref="H166">INDEX('Linha 03'!$C$4:$ZZ$1000,B166,C166)</f>
        <v>0</v>
      </c>
    </row>
    <row r="167" spans="1:8" x14ac:dyDescent="0.25">
      <c r="A167">
        <v>165</v>
      </c>
      <c r="B167">
        <f t="shared" si="4"/>
        <v>5</v>
      </c>
      <c r="C167">
        <f t="shared" si="5"/>
        <v>1</v>
      </c>
      <c r="D167" cm="1">
        <f t="array" ref="D167">INDEX('Linha 03'!$A$4:$A$1000,B167)</f>
        <v>20040028</v>
      </c>
      <c r="E167" t="str" cm="1">
        <f t="array" ref="E167">INDEX('Linha 03'!$B$4:$B$1000,B167)</f>
        <v>Amaciante Ito Rosa Cx/06 X 2l</v>
      </c>
      <c r="F167" cm="1">
        <f t="array" ref="F167">INDEX('Linha 03'!$C$3:$ZZ$3,C167)</f>
        <v>20040006</v>
      </c>
      <c r="G167" t="str" cm="1">
        <f t="array" ref="G167">INDEX('Linha 03'!$C$2:$ZZ$2,C167)</f>
        <v>Amaciante Aquafast Azul Fresc. Manha Cx/06 X 2l</v>
      </c>
      <c r="H167" s="5" cm="1">
        <f t="array" ref="H167">INDEX('Linha 03'!$C$4:$ZZ$1000,B167,C167)</f>
        <v>0</v>
      </c>
    </row>
    <row r="168" spans="1:8" x14ac:dyDescent="0.25">
      <c r="A168">
        <v>166</v>
      </c>
      <c r="B168">
        <f t="shared" si="4"/>
        <v>5</v>
      </c>
      <c r="C168">
        <f t="shared" si="5"/>
        <v>2</v>
      </c>
      <c r="D168" cm="1">
        <f t="array" ref="D168">INDEX('Linha 03'!$A$4:$A$1000,B168)</f>
        <v>20040028</v>
      </c>
      <c r="E168" t="str" cm="1">
        <f t="array" ref="E168">INDEX('Linha 03'!$B$4:$B$1000,B168)</f>
        <v>Amaciante Ito Rosa Cx/06 X 2l</v>
      </c>
      <c r="F168" cm="1">
        <f t="array" ref="F168">INDEX('Linha 03'!$C$3:$ZZ$3,C168)</f>
        <v>20040008</v>
      </c>
      <c r="G168" t="str" cm="1">
        <f t="array" ref="G168">INDEX('Linha 03'!$C$2:$ZZ$2,C168)</f>
        <v>Amaciante Aquafast Rosa Jard. Florid Cx/06 X 2l</v>
      </c>
      <c r="H168" s="5" cm="1">
        <f t="array" ref="H168">INDEX('Linha 03'!$C$4:$ZZ$1000,B168,C168)</f>
        <v>0</v>
      </c>
    </row>
    <row r="169" spans="1:8" x14ac:dyDescent="0.25">
      <c r="A169">
        <v>167</v>
      </c>
      <c r="B169">
        <f t="shared" si="4"/>
        <v>5</v>
      </c>
      <c r="C169">
        <f t="shared" si="5"/>
        <v>3</v>
      </c>
      <c r="D169" cm="1">
        <f t="array" ref="D169">INDEX('Linha 03'!$A$4:$A$1000,B169)</f>
        <v>20040028</v>
      </c>
      <c r="E169" t="str" cm="1">
        <f t="array" ref="E169">INDEX('Linha 03'!$B$4:$B$1000,B169)</f>
        <v>Amaciante Ito Rosa Cx/06 X 2l</v>
      </c>
      <c r="F169" cm="1">
        <f t="array" ref="F169">INDEX('Linha 03'!$C$3:$ZZ$3,C169)</f>
        <v>20040009</v>
      </c>
      <c r="G169" t="str" cm="1">
        <f t="array" ref="G169">INDEX('Linha 03'!$C$2:$ZZ$2,C169)</f>
        <v>Amaciante Aquafast Branco Pura Caric. Cx/06 X 2l</v>
      </c>
      <c r="H169" s="5" cm="1">
        <f t="array" ref="H169">INDEX('Linha 03'!$C$4:$ZZ$1000,B169,C169)</f>
        <v>0</v>
      </c>
    </row>
    <row r="170" spans="1:8" x14ac:dyDescent="0.25">
      <c r="A170">
        <v>168</v>
      </c>
      <c r="B170">
        <f t="shared" si="4"/>
        <v>5</v>
      </c>
      <c r="C170">
        <f t="shared" si="5"/>
        <v>4</v>
      </c>
      <c r="D170" cm="1">
        <f t="array" ref="D170">INDEX('Linha 03'!$A$4:$A$1000,B170)</f>
        <v>20040028</v>
      </c>
      <c r="E170" t="str" cm="1">
        <f t="array" ref="E170">INDEX('Linha 03'!$B$4:$B$1000,B170)</f>
        <v>Amaciante Ito Rosa Cx/06 X 2l</v>
      </c>
      <c r="F170" cm="1">
        <f t="array" ref="F170">INDEX('Linha 03'!$C$3:$ZZ$3,C170)</f>
        <v>20040026</v>
      </c>
      <c r="G170" t="str" cm="1">
        <f t="array" ref="G170">INDEX('Linha 03'!$C$2:$ZZ$2,C170)</f>
        <v>Amaciante Ito Azul Cx/06 X 2l</v>
      </c>
      <c r="H170" s="5" cm="1">
        <f t="array" ref="H170">INDEX('Linha 03'!$C$4:$ZZ$1000,B170,C170)</f>
        <v>0</v>
      </c>
    </row>
    <row r="171" spans="1:8" x14ac:dyDescent="0.25">
      <c r="A171">
        <v>169</v>
      </c>
      <c r="B171">
        <f t="shared" si="4"/>
        <v>5</v>
      </c>
      <c r="C171">
        <f t="shared" si="5"/>
        <v>5</v>
      </c>
      <c r="D171" cm="1">
        <f t="array" ref="D171">INDEX('Linha 03'!$A$4:$A$1000,B171)</f>
        <v>20040028</v>
      </c>
      <c r="E171" t="str" cm="1">
        <f t="array" ref="E171">INDEX('Linha 03'!$B$4:$B$1000,B171)</f>
        <v>Amaciante Ito Rosa Cx/06 X 2l</v>
      </c>
      <c r="F171" cm="1">
        <f t="array" ref="F171">INDEX('Linha 03'!$C$3:$ZZ$3,C171)</f>
        <v>20040028</v>
      </c>
      <c r="G171" t="str" cm="1">
        <f t="array" ref="G171">INDEX('Linha 03'!$C$2:$ZZ$2,C171)</f>
        <v>Amaciante Ito Rosa Cx/06 X 2l</v>
      </c>
      <c r="H171" s="5" cm="1">
        <f t="array" ref="H171">INDEX('Linha 03'!$C$4:$ZZ$1000,B171,C171)</f>
        <v>0</v>
      </c>
    </row>
    <row r="172" spans="1:8" x14ac:dyDescent="0.25">
      <c r="A172">
        <v>170</v>
      </c>
      <c r="B172">
        <f t="shared" si="4"/>
        <v>5</v>
      </c>
      <c r="C172">
        <f t="shared" si="5"/>
        <v>6</v>
      </c>
      <c r="D172" cm="1">
        <f t="array" ref="D172">INDEX('Linha 03'!$A$4:$A$1000,B172)</f>
        <v>20040028</v>
      </c>
      <c r="E172" t="str" cm="1">
        <f t="array" ref="E172">INDEX('Linha 03'!$B$4:$B$1000,B172)</f>
        <v>Amaciante Ito Rosa Cx/06 X 2l</v>
      </c>
      <c r="F172" cm="1">
        <f t="array" ref="F172">INDEX('Linha 03'!$C$3:$ZZ$3,C172)</f>
        <v>20040029</v>
      </c>
      <c r="G172" t="str" cm="1">
        <f t="array" ref="G172">INDEX('Linha 03'!$C$2:$ZZ$2,C172)</f>
        <v>Amaciante Ito Branco Cx/06 X 2l</v>
      </c>
      <c r="H172" s="5" cm="1">
        <f t="array" ref="H172">INDEX('Linha 03'!$C$4:$ZZ$1000,B172,C172)</f>
        <v>0</v>
      </c>
    </row>
    <row r="173" spans="1:8" x14ac:dyDescent="0.25">
      <c r="A173">
        <v>171</v>
      </c>
      <c r="B173">
        <f t="shared" si="4"/>
        <v>5</v>
      </c>
      <c r="C173">
        <f t="shared" si="5"/>
        <v>7</v>
      </c>
      <c r="D173" cm="1">
        <f t="array" ref="D173">INDEX('Linha 03'!$A$4:$A$1000,B173)</f>
        <v>20040028</v>
      </c>
      <c r="E173" t="str" cm="1">
        <f t="array" ref="E173">INDEX('Linha 03'!$B$4:$B$1000,B173)</f>
        <v>Amaciante Ito Rosa Cx/06 X 2l</v>
      </c>
      <c r="F173" cm="1">
        <f t="array" ref="F173">INDEX('Linha 03'!$C$3:$ZZ$3,C173)</f>
        <v>20040055</v>
      </c>
      <c r="G173" t="str" cm="1">
        <f t="array" ref="G173">INDEX('Linha 03'!$C$2:$ZZ$2,C173)</f>
        <v>Amaciante Myata Azul Cx/06 X 2l</v>
      </c>
      <c r="H173" s="5" cm="1">
        <f t="array" ref="H173">INDEX('Linha 03'!$C$4:$ZZ$1000,B173,C173)</f>
        <v>0</v>
      </c>
    </row>
    <row r="174" spans="1:8" x14ac:dyDescent="0.25">
      <c r="A174">
        <v>172</v>
      </c>
      <c r="B174">
        <f t="shared" si="4"/>
        <v>5</v>
      </c>
      <c r="C174">
        <f t="shared" si="5"/>
        <v>8</v>
      </c>
      <c r="D174" cm="1">
        <f t="array" ref="D174">INDEX('Linha 03'!$A$4:$A$1000,B174)</f>
        <v>20040028</v>
      </c>
      <c r="E174" t="str" cm="1">
        <f t="array" ref="E174">INDEX('Linha 03'!$B$4:$B$1000,B174)</f>
        <v>Amaciante Ito Rosa Cx/06 X 2l</v>
      </c>
      <c r="F174" cm="1">
        <f t="array" ref="F174">INDEX('Linha 03'!$C$3:$ZZ$3,C174)</f>
        <v>20040057</v>
      </c>
      <c r="G174" t="str" cm="1">
        <f t="array" ref="G174">INDEX('Linha 03'!$C$2:$ZZ$2,C174)</f>
        <v>Amaciante Myata Rosa Cx/06 X 2l</v>
      </c>
      <c r="H174" s="5" cm="1">
        <f t="array" ref="H174">INDEX('Linha 03'!$C$4:$ZZ$1000,B174,C174)</f>
        <v>0</v>
      </c>
    </row>
    <row r="175" spans="1:8" x14ac:dyDescent="0.25">
      <c r="A175">
        <v>173</v>
      </c>
      <c r="B175">
        <f t="shared" si="4"/>
        <v>5</v>
      </c>
      <c r="C175">
        <f t="shared" si="5"/>
        <v>9</v>
      </c>
      <c r="D175" cm="1">
        <f t="array" ref="D175">INDEX('Linha 03'!$A$4:$A$1000,B175)</f>
        <v>20040028</v>
      </c>
      <c r="E175" t="str" cm="1">
        <f t="array" ref="E175">INDEX('Linha 03'!$B$4:$B$1000,B175)</f>
        <v>Amaciante Ito Rosa Cx/06 X 2l</v>
      </c>
      <c r="F175" cm="1">
        <f t="array" ref="F175">INDEX('Linha 03'!$C$3:$ZZ$3,C175)</f>
        <v>20040084</v>
      </c>
      <c r="G175" t="str" cm="1">
        <f t="array" ref="G175">INDEX('Linha 03'!$C$2:$ZZ$2,C175)</f>
        <v>Amaciante Aquafast Vermelho Seducao Cx C/06 X 2l</v>
      </c>
      <c r="H175" s="5" cm="1">
        <f t="array" ref="H175">INDEX('Linha 03'!$C$4:$ZZ$1000,B175,C175)</f>
        <v>0</v>
      </c>
    </row>
    <row r="176" spans="1:8" x14ac:dyDescent="0.25">
      <c r="A176">
        <v>174</v>
      </c>
      <c r="B176">
        <f t="shared" si="4"/>
        <v>5</v>
      </c>
      <c r="C176">
        <f t="shared" si="5"/>
        <v>10</v>
      </c>
      <c r="D176" cm="1">
        <f t="array" ref="D176">INDEX('Linha 03'!$A$4:$A$1000,B176)</f>
        <v>20040028</v>
      </c>
      <c r="E176" t="str" cm="1">
        <f t="array" ref="E176">INDEX('Linha 03'!$B$4:$B$1000,B176)</f>
        <v>Amaciante Ito Rosa Cx/06 X 2l</v>
      </c>
      <c r="F176" cm="1">
        <f t="array" ref="F176">INDEX('Linha 03'!$C$3:$ZZ$3,C176)</f>
        <v>20040089</v>
      </c>
      <c r="G176" t="str" cm="1">
        <f t="array" ref="G176">INDEX('Linha 03'!$C$2:$ZZ$2,C176)</f>
        <v>Amaciante Aquafast Roxo Magia Cx/06 X 2l</v>
      </c>
      <c r="H176" s="5" cm="1">
        <f t="array" ref="H176">INDEX('Linha 03'!$C$4:$ZZ$1000,B176,C176)</f>
        <v>0</v>
      </c>
    </row>
    <row r="177" spans="1:8" x14ac:dyDescent="0.25">
      <c r="A177">
        <v>175</v>
      </c>
      <c r="B177">
        <f t="shared" si="4"/>
        <v>5</v>
      </c>
      <c r="C177">
        <f t="shared" si="5"/>
        <v>11</v>
      </c>
      <c r="D177" cm="1">
        <f t="array" ref="D177">INDEX('Linha 03'!$A$4:$A$1000,B177)</f>
        <v>20040028</v>
      </c>
      <c r="E177" t="str" cm="1">
        <f t="array" ref="E177">INDEX('Linha 03'!$B$4:$B$1000,B177)</f>
        <v>Amaciante Ito Rosa Cx/06 X 2l</v>
      </c>
      <c r="F177" cm="1">
        <f t="array" ref="F177">INDEX('Linha 03'!$C$3:$ZZ$3,C177)</f>
        <v>20040094</v>
      </c>
      <c r="G177" t="str" cm="1">
        <f t="array" ref="G177">INDEX('Linha 03'!$C$2:$ZZ$2,C177)</f>
        <v>Amaciante Aquafast Energia Cx/06 X 2l</v>
      </c>
      <c r="H177" s="5" cm="1">
        <f t="array" ref="H177">INDEX('Linha 03'!$C$4:$ZZ$1000,B177,C177)</f>
        <v>0</v>
      </c>
    </row>
    <row r="178" spans="1:8" x14ac:dyDescent="0.25">
      <c r="A178">
        <v>176</v>
      </c>
      <c r="B178">
        <f t="shared" si="4"/>
        <v>5</v>
      </c>
      <c r="C178">
        <f t="shared" si="5"/>
        <v>12</v>
      </c>
      <c r="D178" cm="1">
        <f t="array" ref="D178">INDEX('Linha 03'!$A$4:$A$1000,B178)</f>
        <v>20040028</v>
      </c>
      <c r="E178" t="str" cm="1">
        <f t="array" ref="E178">INDEX('Linha 03'!$B$4:$B$1000,B178)</f>
        <v>Amaciante Ito Rosa Cx/06 X 2l</v>
      </c>
      <c r="F178" cm="1">
        <f t="array" ref="F178">INDEX('Linha 03'!$C$3:$ZZ$3,C178)</f>
        <v>20050010</v>
      </c>
      <c r="G178" t="str" cm="1">
        <f t="array" ref="G178">INDEX('Linha 03'!$C$2:$ZZ$2,C178)</f>
        <v>Desinfetante Aquafast Campos Lavanda Cx/06 X 2l</v>
      </c>
      <c r="H178" s="5" cm="1">
        <f t="array" ref="H178">INDEX('Linha 03'!$C$4:$ZZ$1000,B178,C178)</f>
        <v>0</v>
      </c>
    </row>
    <row r="179" spans="1:8" x14ac:dyDescent="0.25">
      <c r="A179">
        <v>177</v>
      </c>
      <c r="B179">
        <f t="shared" si="4"/>
        <v>5</v>
      </c>
      <c r="C179">
        <f t="shared" si="5"/>
        <v>13</v>
      </c>
      <c r="D179" cm="1">
        <f t="array" ref="D179">INDEX('Linha 03'!$A$4:$A$1000,B179)</f>
        <v>20040028</v>
      </c>
      <c r="E179" t="str" cm="1">
        <f t="array" ref="E179">INDEX('Linha 03'!$B$4:$B$1000,B179)</f>
        <v>Amaciante Ito Rosa Cx/06 X 2l</v>
      </c>
      <c r="F179" cm="1">
        <f t="array" ref="F179">INDEX('Linha 03'!$C$3:$ZZ$3,C179)</f>
        <v>20050011</v>
      </c>
      <c r="G179" t="str" cm="1">
        <f t="array" ref="G179">INDEX('Linha 03'!$C$2:$ZZ$2,C179)</f>
        <v>Desinfetante Aquafast Jardim Florido Cx/06 X 2l</v>
      </c>
      <c r="H179" s="5" cm="1">
        <f t="array" ref="H179">INDEX('Linha 03'!$C$4:$ZZ$1000,B179,C179)</f>
        <v>0</v>
      </c>
    </row>
    <row r="180" spans="1:8" x14ac:dyDescent="0.25">
      <c r="A180">
        <v>178</v>
      </c>
      <c r="B180">
        <f t="shared" si="4"/>
        <v>5</v>
      </c>
      <c r="C180">
        <f t="shared" si="5"/>
        <v>14</v>
      </c>
      <c r="D180" cm="1">
        <f t="array" ref="D180">INDEX('Linha 03'!$A$4:$A$1000,B180)</f>
        <v>20040028</v>
      </c>
      <c r="E180" t="str" cm="1">
        <f t="array" ref="E180">INDEX('Linha 03'!$B$4:$B$1000,B180)</f>
        <v>Amaciante Ito Rosa Cx/06 X 2l</v>
      </c>
      <c r="F180" cm="1">
        <f t="array" ref="F180">INDEX('Linha 03'!$C$3:$ZZ$3,C180)</f>
        <v>20050016</v>
      </c>
      <c r="G180" t="str" cm="1">
        <f t="array" ref="G180">INDEX('Linha 03'!$C$2:$ZZ$2,C180)</f>
        <v>Desinfetante Aquafast Marine Cx/06 X 2l</v>
      </c>
      <c r="H180" s="5" cm="1">
        <f t="array" ref="H180">INDEX('Linha 03'!$C$4:$ZZ$1000,B180,C180)</f>
        <v>0</v>
      </c>
    </row>
    <row r="181" spans="1:8" x14ac:dyDescent="0.25">
      <c r="A181">
        <v>179</v>
      </c>
      <c r="B181">
        <f t="shared" si="4"/>
        <v>5</v>
      </c>
      <c r="C181">
        <f t="shared" si="5"/>
        <v>15</v>
      </c>
      <c r="D181" cm="1">
        <f t="array" ref="D181">INDEX('Linha 03'!$A$4:$A$1000,B181)</f>
        <v>20040028</v>
      </c>
      <c r="E181" t="str" cm="1">
        <f t="array" ref="E181">INDEX('Linha 03'!$B$4:$B$1000,B181)</f>
        <v>Amaciante Ito Rosa Cx/06 X 2l</v>
      </c>
      <c r="F181" cm="1">
        <f t="array" ref="F181">INDEX('Linha 03'!$C$3:$ZZ$3,C181)</f>
        <v>20050031</v>
      </c>
      <c r="G181" t="str" cm="1">
        <f t="array" ref="G181">INDEX('Linha 03'!$C$2:$ZZ$2,C181)</f>
        <v>Desinfetante Ito Lavanda Cx/06 X 2l</v>
      </c>
      <c r="H181" s="5" cm="1">
        <f t="array" ref="H181">INDEX('Linha 03'!$C$4:$ZZ$1000,B181,C181)</f>
        <v>0</v>
      </c>
    </row>
    <row r="182" spans="1:8" x14ac:dyDescent="0.25">
      <c r="A182">
        <v>180</v>
      </c>
      <c r="B182">
        <f t="shared" si="4"/>
        <v>5</v>
      </c>
      <c r="C182">
        <f t="shared" si="5"/>
        <v>16</v>
      </c>
      <c r="D182" cm="1">
        <f t="array" ref="D182">INDEX('Linha 03'!$A$4:$A$1000,B182)</f>
        <v>20040028</v>
      </c>
      <c r="E182" t="str" cm="1">
        <f t="array" ref="E182">INDEX('Linha 03'!$B$4:$B$1000,B182)</f>
        <v>Amaciante Ito Rosa Cx/06 X 2l</v>
      </c>
      <c r="F182" cm="1">
        <f t="array" ref="F182">INDEX('Linha 03'!$C$3:$ZZ$3,C182)</f>
        <v>20050032</v>
      </c>
      <c r="G182" t="str" cm="1">
        <f t="array" ref="G182">INDEX('Linha 03'!$C$2:$ZZ$2,C182)</f>
        <v>Desinfetante Ito Floral Cx/06 X 2l</v>
      </c>
      <c r="H182" s="5" cm="1">
        <f t="array" ref="H182">INDEX('Linha 03'!$C$4:$ZZ$1000,B182,C182)</f>
        <v>0</v>
      </c>
    </row>
    <row r="183" spans="1:8" x14ac:dyDescent="0.25">
      <c r="A183">
        <v>181</v>
      </c>
      <c r="B183">
        <f t="shared" si="4"/>
        <v>5</v>
      </c>
      <c r="C183">
        <f t="shared" si="5"/>
        <v>17</v>
      </c>
      <c r="D183" cm="1">
        <f t="array" ref="D183">INDEX('Linha 03'!$A$4:$A$1000,B183)</f>
        <v>20040028</v>
      </c>
      <c r="E183" t="str" cm="1">
        <f t="array" ref="E183">INDEX('Linha 03'!$B$4:$B$1000,B183)</f>
        <v>Amaciante Ito Rosa Cx/06 X 2l</v>
      </c>
      <c r="F183" cm="1">
        <f t="array" ref="F183">INDEX('Linha 03'!$C$3:$ZZ$3,C183)</f>
        <v>20050034</v>
      </c>
      <c r="G183" t="str" cm="1">
        <f t="array" ref="G183">INDEX('Linha 03'!$C$2:$ZZ$2,C183)</f>
        <v>Desinfetante Ito Eucalipto Cx/06 X 2l</v>
      </c>
      <c r="H183" s="5" cm="1">
        <f t="array" ref="H183">INDEX('Linha 03'!$C$4:$ZZ$1000,B183,C183)</f>
        <v>0</v>
      </c>
    </row>
    <row r="184" spans="1:8" x14ac:dyDescent="0.25">
      <c r="A184">
        <v>182</v>
      </c>
      <c r="B184">
        <f t="shared" si="4"/>
        <v>5</v>
      </c>
      <c r="C184">
        <f t="shared" si="5"/>
        <v>18</v>
      </c>
      <c r="D184" cm="1">
        <f t="array" ref="D184">INDEX('Linha 03'!$A$4:$A$1000,B184)</f>
        <v>20040028</v>
      </c>
      <c r="E184" t="str" cm="1">
        <f t="array" ref="E184">INDEX('Linha 03'!$B$4:$B$1000,B184)</f>
        <v>Amaciante Ito Rosa Cx/06 X 2l</v>
      </c>
      <c r="F184" cm="1">
        <f t="array" ref="F184">INDEX('Linha 03'!$C$3:$ZZ$3,C184)</f>
        <v>20050077</v>
      </c>
      <c r="G184" t="str" cm="1">
        <f t="array" ref="G184">INDEX('Linha 03'!$C$2:$ZZ$2,C184)</f>
        <v>Desinfetante Myata Lavanda Cx/06 X 2l</v>
      </c>
      <c r="H184" s="5" cm="1">
        <f t="array" ref="H184">INDEX('Linha 03'!$C$4:$ZZ$1000,B184,C184)</f>
        <v>0</v>
      </c>
    </row>
    <row r="185" spans="1:8" x14ac:dyDescent="0.25">
      <c r="A185">
        <v>183</v>
      </c>
      <c r="B185">
        <f t="shared" si="4"/>
        <v>5</v>
      </c>
      <c r="C185">
        <f t="shared" si="5"/>
        <v>19</v>
      </c>
      <c r="D185" cm="1">
        <f t="array" ref="D185">INDEX('Linha 03'!$A$4:$A$1000,B185)</f>
        <v>20040028</v>
      </c>
      <c r="E185" t="str" cm="1">
        <f t="array" ref="E185">INDEX('Linha 03'!$B$4:$B$1000,B185)</f>
        <v>Amaciante Ito Rosa Cx/06 X 2l</v>
      </c>
      <c r="F185" cm="1">
        <f t="array" ref="F185">INDEX('Linha 03'!$C$3:$ZZ$3,C185)</f>
        <v>20050078</v>
      </c>
      <c r="G185" t="str" cm="1">
        <f t="array" ref="G185">INDEX('Linha 03'!$C$2:$ZZ$2,C185)</f>
        <v>Desinfetante Myata Floral Cx/06 X 2l</v>
      </c>
      <c r="H185" s="5" cm="1">
        <f t="array" ref="H185">INDEX('Linha 03'!$C$4:$ZZ$1000,B185,C185)</f>
        <v>0</v>
      </c>
    </row>
    <row r="186" spans="1:8" x14ac:dyDescent="0.25">
      <c r="A186">
        <v>184</v>
      </c>
      <c r="B186">
        <f t="shared" si="4"/>
        <v>5</v>
      </c>
      <c r="C186">
        <f t="shared" si="5"/>
        <v>20</v>
      </c>
      <c r="D186" cm="1">
        <f t="array" ref="D186">INDEX('Linha 03'!$A$4:$A$1000,B186)</f>
        <v>20040028</v>
      </c>
      <c r="E186" t="str" cm="1">
        <f t="array" ref="E186">INDEX('Linha 03'!$B$4:$B$1000,B186)</f>
        <v>Amaciante Ito Rosa Cx/06 X 2l</v>
      </c>
      <c r="F186" cm="1">
        <f t="array" ref="F186">INDEX('Linha 03'!$C$3:$ZZ$3,C186)</f>
        <v>20050115</v>
      </c>
      <c r="G186" t="str" cm="1">
        <f t="array" ref="G186">INDEX('Linha 03'!$C$2:$ZZ$2,C186)</f>
        <v>Desinfetante Aquafast Paixao Cx/06 X 2l</v>
      </c>
      <c r="H186" s="5" cm="1">
        <f t="array" ref="H186">INDEX('Linha 03'!$C$4:$ZZ$1000,B186,C186)</f>
        <v>0</v>
      </c>
    </row>
    <row r="187" spans="1:8" x14ac:dyDescent="0.25">
      <c r="A187">
        <v>185</v>
      </c>
      <c r="B187">
        <f t="shared" si="4"/>
        <v>5</v>
      </c>
      <c r="C187">
        <f t="shared" si="5"/>
        <v>21</v>
      </c>
      <c r="D187" cm="1">
        <f t="array" ref="D187">INDEX('Linha 03'!$A$4:$A$1000,B187)</f>
        <v>20040028</v>
      </c>
      <c r="E187" t="str" cm="1">
        <f t="array" ref="E187">INDEX('Linha 03'!$B$4:$B$1000,B187)</f>
        <v>Amaciante Ito Rosa Cx/06 X 2l</v>
      </c>
      <c r="F187" cm="1">
        <f t="array" ref="F187">INDEX('Linha 03'!$C$3:$ZZ$3,C187)</f>
        <v>20050117</v>
      </c>
      <c r="G187" t="str" cm="1">
        <f t="array" ref="G187">INDEX('Linha 03'!$C$2:$ZZ$2,C187)</f>
        <v>Desinfetante Aquafast Harmonia Natural Cx/06 X 2l</v>
      </c>
      <c r="H187" s="5" cm="1">
        <f t="array" ref="H187">INDEX('Linha 03'!$C$4:$ZZ$1000,B187,C187)</f>
        <v>0</v>
      </c>
    </row>
    <row r="188" spans="1:8" x14ac:dyDescent="0.25">
      <c r="A188">
        <v>186</v>
      </c>
      <c r="B188">
        <f t="shared" si="4"/>
        <v>5</v>
      </c>
      <c r="C188">
        <f t="shared" si="5"/>
        <v>22</v>
      </c>
      <c r="D188" cm="1">
        <f t="array" ref="D188">INDEX('Linha 03'!$A$4:$A$1000,B188)</f>
        <v>20040028</v>
      </c>
      <c r="E188" t="str" cm="1">
        <f t="array" ref="E188">INDEX('Linha 03'!$B$4:$B$1000,B188)</f>
        <v>Amaciante Ito Rosa Cx/06 X 2l</v>
      </c>
      <c r="F188" cm="1">
        <f t="array" ref="F188">INDEX('Linha 03'!$C$3:$ZZ$3,C188)</f>
        <v>20050123</v>
      </c>
      <c r="G188" t="str" cm="1">
        <f t="array" ref="G188">INDEX('Linha 03'!$C$2:$ZZ$2,C188)</f>
        <v>Desinfetante Ito Harmonia Natural Cx/06 X 2l</v>
      </c>
      <c r="H188" s="5" cm="1">
        <f t="array" ref="H188">INDEX('Linha 03'!$C$4:$ZZ$1000,B188,C188)</f>
        <v>0</v>
      </c>
    </row>
    <row r="189" spans="1:8" x14ac:dyDescent="0.25">
      <c r="A189">
        <v>187</v>
      </c>
      <c r="B189">
        <f t="shared" si="4"/>
        <v>5</v>
      </c>
      <c r="C189">
        <f t="shared" si="5"/>
        <v>23</v>
      </c>
      <c r="D189" cm="1">
        <f t="array" ref="D189">INDEX('Linha 03'!$A$4:$A$1000,B189)</f>
        <v>20040028</v>
      </c>
      <c r="E189" t="str" cm="1">
        <f t="array" ref="E189">INDEX('Linha 03'!$B$4:$B$1000,B189)</f>
        <v>Amaciante Ito Rosa Cx/06 X 2l</v>
      </c>
      <c r="F189" cm="1">
        <f t="array" ref="F189">INDEX('Linha 03'!$C$3:$ZZ$3,C189)</f>
        <v>20050124</v>
      </c>
      <c r="G189" t="str" cm="1">
        <f t="array" ref="G189">INDEX('Linha 03'!$C$2:$ZZ$2,C189)</f>
        <v>Desinfetante Myata Harmonia Natural Cx/06 X 2l</v>
      </c>
      <c r="H189" s="5" cm="1">
        <f t="array" ref="H189">INDEX('Linha 03'!$C$4:$ZZ$1000,B189,C189)</f>
        <v>0</v>
      </c>
    </row>
    <row r="190" spans="1:8" x14ac:dyDescent="0.25">
      <c r="A190">
        <v>188</v>
      </c>
      <c r="B190">
        <f t="shared" si="4"/>
        <v>5</v>
      </c>
      <c r="C190">
        <f t="shared" si="5"/>
        <v>24</v>
      </c>
      <c r="D190" cm="1">
        <f t="array" ref="D190">INDEX('Linha 03'!$A$4:$A$1000,B190)</f>
        <v>20040028</v>
      </c>
      <c r="E190" t="str" cm="1">
        <f t="array" ref="E190">INDEX('Linha 03'!$B$4:$B$1000,B190)</f>
        <v>Amaciante Ito Rosa Cx/06 X 2l</v>
      </c>
      <c r="F190" cm="1">
        <f t="array" ref="F190">INDEX('Linha 03'!$C$3:$ZZ$3,C190)</f>
        <v>20050142</v>
      </c>
      <c r="G190" t="str" cm="1">
        <f t="array" ref="G190">INDEX('Linha 03'!$C$2:$ZZ$2,C190)</f>
        <v>Desinfetante Ito Marine Cx/06 X 2l</v>
      </c>
      <c r="H190" s="5" cm="1">
        <f t="array" ref="H190">INDEX('Linha 03'!$C$4:$ZZ$1000,B190,C190)</f>
        <v>0</v>
      </c>
    </row>
    <row r="191" spans="1:8" x14ac:dyDescent="0.25">
      <c r="A191">
        <v>189</v>
      </c>
      <c r="B191">
        <f t="shared" si="4"/>
        <v>5</v>
      </c>
      <c r="C191">
        <f t="shared" si="5"/>
        <v>25</v>
      </c>
      <c r="D191" cm="1">
        <f t="array" ref="D191">INDEX('Linha 03'!$A$4:$A$1000,B191)</f>
        <v>20040028</v>
      </c>
      <c r="E191" t="str" cm="1">
        <f t="array" ref="E191">INDEX('Linha 03'!$B$4:$B$1000,B191)</f>
        <v>Amaciante Ito Rosa Cx/06 X 2l</v>
      </c>
      <c r="F191" cm="1">
        <f t="array" ref="F191">INDEX('Linha 03'!$C$3:$ZZ$3,C191)</f>
        <v>20050159</v>
      </c>
      <c r="G191" t="str" cm="1">
        <f t="array" ref="G191">INDEX('Linha 03'!$C$2:$ZZ$2,C191)</f>
        <v>Desinfetante Aquafast Cha Branco Cx/06 X 2l</v>
      </c>
      <c r="H191" s="5" cm="1">
        <f t="array" ref="H191">INDEX('Linha 03'!$C$4:$ZZ$1000,B191,C191)</f>
        <v>1.38888888888889E-2</v>
      </c>
    </row>
    <row r="192" spans="1:8" x14ac:dyDescent="0.25">
      <c r="A192">
        <v>190</v>
      </c>
      <c r="B192">
        <f t="shared" si="4"/>
        <v>5</v>
      </c>
      <c r="C192">
        <f t="shared" si="5"/>
        <v>26</v>
      </c>
      <c r="D192" cm="1">
        <f t="array" ref="D192">INDEX('Linha 03'!$A$4:$A$1000,B192)</f>
        <v>20040028</v>
      </c>
      <c r="E192" t="str" cm="1">
        <f t="array" ref="E192">INDEX('Linha 03'!$B$4:$B$1000,B192)</f>
        <v>Amaciante Ito Rosa Cx/06 X 2l</v>
      </c>
      <c r="F192" cm="1">
        <f t="array" ref="F192">INDEX('Linha 03'!$C$3:$ZZ$3,C192)</f>
        <v>20060007</v>
      </c>
      <c r="G192" t="str" cm="1">
        <f t="array" ref="G192">INDEX('Linha 03'!$C$2:$ZZ$2,C192)</f>
        <v>Limp Perf Aquafast Magia Seducao Cx/06 X 2l (Promoc)</v>
      </c>
      <c r="H192" s="5" cm="1">
        <f t="array" ref="H192">INDEX('Linha 03'!$C$4:$ZZ$1000,B192,C192)</f>
        <v>0</v>
      </c>
    </row>
    <row r="193" spans="1:8" x14ac:dyDescent="0.25">
      <c r="A193">
        <v>191</v>
      </c>
      <c r="B193">
        <f t="shared" si="4"/>
        <v>5</v>
      </c>
      <c r="C193">
        <f t="shared" si="5"/>
        <v>27</v>
      </c>
      <c r="D193" cm="1">
        <f t="array" ref="D193">INDEX('Linha 03'!$A$4:$A$1000,B193)</f>
        <v>20040028</v>
      </c>
      <c r="E193" t="str" cm="1">
        <f t="array" ref="E193">INDEX('Linha 03'!$B$4:$B$1000,B193)</f>
        <v>Amaciante Ito Rosa Cx/06 X 2l</v>
      </c>
      <c r="F193" cm="1">
        <f t="array" ref="F193">INDEX('Linha 03'!$C$3:$ZZ$3,C193)</f>
        <v>20060009</v>
      </c>
      <c r="G193" t="str" cm="1">
        <f t="array" ref="G193">INDEX('Linha 03'!$C$2:$ZZ$2,C193)</f>
        <v>Limp Perf Aquafast Frescor Da Manha Cx/06 X 2l (Promoc)</v>
      </c>
      <c r="H193" s="5" cm="1">
        <f t="array" ref="H193">INDEX('Linha 03'!$C$4:$ZZ$1000,B193,C193)</f>
        <v>0</v>
      </c>
    </row>
    <row r="194" spans="1:8" x14ac:dyDescent="0.25">
      <c r="A194">
        <v>192</v>
      </c>
      <c r="B194">
        <f t="shared" si="4"/>
        <v>5</v>
      </c>
      <c r="C194">
        <f t="shared" si="5"/>
        <v>28</v>
      </c>
      <c r="D194" cm="1">
        <f t="array" ref="D194">INDEX('Linha 03'!$A$4:$A$1000,B194)</f>
        <v>20040028</v>
      </c>
      <c r="E194" t="str" cm="1">
        <f t="array" ref="E194">INDEX('Linha 03'!$B$4:$B$1000,B194)</f>
        <v>Amaciante Ito Rosa Cx/06 X 2l</v>
      </c>
      <c r="F194" cm="1">
        <f t="array" ref="F194">INDEX('Linha 03'!$C$3:$ZZ$3,C194)</f>
        <v>20060017</v>
      </c>
      <c r="G194" t="str" cm="1">
        <f t="array" ref="G194">INDEX('Linha 03'!$C$2:$ZZ$2,C194)</f>
        <v>Limp Perf Aquafast Doce Romance Cx/06 X 2l (Promoc)</v>
      </c>
      <c r="H194" s="5" cm="1">
        <f t="array" ref="H194">INDEX('Linha 03'!$C$4:$ZZ$1000,B194,C194)</f>
        <v>0</v>
      </c>
    </row>
    <row r="195" spans="1:8" x14ac:dyDescent="0.25">
      <c r="A195">
        <v>193</v>
      </c>
      <c r="B195">
        <f t="shared" si="4"/>
        <v>5</v>
      </c>
      <c r="C195">
        <f t="shared" si="5"/>
        <v>29</v>
      </c>
      <c r="D195" cm="1">
        <f t="array" ref="D195">INDEX('Linha 03'!$A$4:$A$1000,B195)</f>
        <v>20040028</v>
      </c>
      <c r="E195" t="str" cm="1">
        <f t="array" ref="E195">INDEX('Linha 03'!$B$4:$B$1000,B195)</f>
        <v>Amaciante Ito Rosa Cx/06 X 2l</v>
      </c>
      <c r="F195" cm="1">
        <f t="array" ref="F195">INDEX('Linha 03'!$C$3:$ZZ$3,C195)</f>
        <v>20060028</v>
      </c>
      <c r="G195" t="str" cm="1">
        <f t="array" ref="G195">INDEX('Linha 03'!$C$2:$ZZ$2,C195)</f>
        <v>Limp Perf Aquafast Essencia Natural Cx06 X 2l</v>
      </c>
      <c r="H195" s="5" cm="1">
        <f t="array" ref="H195">INDEX('Linha 03'!$C$4:$ZZ$1000,B195,C195)</f>
        <v>0</v>
      </c>
    </row>
    <row r="196" spans="1:8" x14ac:dyDescent="0.25">
      <c r="A196">
        <v>194</v>
      </c>
      <c r="B196">
        <f t="shared" ref="B196:B259" si="6">INT((A196-1)/$B$1)+1</f>
        <v>5</v>
      </c>
      <c r="C196">
        <f t="shared" ref="C196:C259" si="7">MOD(A196-1,$B$1)+1</f>
        <v>30</v>
      </c>
      <c r="D196" cm="1">
        <f t="array" ref="D196">INDEX('Linha 03'!$A$4:$A$1000,B196)</f>
        <v>20040028</v>
      </c>
      <c r="E196" t="str" cm="1">
        <f t="array" ref="E196">INDEX('Linha 03'!$B$4:$B$1000,B196)</f>
        <v>Amaciante Ito Rosa Cx/06 X 2l</v>
      </c>
      <c r="F196" cm="1">
        <f t="array" ref="F196">INDEX('Linha 03'!$C$3:$ZZ$3,C196)</f>
        <v>20200003</v>
      </c>
      <c r="G196" t="str" cm="1">
        <f t="array" ref="G196">INDEX('Linha 03'!$C$2:$ZZ$2,C196)</f>
        <v>Lava Roup. Aquafast Baby Cx/12 X 1l</v>
      </c>
      <c r="H196" s="5" cm="1">
        <f t="array" ref="H196">INDEX('Linha 03'!$C$4:$ZZ$1000,B196,C196)</f>
        <v>0</v>
      </c>
    </row>
    <row r="197" spans="1:8" x14ac:dyDescent="0.25">
      <c r="A197">
        <v>195</v>
      </c>
      <c r="B197">
        <f t="shared" si="6"/>
        <v>5</v>
      </c>
      <c r="C197">
        <f t="shared" si="7"/>
        <v>31</v>
      </c>
      <c r="D197" cm="1">
        <f t="array" ref="D197">INDEX('Linha 03'!$A$4:$A$1000,B197)</f>
        <v>20040028</v>
      </c>
      <c r="E197" t="str" cm="1">
        <f t="array" ref="E197">INDEX('Linha 03'!$B$4:$B$1000,B197)</f>
        <v>Amaciante Ito Rosa Cx/06 X 2l</v>
      </c>
      <c r="F197" cm="1">
        <f t="array" ref="F197">INDEX('Linha 03'!$C$3:$ZZ$3,C197)</f>
        <v>20200005</v>
      </c>
      <c r="G197" t="str" cm="1">
        <f t="array" ref="G197">INDEX('Linha 03'!$C$2:$ZZ$2,C197)</f>
        <v>Lava Roupas Aquafast Multi Acao Cx/06 X 2l</v>
      </c>
      <c r="H197" s="5" cm="1">
        <f t="array" ref="H197">INDEX('Linha 03'!$C$4:$ZZ$1000,B197,C197)</f>
        <v>0</v>
      </c>
    </row>
    <row r="198" spans="1:8" x14ac:dyDescent="0.25">
      <c r="A198">
        <v>196</v>
      </c>
      <c r="B198">
        <f t="shared" si="6"/>
        <v>5</v>
      </c>
      <c r="C198">
        <f t="shared" si="7"/>
        <v>32</v>
      </c>
      <c r="D198" cm="1">
        <f t="array" ref="D198">INDEX('Linha 03'!$A$4:$A$1000,B198)</f>
        <v>20040028</v>
      </c>
      <c r="E198" t="str" cm="1">
        <f t="array" ref="E198">INDEX('Linha 03'!$B$4:$B$1000,B198)</f>
        <v>Amaciante Ito Rosa Cx/06 X 2l</v>
      </c>
      <c r="F198" cm="1">
        <f t="array" ref="F198">INDEX('Linha 03'!$C$3:$ZZ$3,C198)</f>
        <v>20200006</v>
      </c>
      <c r="G198" t="str" cm="1">
        <f t="array" ref="G198">INDEX('Linha 03'!$C$2:$ZZ$2,C198)</f>
        <v>Lava Roupas Aquafast Glicerina Cx/06 X 2l</v>
      </c>
      <c r="H198" s="5" cm="1">
        <f t="array" ref="H198">INDEX('Linha 03'!$C$4:$ZZ$1000,B198,C198)</f>
        <v>0</v>
      </c>
    </row>
    <row r="199" spans="1:8" x14ac:dyDescent="0.25">
      <c r="A199">
        <v>197</v>
      </c>
      <c r="B199">
        <f t="shared" si="6"/>
        <v>5</v>
      </c>
      <c r="C199">
        <f t="shared" si="7"/>
        <v>33</v>
      </c>
      <c r="D199" cm="1">
        <f t="array" ref="D199">INDEX('Linha 03'!$A$4:$A$1000,B199)</f>
        <v>20040028</v>
      </c>
      <c r="E199" t="str" cm="1">
        <f t="array" ref="E199">INDEX('Linha 03'!$B$4:$B$1000,B199)</f>
        <v>Amaciante Ito Rosa Cx/06 X 2l</v>
      </c>
      <c r="F199" cm="1">
        <f t="array" ref="F199">INDEX('Linha 03'!$C$3:$ZZ$3,C199)</f>
        <v>20200015</v>
      </c>
      <c r="G199" t="str" cm="1">
        <f t="array" ref="G199">INDEX('Linha 03'!$C$2:$ZZ$2,C199)</f>
        <v>Lava Roup. Aquafast Multiacao Cx/12 X 1l</v>
      </c>
      <c r="H199" s="5" cm="1">
        <f t="array" ref="H199">INDEX('Linha 03'!$C$4:$ZZ$1000,B199,C199)</f>
        <v>0</v>
      </c>
    </row>
    <row r="200" spans="1:8" x14ac:dyDescent="0.25">
      <c r="A200">
        <v>198</v>
      </c>
      <c r="B200">
        <f t="shared" si="6"/>
        <v>5</v>
      </c>
      <c r="C200">
        <f t="shared" si="7"/>
        <v>34</v>
      </c>
      <c r="D200" cm="1">
        <f t="array" ref="D200">INDEX('Linha 03'!$A$4:$A$1000,B200)</f>
        <v>20040028</v>
      </c>
      <c r="E200" t="str" cm="1">
        <f t="array" ref="E200">INDEX('Linha 03'!$B$4:$B$1000,B200)</f>
        <v>Amaciante Ito Rosa Cx/06 X 2l</v>
      </c>
      <c r="F200" cm="1">
        <f t="array" ref="F200">INDEX('Linha 03'!$C$3:$ZZ$3,C200)</f>
        <v>20200036</v>
      </c>
      <c r="G200" t="str" cm="1">
        <f t="array" ref="G200">INDEX('Linha 03'!$C$2:$ZZ$2,C200)</f>
        <v>Lava Roupas Aquafast Ternura Cx/06 X 2l</v>
      </c>
      <c r="H200" s="5" cm="1">
        <f t="array" ref="H200">INDEX('Linha 03'!$C$4:$ZZ$1000,B200,C200)</f>
        <v>0</v>
      </c>
    </row>
    <row r="201" spans="1:8" x14ac:dyDescent="0.25">
      <c r="A201">
        <v>199</v>
      </c>
      <c r="B201">
        <f t="shared" si="6"/>
        <v>5</v>
      </c>
      <c r="C201">
        <f t="shared" si="7"/>
        <v>35</v>
      </c>
      <c r="D201" cm="1">
        <f t="array" ref="D201">INDEX('Linha 03'!$A$4:$A$1000,B201)</f>
        <v>20040028</v>
      </c>
      <c r="E201" t="str" cm="1">
        <f t="array" ref="E201">INDEX('Linha 03'!$B$4:$B$1000,B201)</f>
        <v>Amaciante Ito Rosa Cx/06 X 2l</v>
      </c>
      <c r="F201" cm="1">
        <f t="array" ref="F201">INDEX('Linha 03'!$C$3:$ZZ$3,C201)</f>
        <v>20200063</v>
      </c>
      <c r="G201" t="str" cm="1">
        <f t="array" ref="G201">INDEX('Linha 03'!$C$2:$ZZ$2,C201)</f>
        <v>Lava Roup. Aquafast Tradicional Cx/12 X 1l</v>
      </c>
      <c r="H201" s="5" cm="1">
        <f t="array" ref="H201">INDEX('Linha 03'!$C$4:$ZZ$1000,B201,C201)</f>
        <v>0</v>
      </c>
    </row>
    <row r="202" spans="1:8" x14ac:dyDescent="0.25">
      <c r="A202">
        <v>200</v>
      </c>
      <c r="B202">
        <f t="shared" si="6"/>
        <v>5</v>
      </c>
      <c r="C202">
        <f t="shared" si="7"/>
        <v>36</v>
      </c>
      <c r="D202" cm="1">
        <f t="array" ref="D202">INDEX('Linha 03'!$A$4:$A$1000,B202)</f>
        <v>20040028</v>
      </c>
      <c r="E202" t="str" cm="1">
        <f t="array" ref="E202">INDEX('Linha 03'!$B$4:$B$1000,B202)</f>
        <v>Amaciante Ito Rosa Cx/06 X 2l</v>
      </c>
      <c r="F202" cm="1">
        <f t="array" ref="F202">INDEX('Linha 03'!$C$3:$ZZ$3,C202)</f>
        <v>20200064</v>
      </c>
      <c r="G202" t="str" cm="1">
        <f t="array" ref="G202">INDEX('Linha 03'!$C$2:$ZZ$2,C202)</f>
        <v>Lava Roup. Aquafast Flores B. E Baunilha Cx/12 X 1l</v>
      </c>
      <c r="H202" s="5" cm="1">
        <f t="array" ref="H202">INDEX('Linha 03'!$C$4:$ZZ$1000,B202,C202)</f>
        <v>0</v>
      </c>
    </row>
    <row r="203" spans="1:8" x14ac:dyDescent="0.25">
      <c r="A203">
        <v>201</v>
      </c>
      <c r="B203">
        <f t="shared" si="6"/>
        <v>5</v>
      </c>
      <c r="C203">
        <f t="shared" si="7"/>
        <v>37</v>
      </c>
      <c r="D203" cm="1">
        <f t="array" ref="D203">INDEX('Linha 03'!$A$4:$A$1000,B203)</f>
        <v>20040028</v>
      </c>
      <c r="E203" t="str" cm="1">
        <f t="array" ref="E203">INDEX('Linha 03'!$B$4:$B$1000,B203)</f>
        <v>Amaciante Ito Rosa Cx/06 X 2l</v>
      </c>
      <c r="F203" cm="1">
        <f t="array" ref="F203">INDEX('Linha 03'!$C$3:$ZZ$3,C203)</f>
        <v>20200065</v>
      </c>
      <c r="G203" t="str" cm="1">
        <f t="array" ref="G203">INDEX('Linha 03'!$C$2:$ZZ$2,C203)</f>
        <v>Lava Roupas Aquafast Flores B. E Baunilha Cx/06 X 2l</v>
      </c>
      <c r="H203" s="5" cm="1">
        <f t="array" ref="H203">INDEX('Linha 03'!$C$4:$ZZ$1000,B203,C203)</f>
        <v>0</v>
      </c>
    </row>
    <row r="204" spans="1:8" x14ac:dyDescent="0.25">
      <c r="A204">
        <v>202</v>
      </c>
      <c r="B204">
        <f t="shared" si="6"/>
        <v>5</v>
      </c>
      <c r="C204">
        <f t="shared" si="7"/>
        <v>38</v>
      </c>
      <c r="D204" cm="1">
        <f t="array" ref="D204">INDEX('Linha 03'!$A$4:$A$1000,B204)</f>
        <v>20040028</v>
      </c>
      <c r="E204" t="str" cm="1">
        <f t="array" ref="E204">INDEX('Linha 03'!$B$4:$B$1000,B204)</f>
        <v>Amaciante Ito Rosa Cx/06 X 2l</v>
      </c>
      <c r="F204" cm="1">
        <f t="array" ref="F204">INDEX('Linha 03'!$C$3:$ZZ$3,C204)</f>
        <v>20200072</v>
      </c>
      <c r="G204" t="str" cm="1">
        <f t="array" ref="G204">INDEX('Linha 03'!$C$2:$ZZ$2,C204)</f>
        <v>Lava Roupas Aquafast Lavagem Rapida Total Clean Cx/12 X 1l</v>
      </c>
      <c r="H204" s="5" cm="1">
        <f t="array" ref="H204">INDEX('Linha 03'!$C$4:$ZZ$1000,B204,C204)</f>
        <v>0</v>
      </c>
    </row>
    <row r="205" spans="1:8" x14ac:dyDescent="0.25">
      <c r="A205">
        <v>203</v>
      </c>
      <c r="B205">
        <f t="shared" si="6"/>
        <v>5</v>
      </c>
      <c r="C205">
        <f t="shared" si="7"/>
        <v>39</v>
      </c>
      <c r="D205" cm="1">
        <f t="array" ref="D205">INDEX('Linha 03'!$A$4:$A$1000,B205)</f>
        <v>20040028</v>
      </c>
      <c r="E205" t="str" cm="1">
        <f t="array" ref="E205">INDEX('Linha 03'!$B$4:$B$1000,B205)</f>
        <v>Amaciante Ito Rosa Cx/06 X 2l</v>
      </c>
      <c r="F205" cm="1">
        <f t="array" ref="F205">INDEX('Linha 03'!$C$3:$ZZ$3,C205)</f>
        <v>20200074</v>
      </c>
      <c r="G205" t="str" cm="1">
        <f t="array" ref="G205">INDEX('Linha 03'!$C$2:$ZZ$2,C205)</f>
        <v>Lava Roupas Aquafast Lavagem Rapida Fresh Clean Cx/12 X 1l</v>
      </c>
      <c r="H205" s="5" cm="1">
        <f t="array" ref="H205">INDEX('Linha 03'!$C$4:$ZZ$1000,B205,C205)</f>
        <v>0</v>
      </c>
    </row>
    <row r="206" spans="1:8" x14ac:dyDescent="0.25">
      <c r="A206">
        <v>204</v>
      </c>
      <c r="B206">
        <f t="shared" si="6"/>
        <v>5</v>
      </c>
      <c r="C206">
        <f t="shared" si="7"/>
        <v>40</v>
      </c>
      <c r="D206" cm="1">
        <f t="array" ref="D206">INDEX('Linha 03'!$A$4:$A$1000,B206)</f>
        <v>20040028</v>
      </c>
      <c r="E206" t="str" cm="1">
        <f t="array" ref="E206">INDEX('Linha 03'!$B$4:$B$1000,B206)</f>
        <v>Amaciante Ito Rosa Cx/06 X 2l</v>
      </c>
      <c r="F206" cm="1">
        <f t="array" ref="F206">INDEX('Linha 03'!$C$3:$ZZ$3,C206)</f>
        <v>20250005</v>
      </c>
      <c r="G206" t="str" cm="1">
        <f t="array" ref="G206">INDEX('Linha 03'!$C$2:$ZZ$2,C206)</f>
        <v>Neutralizador De Odores Aquafast Floral Cx/06 X 2l</v>
      </c>
      <c r="H206" s="5" cm="1">
        <f t="array" ref="H206">INDEX('Linha 03'!$C$4:$ZZ$1000,B206,C206)</f>
        <v>0</v>
      </c>
    </row>
    <row r="207" spans="1:8" x14ac:dyDescent="0.25">
      <c r="A207">
        <v>205</v>
      </c>
      <c r="B207">
        <f t="shared" si="6"/>
        <v>5</v>
      </c>
      <c r="C207">
        <f t="shared" si="7"/>
        <v>41</v>
      </c>
      <c r="D207" cm="1">
        <f t="array" ref="D207">INDEX('Linha 03'!$A$4:$A$1000,B207)</f>
        <v>20040028</v>
      </c>
      <c r="E207" t="str" cm="1">
        <f t="array" ref="E207">INDEX('Linha 03'!$B$4:$B$1000,B207)</f>
        <v>Amaciante Ito Rosa Cx/06 X 2l</v>
      </c>
      <c r="F207" cm="1">
        <f t="array" ref="F207">INDEX('Linha 03'!$C$3:$ZZ$3,C207)</f>
        <v>20250007</v>
      </c>
      <c r="G207" t="str" cm="1">
        <f t="array" ref="G207">INDEX('Linha 03'!$C$2:$ZZ$2,C207)</f>
        <v>Neutralizador De Odores Aquafast Marine Cx/06 2l</v>
      </c>
      <c r="H207" s="5" cm="1">
        <f t="array" ref="H207">INDEX('Linha 03'!$C$4:$ZZ$1000,B207,C207)</f>
        <v>0</v>
      </c>
    </row>
    <row r="208" spans="1:8" x14ac:dyDescent="0.25">
      <c r="A208">
        <v>206</v>
      </c>
      <c r="B208">
        <f t="shared" si="6"/>
        <v>6</v>
      </c>
      <c r="C208">
        <f t="shared" si="7"/>
        <v>1</v>
      </c>
      <c r="D208" cm="1">
        <f t="array" ref="D208">INDEX('Linha 03'!$A$4:$A$1000,B208)</f>
        <v>20040029</v>
      </c>
      <c r="E208" t="str" cm="1">
        <f t="array" ref="E208">INDEX('Linha 03'!$B$4:$B$1000,B208)</f>
        <v>Amaciante Ito Branco Cx/06 X 2l</v>
      </c>
      <c r="F208" cm="1">
        <f t="array" ref="F208">INDEX('Linha 03'!$C$3:$ZZ$3,C208)</f>
        <v>20040006</v>
      </c>
      <c r="G208" t="str" cm="1">
        <f t="array" ref="G208">INDEX('Linha 03'!$C$2:$ZZ$2,C208)</f>
        <v>Amaciante Aquafast Azul Fresc. Manha Cx/06 X 2l</v>
      </c>
      <c r="H208" s="5" cm="1">
        <f t="array" ref="H208">INDEX('Linha 03'!$C$4:$ZZ$1000,B208,C208)</f>
        <v>0</v>
      </c>
    </row>
    <row r="209" spans="1:8" x14ac:dyDescent="0.25">
      <c r="A209">
        <v>207</v>
      </c>
      <c r="B209">
        <f t="shared" si="6"/>
        <v>6</v>
      </c>
      <c r="C209">
        <f t="shared" si="7"/>
        <v>2</v>
      </c>
      <c r="D209" cm="1">
        <f t="array" ref="D209">INDEX('Linha 03'!$A$4:$A$1000,B209)</f>
        <v>20040029</v>
      </c>
      <c r="E209" t="str" cm="1">
        <f t="array" ref="E209">INDEX('Linha 03'!$B$4:$B$1000,B209)</f>
        <v>Amaciante Ito Branco Cx/06 X 2l</v>
      </c>
      <c r="F209" cm="1">
        <f t="array" ref="F209">INDEX('Linha 03'!$C$3:$ZZ$3,C209)</f>
        <v>20040008</v>
      </c>
      <c r="G209" t="str" cm="1">
        <f t="array" ref="G209">INDEX('Linha 03'!$C$2:$ZZ$2,C209)</f>
        <v>Amaciante Aquafast Rosa Jard. Florid Cx/06 X 2l</v>
      </c>
      <c r="H209" s="5" cm="1">
        <f t="array" ref="H209">INDEX('Linha 03'!$C$4:$ZZ$1000,B209,C209)</f>
        <v>0</v>
      </c>
    </row>
    <row r="210" spans="1:8" x14ac:dyDescent="0.25">
      <c r="A210">
        <v>208</v>
      </c>
      <c r="B210">
        <f t="shared" si="6"/>
        <v>6</v>
      </c>
      <c r="C210">
        <f t="shared" si="7"/>
        <v>3</v>
      </c>
      <c r="D210" cm="1">
        <f t="array" ref="D210">INDEX('Linha 03'!$A$4:$A$1000,B210)</f>
        <v>20040029</v>
      </c>
      <c r="E210" t="str" cm="1">
        <f t="array" ref="E210">INDEX('Linha 03'!$B$4:$B$1000,B210)</f>
        <v>Amaciante Ito Branco Cx/06 X 2l</v>
      </c>
      <c r="F210" cm="1">
        <f t="array" ref="F210">INDEX('Linha 03'!$C$3:$ZZ$3,C210)</f>
        <v>20040009</v>
      </c>
      <c r="G210" t="str" cm="1">
        <f t="array" ref="G210">INDEX('Linha 03'!$C$2:$ZZ$2,C210)</f>
        <v>Amaciante Aquafast Branco Pura Caric. Cx/06 X 2l</v>
      </c>
      <c r="H210" s="5" cm="1">
        <f t="array" ref="H210">INDEX('Linha 03'!$C$4:$ZZ$1000,B210,C210)</f>
        <v>0</v>
      </c>
    </row>
    <row r="211" spans="1:8" x14ac:dyDescent="0.25">
      <c r="A211">
        <v>209</v>
      </c>
      <c r="B211">
        <f t="shared" si="6"/>
        <v>6</v>
      </c>
      <c r="C211">
        <f t="shared" si="7"/>
        <v>4</v>
      </c>
      <c r="D211" cm="1">
        <f t="array" ref="D211">INDEX('Linha 03'!$A$4:$A$1000,B211)</f>
        <v>20040029</v>
      </c>
      <c r="E211" t="str" cm="1">
        <f t="array" ref="E211">INDEX('Linha 03'!$B$4:$B$1000,B211)</f>
        <v>Amaciante Ito Branco Cx/06 X 2l</v>
      </c>
      <c r="F211" cm="1">
        <f t="array" ref="F211">INDEX('Linha 03'!$C$3:$ZZ$3,C211)</f>
        <v>20040026</v>
      </c>
      <c r="G211" t="str" cm="1">
        <f t="array" ref="G211">INDEX('Linha 03'!$C$2:$ZZ$2,C211)</f>
        <v>Amaciante Ito Azul Cx/06 X 2l</v>
      </c>
      <c r="H211" s="5" cm="1">
        <f t="array" ref="H211">INDEX('Linha 03'!$C$4:$ZZ$1000,B211,C211)</f>
        <v>0</v>
      </c>
    </row>
    <row r="212" spans="1:8" x14ac:dyDescent="0.25">
      <c r="A212">
        <v>210</v>
      </c>
      <c r="B212">
        <f t="shared" si="6"/>
        <v>6</v>
      </c>
      <c r="C212">
        <f t="shared" si="7"/>
        <v>5</v>
      </c>
      <c r="D212" cm="1">
        <f t="array" ref="D212">INDEX('Linha 03'!$A$4:$A$1000,B212)</f>
        <v>20040029</v>
      </c>
      <c r="E212" t="str" cm="1">
        <f t="array" ref="E212">INDEX('Linha 03'!$B$4:$B$1000,B212)</f>
        <v>Amaciante Ito Branco Cx/06 X 2l</v>
      </c>
      <c r="F212" cm="1">
        <f t="array" ref="F212">INDEX('Linha 03'!$C$3:$ZZ$3,C212)</f>
        <v>20040028</v>
      </c>
      <c r="G212" t="str" cm="1">
        <f t="array" ref="G212">INDEX('Linha 03'!$C$2:$ZZ$2,C212)</f>
        <v>Amaciante Ito Rosa Cx/06 X 2l</v>
      </c>
      <c r="H212" s="5" cm="1">
        <f t="array" ref="H212">INDEX('Linha 03'!$C$4:$ZZ$1000,B212,C212)</f>
        <v>0</v>
      </c>
    </row>
    <row r="213" spans="1:8" x14ac:dyDescent="0.25">
      <c r="A213">
        <v>211</v>
      </c>
      <c r="B213">
        <f t="shared" si="6"/>
        <v>6</v>
      </c>
      <c r="C213">
        <f t="shared" si="7"/>
        <v>6</v>
      </c>
      <c r="D213" cm="1">
        <f t="array" ref="D213">INDEX('Linha 03'!$A$4:$A$1000,B213)</f>
        <v>20040029</v>
      </c>
      <c r="E213" t="str" cm="1">
        <f t="array" ref="E213">INDEX('Linha 03'!$B$4:$B$1000,B213)</f>
        <v>Amaciante Ito Branco Cx/06 X 2l</v>
      </c>
      <c r="F213" cm="1">
        <f t="array" ref="F213">INDEX('Linha 03'!$C$3:$ZZ$3,C213)</f>
        <v>20040029</v>
      </c>
      <c r="G213" t="str" cm="1">
        <f t="array" ref="G213">INDEX('Linha 03'!$C$2:$ZZ$2,C213)</f>
        <v>Amaciante Ito Branco Cx/06 X 2l</v>
      </c>
      <c r="H213" s="5" cm="1">
        <f t="array" ref="H213">INDEX('Linha 03'!$C$4:$ZZ$1000,B213,C213)</f>
        <v>0</v>
      </c>
    </row>
    <row r="214" spans="1:8" x14ac:dyDescent="0.25">
      <c r="A214">
        <v>212</v>
      </c>
      <c r="B214">
        <f t="shared" si="6"/>
        <v>6</v>
      </c>
      <c r="C214">
        <f t="shared" si="7"/>
        <v>7</v>
      </c>
      <c r="D214" cm="1">
        <f t="array" ref="D214">INDEX('Linha 03'!$A$4:$A$1000,B214)</f>
        <v>20040029</v>
      </c>
      <c r="E214" t="str" cm="1">
        <f t="array" ref="E214">INDEX('Linha 03'!$B$4:$B$1000,B214)</f>
        <v>Amaciante Ito Branco Cx/06 X 2l</v>
      </c>
      <c r="F214" cm="1">
        <f t="array" ref="F214">INDEX('Linha 03'!$C$3:$ZZ$3,C214)</f>
        <v>20040055</v>
      </c>
      <c r="G214" t="str" cm="1">
        <f t="array" ref="G214">INDEX('Linha 03'!$C$2:$ZZ$2,C214)</f>
        <v>Amaciante Myata Azul Cx/06 X 2l</v>
      </c>
      <c r="H214" s="5" cm="1">
        <f t="array" ref="H214">INDEX('Linha 03'!$C$4:$ZZ$1000,B214,C214)</f>
        <v>0</v>
      </c>
    </row>
    <row r="215" spans="1:8" x14ac:dyDescent="0.25">
      <c r="A215">
        <v>213</v>
      </c>
      <c r="B215">
        <f t="shared" si="6"/>
        <v>6</v>
      </c>
      <c r="C215">
        <f t="shared" si="7"/>
        <v>8</v>
      </c>
      <c r="D215" cm="1">
        <f t="array" ref="D215">INDEX('Linha 03'!$A$4:$A$1000,B215)</f>
        <v>20040029</v>
      </c>
      <c r="E215" t="str" cm="1">
        <f t="array" ref="E215">INDEX('Linha 03'!$B$4:$B$1000,B215)</f>
        <v>Amaciante Ito Branco Cx/06 X 2l</v>
      </c>
      <c r="F215" cm="1">
        <f t="array" ref="F215">INDEX('Linha 03'!$C$3:$ZZ$3,C215)</f>
        <v>20040057</v>
      </c>
      <c r="G215" t="str" cm="1">
        <f t="array" ref="G215">INDEX('Linha 03'!$C$2:$ZZ$2,C215)</f>
        <v>Amaciante Myata Rosa Cx/06 X 2l</v>
      </c>
      <c r="H215" s="5" cm="1">
        <f t="array" ref="H215">INDEX('Linha 03'!$C$4:$ZZ$1000,B215,C215)</f>
        <v>0</v>
      </c>
    </row>
    <row r="216" spans="1:8" x14ac:dyDescent="0.25">
      <c r="A216">
        <v>214</v>
      </c>
      <c r="B216">
        <f t="shared" si="6"/>
        <v>6</v>
      </c>
      <c r="C216">
        <f t="shared" si="7"/>
        <v>9</v>
      </c>
      <c r="D216" cm="1">
        <f t="array" ref="D216">INDEX('Linha 03'!$A$4:$A$1000,B216)</f>
        <v>20040029</v>
      </c>
      <c r="E216" t="str" cm="1">
        <f t="array" ref="E216">INDEX('Linha 03'!$B$4:$B$1000,B216)</f>
        <v>Amaciante Ito Branco Cx/06 X 2l</v>
      </c>
      <c r="F216" cm="1">
        <f t="array" ref="F216">INDEX('Linha 03'!$C$3:$ZZ$3,C216)</f>
        <v>20040084</v>
      </c>
      <c r="G216" t="str" cm="1">
        <f t="array" ref="G216">INDEX('Linha 03'!$C$2:$ZZ$2,C216)</f>
        <v>Amaciante Aquafast Vermelho Seducao Cx C/06 X 2l</v>
      </c>
      <c r="H216" s="5" cm="1">
        <f t="array" ref="H216">INDEX('Linha 03'!$C$4:$ZZ$1000,B216,C216)</f>
        <v>0</v>
      </c>
    </row>
    <row r="217" spans="1:8" x14ac:dyDescent="0.25">
      <c r="A217">
        <v>215</v>
      </c>
      <c r="B217">
        <f t="shared" si="6"/>
        <v>6</v>
      </c>
      <c r="C217">
        <f t="shared" si="7"/>
        <v>10</v>
      </c>
      <c r="D217" cm="1">
        <f t="array" ref="D217">INDEX('Linha 03'!$A$4:$A$1000,B217)</f>
        <v>20040029</v>
      </c>
      <c r="E217" t="str" cm="1">
        <f t="array" ref="E217">INDEX('Linha 03'!$B$4:$B$1000,B217)</f>
        <v>Amaciante Ito Branco Cx/06 X 2l</v>
      </c>
      <c r="F217" cm="1">
        <f t="array" ref="F217">INDEX('Linha 03'!$C$3:$ZZ$3,C217)</f>
        <v>20040089</v>
      </c>
      <c r="G217" t="str" cm="1">
        <f t="array" ref="G217">INDEX('Linha 03'!$C$2:$ZZ$2,C217)</f>
        <v>Amaciante Aquafast Roxo Magia Cx/06 X 2l</v>
      </c>
      <c r="H217" s="5" cm="1">
        <f t="array" ref="H217">INDEX('Linha 03'!$C$4:$ZZ$1000,B217,C217)</f>
        <v>0</v>
      </c>
    </row>
    <row r="218" spans="1:8" x14ac:dyDescent="0.25">
      <c r="A218">
        <v>216</v>
      </c>
      <c r="B218">
        <f t="shared" si="6"/>
        <v>6</v>
      </c>
      <c r="C218">
        <f t="shared" si="7"/>
        <v>11</v>
      </c>
      <c r="D218" cm="1">
        <f t="array" ref="D218">INDEX('Linha 03'!$A$4:$A$1000,B218)</f>
        <v>20040029</v>
      </c>
      <c r="E218" t="str" cm="1">
        <f t="array" ref="E218">INDEX('Linha 03'!$B$4:$B$1000,B218)</f>
        <v>Amaciante Ito Branco Cx/06 X 2l</v>
      </c>
      <c r="F218" cm="1">
        <f t="array" ref="F218">INDEX('Linha 03'!$C$3:$ZZ$3,C218)</f>
        <v>20040094</v>
      </c>
      <c r="G218" t="str" cm="1">
        <f t="array" ref="G218">INDEX('Linha 03'!$C$2:$ZZ$2,C218)</f>
        <v>Amaciante Aquafast Energia Cx/06 X 2l</v>
      </c>
      <c r="H218" s="5" cm="1">
        <f t="array" ref="H218">INDEX('Linha 03'!$C$4:$ZZ$1000,B218,C218)</f>
        <v>0</v>
      </c>
    </row>
    <row r="219" spans="1:8" x14ac:dyDescent="0.25">
      <c r="A219">
        <v>217</v>
      </c>
      <c r="B219">
        <f t="shared" si="6"/>
        <v>6</v>
      </c>
      <c r="C219">
        <f t="shared" si="7"/>
        <v>12</v>
      </c>
      <c r="D219" cm="1">
        <f t="array" ref="D219">INDEX('Linha 03'!$A$4:$A$1000,B219)</f>
        <v>20040029</v>
      </c>
      <c r="E219" t="str" cm="1">
        <f t="array" ref="E219">INDEX('Linha 03'!$B$4:$B$1000,B219)</f>
        <v>Amaciante Ito Branco Cx/06 X 2l</v>
      </c>
      <c r="F219" cm="1">
        <f t="array" ref="F219">INDEX('Linha 03'!$C$3:$ZZ$3,C219)</f>
        <v>20050010</v>
      </c>
      <c r="G219" t="str" cm="1">
        <f t="array" ref="G219">INDEX('Linha 03'!$C$2:$ZZ$2,C219)</f>
        <v>Desinfetante Aquafast Campos Lavanda Cx/06 X 2l</v>
      </c>
      <c r="H219" s="5" cm="1">
        <f t="array" ref="H219">INDEX('Linha 03'!$C$4:$ZZ$1000,B219,C219)</f>
        <v>0</v>
      </c>
    </row>
    <row r="220" spans="1:8" x14ac:dyDescent="0.25">
      <c r="A220">
        <v>218</v>
      </c>
      <c r="B220">
        <f t="shared" si="6"/>
        <v>6</v>
      </c>
      <c r="C220">
        <f t="shared" si="7"/>
        <v>13</v>
      </c>
      <c r="D220" cm="1">
        <f t="array" ref="D220">INDEX('Linha 03'!$A$4:$A$1000,B220)</f>
        <v>20040029</v>
      </c>
      <c r="E220" t="str" cm="1">
        <f t="array" ref="E220">INDEX('Linha 03'!$B$4:$B$1000,B220)</f>
        <v>Amaciante Ito Branco Cx/06 X 2l</v>
      </c>
      <c r="F220" cm="1">
        <f t="array" ref="F220">INDEX('Linha 03'!$C$3:$ZZ$3,C220)</f>
        <v>20050011</v>
      </c>
      <c r="G220" t="str" cm="1">
        <f t="array" ref="G220">INDEX('Linha 03'!$C$2:$ZZ$2,C220)</f>
        <v>Desinfetante Aquafast Jardim Florido Cx/06 X 2l</v>
      </c>
      <c r="H220" s="5" cm="1">
        <f t="array" ref="H220">INDEX('Linha 03'!$C$4:$ZZ$1000,B220,C220)</f>
        <v>0</v>
      </c>
    </row>
    <row r="221" spans="1:8" x14ac:dyDescent="0.25">
      <c r="A221">
        <v>219</v>
      </c>
      <c r="B221">
        <f t="shared" si="6"/>
        <v>6</v>
      </c>
      <c r="C221">
        <f t="shared" si="7"/>
        <v>14</v>
      </c>
      <c r="D221" cm="1">
        <f t="array" ref="D221">INDEX('Linha 03'!$A$4:$A$1000,B221)</f>
        <v>20040029</v>
      </c>
      <c r="E221" t="str" cm="1">
        <f t="array" ref="E221">INDEX('Linha 03'!$B$4:$B$1000,B221)</f>
        <v>Amaciante Ito Branco Cx/06 X 2l</v>
      </c>
      <c r="F221" cm="1">
        <f t="array" ref="F221">INDEX('Linha 03'!$C$3:$ZZ$3,C221)</f>
        <v>20050016</v>
      </c>
      <c r="G221" t="str" cm="1">
        <f t="array" ref="G221">INDEX('Linha 03'!$C$2:$ZZ$2,C221)</f>
        <v>Desinfetante Aquafast Marine Cx/06 X 2l</v>
      </c>
      <c r="H221" s="5" cm="1">
        <f t="array" ref="H221">INDEX('Linha 03'!$C$4:$ZZ$1000,B221,C221)</f>
        <v>0</v>
      </c>
    </row>
    <row r="222" spans="1:8" x14ac:dyDescent="0.25">
      <c r="A222">
        <v>220</v>
      </c>
      <c r="B222">
        <f t="shared" si="6"/>
        <v>6</v>
      </c>
      <c r="C222">
        <f t="shared" si="7"/>
        <v>15</v>
      </c>
      <c r="D222" cm="1">
        <f t="array" ref="D222">INDEX('Linha 03'!$A$4:$A$1000,B222)</f>
        <v>20040029</v>
      </c>
      <c r="E222" t="str" cm="1">
        <f t="array" ref="E222">INDEX('Linha 03'!$B$4:$B$1000,B222)</f>
        <v>Amaciante Ito Branco Cx/06 X 2l</v>
      </c>
      <c r="F222" cm="1">
        <f t="array" ref="F222">INDEX('Linha 03'!$C$3:$ZZ$3,C222)</f>
        <v>20050031</v>
      </c>
      <c r="G222" t="str" cm="1">
        <f t="array" ref="G222">INDEX('Linha 03'!$C$2:$ZZ$2,C222)</f>
        <v>Desinfetante Ito Lavanda Cx/06 X 2l</v>
      </c>
      <c r="H222" s="5" cm="1">
        <f t="array" ref="H222">INDEX('Linha 03'!$C$4:$ZZ$1000,B222,C222)</f>
        <v>0</v>
      </c>
    </row>
    <row r="223" spans="1:8" x14ac:dyDescent="0.25">
      <c r="A223">
        <v>221</v>
      </c>
      <c r="B223">
        <f t="shared" si="6"/>
        <v>6</v>
      </c>
      <c r="C223">
        <f t="shared" si="7"/>
        <v>16</v>
      </c>
      <c r="D223" cm="1">
        <f t="array" ref="D223">INDEX('Linha 03'!$A$4:$A$1000,B223)</f>
        <v>20040029</v>
      </c>
      <c r="E223" t="str" cm="1">
        <f t="array" ref="E223">INDEX('Linha 03'!$B$4:$B$1000,B223)</f>
        <v>Amaciante Ito Branco Cx/06 X 2l</v>
      </c>
      <c r="F223" cm="1">
        <f t="array" ref="F223">INDEX('Linha 03'!$C$3:$ZZ$3,C223)</f>
        <v>20050032</v>
      </c>
      <c r="G223" t="str" cm="1">
        <f t="array" ref="G223">INDEX('Linha 03'!$C$2:$ZZ$2,C223)</f>
        <v>Desinfetante Ito Floral Cx/06 X 2l</v>
      </c>
      <c r="H223" s="5" cm="1">
        <f t="array" ref="H223">INDEX('Linha 03'!$C$4:$ZZ$1000,B223,C223)</f>
        <v>0</v>
      </c>
    </row>
    <row r="224" spans="1:8" x14ac:dyDescent="0.25">
      <c r="A224">
        <v>222</v>
      </c>
      <c r="B224">
        <f t="shared" si="6"/>
        <v>6</v>
      </c>
      <c r="C224">
        <f t="shared" si="7"/>
        <v>17</v>
      </c>
      <c r="D224" cm="1">
        <f t="array" ref="D224">INDEX('Linha 03'!$A$4:$A$1000,B224)</f>
        <v>20040029</v>
      </c>
      <c r="E224" t="str" cm="1">
        <f t="array" ref="E224">INDEX('Linha 03'!$B$4:$B$1000,B224)</f>
        <v>Amaciante Ito Branco Cx/06 X 2l</v>
      </c>
      <c r="F224" cm="1">
        <f t="array" ref="F224">INDEX('Linha 03'!$C$3:$ZZ$3,C224)</f>
        <v>20050034</v>
      </c>
      <c r="G224" t="str" cm="1">
        <f t="array" ref="G224">INDEX('Linha 03'!$C$2:$ZZ$2,C224)</f>
        <v>Desinfetante Ito Eucalipto Cx/06 X 2l</v>
      </c>
      <c r="H224" s="5" cm="1">
        <f t="array" ref="H224">INDEX('Linha 03'!$C$4:$ZZ$1000,B224,C224)</f>
        <v>0</v>
      </c>
    </row>
    <row r="225" spans="1:8" x14ac:dyDescent="0.25">
      <c r="A225">
        <v>223</v>
      </c>
      <c r="B225">
        <f t="shared" si="6"/>
        <v>6</v>
      </c>
      <c r="C225">
        <f t="shared" si="7"/>
        <v>18</v>
      </c>
      <c r="D225" cm="1">
        <f t="array" ref="D225">INDEX('Linha 03'!$A$4:$A$1000,B225)</f>
        <v>20040029</v>
      </c>
      <c r="E225" t="str" cm="1">
        <f t="array" ref="E225">INDEX('Linha 03'!$B$4:$B$1000,B225)</f>
        <v>Amaciante Ito Branco Cx/06 X 2l</v>
      </c>
      <c r="F225" cm="1">
        <f t="array" ref="F225">INDEX('Linha 03'!$C$3:$ZZ$3,C225)</f>
        <v>20050077</v>
      </c>
      <c r="G225" t="str" cm="1">
        <f t="array" ref="G225">INDEX('Linha 03'!$C$2:$ZZ$2,C225)</f>
        <v>Desinfetante Myata Lavanda Cx/06 X 2l</v>
      </c>
      <c r="H225" s="5" cm="1">
        <f t="array" ref="H225">INDEX('Linha 03'!$C$4:$ZZ$1000,B225,C225)</f>
        <v>0</v>
      </c>
    </row>
    <row r="226" spans="1:8" x14ac:dyDescent="0.25">
      <c r="A226">
        <v>224</v>
      </c>
      <c r="B226">
        <f t="shared" si="6"/>
        <v>6</v>
      </c>
      <c r="C226">
        <f t="shared" si="7"/>
        <v>19</v>
      </c>
      <c r="D226" cm="1">
        <f t="array" ref="D226">INDEX('Linha 03'!$A$4:$A$1000,B226)</f>
        <v>20040029</v>
      </c>
      <c r="E226" t="str" cm="1">
        <f t="array" ref="E226">INDEX('Linha 03'!$B$4:$B$1000,B226)</f>
        <v>Amaciante Ito Branco Cx/06 X 2l</v>
      </c>
      <c r="F226" cm="1">
        <f t="array" ref="F226">INDEX('Linha 03'!$C$3:$ZZ$3,C226)</f>
        <v>20050078</v>
      </c>
      <c r="G226" t="str" cm="1">
        <f t="array" ref="G226">INDEX('Linha 03'!$C$2:$ZZ$2,C226)</f>
        <v>Desinfetante Myata Floral Cx/06 X 2l</v>
      </c>
      <c r="H226" s="5" cm="1">
        <f t="array" ref="H226">INDEX('Linha 03'!$C$4:$ZZ$1000,B226,C226)</f>
        <v>0</v>
      </c>
    </row>
    <row r="227" spans="1:8" x14ac:dyDescent="0.25">
      <c r="A227">
        <v>225</v>
      </c>
      <c r="B227">
        <f t="shared" si="6"/>
        <v>6</v>
      </c>
      <c r="C227">
        <f t="shared" si="7"/>
        <v>20</v>
      </c>
      <c r="D227" cm="1">
        <f t="array" ref="D227">INDEX('Linha 03'!$A$4:$A$1000,B227)</f>
        <v>20040029</v>
      </c>
      <c r="E227" t="str" cm="1">
        <f t="array" ref="E227">INDEX('Linha 03'!$B$4:$B$1000,B227)</f>
        <v>Amaciante Ito Branco Cx/06 X 2l</v>
      </c>
      <c r="F227" cm="1">
        <f t="array" ref="F227">INDEX('Linha 03'!$C$3:$ZZ$3,C227)</f>
        <v>20050115</v>
      </c>
      <c r="G227" t="str" cm="1">
        <f t="array" ref="G227">INDEX('Linha 03'!$C$2:$ZZ$2,C227)</f>
        <v>Desinfetante Aquafast Paixao Cx/06 X 2l</v>
      </c>
      <c r="H227" s="5" cm="1">
        <f t="array" ref="H227">INDEX('Linha 03'!$C$4:$ZZ$1000,B227,C227)</f>
        <v>0</v>
      </c>
    </row>
    <row r="228" spans="1:8" x14ac:dyDescent="0.25">
      <c r="A228">
        <v>226</v>
      </c>
      <c r="B228">
        <f t="shared" si="6"/>
        <v>6</v>
      </c>
      <c r="C228">
        <f t="shared" si="7"/>
        <v>21</v>
      </c>
      <c r="D228" cm="1">
        <f t="array" ref="D228">INDEX('Linha 03'!$A$4:$A$1000,B228)</f>
        <v>20040029</v>
      </c>
      <c r="E228" t="str" cm="1">
        <f t="array" ref="E228">INDEX('Linha 03'!$B$4:$B$1000,B228)</f>
        <v>Amaciante Ito Branco Cx/06 X 2l</v>
      </c>
      <c r="F228" cm="1">
        <f t="array" ref="F228">INDEX('Linha 03'!$C$3:$ZZ$3,C228)</f>
        <v>20050117</v>
      </c>
      <c r="G228" t="str" cm="1">
        <f t="array" ref="G228">INDEX('Linha 03'!$C$2:$ZZ$2,C228)</f>
        <v>Desinfetante Aquafast Harmonia Natural Cx/06 X 2l</v>
      </c>
      <c r="H228" s="5" cm="1">
        <f t="array" ref="H228">INDEX('Linha 03'!$C$4:$ZZ$1000,B228,C228)</f>
        <v>0</v>
      </c>
    </row>
    <row r="229" spans="1:8" x14ac:dyDescent="0.25">
      <c r="A229">
        <v>227</v>
      </c>
      <c r="B229">
        <f t="shared" si="6"/>
        <v>6</v>
      </c>
      <c r="C229">
        <f t="shared" si="7"/>
        <v>22</v>
      </c>
      <c r="D229" cm="1">
        <f t="array" ref="D229">INDEX('Linha 03'!$A$4:$A$1000,B229)</f>
        <v>20040029</v>
      </c>
      <c r="E229" t="str" cm="1">
        <f t="array" ref="E229">INDEX('Linha 03'!$B$4:$B$1000,B229)</f>
        <v>Amaciante Ito Branco Cx/06 X 2l</v>
      </c>
      <c r="F229" cm="1">
        <f t="array" ref="F229">INDEX('Linha 03'!$C$3:$ZZ$3,C229)</f>
        <v>20050123</v>
      </c>
      <c r="G229" t="str" cm="1">
        <f t="array" ref="G229">INDEX('Linha 03'!$C$2:$ZZ$2,C229)</f>
        <v>Desinfetante Ito Harmonia Natural Cx/06 X 2l</v>
      </c>
      <c r="H229" s="5" cm="1">
        <f t="array" ref="H229">INDEX('Linha 03'!$C$4:$ZZ$1000,B229,C229)</f>
        <v>0</v>
      </c>
    </row>
    <row r="230" spans="1:8" x14ac:dyDescent="0.25">
      <c r="A230">
        <v>228</v>
      </c>
      <c r="B230">
        <f t="shared" si="6"/>
        <v>6</v>
      </c>
      <c r="C230">
        <f t="shared" si="7"/>
        <v>23</v>
      </c>
      <c r="D230" cm="1">
        <f t="array" ref="D230">INDEX('Linha 03'!$A$4:$A$1000,B230)</f>
        <v>20040029</v>
      </c>
      <c r="E230" t="str" cm="1">
        <f t="array" ref="E230">INDEX('Linha 03'!$B$4:$B$1000,B230)</f>
        <v>Amaciante Ito Branco Cx/06 X 2l</v>
      </c>
      <c r="F230" cm="1">
        <f t="array" ref="F230">INDEX('Linha 03'!$C$3:$ZZ$3,C230)</f>
        <v>20050124</v>
      </c>
      <c r="G230" t="str" cm="1">
        <f t="array" ref="G230">INDEX('Linha 03'!$C$2:$ZZ$2,C230)</f>
        <v>Desinfetante Myata Harmonia Natural Cx/06 X 2l</v>
      </c>
      <c r="H230" s="5" cm="1">
        <f t="array" ref="H230">INDEX('Linha 03'!$C$4:$ZZ$1000,B230,C230)</f>
        <v>0</v>
      </c>
    </row>
    <row r="231" spans="1:8" x14ac:dyDescent="0.25">
      <c r="A231">
        <v>229</v>
      </c>
      <c r="B231">
        <f t="shared" si="6"/>
        <v>6</v>
      </c>
      <c r="C231">
        <f t="shared" si="7"/>
        <v>24</v>
      </c>
      <c r="D231" cm="1">
        <f t="array" ref="D231">INDEX('Linha 03'!$A$4:$A$1000,B231)</f>
        <v>20040029</v>
      </c>
      <c r="E231" t="str" cm="1">
        <f t="array" ref="E231">INDEX('Linha 03'!$B$4:$B$1000,B231)</f>
        <v>Amaciante Ito Branco Cx/06 X 2l</v>
      </c>
      <c r="F231" cm="1">
        <f t="array" ref="F231">INDEX('Linha 03'!$C$3:$ZZ$3,C231)</f>
        <v>20050142</v>
      </c>
      <c r="G231" t="str" cm="1">
        <f t="array" ref="G231">INDEX('Linha 03'!$C$2:$ZZ$2,C231)</f>
        <v>Desinfetante Ito Marine Cx/06 X 2l</v>
      </c>
      <c r="H231" s="5" cm="1">
        <f t="array" ref="H231">INDEX('Linha 03'!$C$4:$ZZ$1000,B231,C231)</f>
        <v>0</v>
      </c>
    </row>
    <row r="232" spans="1:8" x14ac:dyDescent="0.25">
      <c r="A232">
        <v>230</v>
      </c>
      <c r="B232">
        <f t="shared" si="6"/>
        <v>6</v>
      </c>
      <c r="C232">
        <f t="shared" si="7"/>
        <v>25</v>
      </c>
      <c r="D232" cm="1">
        <f t="array" ref="D232">INDEX('Linha 03'!$A$4:$A$1000,B232)</f>
        <v>20040029</v>
      </c>
      <c r="E232" t="str" cm="1">
        <f t="array" ref="E232">INDEX('Linha 03'!$B$4:$B$1000,B232)</f>
        <v>Amaciante Ito Branco Cx/06 X 2l</v>
      </c>
      <c r="F232" cm="1">
        <f t="array" ref="F232">INDEX('Linha 03'!$C$3:$ZZ$3,C232)</f>
        <v>20050159</v>
      </c>
      <c r="G232" t="str" cm="1">
        <f t="array" ref="G232">INDEX('Linha 03'!$C$2:$ZZ$2,C232)</f>
        <v>Desinfetante Aquafast Cha Branco Cx/06 X 2l</v>
      </c>
      <c r="H232" s="5" cm="1">
        <f t="array" ref="H232">INDEX('Linha 03'!$C$4:$ZZ$1000,B232,C232)</f>
        <v>1.38888888888889E-2</v>
      </c>
    </row>
    <row r="233" spans="1:8" x14ac:dyDescent="0.25">
      <c r="A233">
        <v>231</v>
      </c>
      <c r="B233">
        <f t="shared" si="6"/>
        <v>6</v>
      </c>
      <c r="C233">
        <f t="shared" si="7"/>
        <v>26</v>
      </c>
      <c r="D233" cm="1">
        <f t="array" ref="D233">INDEX('Linha 03'!$A$4:$A$1000,B233)</f>
        <v>20040029</v>
      </c>
      <c r="E233" t="str" cm="1">
        <f t="array" ref="E233">INDEX('Linha 03'!$B$4:$B$1000,B233)</f>
        <v>Amaciante Ito Branco Cx/06 X 2l</v>
      </c>
      <c r="F233" cm="1">
        <f t="array" ref="F233">INDEX('Linha 03'!$C$3:$ZZ$3,C233)</f>
        <v>20060007</v>
      </c>
      <c r="G233" t="str" cm="1">
        <f t="array" ref="G233">INDEX('Linha 03'!$C$2:$ZZ$2,C233)</f>
        <v>Limp Perf Aquafast Magia Seducao Cx/06 X 2l (Promoc)</v>
      </c>
      <c r="H233" s="5" cm="1">
        <f t="array" ref="H233">INDEX('Linha 03'!$C$4:$ZZ$1000,B233,C233)</f>
        <v>0</v>
      </c>
    </row>
    <row r="234" spans="1:8" x14ac:dyDescent="0.25">
      <c r="A234">
        <v>232</v>
      </c>
      <c r="B234">
        <f t="shared" si="6"/>
        <v>6</v>
      </c>
      <c r="C234">
        <f t="shared" si="7"/>
        <v>27</v>
      </c>
      <c r="D234" cm="1">
        <f t="array" ref="D234">INDEX('Linha 03'!$A$4:$A$1000,B234)</f>
        <v>20040029</v>
      </c>
      <c r="E234" t="str" cm="1">
        <f t="array" ref="E234">INDEX('Linha 03'!$B$4:$B$1000,B234)</f>
        <v>Amaciante Ito Branco Cx/06 X 2l</v>
      </c>
      <c r="F234" cm="1">
        <f t="array" ref="F234">INDEX('Linha 03'!$C$3:$ZZ$3,C234)</f>
        <v>20060009</v>
      </c>
      <c r="G234" t="str" cm="1">
        <f t="array" ref="G234">INDEX('Linha 03'!$C$2:$ZZ$2,C234)</f>
        <v>Limp Perf Aquafast Frescor Da Manha Cx/06 X 2l (Promoc)</v>
      </c>
      <c r="H234" s="5" cm="1">
        <f t="array" ref="H234">INDEX('Linha 03'!$C$4:$ZZ$1000,B234,C234)</f>
        <v>0</v>
      </c>
    </row>
    <row r="235" spans="1:8" x14ac:dyDescent="0.25">
      <c r="A235">
        <v>233</v>
      </c>
      <c r="B235">
        <f t="shared" si="6"/>
        <v>6</v>
      </c>
      <c r="C235">
        <f t="shared" si="7"/>
        <v>28</v>
      </c>
      <c r="D235" cm="1">
        <f t="array" ref="D235">INDEX('Linha 03'!$A$4:$A$1000,B235)</f>
        <v>20040029</v>
      </c>
      <c r="E235" t="str" cm="1">
        <f t="array" ref="E235">INDEX('Linha 03'!$B$4:$B$1000,B235)</f>
        <v>Amaciante Ito Branco Cx/06 X 2l</v>
      </c>
      <c r="F235" cm="1">
        <f t="array" ref="F235">INDEX('Linha 03'!$C$3:$ZZ$3,C235)</f>
        <v>20060017</v>
      </c>
      <c r="G235" t="str" cm="1">
        <f t="array" ref="G235">INDEX('Linha 03'!$C$2:$ZZ$2,C235)</f>
        <v>Limp Perf Aquafast Doce Romance Cx/06 X 2l (Promoc)</v>
      </c>
      <c r="H235" s="5" cm="1">
        <f t="array" ref="H235">INDEX('Linha 03'!$C$4:$ZZ$1000,B235,C235)</f>
        <v>0</v>
      </c>
    </row>
    <row r="236" spans="1:8" x14ac:dyDescent="0.25">
      <c r="A236">
        <v>234</v>
      </c>
      <c r="B236">
        <f t="shared" si="6"/>
        <v>6</v>
      </c>
      <c r="C236">
        <f t="shared" si="7"/>
        <v>29</v>
      </c>
      <c r="D236" cm="1">
        <f t="array" ref="D236">INDEX('Linha 03'!$A$4:$A$1000,B236)</f>
        <v>20040029</v>
      </c>
      <c r="E236" t="str" cm="1">
        <f t="array" ref="E236">INDEX('Linha 03'!$B$4:$B$1000,B236)</f>
        <v>Amaciante Ito Branco Cx/06 X 2l</v>
      </c>
      <c r="F236" cm="1">
        <f t="array" ref="F236">INDEX('Linha 03'!$C$3:$ZZ$3,C236)</f>
        <v>20060028</v>
      </c>
      <c r="G236" t="str" cm="1">
        <f t="array" ref="G236">INDEX('Linha 03'!$C$2:$ZZ$2,C236)</f>
        <v>Limp Perf Aquafast Essencia Natural Cx06 X 2l</v>
      </c>
      <c r="H236" s="5" cm="1">
        <f t="array" ref="H236">INDEX('Linha 03'!$C$4:$ZZ$1000,B236,C236)</f>
        <v>0</v>
      </c>
    </row>
    <row r="237" spans="1:8" x14ac:dyDescent="0.25">
      <c r="A237">
        <v>235</v>
      </c>
      <c r="B237">
        <f t="shared" si="6"/>
        <v>6</v>
      </c>
      <c r="C237">
        <f t="shared" si="7"/>
        <v>30</v>
      </c>
      <c r="D237" cm="1">
        <f t="array" ref="D237">INDEX('Linha 03'!$A$4:$A$1000,B237)</f>
        <v>20040029</v>
      </c>
      <c r="E237" t="str" cm="1">
        <f t="array" ref="E237">INDEX('Linha 03'!$B$4:$B$1000,B237)</f>
        <v>Amaciante Ito Branco Cx/06 X 2l</v>
      </c>
      <c r="F237" cm="1">
        <f t="array" ref="F237">INDEX('Linha 03'!$C$3:$ZZ$3,C237)</f>
        <v>20200003</v>
      </c>
      <c r="G237" t="str" cm="1">
        <f t="array" ref="G237">INDEX('Linha 03'!$C$2:$ZZ$2,C237)</f>
        <v>Lava Roup. Aquafast Baby Cx/12 X 1l</v>
      </c>
      <c r="H237" s="5" cm="1">
        <f t="array" ref="H237">INDEX('Linha 03'!$C$4:$ZZ$1000,B237,C237)</f>
        <v>0</v>
      </c>
    </row>
    <row r="238" spans="1:8" x14ac:dyDescent="0.25">
      <c r="A238">
        <v>236</v>
      </c>
      <c r="B238">
        <f t="shared" si="6"/>
        <v>6</v>
      </c>
      <c r="C238">
        <f t="shared" si="7"/>
        <v>31</v>
      </c>
      <c r="D238" cm="1">
        <f t="array" ref="D238">INDEX('Linha 03'!$A$4:$A$1000,B238)</f>
        <v>20040029</v>
      </c>
      <c r="E238" t="str" cm="1">
        <f t="array" ref="E238">INDEX('Linha 03'!$B$4:$B$1000,B238)</f>
        <v>Amaciante Ito Branco Cx/06 X 2l</v>
      </c>
      <c r="F238" cm="1">
        <f t="array" ref="F238">INDEX('Linha 03'!$C$3:$ZZ$3,C238)</f>
        <v>20200005</v>
      </c>
      <c r="G238" t="str" cm="1">
        <f t="array" ref="G238">INDEX('Linha 03'!$C$2:$ZZ$2,C238)</f>
        <v>Lava Roupas Aquafast Multi Acao Cx/06 X 2l</v>
      </c>
      <c r="H238" s="5" cm="1">
        <f t="array" ref="H238">INDEX('Linha 03'!$C$4:$ZZ$1000,B238,C238)</f>
        <v>0</v>
      </c>
    </row>
    <row r="239" spans="1:8" x14ac:dyDescent="0.25">
      <c r="A239">
        <v>237</v>
      </c>
      <c r="B239">
        <f t="shared" si="6"/>
        <v>6</v>
      </c>
      <c r="C239">
        <f t="shared" si="7"/>
        <v>32</v>
      </c>
      <c r="D239" cm="1">
        <f t="array" ref="D239">INDEX('Linha 03'!$A$4:$A$1000,B239)</f>
        <v>20040029</v>
      </c>
      <c r="E239" t="str" cm="1">
        <f t="array" ref="E239">INDEX('Linha 03'!$B$4:$B$1000,B239)</f>
        <v>Amaciante Ito Branco Cx/06 X 2l</v>
      </c>
      <c r="F239" cm="1">
        <f t="array" ref="F239">INDEX('Linha 03'!$C$3:$ZZ$3,C239)</f>
        <v>20200006</v>
      </c>
      <c r="G239" t="str" cm="1">
        <f t="array" ref="G239">INDEX('Linha 03'!$C$2:$ZZ$2,C239)</f>
        <v>Lava Roupas Aquafast Glicerina Cx/06 X 2l</v>
      </c>
      <c r="H239" s="5" cm="1">
        <f t="array" ref="H239">INDEX('Linha 03'!$C$4:$ZZ$1000,B239,C239)</f>
        <v>0</v>
      </c>
    </row>
    <row r="240" spans="1:8" x14ac:dyDescent="0.25">
      <c r="A240">
        <v>238</v>
      </c>
      <c r="B240">
        <f t="shared" si="6"/>
        <v>6</v>
      </c>
      <c r="C240">
        <f t="shared" si="7"/>
        <v>33</v>
      </c>
      <c r="D240" cm="1">
        <f t="array" ref="D240">INDEX('Linha 03'!$A$4:$A$1000,B240)</f>
        <v>20040029</v>
      </c>
      <c r="E240" t="str" cm="1">
        <f t="array" ref="E240">INDEX('Linha 03'!$B$4:$B$1000,B240)</f>
        <v>Amaciante Ito Branco Cx/06 X 2l</v>
      </c>
      <c r="F240" cm="1">
        <f t="array" ref="F240">INDEX('Linha 03'!$C$3:$ZZ$3,C240)</f>
        <v>20200015</v>
      </c>
      <c r="G240" t="str" cm="1">
        <f t="array" ref="G240">INDEX('Linha 03'!$C$2:$ZZ$2,C240)</f>
        <v>Lava Roup. Aquafast Multiacao Cx/12 X 1l</v>
      </c>
      <c r="H240" s="5" cm="1">
        <f t="array" ref="H240">INDEX('Linha 03'!$C$4:$ZZ$1000,B240,C240)</f>
        <v>0</v>
      </c>
    </row>
    <row r="241" spans="1:8" x14ac:dyDescent="0.25">
      <c r="A241">
        <v>239</v>
      </c>
      <c r="B241">
        <f t="shared" si="6"/>
        <v>6</v>
      </c>
      <c r="C241">
        <f t="shared" si="7"/>
        <v>34</v>
      </c>
      <c r="D241" cm="1">
        <f t="array" ref="D241">INDEX('Linha 03'!$A$4:$A$1000,B241)</f>
        <v>20040029</v>
      </c>
      <c r="E241" t="str" cm="1">
        <f t="array" ref="E241">INDEX('Linha 03'!$B$4:$B$1000,B241)</f>
        <v>Amaciante Ito Branco Cx/06 X 2l</v>
      </c>
      <c r="F241" cm="1">
        <f t="array" ref="F241">INDEX('Linha 03'!$C$3:$ZZ$3,C241)</f>
        <v>20200036</v>
      </c>
      <c r="G241" t="str" cm="1">
        <f t="array" ref="G241">INDEX('Linha 03'!$C$2:$ZZ$2,C241)</f>
        <v>Lava Roupas Aquafast Ternura Cx/06 X 2l</v>
      </c>
      <c r="H241" s="5" cm="1">
        <f t="array" ref="H241">INDEX('Linha 03'!$C$4:$ZZ$1000,B241,C241)</f>
        <v>0</v>
      </c>
    </row>
    <row r="242" spans="1:8" x14ac:dyDescent="0.25">
      <c r="A242">
        <v>240</v>
      </c>
      <c r="B242">
        <f t="shared" si="6"/>
        <v>6</v>
      </c>
      <c r="C242">
        <f t="shared" si="7"/>
        <v>35</v>
      </c>
      <c r="D242" cm="1">
        <f t="array" ref="D242">INDEX('Linha 03'!$A$4:$A$1000,B242)</f>
        <v>20040029</v>
      </c>
      <c r="E242" t="str" cm="1">
        <f t="array" ref="E242">INDEX('Linha 03'!$B$4:$B$1000,B242)</f>
        <v>Amaciante Ito Branco Cx/06 X 2l</v>
      </c>
      <c r="F242" cm="1">
        <f t="array" ref="F242">INDEX('Linha 03'!$C$3:$ZZ$3,C242)</f>
        <v>20200063</v>
      </c>
      <c r="G242" t="str" cm="1">
        <f t="array" ref="G242">INDEX('Linha 03'!$C$2:$ZZ$2,C242)</f>
        <v>Lava Roup. Aquafast Tradicional Cx/12 X 1l</v>
      </c>
      <c r="H242" s="5" cm="1">
        <f t="array" ref="H242">INDEX('Linha 03'!$C$4:$ZZ$1000,B242,C242)</f>
        <v>0</v>
      </c>
    </row>
    <row r="243" spans="1:8" x14ac:dyDescent="0.25">
      <c r="A243">
        <v>241</v>
      </c>
      <c r="B243">
        <f t="shared" si="6"/>
        <v>6</v>
      </c>
      <c r="C243">
        <f t="shared" si="7"/>
        <v>36</v>
      </c>
      <c r="D243" cm="1">
        <f t="array" ref="D243">INDEX('Linha 03'!$A$4:$A$1000,B243)</f>
        <v>20040029</v>
      </c>
      <c r="E243" t="str" cm="1">
        <f t="array" ref="E243">INDEX('Linha 03'!$B$4:$B$1000,B243)</f>
        <v>Amaciante Ito Branco Cx/06 X 2l</v>
      </c>
      <c r="F243" cm="1">
        <f t="array" ref="F243">INDEX('Linha 03'!$C$3:$ZZ$3,C243)</f>
        <v>20200064</v>
      </c>
      <c r="G243" t="str" cm="1">
        <f t="array" ref="G243">INDEX('Linha 03'!$C$2:$ZZ$2,C243)</f>
        <v>Lava Roup. Aquafast Flores B. E Baunilha Cx/12 X 1l</v>
      </c>
      <c r="H243" s="5" cm="1">
        <f t="array" ref="H243">INDEX('Linha 03'!$C$4:$ZZ$1000,B243,C243)</f>
        <v>0</v>
      </c>
    </row>
    <row r="244" spans="1:8" x14ac:dyDescent="0.25">
      <c r="A244">
        <v>242</v>
      </c>
      <c r="B244">
        <f t="shared" si="6"/>
        <v>6</v>
      </c>
      <c r="C244">
        <f t="shared" si="7"/>
        <v>37</v>
      </c>
      <c r="D244" cm="1">
        <f t="array" ref="D244">INDEX('Linha 03'!$A$4:$A$1000,B244)</f>
        <v>20040029</v>
      </c>
      <c r="E244" t="str" cm="1">
        <f t="array" ref="E244">INDEX('Linha 03'!$B$4:$B$1000,B244)</f>
        <v>Amaciante Ito Branco Cx/06 X 2l</v>
      </c>
      <c r="F244" cm="1">
        <f t="array" ref="F244">INDEX('Linha 03'!$C$3:$ZZ$3,C244)</f>
        <v>20200065</v>
      </c>
      <c r="G244" t="str" cm="1">
        <f t="array" ref="G244">INDEX('Linha 03'!$C$2:$ZZ$2,C244)</f>
        <v>Lava Roupas Aquafast Flores B. E Baunilha Cx/06 X 2l</v>
      </c>
      <c r="H244" s="5" cm="1">
        <f t="array" ref="H244">INDEX('Linha 03'!$C$4:$ZZ$1000,B244,C244)</f>
        <v>0</v>
      </c>
    </row>
    <row r="245" spans="1:8" x14ac:dyDescent="0.25">
      <c r="A245">
        <v>243</v>
      </c>
      <c r="B245">
        <f t="shared" si="6"/>
        <v>6</v>
      </c>
      <c r="C245">
        <f t="shared" si="7"/>
        <v>38</v>
      </c>
      <c r="D245" cm="1">
        <f t="array" ref="D245">INDEX('Linha 03'!$A$4:$A$1000,B245)</f>
        <v>20040029</v>
      </c>
      <c r="E245" t="str" cm="1">
        <f t="array" ref="E245">INDEX('Linha 03'!$B$4:$B$1000,B245)</f>
        <v>Amaciante Ito Branco Cx/06 X 2l</v>
      </c>
      <c r="F245" cm="1">
        <f t="array" ref="F245">INDEX('Linha 03'!$C$3:$ZZ$3,C245)</f>
        <v>20200072</v>
      </c>
      <c r="G245" t="str" cm="1">
        <f t="array" ref="G245">INDEX('Linha 03'!$C$2:$ZZ$2,C245)</f>
        <v>Lava Roupas Aquafast Lavagem Rapida Total Clean Cx/12 X 1l</v>
      </c>
      <c r="H245" s="5" cm="1">
        <f t="array" ref="H245">INDEX('Linha 03'!$C$4:$ZZ$1000,B245,C245)</f>
        <v>0</v>
      </c>
    </row>
    <row r="246" spans="1:8" x14ac:dyDescent="0.25">
      <c r="A246">
        <v>244</v>
      </c>
      <c r="B246">
        <f t="shared" si="6"/>
        <v>6</v>
      </c>
      <c r="C246">
        <f t="shared" si="7"/>
        <v>39</v>
      </c>
      <c r="D246" cm="1">
        <f t="array" ref="D246">INDEX('Linha 03'!$A$4:$A$1000,B246)</f>
        <v>20040029</v>
      </c>
      <c r="E246" t="str" cm="1">
        <f t="array" ref="E246">INDEX('Linha 03'!$B$4:$B$1000,B246)</f>
        <v>Amaciante Ito Branco Cx/06 X 2l</v>
      </c>
      <c r="F246" cm="1">
        <f t="array" ref="F246">INDEX('Linha 03'!$C$3:$ZZ$3,C246)</f>
        <v>20200074</v>
      </c>
      <c r="G246" t="str" cm="1">
        <f t="array" ref="G246">INDEX('Linha 03'!$C$2:$ZZ$2,C246)</f>
        <v>Lava Roupas Aquafast Lavagem Rapida Fresh Clean Cx/12 X 1l</v>
      </c>
      <c r="H246" s="5" cm="1">
        <f t="array" ref="H246">INDEX('Linha 03'!$C$4:$ZZ$1000,B246,C246)</f>
        <v>0</v>
      </c>
    </row>
    <row r="247" spans="1:8" x14ac:dyDescent="0.25">
      <c r="A247">
        <v>245</v>
      </c>
      <c r="B247">
        <f t="shared" si="6"/>
        <v>6</v>
      </c>
      <c r="C247">
        <f t="shared" si="7"/>
        <v>40</v>
      </c>
      <c r="D247" cm="1">
        <f t="array" ref="D247">INDEX('Linha 03'!$A$4:$A$1000,B247)</f>
        <v>20040029</v>
      </c>
      <c r="E247" t="str" cm="1">
        <f t="array" ref="E247">INDEX('Linha 03'!$B$4:$B$1000,B247)</f>
        <v>Amaciante Ito Branco Cx/06 X 2l</v>
      </c>
      <c r="F247" cm="1">
        <f t="array" ref="F247">INDEX('Linha 03'!$C$3:$ZZ$3,C247)</f>
        <v>20250005</v>
      </c>
      <c r="G247" t="str" cm="1">
        <f t="array" ref="G247">INDEX('Linha 03'!$C$2:$ZZ$2,C247)</f>
        <v>Neutralizador De Odores Aquafast Floral Cx/06 X 2l</v>
      </c>
      <c r="H247" s="5" cm="1">
        <f t="array" ref="H247">INDEX('Linha 03'!$C$4:$ZZ$1000,B247,C247)</f>
        <v>0</v>
      </c>
    </row>
    <row r="248" spans="1:8" x14ac:dyDescent="0.25">
      <c r="A248">
        <v>246</v>
      </c>
      <c r="B248">
        <f t="shared" si="6"/>
        <v>6</v>
      </c>
      <c r="C248">
        <f t="shared" si="7"/>
        <v>41</v>
      </c>
      <c r="D248" cm="1">
        <f t="array" ref="D248">INDEX('Linha 03'!$A$4:$A$1000,B248)</f>
        <v>20040029</v>
      </c>
      <c r="E248" t="str" cm="1">
        <f t="array" ref="E248">INDEX('Linha 03'!$B$4:$B$1000,B248)</f>
        <v>Amaciante Ito Branco Cx/06 X 2l</v>
      </c>
      <c r="F248" cm="1">
        <f t="array" ref="F248">INDEX('Linha 03'!$C$3:$ZZ$3,C248)</f>
        <v>20250007</v>
      </c>
      <c r="G248" t="str" cm="1">
        <f t="array" ref="G248">INDEX('Linha 03'!$C$2:$ZZ$2,C248)</f>
        <v>Neutralizador De Odores Aquafast Marine Cx/06 2l</v>
      </c>
      <c r="H248" s="5" cm="1">
        <f t="array" ref="H248">INDEX('Linha 03'!$C$4:$ZZ$1000,B248,C248)</f>
        <v>0</v>
      </c>
    </row>
    <row r="249" spans="1:8" x14ac:dyDescent="0.25">
      <c r="A249">
        <v>247</v>
      </c>
      <c r="B249">
        <f t="shared" si="6"/>
        <v>7</v>
      </c>
      <c r="C249">
        <f t="shared" si="7"/>
        <v>1</v>
      </c>
      <c r="D249" cm="1">
        <f t="array" ref="D249">INDEX('Linha 03'!$A$4:$A$1000,B249)</f>
        <v>20040055</v>
      </c>
      <c r="E249" t="str" cm="1">
        <f t="array" ref="E249">INDEX('Linha 03'!$B$4:$B$1000,B249)</f>
        <v>Amaciante Myata Azul Cx/06 X 2l</v>
      </c>
      <c r="F249" cm="1">
        <f t="array" ref="F249">INDEX('Linha 03'!$C$3:$ZZ$3,C249)</f>
        <v>20040006</v>
      </c>
      <c r="G249" t="str" cm="1">
        <f t="array" ref="G249">INDEX('Linha 03'!$C$2:$ZZ$2,C249)</f>
        <v>Amaciante Aquafast Azul Fresc. Manha Cx/06 X 2l</v>
      </c>
      <c r="H249" s="5" cm="1">
        <f t="array" ref="H249">INDEX('Linha 03'!$C$4:$ZZ$1000,B249,C249)</f>
        <v>0</v>
      </c>
    </row>
    <row r="250" spans="1:8" x14ac:dyDescent="0.25">
      <c r="A250">
        <v>248</v>
      </c>
      <c r="B250">
        <f t="shared" si="6"/>
        <v>7</v>
      </c>
      <c r="C250">
        <f t="shared" si="7"/>
        <v>2</v>
      </c>
      <c r="D250" cm="1">
        <f t="array" ref="D250">INDEX('Linha 03'!$A$4:$A$1000,B250)</f>
        <v>20040055</v>
      </c>
      <c r="E250" t="str" cm="1">
        <f t="array" ref="E250">INDEX('Linha 03'!$B$4:$B$1000,B250)</f>
        <v>Amaciante Myata Azul Cx/06 X 2l</v>
      </c>
      <c r="F250" cm="1">
        <f t="array" ref="F250">INDEX('Linha 03'!$C$3:$ZZ$3,C250)</f>
        <v>20040008</v>
      </c>
      <c r="G250" t="str" cm="1">
        <f t="array" ref="G250">INDEX('Linha 03'!$C$2:$ZZ$2,C250)</f>
        <v>Amaciante Aquafast Rosa Jard. Florid Cx/06 X 2l</v>
      </c>
      <c r="H250" s="5" cm="1">
        <f t="array" ref="H250">INDEX('Linha 03'!$C$4:$ZZ$1000,B250,C250)</f>
        <v>0</v>
      </c>
    </row>
    <row r="251" spans="1:8" x14ac:dyDescent="0.25">
      <c r="A251">
        <v>249</v>
      </c>
      <c r="B251">
        <f t="shared" si="6"/>
        <v>7</v>
      </c>
      <c r="C251">
        <f t="shared" si="7"/>
        <v>3</v>
      </c>
      <c r="D251" cm="1">
        <f t="array" ref="D251">INDEX('Linha 03'!$A$4:$A$1000,B251)</f>
        <v>20040055</v>
      </c>
      <c r="E251" t="str" cm="1">
        <f t="array" ref="E251">INDEX('Linha 03'!$B$4:$B$1000,B251)</f>
        <v>Amaciante Myata Azul Cx/06 X 2l</v>
      </c>
      <c r="F251" cm="1">
        <f t="array" ref="F251">INDEX('Linha 03'!$C$3:$ZZ$3,C251)</f>
        <v>20040009</v>
      </c>
      <c r="G251" t="str" cm="1">
        <f t="array" ref="G251">INDEX('Linha 03'!$C$2:$ZZ$2,C251)</f>
        <v>Amaciante Aquafast Branco Pura Caric. Cx/06 X 2l</v>
      </c>
      <c r="H251" s="5" cm="1">
        <f t="array" ref="H251">INDEX('Linha 03'!$C$4:$ZZ$1000,B251,C251)</f>
        <v>0</v>
      </c>
    </row>
    <row r="252" spans="1:8" x14ac:dyDescent="0.25">
      <c r="A252">
        <v>250</v>
      </c>
      <c r="B252">
        <f t="shared" si="6"/>
        <v>7</v>
      </c>
      <c r="C252">
        <f t="shared" si="7"/>
        <v>4</v>
      </c>
      <c r="D252" cm="1">
        <f t="array" ref="D252">INDEX('Linha 03'!$A$4:$A$1000,B252)</f>
        <v>20040055</v>
      </c>
      <c r="E252" t="str" cm="1">
        <f t="array" ref="E252">INDEX('Linha 03'!$B$4:$B$1000,B252)</f>
        <v>Amaciante Myata Azul Cx/06 X 2l</v>
      </c>
      <c r="F252" cm="1">
        <f t="array" ref="F252">INDEX('Linha 03'!$C$3:$ZZ$3,C252)</f>
        <v>20040026</v>
      </c>
      <c r="G252" t="str" cm="1">
        <f t="array" ref="G252">INDEX('Linha 03'!$C$2:$ZZ$2,C252)</f>
        <v>Amaciante Ito Azul Cx/06 X 2l</v>
      </c>
      <c r="H252" s="5" cm="1">
        <f t="array" ref="H252">INDEX('Linha 03'!$C$4:$ZZ$1000,B252,C252)</f>
        <v>0</v>
      </c>
    </row>
    <row r="253" spans="1:8" x14ac:dyDescent="0.25">
      <c r="A253">
        <v>251</v>
      </c>
      <c r="B253">
        <f t="shared" si="6"/>
        <v>7</v>
      </c>
      <c r="C253">
        <f t="shared" si="7"/>
        <v>5</v>
      </c>
      <c r="D253" cm="1">
        <f t="array" ref="D253">INDEX('Linha 03'!$A$4:$A$1000,B253)</f>
        <v>20040055</v>
      </c>
      <c r="E253" t="str" cm="1">
        <f t="array" ref="E253">INDEX('Linha 03'!$B$4:$B$1000,B253)</f>
        <v>Amaciante Myata Azul Cx/06 X 2l</v>
      </c>
      <c r="F253" cm="1">
        <f t="array" ref="F253">INDEX('Linha 03'!$C$3:$ZZ$3,C253)</f>
        <v>20040028</v>
      </c>
      <c r="G253" t="str" cm="1">
        <f t="array" ref="G253">INDEX('Linha 03'!$C$2:$ZZ$2,C253)</f>
        <v>Amaciante Ito Rosa Cx/06 X 2l</v>
      </c>
      <c r="H253" s="5" cm="1">
        <f t="array" ref="H253">INDEX('Linha 03'!$C$4:$ZZ$1000,B253,C253)</f>
        <v>0</v>
      </c>
    </row>
    <row r="254" spans="1:8" x14ac:dyDescent="0.25">
      <c r="A254">
        <v>252</v>
      </c>
      <c r="B254">
        <f t="shared" si="6"/>
        <v>7</v>
      </c>
      <c r="C254">
        <f t="shared" si="7"/>
        <v>6</v>
      </c>
      <c r="D254" cm="1">
        <f t="array" ref="D254">INDEX('Linha 03'!$A$4:$A$1000,B254)</f>
        <v>20040055</v>
      </c>
      <c r="E254" t="str" cm="1">
        <f t="array" ref="E254">INDEX('Linha 03'!$B$4:$B$1000,B254)</f>
        <v>Amaciante Myata Azul Cx/06 X 2l</v>
      </c>
      <c r="F254" cm="1">
        <f t="array" ref="F254">INDEX('Linha 03'!$C$3:$ZZ$3,C254)</f>
        <v>20040029</v>
      </c>
      <c r="G254" t="str" cm="1">
        <f t="array" ref="G254">INDEX('Linha 03'!$C$2:$ZZ$2,C254)</f>
        <v>Amaciante Ito Branco Cx/06 X 2l</v>
      </c>
      <c r="H254" s="5" cm="1">
        <f t="array" ref="H254">INDEX('Linha 03'!$C$4:$ZZ$1000,B254,C254)</f>
        <v>0</v>
      </c>
    </row>
    <row r="255" spans="1:8" x14ac:dyDescent="0.25">
      <c r="A255">
        <v>253</v>
      </c>
      <c r="B255">
        <f t="shared" si="6"/>
        <v>7</v>
      </c>
      <c r="C255">
        <f t="shared" si="7"/>
        <v>7</v>
      </c>
      <c r="D255" cm="1">
        <f t="array" ref="D255">INDEX('Linha 03'!$A$4:$A$1000,B255)</f>
        <v>20040055</v>
      </c>
      <c r="E255" t="str" cm="1">
        <f t="array" ref="E255">INDEX('Linha 03'!$B$4:$B$1000,B255)</f>
        <v>Amaciante Myata Azul Cx/06 X 2l</v>
      </c>
      <c r="F255" cm="1">
        <f t="array" ref="F255">INDEX('Linha 03'!$C$3:$ZZ$3,C255)</f>
        <v>20040055</v>
      </c>
      <c r="G255" t="str" cm="1">
        <f t="array" ref="G255">INDEX('Linha 03'!$C$2:$ZZ$2,C255)</f>
        <v>Amaciante Myata Azul Cx/06 X 2l</v>
      </c>
      <c r="H255" s="5" cm="1">
        <f t="array" ref="H255">INDEX('Linha 03'!$C$4:$ZZ$1000,B255,C255)</f>
        <v>0</v>
      </c>
    </row>
    <row r="256" spans="1:8" x14ac:dyDescent="0.25">
      <c r="A256">
        <v>254</v>
      </c>
      <c r="B256">
        <f t="shared" si="6"/>
        <v>7</v>
      </c>
      <c r="C256">
        <f t="shared" si="7"/>
        <v>8</v>
      </c>
      <c r="D256" cm="1">
        <f t="array" ref="D256">INDEX('Linha 03'!$A$4:$A$1000,B256)</f>
        <v>20040055</v>
      </c>
      <c r="E256" t="str" cm="1">
        <f t="array" ref="E256">INDEX('Linha 03'!$B$4:$B$1000,B256)</f>
        <v>Amaciante Myata Azul Cx/06 X 2l</v>
      </c>
      <c r="F256" cm="1">
        <f t="array" ref="F256">INDEX('Linha 03'!$C$3:$ZZ$3,C256)</f>
        <v>20040057</v>
      </c>
      <c r="G256" t="str" cm="1">
        <f t="array" ref="G256">INDEX('Linha 03'!$C$2:$ZZ$2,C256)</f>
        <v>Amaciante Myata Rosa Cx/06 X 2l</v>
      </c>
      <c r="H256" s="5" cm="1">
        <f t="array" ref="H256">INDEX('Linha 03'!$C$4:$ZZ$1000,B256,C256)</f>
        <v>0</v>
      </c>
    </row>
    <row r="257" spans="1:8" x14ac:dyDescent="0.25">
      <c r="A257">
        <v>255</v>
      </c>
      <c r="B257">
        <f t="shared" si="6"/>
        <v>7</v>
      </c>
      <c r="C257">
        <f t="shared" si="7"/>
        <v>9</v>
      </c>
      <c r="D257" cm="1">
        <f t="array" ref="D257">INDEX('Linha 03'!$A$4:$A$1000,B257)</f>
        <v>20040055</v>
      </c>
      <c r="E257" t="str" cm="1">
        <f t="array" ref="E257">INDEX('Linha 03'!$B$4:$B$1000,B257)</f>
        <v>Amaciante Myata Azul Cx/06 X 2l</v>
      </c>
      <c r="F257" cm="1">
        <f t="array" ref="F257">INDEX('Linha 03'!$C$3:$ZZ$3,C257)</f>
        <v>20040084</v>
      </c>
      <c r="G257" t="str" cm="1">
        <f t="array" ref="G257">INDEX('Linha 03'!$C$2:$ZZ$2,C257)</f>
        <v>Amaciante Aquafast Vermelho Seducao Cx C/06 X 2l</v>
      </c>
      <c r="H257" s="5" cm="1">
        <f t="array" ref="H257">INDEX('Linha 03'!$C$4:$ZZ$1000,B257,C257)</f>
        <v>0</v>
      </c>
    </row>
    <row r="258" spans="1:8" x14ac:dyDescent="0.25">
      <c r="A258">
        <v>256</v>
      </c>
      <c r="B258">
        <f t="shared" si="6"/>
        <v>7</v>
      </c>
      <c r="C258">
        <f t="shared" si="7"/>
        <v>10</v>
      </c>
      <c r="D258" cm="1">
        <f t="array" ref="D258">INDEX('Linha 03'!$A$4:$A$1000,B258)</f>
        <v>20040055</v>
      </c>
      <c r="E258" t="str" cm="1">
        <f t="array" ref="E258">INDEX('Linha 03'!$B$4:$B$1000,B258)</f>
        <v>Amaciante Myata Azul Cx/06 X 2l</v>
      </c>
      <c r="F258" cm="1">
        <f t="array" ref="F258">INDEX('Linha 03'!$C$3:$ZZ$3,C258)</f>
        <v>20040089</v>
      </c>
      <c r="G258" t="str" cm="1">
        <f t="array" ref="G258">INDEX('Linha 03'!$C$2:$ZZ$2,C258)</f>
        <v>Amaciante Aquafast Roxo Magia Cx/06 X 2l</v>
      </c>
      <c r="H258" s="5" cm="1">
        <f t="array" ref="H258">INDEX('Linha 03'!$C$4:$ZZ$1000,B258,C258)</f>
        <v>0</v>
      </c>
    </row>
    <row r="259" spans="1:8" x14ac:dyDescent="0.25">
      <c r="A259">
        <v>257</v>
      </c>
      <c r="B259">
        <f t="shared" si="6"/>
        <v>7</v>
      </c>
      <c r="C259">
        <f t="shared" si="7"/>
        <v>11</v>
      </c>
      <c r="D259" cm="1">
        <f t="array" ref="D259">INDEX('Linha 03'!$A$4:$A$1000,B259)</f>
        <v>20040055</v>
      </c>
      <c r="E259" t="str" cm="1">
        <f t="array" ref="E259">INDEX('Linha 03'!$B$4:$B$1000,B259)</f>
        <v>Amaciante Myata Azul Cx/06 X 2l</v>
      </c>
      <c r="F259" cm="1">
        <f t="array" ref="F259">INDEX('Linha 03'!$C$3:$ZZ$3,C259)</f>
        <v>20040094</v>
      </c>
      <c r="G259" t="str" cm="1">
        <f t="array" ref="G259">INDEX('Linha 03'!$C$2:$ZZ$2,C259)</f>
        <v>Amaciante Aquafast Energia Cx/06 X 2l</v>
      </c>
      <c r="H259" s="5" cm="1">
        <f t="array" ref="H259">INDEX('Linha 03'!$C$4:$ZZ$1000,B259,C259)</f>
        <v>0</v>
      </c>
    </row>
    <row r="260" spans="1:8" x14ac:dyDescent="0.25">
      <c r="A260">
        <v>258</v>
      </c>
      <c r="B260">
        <f t="shared" ref="B260:B323" si="8">INT((A260-1)/$B$1)+1</f>
        <v>7</v>
      </c>
      <c r="C260">
        <f t="shared" ref="C260:C323" si="9">MOD(A260-1,$B$1)+1</f>
        <v>12</v>
      </c>
      <c r="D260" cm="1">
        <f t="array" ref="D260">INDEX('Linha 03'!$A$4:$A$1000,B260)</f>
        <v>20040055</v>
      </c>
      <c r="E260" t="str" cm="1">
        <f t="array" ref="E260">INDEX('Linha 03'!$B$4:$B$1000,B260)</f>
        <v>Amaciante Myata Azul Cx/06 X 2l</v>
      </c>
      <c r="F260" cm="1">
        <f t="array" ref="F260">INDEX('Linha 03'!$C$3:$ZZ$3,C260)</f>
        <v>20050010</v>
      </c>
      <c r="G260" t="str" cm="1">
        <f t="array" ref="G260">INDEX('Linha 03'!$C$2:$ZZ$2,C260)</f>
        <v>Desinfetante Aquafast Campos Lavanda Cx/06 X 2l</v>
      </c>
      <c r="H260" s="5" cm="1">
        <f t="array" ref="H260">INDEX('Linha 03'!$C$4:$ZZ$1000,B260,C260)</f>
        <v>0</v>
      </c>
    </row>
    <row r="261" spans="1:8" x14ac:dyDescent="0.25">
      <c r="A261">
        <v>259</v>
      </c>
      <c r="B261">
        <f t="shared" si="8"/>
        <v>7</v>
      </c>
      <c r="C261">
        <f t="shared" si="9"/>
        <v>13</v>
      </c>
      <c r="D261" cm="1">
        <f t="array" ref="D261">INDEX('Linha 03'!$A$4:$A$1000,B261)</f>
        <v>20040055</v>
      </c>
      <c r="E261" t="str" cm="1">
        <f t="array" ref="E261">INDEX('Linha 03'!$B$4:$B$1000,B261)</f>
        <v>Amaciante Myata Azul Cx/06 X 2l</v>
      </c>
      <c r="F261" cm="1">
        <f t="array" ref="F261">INDEX('Linha 03'!$C$3:$ZZ$3,C261)</f>
        <v>20050011</v>
      </c>
      <c r="G261" t="str" cm="1">
        <f t="array" ref="G261">INDEX('Linha 03'!$C$2:$ZZ$2,C261)</f>
        <v>Desinfetante Aquafast Jardim Florido Cx/06 X 2l</v>
      </c>
      <c r="H261" s="5" cm="1">
        <f t="array" ref="H261">INDEX('Linha 03'!$C$4:$ZZ$1000,B261,C261)</f>
        <v>0</v>
      </c>
    </row>
    <row r="262" spans="1:8" x14ac:dyDescent="0.25">
      <c r="A262">
        <v>260</v>
      </c>
      <c r="B262">
        <f t="shared" si="8"/>
        <v>7</v>
      </c>
      <c r="C262">
        <f t="shared" si="9"/>
        <v>14</v>
      </c>
      <c r="D262" cm="1">
        <f t="array" ref="D262">INDEX('Linha 03'!$A$4:$A$1000,B262)</f>
        <v>20040055</v>
      </c>
      <c r="E262" t="str" cm="1">
        <f t="array" ref="E262">INDEX('Linha 03'!$B$4:$B$1000,B262)</f>
        <v>Amaciante Myata Azul Cx/06 X 2l</v>
      </c>
      <c r="F262" cm="1">
        <f t="array" ref="F262">INDEX('Linha 03'!$C$3:$ZZ$3,C262)</f>
        <v>20050016</v>
      </c>
      <c r="G262" t="str" cm="1">
        <f t="array" ref="G262">INDEX('Linha 03'!$C$2:$ZZ$2,C262)</f>
        <v>Desinfetante Aquafast Marine Cx/06 X 2l</v>
      </c>
      <c r="H262" s="5" cm="1">
        <f t="array" ref="H262">INDEX('Linha 03'!$C$4:$ZZ$1000,B262,C262)</f>
        <v>0</v>
      </c>
    </row>
    <row r="263" spans="1:8" x14ac:dyDescent="0.25">
      <c r="A263">
        <v>261</v>
      </c>
      <c r="B263">
        <f t="shared" si="8"/>
        <v>7</v>
      </c>
      <c r="C263">
        <f t="shared" si="9"/>
        <v>15</v>
      </c>
      <c r="D263" cm="1">
        <f t="array" ref="D263">INDEX('Linha 03'!$A$4:$A$1000,B263)</f>
        <v>20040055</v>
      </c>
      <c r="E263" t="str" cm="1">
        <f t="array" ref="E263">INDEX('Linha 03'!$B$4:$B$1000,B263)</f>
        <v>Amaciante Myata Azul Cx/06 X 2l</v>
      </c>
      <c r="F263" cm="1">
        <f t="array" ref="F263">INDEX('Linha 03'!$C$3:$ZZ$3,C263)</f>
        <v>20050031</v>
      </c>
      <c r="G263" t="str" cm="1">
        <f t="array" ref="G263">INDEX('Linha 03'!$C$2:$ZZ$2,C263)</f>
        <v>Desinfetante Ito Lavanda Cx/06 X 2l</v>
      </c>
      <c r="H263" s="5" cm="1">
        <f t="array" ref="H263">INDEX('Linha 03'!$C$4:$ZZ$1000,B263,C263)</f>
        <v>0</v>
      </c>
    </row>
    <row r="264" spans="1:8" x14ac:dyDescent="0.25">
      <c r="A264">
        <v>262</v>
      </c>
      <c r="B264">
        <f t="shared" si="8"/>
        <v>7</v>
      </c>
      <c r="C264">
        <f t="shared" si="9"/>
        <v>16</v>
      </c>
      <c r="D264" cm="1">
        <f t="array" ref="D264">INDEX('Linha 03'!$A$4:$A$1000,B264)</f>
        <v>20040055</v>
      </c>
      <c r="E264" t="str" cm="1">
        <f t="array" ref="E264">INDEX('Linha 03'!$B$4:$B$1000,B264)</f>
        <v>Amaciante Myata Azul Cx/06 X 2l</v>
      </c>
      <c r="F264" cm="1">
        <f t="array" ref="F264">INDEX('Linha 03'!$C$3:$ZZ$3,C264)</f>
        <v>20050032</v>
      </c>
      <c r="G264" t="str" cm="1">
        <f t="array" ref="G264">INDEX('Linha 03'!$C$2:$ZZ$2,C264)</f>
        <v>Desinfetante Ito Floral Cx/06 X 2l</v>
      </c>
      <c r="H264" s="5" cm="1">
        <f t="array" ref="H264">INDEX('Linha 03'!$C$4:$ZZ$1000,B264,C264)</f>
        <v>0</v>
      </c>
    </row>
    <row r="265" spans="1:8" x14ac:dyDescent="0.25">
      <c r="A265">
        <v>263</v>
      </c>
      <c r="B265">
        <f t="shared" si="8"/>
        <v>7</v>
      </c>
      <c r="C265">
        <f t="shared" si="9"/>
        <v>17</v>
      </c>
      <c r="D265" cm="1">
        <f t="array" ref="D265">INDEX('Linha 03'!$A$4:$A$1000,B265)</f>
        <v>20040055</v>
      </c>
      <c r="E265" t="str" cm="1">
        <f t="array" ref="E265">INDEX('Linha 03'!$B$4:$B$1000,B265)</f>
        <v>Amaciante Myata Azul Cx/06 X 2l</v>
      </c>
      <c r="F265" cm="1">
        <f t="array" ref="F265">INDEX('Linha 03'!$C$3:$ZZ$3,C265)</f>
        <v>20050034</v>
      </c>
      <c r="G265" t="str" cm="1">
        <f t="array" ref="G265">INDEX('Linha 03'!$C$2:$ZZ$2,C265)</f>
        <v>Desinfetante Ito Eucalipto Cx/06 X 2l</v>
      </c>
      <c r="H265" s="5" cm="1">
        <f t="array" ref="H265">INDEX('Linha 03'!$C$4:$ZZ$1000,B265,C265)</f>
        <v>0</v>
      </c>
    </row>
    <row r="266" spans="1:8" x14ac:dyDescent="0.25">
      <c r="A266">
        <v>264</v>
      </c>
      <c r="B266">
        <f t="shared" si="8"/>
        <v>7</v>
      </c>
      <c r="C266">
        <f t="shared" si="9"/>
        <v>18</v>
      </c>
      <c r="D266" cm="1">
        <f t="array" ref="D266">INDEX('Linha 03'!$A$4:$A$1000,B266)</f>
        <v>20040055</v>
      </c>
      <c r="E266" t="str" cm="1">
        <f t="array" ref="E266">INDEX('Linha 03'!$B$4:$B$1000,B266)</f>
        <v>Amaciante Myata Azul Cx/06 X 2l</v>
      </c>
      <c r="F266" cm="1">
        <f t="array" ref="F266">INDEX('Linha 03'!$C$3:$ZZ$3,C266)</f>
        <v>20050077</v>
      </c>
      <c r="G266" t="str" cm="1">
        <f t="array" ref="G266">INDEX('Linha 03'!$C$2:$ZZ$2,C266)</f>
        <v>Desinfetante Myata Lavanda Cx/06 X 2l</v>
      </c>
      <c r="H266" s="5" cm="1">
        <f t="array" ref="H266">INDEX('Linha 03'!$C$4:$ZZ$1000,B266,C266)</f>
        <v>0</v>
      </c>
    </row>
    <row r="267" spans="1:8" x14ac:dyDescent="0.25">
      <c r="A267">
        <v>265</v>
      </c>
      <c r="B267">
        <f t="shared" si="8"/>
        <v>7</v>
      </c>
      <c r="C267">
        <f t="shared" si="9"/>
        <v>19</v>
      </c>
      <c r="D267" cm="1">
        <f t="array" ref="D267">INDEX('Linha 03'!$A$4:$A$1000,B267)</f>
        <v>20040055</v>
      </c>
      <c r="E267" t="str" cm="1">
        <f t="array" ref="E267">INDEX('Linha 03'!$B$4:$B$1000,B267)</f>
        <v>Amaciante Myata Azul Cx/06 X 2l</v>
      </c>
      <c r="F267" cm="1">
        <f t="array" ref="F267">INDEX('Linha 03'!$C$3:$ZZ$3,C267)</f>
        <v>20050078</v>
      </c>
      <c r="G267" t="str" cm="1">
        <f t="array" ref="G267">INDEX('Linha 03'!$C$2:$ZZ$2,C267)</f>
        <v>Desinfetante Myata Floral Cx/06 X 2l</v>
      </c>
      <c r="H267" s="5" cm="1">
        <f t="array" ref="H267">INDEX('Linha 03'!$C$4:$ZZ$1000,B267,C267)</f>
        <v>0</v>
      </c>
    </row>
    <row r="268" spans="1:8" x14ac:dyDescent="0.25">
      <c r="A268">
        <v>266</v>
      </c>
      <c r="B268">
        <f t="shared" si="8"/>
        <v>7</v>
      </c>
      <c r="C268">
        <f t="shared" si="9"/>
        <v>20</v>
      </c>
      <c r="D268" cm="1">
        <f t="array" ref="D268">INDEX('Linha 03'!$A$4:$A$1000,B268)</f>
        <v>20040055</v>
      </c>
      <c r="E268" t="str" cm="1">
        <f t="array" ref="E268">INDEX('Linha 03'!$B$4:$B$1000,B268)</f>
        <v>Amaciante Myata Azul Cx/06 X 2l</v>
      </c>
      <c r="F268" cm="1">
        <f t="array" ref="F268">INDEX('Linha 03'!$C$3:$ZZ$3,C268)</f>
        <v>20050115</v>
      </c>
      <c r="G268" t="str" cm="1">
        <f t="array" ref="G268">INDEX('Linha 03'!$C$2:$ZZ$2,C268)</f>
        <v>Desinfetante Aquafast Paixao Cx/06 X 2l</v>
      </c>
      <c r="H268" s="5" cm="1">
        <f t="array" ref="H268">INDEX('Linha 03'!$C$4:$ZZ$1000,B268,C268)</f>
        <v>0</v>
      </c>
    </row>
    <row r="269" spans="1:8" x14ac:dyDescent="0.25">
      <c r="A269">
        <v>267</v>
      </c>
      <c r="B269">
        <f t="shared" si="8"/>
        <v>7</v>
      </c>
      <c r="C269">
        <f t="shared" si="9"/>
        <v>21</v>
      </c>
      <c r="D269" cm="1">
        <f t="array" ref="D269">INDEX('Linha 03'!$A$4:$A$1000,B269)</f>
        <v>20040055</v>
      </c>
      <c r="E269" t="str" cm="1">
        <f t="array" ref="E269">INDEX('Linha 03'!$B$4:$B$1000,B269)</f>
        <v>Amaciante Myata Azul Cx/06 X 2l</v>
      </c>
      <c r="F269" cm="1">
        <f t="array" ref="F269">INDEX('Linha 03'!$C$3:$ZZ$3,C269)</f>
        <v>20050117</v>
      </c>
      <c r="G269" t="str" cm="1">
        <f t="array" ref="G269">INDEX('Linha 03'!$C$2:$ZZ$2,C269)</f>
        <v>Desinfetante Aquafast Harmonia Natural Cx/06 X 2l</v>
      </c>
      <c r="H269" s="5" cm="1">
        <f t="array" ref="H269">INDEX('Linha 03'!$C$4:$ZZ$1000,B269,C269)</f>
        <v>0</v>
      </c>
    </row>
    <row r="270" spans="1:8" x14ac:dyDescent="0.25">
      <c r="A270">
        <v>268</v>
      </c>
      <c r="B270">
        <f t="shared" si="8"/>
        <v>7</v>
      </c>
      <c r="C270">
        <f t="shared" si="9"/>
        <v>22</v>
      </c>
      <c r="D270" cm="1">
        <f t="array" ref="D270">INDEX('Linha 03'!$A$4:$A$1000,B270)</f>
        <v>20040055</v>
      </c>
      <c r="E270" t="str" cm="1">
        <f t="array" ref="E270">INDEX('Linha 03'!$B$4:$B$1000,B270)</f>
        <v>Amaciante Myata Azul Cx/06 X 2l</v>
      </c>
      <c r="F270" cm="1">
        <f t="array" ref="F270">INDEX('Linha 03'!$C$3:$ZZ$3,C270)</f>
        <v>20050123</v>
      </c>
      <c r="G270" t="str" cm="1">
        <f t="array" ref="G270">INDEX('Linha 03'!$C$2:$ZZ$2,C270)</f>
        <v>Desinfetante Ito Harmonia Natural Cx/06 X 2l</v>
      </c>
      <c r="H270" s="5" cm="1">
        <f t="array" ref="H270">INDEX('Linha 03'!$C$4:$ZZ$1000,B270,C270)</f>
        <v>0</v>
      </c>
    </row>
    <row r="271" spans="1:8" x14ac:dyDescent="0.25">
      <c r="A271">
        <v>269</v>
      </c>
      <c r="B271">
        <f t="shared" si="8"/>
        <v>7</v>
      </c>
      <c r="C271">
        <f t="shared" si="9"/>
        <v>23</v>
      </c>
      <c r="D271" cm="1">
        <f t="array" ref="D271">INDEX('Linha 03'!$A$4:$A$1000,B271)</f>
        <v>20040055</v>
      </c>
      <c r="E271" t="str" cm="1">
        <f t="array" ref="E271">INDEX('Linha 03'!$B$4:$B$1000,B271)</f>
        <v>Amaciante Myata Azul Cx/06 X 2l</v>
      </c>
      <c r="F271" cm="1">
        <f t="array" ref="F271">INDEX('Linha 03'!$C$3:$ZZ$3,C271)</f>
        <v>20050124</v>
      </c>
      <c r="G271" t="str" cm="1">
        <f t="array" ref="G271">INDEX('Linha 03'!$C$2:$ZZ$2,C271)</f>
        <v>Desinfetante Myata Harmonia Natural Cx/06 X 2l</v>
      </c>
      <c r="H271" s="5" cm="1">
        <f t="array" ref="H271">INDEX('Linha 03'!$C$4:$ZZ$1000,B271,C271)</f>
        <v>0</v>
      </c>
    </row>
    <row r="272" spans="1:8" x14ac:dyDescent="0.25">
      <c r="A272">
        <v>270</v>
      </c>
      <c r="B272">
        <f t="shared" si="8"/>
        <v>7</v>
      </c>
      <c r="C272">
        <f t="shared" si="9"/>
        <v>24</v>
      </c>
      <c r="D272" cm="1">
        <f t="array" ref="D272">INDEX('Linha 03'!$A$4:$A$1000,B272)</f>
        <v>20040055</v>
      </c>
      <c r="E272" t="str" cm="1">
        <f t="array" ref="E272">INDEX('Linha 03'!$B$4:$B$1000,B272)</f>
        <v>Amaciante Myata Azul Cx/06 X 2l</v>
      </c>
      <c r="F272" cm="1">
        <f t="array" ref="F272">INDEX('Linha 03'!$C$3:$ZZ$3,C272)</f>
        <v>20050142</v>
      </c>
      <c r="G272" t="str" cm="1">
        <f t="array" ref="G272">INDEX('Linha 03'!$C$2:$ZZ$2,C272)</f>
        <v>Desinfetante Ito Marine Cx/06 X 2l</v>
      </c>
      <c r="H272" s="5" cm="1">
        <f t="array" ref="H272">INDEX('Linha 03'!$C$4:$ZZ$1000,B272,C272)</f>
        <v>0</v>
      </c>
    </row>
    <row r="273" spans="1:8" x14ac:dyDescent="0.25">
      <c r="A273">
        <v>271</v>
      </c>
      <c r="B273">
        <f t="shared" si="8"/>
        <v>7</v>
      </c>
      <c r="C273">
        <f t="shared" si="9"/>
        <v>25</v>
      </c>
      <c r="D273" cm="1">
        <f t="array" ref="D273">INDEX('Linha 03'!$A$4:$A$1000,B273)</f>
        <v>20040055</v>
      </c>
      <c r="E273" t="str" cm="1">
        <f t="array" ref="E273">INDEX('Linha 03'!$B$4:$B$1000,B273)</f>
        <v>Amaciante Myata Azul Cx/06 X 2l</v>
      </c>
      <c r="F273" cm="1">
        <f t="array" ref="F273">INDEX('Linha 03'!$C$3:$ZZ$3,C273)</f>
        <v>20050159</v>
      </c>
      <c r="G273" t="str" cm="1">
        <f t="array" ref="G273">INDEX('Linha 03'!$C$2:$ZZ$2,C273)</f>
        <v>Desinfetante Aquafast Cha Branco Cx/06 X 2l</v>
      </c>
      <c r="H273" s="5" cm="1">
        <f t="array" ref="H273">INDEX('Linha 03'!$C$4:$ZZ$1000,B273,C273)</f>
        <v>1.38888888888889E-2</v>
      </c>
    </row>
    <row r="274" spans="1:8" x14ac:dyDescent="0.25">
      <c r="A274">
        <v>272</v>
      </c>
      <c r="B274">
        <f t="shared" si="8"/>
        <v>7</v>
      </c>
      <c r="C274">
        <f t="shared" si="9"/>
        <v>26</v>
      </c>
      <c r="D274" cm="1">
        <f t="array" ref="D274">INDEX('Linha 03'!$A$4:$A$1000,B274)</f>
        <v>20040055</v>
      </c>
      <c r="E274" t="str" cm="1">
        <f t="array" ref="E274">INDEX('Linha 03'!$B$4:$B$1000,B274)</f>
        <v>Amaciante Myata Azul Cx/06 X 2l</v>
      </c>
      <c r="F274" cm="1">
        <f t="array" ref="F274">INDEX('Linha 03'!$C$3:$ZZ$3,C274)</f>
        <v>20060007</v>
      </c>
      <c r="G274" t="str" cm="1">
        <f t="array" ref="G274">INDEX('Linha 03'!$C$2:$ZZ$2,C274)</f>
        <v>Limp Perf Aquafast Magia Seducao Cx/06 X 2l (Promoc)</v>
      </c>
      <c r="H274" s="5" cm="1">
        <f t="array" ref="H274">INDEX('Linha 03'!$C$4:$ZZ$1000,B274,C274)</f>
        <v>0</v>
      </c>
    </row>
    <row r="275" spans="1:8" x14ac:dyDescent="0.25">
      <c r="A275">
        <v>273</v>
      </c>
      <c r="B275">
        <f t="shared" si="8"/>
        <v>7</v>
      </c>
      <c r="C275">
        <f t="shared" si="9"/>
        <v>27</v>
      </c>
      <c r="D275" cm="1">
        <f t="array" ref="D275">INDEX('Linha 03'!$A$4:$A$1000,B275)</f>
        <v>20040055</v>
      </c>
      <c r="E275" t="str" cm="1">
        <f t="array" ref="E275">INDEX('Linha 03'!$B$4:$B$1000,B275)</f>
        <v>Amaciante Myata Azul Cx/06 X 2l</v>
      </c>
      <c r="F275" cm="1">
        <f t="array" ref="F275">INDEX('Linha 03'!$C$3:$ZZ$3,C275)</f>
        <v>20060009</v>
      </c>
      <c r="G275" t="str" cm="1">
        <f t="array" ref="G275">INDEX('Linha 03'!$C$2:$ZZ$2,C275)</f>
        <v>Limp Perf Aquafast Frescor Da Manha Cx/06 X 2l (Promoc)</v>
      </c>
      <c r="H275" s="5" cm="1">
        <f t="array" ref="H275">INDEX('Linha 03'!$C$4:$ZZ$1000,B275,C275)</f>
        <v>0</v>
      </c>
    </row>
    <row r="276" spans="1:8" x14ac:dyDescent="0.25">
      <c r="A276">
        <v>274</v>
      </c>
      <c r="B276">
        <f t="shared" si="8"/>
        <v>7</v>
      </c>
      <c r="C276">
        <f t="shared" si="9"/>
        <v>28</v>
      </c>
      <c r="D276" cm="1">
        <f t="array" ref="D276">INDEX('Linha 03'!$A$4:$A$1000,B276)</f>
        <v>20040055</v>
      </c>
      <c r="E276" t="str" cm="1">
        <f t="array" ref="E276">INDEX('Linha 03'!$B$4:$B$1000,B276)</f>
        <v>Amaciante Myata Azul Cx/06 X 2l</v>
      </c>
      <c r="F276" cm="1">
        <f t="array" ref="F276">INDEX('Linha 03'!$C$3:$ZZ$3,C276)</f>
        <v>20060017</v>
      </c>
      <c r="G276" t="str" cm="1">
        <f t="array" ref="G276">INDEX('Linha 03'!$C$2:$ZZ$2,C276)</f>
        <v>Limp Perf Aquafast Doce Romance Cx/06 X 2l (Promoc)</v>
      </c>
      <c r="H276" s="5" cm="1">
        <f t="array" ref="H276">INDEX('Linha 03'!$C$4:$ZZ$1000,B276,C276)</f>
        <v>0</v>
      </c>
    </row>
    <row r="277" spans="1:8" x14ac:dyDescent="0.25">
      <c r="A277">
        <v>275</v>
      </c>
      <c r="B277">
        <f t="shared" si="8"/>
        <v>7</v>
      </c>
      <c r="C277">
        <f t="shared" si="9"/>
        <v>29</v>
      </c>
      <c r="D277" cm="1">
        <f t="array" ref="D277">INDEX('Linha 03'!$A$4:$A$1000,B277)</f>
        <v>20040055</v>
      </c>
      <c r="E277" t="str" cm="1">
        <f t="array" ref="E277">INDEX('Linha 03'!$B$4:$B$1000,B277)</f>
        <v>Amaciante Myata Azul Cx/06 X 2l</v>
      </c>
      <c r="F277" cm="1">
        <f t="array" ref="F277">INDEX('Linha 03'!$C$3:$ZZ$3,C277)</f>
        <v>20060028</v>
      </c>
      <c r="G277" t="str" cm="1">
        <f t="array" ref="G277">INDEX('Linha 03'!$C$2:$ZZ$2,C277)</f>
        <v>Limp Perf Aquafast Essencia Natural Cx06 X 2l</v>
      </c>
      <c r="H277" s="5" cm="1">
        <f t="array" ref="H277">INDEX('Linha 03'!$C$4:$ZZ$1000,B277,C277)</f>
        <v>0</v>
      </c>
    </row>
    <row r="278" spans="1:8" x14ac:dyDescent="0.25">
      <c r="A278">
        <v>276</v>
      </c>
      <c r="B278">
        <f t="shared" si="8"/>
        <v>7</v>
      </c>
      <c r="C278">
        <f t="shared" si="9"/>
        <v>30</v>
      </c>
      <c r="D278" cm="1">
        <f t="array" ref="D278">INDEX('Linha 03'!$A$4:$A$1000,B278)</f>
        <v>20040055</v>
      </c>
      <c r="E278" t="str" cm="1">
        <f t="array" ref="E278">INDEX('Linha 03'!$B$4:$B$1000,B278)</f>
        <v>Amaciante Myata Azul Cx/06 X 2l</v>
      </c>
      <c r="F278" cm="1">
        <f t="array" ref="F278">INDEX('Linha 03'!$C$3:$ZZ$3,C278)</f>
        <v>20200003</v>
      </c>
      <c r="G278" t="str" cm="1">
        <f t="array" ref="G278">INDEX('Linha 03'!$C$2:$ZZ$2,C278)</f>
        <v>Lava Roup. Aquafast Baby Cx/12 X 1l</v>
      </c>
      <c r="H278" s="5" cm="1">
        <f t="array" ref="H278">INDEX('Linha 03'!$C$4:$ZZ$1000,B278,C278)</f>
        <v>0</v>
      </c>
    </row>
    <row r="279" spans="1:8" x14ac:dyDescent="0.25">
      <c r="A279">
        <v>277</v>
      </c>
      <c r="B279">
        <f t="shared" si="8"/>
        <v>7</v>
      </c>
      <c r="C279">
        <f t="shared" si="9"/>
        <v>31</v>
      </c>
      <c r="D279" cm="1">
        <f t="array" ref="D279">INDEX('Linha 03'!$A$4:$A$1000,B279)</f>
        <v>20040055</v>
      </c>
      <c r="E279" t="str" cm="1">
        <f t="array" ref="E279">INDEX('Linha 03'!$B$4:$B$1000,B279)</f>
        <v>Amaciante Myata Azul Cx/06 X 2l</v>
      </c>
      <c r="F279" cm="1">
        <f t="array" ref="F279">INDEX('Linha 03'!$C$3:$ZZ$3,C279)</f>
        <v>20200005</v>
      </c>
      <c r="G279" t="str" cm="1">
        <f t="array" ref="G279">INDEX('Linha 03'!$C$2:$ZZ$2,C279)</f>
        <v>Lava Roupas Aquafast Multi Acao Cx/06 X 2l</v>
      </c>
      <c r="H279" s="5" cm="1">
        <f t="array" ref="H279">INDEX('Linha 03'!$C$4:$ZZ$1000,B279,C279)</f>
        <v>0</v>
      </c>
    </row>
    <row r="280" spans="1:8" x14ac:dyDescent="0.25">
      <c r="A280">
        <v>278</v>
      </c>
      <c r="B280">
        <f t="shared" si="8"/>
        <v>7</v>
      </c>
      <c r="C280">
        <f t="shared" si="9"/>
        <v>32</v>
      </c>
      <c r="D280" cm="1">
        <f t="array" ref="D280">INDEX('Linha 03'!$A$4:$A$1000,B280)</f>
        <v>20040055</v>
      </c>
      <c r="E280" t="str" cm="1">
        <f t="array" ref="E280">INDEX('Linha 03'!$B$4:$B$1000,B280)</f>
        <v>Amaciante Myata Azul Cx/06 X 2l</v>
      </c>
      <c r="F280" cm="1">
        <f t="array" ref="F280">INDEX('Linha 03'!$C$3:$ZZ$3,C280)</f>
        <v>20200006</v>
      </c>
      <c r="G280" t="str" cm="1">
        <f t="array" ref="G280">INDEX('Linha 03'!$C$2:$ZZ$2,C280)</f>
        <v>Lava Roupas Aquafast Glicerina Cx/06 X 2l</v>
      </c>
      <c r="H280" s="5" cm="1">
        <f t="array" ref="H280">INDEX('Linha 03'!$C$4:$ZZ$1000,B280,C280)</f>
        <v>0</v>
      </c>
    </row>
    <row r="281" spans="1:8" x14ac:dyDescent="0.25">
      <c r="A281">
        <v>279</v>
      </c>
      <c r="B281">
        <f t="shared" si="8"/>
        <v>7</v>
      </c>
      <c r="C281">
        <f t="shared" si="9"/>
        <v>33</v>
      </c>
      <c r="D281" cm="1">
        <f t="array" ref="D281">INDEX('Linha 03'!$A$4:$A$1000,B281)</f>
        <v>20040055</v>
      </c>
      <c r="E281" t="str" cm="1">
        <f t="array" ref="E281">INDEX('Linha 03'!$B$4:$B$1000,B281)</f>
        <v>Amaciante Myata Azul Cx/06 X 2l</v>
      </c>
      <c r="F281" cm="1">
        <f t="array" ref="F281">INDEX('Linha 03'!$C$3:$ZZ$3,C281)</f>
        <v>20200015</v>
      </c>
      <c r="G281" t="str" cm="1">
        <f t="array" ref="G281">INDEX('Linha 03'!$C$2:$ZZ$2,C281)</f>
        <v>Lava Roup. Aquafast Multiacao Cx/12 X 1l</v>
      </c>
      <c r="H281" s="5" cm="1">
        <f t="array" ref="H281">INDEX('Linha 03'!$C$4:$ZZ$1000,B281,C281)</f>
        <v>0</v>
      </c>
    </row>
    <row r="282" spans="1:8" x14ac:dyDescent="0.25">
      <c r="A282">
        <v>280</v>
      </c>
      <c r="B282">
        <f t="shared" si="8"/>
        <v>7</v>
      </c>
      <c r="C282">
        <f t="shared" si="9"/>
        <v>34</v>
      </c>
      <c r="D282" cm="1">
        <f t="array" ref="D282">INDEX('Linha 03'!$A$4:$A$1000,B282)</f>
        <v>20040055</v>
      </c>
      <c r="E282" t="str" cm="1">
        <f t="array" ref="E282">INDEX('Linha 03'!$B$4:$B$1000,B282)</f>
        <v>Amaciante Myata Azul Cx/06 X 2l</v>
      </c>
      <c r="F282" cm="1">
        <f t="array" ref="F282">INDEX('Linha 03'!$C$3:$ZZ$3,C282)</f>
        <v>20200036</v>
      </c>
      <c r="G282" t="str" cm="1">
        <f t="array" ref="G282">INDEX('Linha 03'!$C$2:$ZZ$2,C282)</f>
        <v>Lava Roupas Aquafast Ternura Cx/06 X 2l</v>
      </c>
      <c r="H282" s="5" cm="1">
        <f t="array" ref="H282">INDEX('Linha 03'!$C$4:$ZZ$1000,B282,C282)</f>
        <v>0</v>
      </c>
    </row>
    <row r="283" spans="1:8" x14ac:dyDescent="0.25">
      <c r="A283">
        <v>281</v>
      </c>
      <c r="B283">
        <f t="shared" si="8"/>
        <v>7</v>
      </c>
      <c r="C283">
        <f t="shared" si="9"/>
        <v>35</v>
      </c>
      <c r="D283" cm="1">
        <f t="array" ref="D283">INDEX('Linha 03'!$A$4:$A$1000,B283)</f>
        <v>20040055</v>
      </c>
      <c r="E283" t="str" cm="1">
        <f t="array" ref="E283">INDEX('Linha 03'!$B$4:$B$1000,B283)</f>
        <v>Amaciante Myata Azul Cx/06 X 2l</v>
      </c>
      <c r="F283" cm="1">
        <f t="array" ref="F283">INDEX('Linha 03'!$C$3:$ZZ$3,C283)</f>
        <v>20200063</v>
      </c>
      <c r="G283" t="str" cm="1">
        <f t="array" ref="G283">INDEX('Linha 03'!$C$2:$ZZ$2,C283)</f>
        <v>Lava Roup. Aquafast Tradicional Cx/12 X 1l</v>
      </c>
      <c r="H283" s="5" cm="1">
        <f t="array" ref="H283">INDEX('Linha 03'!$C$4:$ZZ$1000,B283,C283)</f>
        <v>0</v>
      </c>
    </row>
    <row r="284" spans="1:8" x14ac:dyDescent="0.25">
      <c r="A284">
        <v>282</v>
      </c>
      <c r="B284">
        <f t="shared" si="8"/>
        <v>7</v>
      </c>
      <c r="C284">
        <f t="shared" si="9"/>
        <v>36</v>
      </c>
      <c r="D284" cm="1">
        <f t="array" ref="D284">INDEX('Linha 03'!$A$4:$A$1000,B284)</f>
        <v>20040055</v>
      </c>
      <c r="E284" t="str" cm="1">
        <f t="array" ref="E284">INDEX('Linha 03'!$B$4:$B$1000,B284)</f>
        <v>Amaciante Myata Azul Cx/06 X 2l</v>
      </c>
      <c r="F284" cm="1">
        <f t="array" ref="F284">INDEX('Linha 03'!$C$3:$ZZ$3,C284)</f>
        <v>20200064</v>
      </c>
      <c r="G284" t="str" cm="1">
        <f t="array" ref="G284">INDEX('Linha 03'!$C$2:$ZZ$2,C284)</f>
        <v>Lava Roup. Aquafast Flores B. E Baunilha Cx/12 X 1l</v>
      </c>
      <c r="H284" s="5" cm="1">
        <f t="array" ref="H284">INDEX('Linha 03'!$C$4:$ZZ$1000,B284,C284)</f>
        <v>0</v>
      </c>
    </row>
    <row r="285" spans="1:8" x14ac:dyDescent="0.25">
      <c r="A285">
        <v>283</v>
      </c>
      <c r="B285">
        <f t="shared" si="8"/>
        <v>7</v>
      </c>
      <c r="C285">
        <f t="shared" si="9"/>
        <v>37</v>
      </c>
      <c r="D285" cm="1">
        <f t="array" ref="D285">INDEX('Linha 03'!$A$4:$A$1000,B285)</f>
        <v>20040055</v>
      </c>
      <c r="E285" t="str" cm="1">
        <f t="array" ref="E285">INDEX('Linha 03'!$B$4:$B$1000,B285)</f>
        <v>Amaciante Myata Azul Cx/06 X 2l</v>
      </c>
      <c r="F285" cm="1">
        <f t="array" ref="F285">INDEX('Linha 03'!$C$3:$ZZ$3,C285)</f>
        <v>20200065</v>
      </c>
      <c r="G285" t="str" cm="1">
        <f t="array" ref="G285">INDEX('Linha 03'!$C$2:$ZZ$2,C285)</f>
        <v>Lava Roupas Aquafast Flores B. E Baunilha Cx/06 X 2l</v>
      </c>
      <c r="H285" s="5" cm="1">
        <f t="array" ref="H285">INDEX('Linha 03'!$C$4:$ZZ$1000,B285,C285)</f>
        <v>0</v>
      </c>
    </row>
    <row r="286" spans="1:8" x14ac:dyDescent="0.25">
      <c r="A286">
        <v>284</v>
      </c>
      <c r="B286">
        <f t="shared" si="8"/>
        <v>7</v>
      </c>
      <c r="C286">
        <f t="shared" si="9"/>
        <v>38</v>
      </c>
      <c r="D286" cm="1">
        <f t="array" ref="D286">INDEX('Linha 03'!$A$4:$A$1000,B286)</f>
        <v>20040055</v>
      </c>
      <c r="E286" t="str" cm="1">
        <f t="array" ref="E286">INDEX('Linha 03'!$B$4:$B$1000,B286)</f>
        <v>Amaciante Myata Azul Cx/06 X 2l</v>
      </c>
      <c r="F286" cm="1">
        <f t="array" ref="F286">INDEX('Linha 03'!$C$3:$ZZ$3,C286)</f>
        <v>20200072</v>
      </c>
      <c r="G286" t="str" cm="1">
        <f t="array" ref="G286">INDEX('Linha 03'!$C$2:$ZZ$2,C286)</f>
        <v>Lava Roupas Aquafast Lavagem Rapida Total Clean Cx/12 X 1l</v>
      </c>
      <c r="H286" s="5" cm="1">
        <f t="array" ref="H286">INDEX('Linha 03'!$C$4:$ZZ$1000,B286,C286)</f>
        <v>0</v>
      </c>
    </row>
    <row r="287" spans="1:8" x14ac:dyDescent="0.25">
      <c r="A287">
        <v>285</v>
      </c>
      <c r="B287">
        <f t="shared" si="8"/>
        <v>7</v>
      </c>
      <c r="C287">
        <f t="shared" si="9"/>
        <v>39</v>
      </c>
      <c r="D287" cm="1">
        <f t="array" ref="D287">INDEX('Linha 03'!$A$4:$A$1000,B287)</f>
        <v>20040055</v>
      </c>
      <c r="E287" t="str" cm="1">
        <f t="array" ref="E287">INDEX('Linha 03'!$B$4:$B$1000,B287)</f>
        <v>Amaciante Myata Azul Cx/06 X 2l</v>
      </c>
      <c r="F287" cm="1">
        <f t="array" ref="F287">INDEX('Linha 03'!$C$3:$ZZ$3,C287)</f>
        <v>20200074</v>
      </c>
      <c r="G287" t="str" cm="1">
        <f t="array" ref="G287">INDEX('Linha 03'!$C$2:$ZZ$2,C287)</f>
        <v>Lava Roupas Aquafast Lavagem Rapida Fresh Clean Cx/12 X 1l</v>
      </c>
      <c r="H287" s="5" cm="1">
        <f t="array" ref="H287">INDEX('Linha 03'!$C$4:$ZZ$1000,B287,C287)</f>
        <v>0</v>
      </c>
    </row>
    <row r="288" spans="1:8" x14ac:dyDescent="0.25">
      <c r="A288">
        <v>286</v>
      </c>
      <c r="B288">
        <f t="shared" si="8"/>
        <v>7</v>
      </c>
      <c r="C288">
        <f t="shared" si="9"/>
        <v>40</v>
      </c>
      <c r="D288" cm="1">
        <f t="array" ref="D288">INDEX('Linha 03'!$A$4:$A$1000,B288)</f>
        <v>20040055</v>
      </c>
      <c r="E288" t="str" cm="1">
        <f t="array" ref="E288">INDEX('Linha 03'!$B$4:$B$1000,B288)</f>
        <v>Amaciante Myata Azul Cx/06 X 2l</v>
      </c>
      <c r="F288" cm="1">
        <f t="array" ref="F288">INDEX('Linha 03'!$C$3:$ZZ$3,C288)</f>
        <v>20250005</v>
      </c>
      <c r="G288" t="str" cm="1">
        <f t="array" ref="G288">INDEX('Linha 03'!$C$2:$ZZ$2,C288)</f>
        <v>Neutralizador De Odores Aquafast Floral Cx/06 X 2l</v>
      </c>
      <c r="H288" s="5" cm="1">
        <f t="array" ref="H288">INDEX('Linha 03'!$C$4:$ZZ$1000,B288,C288)</f>
        <v>0</v>
      </c>
    </row>
    <row r="289" spans="1:8" x14ac:dyDescent="0.25">
      <c r="A289">
        <v>287</v>
      </c>
      <c r="B289">
        <f t="shared" si="8"/>
        <v>7</v>
      </c>
      <c r="C289">
        <f t="shared" si="9"/>
        <v>41</v>
      </c>
      <c r="D289" cm="1">
        <f t="array" ref="D289">INDEX('Linha 03'!$A$4:$A$1000,B289)</f>
        <v>20040055</v>
      </c>
      <c r="E289" t="str" cm="1">
        <f t="array" ref="E289">INDEX('Linha 03'!$B$4:$B$1000,B289)</f>
        <v>Amaciante Myata Azul Cx/06 X 2l</v>
      </c>
      <c r="F289" cm="1">
        <f t="array" ref="F289">INDEX('Linha 03'!$C$3:$ZZ$3,C289)</f>
        <v>20250007</v>
      </c>
      <c r="G289" t="str" cm="1">
        <f t="array" ref="G289">INDEX('Linha 03'!$C$2:$ZZ$2,C289)</f>
        <v>Neutralizador De Odores Aquafast Marine Cx/06 2l</v>
      </c>
      <c r="H289" s="5" cm="1">
        <f t="array" ref="H289">INDEX('Linha 03'!$C$4:$ZZ$1000,B289,C289)</f>
        <v>0</v>
      </c>
    </row>
    <row r="290" spans="1:8" x14ac:dyDescent="0.25">
      <c r="A290">
        <v>288</v>
      </c>
      <c r="B290">
        <f t="shared" si="8"/>
        <v>8</v>
      </c>
      <c r="C290">
        <f t="shared" si="9"/>
        <v>1</v>
      </c>
      <c r="D290" cm="1">
        <f t="array" ref="D290">INDEX('Linha 03'!$A$4:$A$1000,B290)</f>
        <v>20040057</v>
      </c>
      <c r="E290" t="str" cm="1">
        <f t="array" ref="E290">INDEX('Linha 03'!$B$4:$B$1000,B290)</f>
        <v>Amaciante Myata Rosa Cx/06 X 2l</v>
      </c>
      <c r="F290" cm="1">
        <f t="array" ref="F290">INDEX('Linha 03'!$C$3:$ZZ$3,C290)</f>
        <v>20040006</v>
      </c>
      <c r="G290" t="str" cm="1">
        <f t="array" ref="G290">INDEX('Linha 03'!$C$2:$ZZ$2,C290)</f>
        <v>Amaciante Aquafast Azul Fresc. Manha Cx/06 X 2l</v>
      </c>
      <c r="H290" s="5" cm="1">
        <f t="array" ref="H290">INDEX('Linha 03'!$C$4:$ZZ$1000,B290,C290)</f>
        <v>0</v>
      </c>
    </row>
    <row r="291" spans="1:8" x14ac:dyDescent="0.25">
      <c r="A291">
        <v>289</v>
      </c>
      <c r="B291">
        <f t="shared" si="8"/>
        <v>8</v>
      </c>
      <c r="C291">
        <f t="shared" si="9"/>
        <v>2</v>
      </c>
      <c r="D291" cm="1">
        <f t="array" ref="D291">INDEX('Linha 03'!$A$4:$A$1000,B291)</f>
        <v>20040057</v>
      </c>
      <c r="E291" t="str" cm="1">
        <f t="array" ref="E291">INDEX('Linha 03'!$B$4:$B$1000,B291)</f>
        <v>Amaciante Myata Rosa Cx/06 X 2l</v>
      </c>
      <c r="F291" cm="1">
        <f t="array" ref="F291">INDEX('Linha 03'!$C$3:$ZZ$3,C291)</f>
        <v>20040008</v>
      </c>
      <c r="G291" t="str" cm="1">
        <f t="array" ref="G291">INDEX('Linha 03'!$C$2:$ZZ$2,C291)</f>
        <v>Amaciante Aquafast Rosa Jard. Florid Cx/06 X 2l</v>
      </c>
      <c r="H291" s="5" cm="1">
        <f t="array" ref="H291">INDEX('Linha 03'!$C$4:$ZZ$1000,B291,C291)</f>
        <v>0</v>
      </c>
    </row>
    <row r="292" spans="1:8" x14ac:dyDescent="0.25">
      <c r="A292">
        <v>290</v>
      </c>
      <c r="B292">
        <f t="shared" si="8"/>
        <v>8</v>
      </c>
      <c r="C292">
        <f t="shared" si="9"/>
        <v>3</v>
      </c>
      <c r="D292" cm="1">
        <f t="array" ref="D292">INDEX('Linha 03'!$A$4:$A$1000,B292)</f>
        <v>20040057</v>
      </c>
      <c r="E292" t="str" cm="1">
        <f t="array" ref="E292">INDEX('Linha 03'!$B$4:$B$1000,B292)</f>
        <v>Amaciante Myata Rosa Cx/06 X 2l</v>
      </c>
      <c r="F292" cm="1">
        <f t="array" ref="F292">INDEX('Linha 03'!$C$3:$ZZ$3,C292)</f>
        <v>20040009</v>
      </c>
      <c r="G292" t="str" cm="1">
        <f t="array" ref="G292">INDEX('Linha 03'!$C$2:$ZZ$2,C292)</f>
        <v>Amaciante Aquafast Branco Pura Caric. Cx/06 X 2l</v>
      </c>
      <c r="H292" s="5" cm="1">
        <f t="array" ref="H292">INDEX('Linha 03'!$C$4:$ZZ$1000,B292,C292)</f>
        <v>0</v>
      </c>
    </row>
    <row r="293" spans="1:8" x14ac:dyDescent="0.25">
      <c r="A293">
        <v>291</v>
      </c>
      <c r="B293">
        <f t="shared" si="8"/>
        <v>8</v>
      </c>
      <c r="C293">
        <f t="shared" si="9"/>
        <v>4</v>
      </c>
      <c r="D293" cm="1">
        <f t="array" ref="D293">INDEX('Linha 03'!$A$4:$A$1000,B293)</f>
        <v>20040057</v>
      </c>
      <c r="E293" t="str" cm="1">
        <f t="array" ref="E293">INDEX('Linha 03'!$B$4:$B$1000,B293)</f>
        <v>Amaciante Myata Rosa Cx/06 X 2l</v>
      </c>
      <c r="F293" cm="1">
        <f t="array" ref="F293">INDEX('Linha 03'!$C$3:$ZZ$3,C293)</f>
        <v>20040026</v>
      </c>
      <c r="G293" t="str" cm="1">
        <f t="array" ref="G293">INDEX('Linha 03'!$C$2:$ZZ$2,C293)</f>
        <v>Amaciante Ito Azul Cx/06 X 2l</v>
      </c>
      <c r="H293" s="5" cm="1">
        <f t="array" ref="H293">INDEX('Linha 03'!$C$4:$ZZ$1000,B293,C293)</f>
        <v>0</v>
      </c>
    </row>
    <row r="294" spans="1:8" x14ac:dyDescent="0.25">
      <c r="A294">
        <v>292</v>
      </c>
      <c r="B294">
        <f t="shared" si="8"/>
        <v>8</v>
      </c>
      <c r="C294">
        <f t="shared" si="9"/>
        <v>5</v>
      </c>
      <c r="D294" cm="1">
        <f t="array" ref="D294">INDEX('Linha 03'!$A$4:$A$1000,B294)</f>
        <v>20040057</v>
      </c>
      <c r="E294" t="str" cm="1">
        <f t="array" ref="E294">INDEX('Linha 03'!$B$4:$B$1000,B294)</f>
        <v>Amaciante Myata Rosa Cx/06 X 2l</v>
      </c>
      <c r="F294" cm="1">
        <f t="array" ref="F294">INDEX('Linha 03'!$C$3:$ZZ$3,C294)</f>
        <v>20040028</v>
      </c>
      <c r="G294" t="str" cm="1">
        <f t="array" ref="G294">INDEX('Linha 03'!$C$2:$ZZ$2,C294)</f>
        <v>Amaciante Ito Rosa Cx/06 X 2l</v>
      </c>
      <c r="H294" s="5" cm="1">
        <f t="array" ref="H294">INDEX('Linha 03'!$C$4:$ZZ$1000,B294,C294)</f>
        <v>0</v>
      </c>
    </row>
    <row r="295" spans="1:8" x14ac:dyDescent="0.25">
      <c r="A295">
        <v>293</v>
      </c>
      <c r="B295">
        <f t="shared" si="8"/>
        <v>8</v>
      </c>
      <c r="C295">
        <f t="shared" si="9"/>
        <v>6</v>
      </c>
      <c r="D295" cm="1">
        <f t="array" ref="D295">INDEX('Linha 03'!$A$4:$A$1000,B295)</f>
        <v>20040057</v>
      </c>
      <c r="E295" t="str" cm="1">
        <f t="array" ref="E295">INDEX('Linha 03'!$B$4:$B$1000,B295)</f>
        <v>Amaciante Myata Rosa Cx/06 X 2l</v>
      </c>
      <c r="F295" cm="1">
        <f t="array" ref="F295">INDEX('Linha 03'!$C$3:$ZZ$3,C295)</f>
        <v>20040029</v>
      </c>
      <c r="G295" t="str" cm="1">
        <f t="array" ref="G295">INDEX('Linha 03'!$C$2:$ZZ$2,C295)</f>
        <v>Amaciante Ito Branco Cx/06 X 2l</v>
      </c>
      <c r="H295" s="5" cm="1">
        <f t="array" ref="H295">INDEX('Linha 03'!$C$4:$ZZ$1000,B295,C295)</f>
        <v>0</v>
      </c>
    </row>
    <row r="296" spans="1:8" x14ac:dyDescent="0.25">
      <c r="A296">
        <v>294</v>
      </c>
      <c r="B296">
        <f t="shared" si="8"/>
        <v>8</v>
      </c>
      <c r="C296">
        <f t="shared" si="9"/>
        <v>7</v>
      </c>
      <c r="D296" cm="1">
        <f t="array" ref="D296">INDEX('Linha 03'!$A$4:$A$1000,B296)</f>
        <v>20040057</v>
      </c>
      <c r="E296" t="str" cm="1">
        <f t="array" ref="E296">INDEX('Linha 03'!$B$4:$B$1000,B296)</f>
        <v>Amaciante Myata Rosa Cx/06 X 2l</v>
      </c>
      <c r="F296" cm="1">
        <f t="array" ref="F296">INDEX('Linha 03'!$C$3:$ZZ$3,C296)</f>
        <v>20040055</v>
      </c>
      <c r="G296" t="str" cm="1">
        <f t="array" ref="G296">INDEX('Linha 03'!$C$2:$ZZ$2,C296)</f>
        <v>Amaciante Myata Azul Cx/06 X 2l</v>
      </c>
      <c r="H296" s="5" cm="1">
        <f t="array" ref="H296">INDEX('Linha 03'!$C$4:$ZZ$1000,B296,C296)</f>
        <v>0</v>
      </c>
    </row>
    <row r="297" spans="1:8" x14ac:dyDescent="0.25">
      <c r="A297">
        <v>295</v>
      </c>
      <c r="B297">
        <f t="shared" si="8"/>
        <v>8</v>
      </c>
      <c r="C297">
        <f t="shared" si="9"/>
        <v>8</v>
      </c>
      <c r="D297" cm="1">
        <f t="array" ref="D297">INDEX('Linha 03'!$A$4:$A$1000,B297)</f>
        <v>20040057</v>
      </c>
      <c r="E297" t="str" cm="1">
        <f t="array" ref="E297">INDEX('Linha 03'!$B$4:$B$1000,B297)</f>
        <v>Amaciante Myata Rosa Cx/06 X 2l</v>
      </c>
      <c r="F297" cm="1">
        <f t="array" ref="F297">INDEX('Linha 03'!$C$3:$ZZ$3,C297)</f>
        <v>20040057</v>
      </c>
      <c r="G297" t="str" cm="1">
        <f t="array" ref="G297">INDEX('Linha 03'!$C$2:$ZZ$2,C297)</f>
        <v>Amaciante Myata Rosa Cx/06 X 2l</v>
      </c>
      <c r="H297" s="5" cm="1">
        <f t="array" ref="H297">INDEX('Linha 03'!$C$4:$ZZ$1000,B297,C297)</f>
        <v>0</v>
      </c>
    </row>
    <row r="298" spans="1:8" x14ac:dyDescent="0.25">
      <c r="A298">
        <v>296</v>
      </c>
      <c r="B298">
        <f t="shared" si="8"/>
        <v>8</v>
      </c>
      <c r="C298">
        <f t="shared" si="9"/>
        <v>9</v>
      </c>
      <c r="D298" cm="1">
        <f t="array" ref="D298">INDEX('Linha 03'!$A$4:$A$1000,B298)</f>
        <v>20040057</v>
      </c>
      <c r="E298" t="str" cm="1">
        <f t="array" ref="E298">INDEX('Linha 03'!$B$4:$B$1000,B298)</f>
        <v>Amaciante Myata Rosa Cx/06 X 2l</v>
      </c>
      <c r="F298" cm="1">
        <f t="array" ref="F298">INDEX('Linha 03'!$C$3:$ZZ$3,C298)</f>
        <v>20040084</v>
      </c>
      <c r="G298" t="str" cm="1">
        <f t="array" ref="G298">INDEX('Linha 03'!$C$2:$ZZ$2,C298)</f>
        <v>Amaciante Aquafast Vermelho Seducao Cx C/06 X 2l</v>
      </c>
      <c r="H298" s="5" cm="1">
        <f t="array" ref="H298">INDEX('Linha 03'!$C$4:$ZZ$1000,B298,C298)</f>
        <v>0</v>
      </c>
    </row>
    <row r="299" spans="1:8" x14ac:dyDescent="0.25">
      <c r="A299">
        <v>297</v>
      </c>
      <c r="B299">
        <f t="shared" si="8"/>
        <v>8</v>
      </c>
      <c r="C299">
        <f t="shared" si="9"/>
        <v>10</v>
      </c>
      <c r="D299" cm="1">
        <f t="array" ref="D299">INDEX('Linha 03'!$A$4:$A$1000,B299)</f>
        <v>20040057</v>
      </c>
      <c r="E299" t="str" cm="1">
        <f t="array" ref="E299">INDEX('Linha 03'!$B$4:$B$1000,B299)</f>
        <v>Amaciante Myata Rosa Cx/06 X 2l</v>
      </c>
      <c r="F299" cm="1">
        <f t="array" ref="F299">INDEX('Linha 03'!$C$3:$ZZ$3,C299)</f>
        <v>20040089</v>
      </c>
      <c r="G299" t="str" cm="1">
        <f t="array" ref="G299">INDEX('Linha 03'!$C$2:$ZZ$2,C299)</f>
        <v>Amaciante Aquafast Roxo Magia Cx/06 X 2l</v>
      </c>
      <c r="H299" s="5" cm="1">
        <f t="array" ref="H299">INDEX('Linha 03'!$C$4:$ZZ$1000,B299,C299)</f>
        <v>0</v>
      </c>
    </row>
    <row r="300" spans="1:8" x14ac:dyDescent="0.25">
      <c r="A300">
        <v>298</v>
      </c>
      <c r="B300">
        <f t="shared" si="8"/>
        <v>8</v>
      </c>
      <c r="C300">
        <f t="shared" si="9"/>
        <v>11</v>
      </c>
      <c r="D300" cm="1">
        <f t="array" ref="D300">INDEX('Linha 03'!$A$4:$A$1000,B300)</f>
        <v>20040057</v>
      </c>
      <c r="E300" t="str" cm="1">
        <f t="array" ref="E300">INDEX('Linha 03'!$B$4:$B$1000,B300)</f>
        <v>Amaciante Myata Rosa Cx/06 X 2l</v>
      </c>
      <c r="F300" cm="1">
        <f t="array" ref="F300">INDEX('Linha 03'!$C$3:$ZZ$3,C300)</f>
        <v>20040094</v>
      </c>
      <c r="G300" t="str" cm="1">
        <f t="array" ref="G300">INDEX('Linha 03'!$C$2:$ZZ$2,C300)</f>
        <v>Amaciante Aquafast Energia Cx/06 X 2l</v>
      </c>
      <c r="H300" s="5" cm="1">
        <f t="array" ref="H300">INDEX('Linha 03'!$C$4:$ZZ$1000,B300,C300)</f>
        <v>0</v>
      </c>
    </row>
    <row r="301" spans="1:8" x14ac:dyDescent="0.25">
      <c r="A301">
        <v>299</v>
      </c>
      <c r="B301">
        <f t="shared" si="8"/>
        <v>8</v>
      </c>
      <c r="C301">
        <f t="shared" si="9"/>
        <v>12</v>
      </c>
      <c r="D301" cm="1">
        <f t="array" ref="D301">INDEX('Linha 03'!$A$4:$A$1000,B301)</f>
        <v>20040057</v>
      </c>
      <c r="E301" t="str" cm="1">
        <f t="array" ref="E301">INDEX('Linha 03'!$B$4:$B$1000,B301)</f>
        <v>Amaciante Myata Rosa Cx/06 X 2l</v>
      </c>
      <c r="F301" cm="1">
        <f t="array" ref="F301">INDEX('Linha 03'!$C$3:$ZZ$3,C301)</f>
        <v>20050010</v>
      </c>
      <c r="G301" t="str" cm="1">
        <f t="array" ref="G301">INDEX('Linha 03'!$C$2:$ZZ$2,C301)</f>
        <v>Desinfetante Aquafast Campos Lavanda Cx/06 X 2l</v>
      </c>
      <c r="H301" s="5" cm="1">
        <f t="array" ref="H301">INDEX('Linha 03'!$C$4:$ZZ$1000,B301,C301)</f>
        <v>0</v>
      </c>
    </row>
    <row r="302" spans="1:8" x14ac:dyDescent="0.25">
      <c r="A302">
        <v>300</v>
      </c>
      <c r="B302">
        <f t="shared" si="8"/>
        <v>8</v>
      </c>
      <c r="C302">
        <f t="shared" si="9"/>
        <v>13</v>
      </c>
      <c r="D302" cm="1">
        <f t="array" ref="D302">INDEX('Linha 03'!$A$4:$A$1000,B302)</f>
        <v>20040057</v>
      </c>
      <c r="E302" t="str" cm="1">
        <f t="array" ref="E302">INDEX('Linha 03'!$B$4:$B$1000,B302)</f>
        <v>Amaciante Myata Rosa Cx/06 X 2l</v>
      </c>
      <c r="F302" cm="1">
        <f t="array" ref="F302">INDEX('Linha 03'!$C$3:$ZZ$3,C302)</f>
        <v>20050011</v>
      </c>
      <c r="G302" t="str" cm="1">
        <f t="array" ref="G302">INDEX('Linha 03'!$C$2:$ZZ$2,C302)</f>
        <v>Desinfetante Aquafast Jardim Florido Cx/06 X 2l</v>
      </c>
      <c r="H302" s="5" cm="1">
        <f t="array" ref="H302">INDEX('Linha 03'!$C$4:$ZZ$1000,B302,C302)</f>
        <v>0</v>
      </c>
    </row>
    <row r="303" spans="1:8" x14ac:dyDescent="0.25">
      <c r="A303">
        <v>301</v>
      </c>
      <c r="B303">
        <f t="shared" si="8"/>
        <v>8</v>
      </c>
      <c r="C303">
        <f t="shared" si="9"/>
        <v>14</v>
      </c>
      <c r="D303" cm="1">
        <f t="array" ref="D303">INDEX('Linha 03'!$A$4:$A$1000,B303)</f>
        <v>20040057</v>
      </c>
      <c r="E303" t="str" cm="1">
        <f t="array" ref="E303">INDEX('Linha 03'!$B$4:$B$1000,B303)</f>
        <v>Amaciante Myata Rosa Cx/06 X 2l</v>
      </c>
      <c r="F303" cm="1">
        <f t="array" ref="F303">INDEX('Linha 03'!$C$3:$ZZ$3,C303)</f>
        <v>20050016</v>
      </c>
      <c r="G303" t="str" cm="1">
        <f t="array" ref="G303">INDEX('Linha 03'!$C$2:$ZZ$2,C303)</f>
        <v>Desinfetante Aquafast Marine Cx/06 X 2l</v>
      </c>
      <c r="H303" s="5" cm="1">
        <f t="array" ref="H303">INDEX('Linha 03'!$C$4:$ZZ$1000,B303,C303)</f>
        <v>0</v>
      </c>
    </row>
    <row r="304" spans="1:8" x14ac:dyDescent="0.25">
      <c r="A304">
        <v>302</v>
      </c>
      <c r="B304">
        <f t="shared" si="8"/>
        <v>8</v>
      </c>
      <c r="C304">
        <f t="shared" si="9"/>
        <v>15</v>
      </c>
      <c r="D304" cm="1">
        <f t="array" ref="D304">INDEX('Linha 03'!$A$4:$A$1000,B304)</f>
        <v>20040057</v>
      </c>
      <c r="E304" t="str" cm="1">
        <f t="array" ref="E304">INDEX('Linha 03'!$B$4:$B$1000,B304)</f>
        <v>Amaciante Myata Rosa Cx/06 X 2l</v>
      </c>
      <c r="F304" cm="1">
        <f t="array" ref="F304">INDEX('Linha 03'!$C$3:$ZZ$3,C304)</f>
        <v>20050031</v>
      </c>
      <c r="G304" t="str" cm="1">
        <f t="array" ref="G304">INDEX('Linha 03'!$C$2:$ZZ$2,C304)</f>
        <v>Desinfetante Ito Lavanda Cx/06 X 2l</v>
      </c>
      <c r="H304" s="5" cm="1">
        <f t="array" ref="H304">INDEX('Linha 03'!$C$4:$ZZ$1000,B304,C304)</f>
        <v>0</v>
      </c>
    </row>
    <row r="305" spans="1:8" x14ac:dyDescent="0.25">
      <c r="A305">
        <v>303</v>
      </c>
      <c r="B305">
        <f t="shared" si="8"/>
        <v>8</v>
      </c>
      <c r="C305">
        <f t="shared" si="9"/>
        <v>16</v>
      </c>
      <c r="D305" cm="1">
        <f t="array" ref="D305">INDEX('Linha 03'!$A$4:$A$1000,B305)</f>
        <v>20040057</v>
      </c>
      <c r="E305" t="str" cm="1">
        <f t="array" ref="E305">INDEX('Linha 03'!$B$4:$B$1000,B305)</f>
        <v>Amaciante Myata Rosa Cx/06 X 2l</v>
      </c>
      <c r="F305" cm="1">
        <f t="array" ref="F305">INDEX('Linha 03'!$C$3:$ZZ$3,C305)</f>
        <v>20050032</v>
      </c>
      <c r="G305" t="str" cm="1">
        <f t="array" ref="G305">INDEX('Linha 03'!$C$2:$ZZ$2,C305)</f>
        <v>Desinfetante Ito Floral Cx/06 X 2l</v>
      </c>
      <c r="H305" s="5" cm="1">
        <f t="array" ref="H305">INDEX('Linha 03'!$C$4:$ZZ$1000,B305,C305)</f>
        <v>0</v>
      </c>
    </row>
    <row r="306" spans="1:8" x14ac:dyDescent="0.25">
      <c r="A306">
        <v>304</v>
      </c>
      <c r="B306">
        <f t="shared" si="8"/>
        <v>8</v>
      </c>
      <c r="C306">
        <f t="shared" si="9"/>
        <v>17</v>
      </c>
      <c r="D306" cm="1">
        <f t="array" ref="D306">INDEX('Linha 03'!$A$4:$A$1000,B306)</f>
        <v>20040057</v>
      </c>
      <c r="E306" t="str" cm="1">
        <f t="array" ref="E306">INDEX('Linha 03'!$B$4:$B$1000,B306)</f>
        <v>Amaciante Myata Rosa Cx/06 X 2l</v>
      </c>
      <c r="F306" cm="1">
        <f t="array" ref="F306">INDEX('Linha 03'!$C$3:$ZZ$3,C306)</f>
        <v>20050034</v>
      </c>
      <c r="G306" t="str" cm="1">
        <f t="array" ref="G306">INDEX('Linha 03'!$C$2:$ZZ$2,C306)</f>
        <v>Desinfetante Ito Eucalipto Cx/06 X 2l</v>
      </c>
      <c r="H306" s="5" cm="1">
        <f t="array" ref="H306">INDEX('Linha 03'!$C$4:$ZZ$1000,B306,C306)</f>
        <v>0</v>
      </c>
    </row>
    <row r="307" spans="1:8" x14ac:dyDescent="0.25">
      <c r="A307">
        <v>305</v>
      </c>
      <c r="B307">
        <f t="shared" si="8"/>
        <v>8</v>
      </c>
      <c r="C307">
        <f t="shared" si="9"/>
        <v>18</v>
      </c>
      <c r="D307" cm="1">
        <f t="array" ref="D307">INDEX('Linha 03'!$A$4:$A$1000,B307)</f>
        <v>20040057</v>
      </c>
      <c r="E307" t="str" cm="1">
        <f t="array" ref="E307">INDEX('Linha 03'!$B$4:$B$1000,B307)</f>
        <v>Amaciante Myata Rosa Cx/06 X 2l</v>
      </c>
      <c r="F307" cm="1">
        <f t="array" ref="F307">INDEX('Linha 03'!$C$3:$ZZ$3,C307)</f>
        <v>20050077</v>
      </c>
      <c r="G307" t="str" cm="1">
        <f t="array" ref="G307">INDEX('Linha 03'!$C$2:$ZZ$2,C307)</f>
        <v>Desinfetante Myata Lavanda Cx/06 X 2l</v>
      </c>
      <c r="H307" s="5" cm="1">
        <f t="array" ref="H307">INDEX('Linha 03'!$C$4:$ZZ$1000,B307,C307)</f>
        <v>0</v>
      </c>
    </row>
    <row r="308" spans="1:8" x14ac:dyDescent="0.25">
      <c r="A308">
        <v>306</v>
      </c>
      <c r="B308">
        <f t="shared" si="8"/>
        <v>8</v>
      </c>
      <c r="C308">
        <f t="shared" si="9"/>
        <v>19</v>
      </c>
      <c r="D308" cm="1">
        <f t="array" ref="D308">INDEX('Linha 03'!$A$4:$A$1000,B308)</f>
        <v>20040057</v>
      </c>
      <c r="E308" t="str" cm="1">
        <f t="array" ref="E308">INDEX('Linha 03'!$B$4:$B$1000,B308)</f>
        <v>Amaciante Myata Rosa Cx/06 X 2l</v>
      </c>
      <c r="F308" cm="1">
        <f t="array" ref="F308">INDEX('Linha 03'!$C$3:$ZZ$3,C308)</f>
        <v>20050078</v>
      </c>
      <c r="G308" t="str" cm="1">
        <f t="array" ref="G308">INDEX('Linha 03'!$C$2:$ZZ$2,C308)</f>
        <v>Desinfetante Myata Floral Cx/06 X 2l</v>
      </c>
      <c r="H308" s="5" cm="1">
        <f t="array" ref="H308">INDEX('Linha 03'!$C$4:$ZZ$1000,B308,C308)</f>
        <v>0</v>
      </c>
    </row>
    <row r="309" spans="1:8" x14ac:dyDescent="0.25">
      <c r="A309">
        <v>307</v>
      </c>
      <c r="B309">
        <f t="shared" si="8"/>
        <v>8</v>
      </c>
      <c r="C309">
        <f t="shared" si="9"/>
        <v>20</v>
      </c>
      <c r="D309" cm="1">
        <f t="array" ref="D309">INDEX('Linha 03'!$A$4:$A$1000,B309)</f>
        <v>20040057</v>
      </c>
      <c r="E309" t="str" cm="1">
        <f t="array" ref="E309">INDEX('Linha 03'!$B$4:$B$1000,B309)</f>
        <v>Amaciante Myata Rosa Cx/06 X 2l</v>
      </c>
      <c r="F309" cm="1">
        <f t="array" ref="F309">INDEX('Linha 03'!$C$3:$ZZ$3,C309)</f>
        <v>20050115</v>
      </c>
      <c r="G309" t="str" cm="1">
        <f t="array" ref="G309">INDEX('Linha 03'!$C$2:$ZZ$2,C309)</f>
        <v>Desinfetante Aquafast Paixao Cx/06 X 2l</v>
      </c>
      <c r="H309" s="5" cm="1">
        <f t="array" ref="H309">INDEX('Linha 03'!$C$4:$ZZ$1000,B309,C309)</f>
        <v>0</v>
      </c>
    </row>
    <row r="310" spans="1:8" x14ac:dyDescent="0.25">
      <c r="A310">
        <v>308</v>
      </c>
      <c r="B310">
        <f t="shared" si="8"/>
        <v>8</v>
      </c>
      <c r="C310">
        <f t="shared" si="9"/>
        <v>21</v>
      </c>
      <c r="D310" cm="1">
        <f t="array" ref="D310">INDEX('Linha 03'!$A$4:$A$1000,B310)</f>
        <v>20040057</v>
      </c>
      <c r="E310" t="str" cm="1">
        <f t="array" ref="E310">INDEX('Linha 03'!$B$4:$B$1000,B310)</f>
        <v>Amaciante Myata Rosa Cx/06 X 2l</v>
      </c>
      <c r="F310" cm="1">
        <f t="array" ref="F310">INDEX('Linha 03'!$C$3:$ZZ$3,C310)</f>
        <v>20050117</v>
      </c>
      <c r="G310" t="str" cm="1">
        <f t="array" ref="G310">INDEX('Linha 03'!$C$2:$ZZ$2,C310)</f>
        <v>Desinfetante Aquafast Harmonia Natural Cx/06 X 2l</v>
      </c>
      <c r="H310" s="5" cm="1">
        <f t="array" ref="H310">INDEX('Linha 03'!$C$4:$ZZ$1000,B310,C310)</f>
        <v>0</v>
      </c>
    </row>
    <row r="311" spans="1:8" x14ac:dyDescent="0.25">
      <c r="A311">
        <v>309</v>
      </c>
      <c r="B311">
        <f t="shared" si="8"/>
        <v>8</v>
      </c>
      <c r="C311">
        <f t="shared" si="9"/>
        <v>22</v>
      </c>
      <c r="D311" cm="1">
        <f t="array" ref="D311">INDEX('Linha 03'!$A$4:$A$1000,B311)</f>
        <v>20040057</v>
      </c>
      <c r="E311" t="str" cm="1">
        <f t="array" ref="E311">INDEX('Linha 03'!$B$4:$B$1000,B311)</f>
        <v>Amaciante Myata Rosa Cx/06 X 2l</v>
      </c>
      <c r="F311" cm="1">
        <f t="array" ref="F311">INDEX('Linha 03'!$C$3:$ZZ$3,C311)</f>
        <v>20050123</v>
      </c>
      <c r="G311" t="str" cm="1">
        <f t="array" ref="G311">INDEX('Linha 03'!$C$2:$ZZ$2,C311)</f>
        <v>Desinfetante Ito Harmonia Natural Cx/06 X 2l</v>
      </c>
      <c r="H311" s="5" cm="1">
        <f t="array" ref="H311">INDEX('Linha 03'!$C$4:$ZZ$1000,B311,C311)</f>
        <v>0</v>
      </c>
    </row>
    <row r="312" spans="1:8" x14ac:dyDescent="0.25">
      <c r="A312">
        <v>310</v>
      </c>
      <c r="B312">
        <f t="shared" si="8"/>
        <v>8</v>
      </c>
      <c r="C312">
        <f t="shared" si="9"/>
        <v>23</v>
      </c>
      <c r="D312" cm="1">
        <f t="array" ref="D312">INDEX('Linha 03'!$A$4:$A$1000,B312)</f>
        <v>20040057</v>
      </c>
      <c r="E312" t="str" cm="1">
        <f t="array" ref="E312">INDEX('Linha 03'!$B$4:$B$1000,B312)</f>
        <v>Amaciante Myata Rosa Cx/06 X 2l</v>
      </c>
      <c r="F312" cm="1">
        <f t="array" ref="F312">INDEX('Linha 03'!$C$3:$ZZ$3,C312)</f>
        <v>20050124</v>
      </c>
      <c r="G312" t="str" cm="1">
        <f t="array" ref="G312">INDEX('Linha 03'!$C$2:$ZZ$2,C312)</f>
        <v>Desinfetante Myata Harmonia Natural Cx/06 X 2l</v>
      </c>
      <c r="H312" s="5" cm="1">
        <f t="array" ref="H312">INDEX('Linha 03'!$C$4:$ZZ$1000,B312,C312)</f>
        <v>0</v>
      </c>
    </row>
    <row r="313" spans="1:8" x14ac:dyDescent="0.25">
      <c r="A313">
        <v>311</v>
      </c>
      <c r="B313">
        <f t="shared" si="8"/>
        <v>8</v>
      </c>
      <c r="C313">
        <f t="shared" si="9"/>
        <v>24</v>
      </c>
      <c r="D313" cm="1">
        <f t="array" ref="D313">INDEX('Linha 03'!$A$4:$A$1000,B313)</f>
        <v>20040057</v>
      </c>
      <c r="E313" t="str" cm="1">
        <f t="array" ref="E313">INDEX('Linha 03'!$B$4:$B$1000,B313)</f>
        <v>Amaciante Myata Rosa Cx/06 X 2l</v>
      </c>
      <c r="F313" cm="1">
        <f t="array" ref="F313">INDEX('Linha 03'!$C$3:$ZZ$3,C313)</f>
        <v>20050142</v>
      </c>
      <c r="G313" t="str" cm="1">
        <f t="array" ref="G313">INDEX('Linha 03'!$C$2:$ZZ$2,C313)</f>
        <v>Desinfetante Ito Marine Cx/06 X 2l</v>
      </c>
      <c r="H313" s="5" cm="1">
        <f t="array" ref="H313">INDEX('Linha 03'!$C$4:$ZZ$1000,B313,C313)</f>
        <v>0</v>
      </c>
    </row>
    <row r="314" spans="1:8" x14ac:dyDescent="0.25">
      <c r="A314">
        <v>312</v>
      </c>
      <c r="B314">
        <f t="shared" si="8"/>
        <v>8</v>
      </c>
      <c r="C314">
        <f t="shared" si="9"/>
        <v>25</v>
      </c>
      <c r="D314" cm="1">
        <f t="array" ref="D314">INDEX('Linha 03'!$A$4:$A$1000,B314)</f>
        <v>20040057</v>
      </c>
      <c r="E314" t="str" cm="1">
        <f t="array" ref="E314">INDEX('Linha 03'!$B$4:$B$1000,B314)</f>
        <v>Amaciante Myata Rosa Cx/06 X 2l</v>
      </c>
      <c r="F314" cm="1">
        <f t="array" ref="F314">INDEX('Linha 03'!$C$3:$ZZ$3,C314)</f>
        <v>20050159</v>
      </c>
      <c r="G314" t="str" cm="1">
        <f t="array" ref="G314">INDEX('Linha 03'!$C$2:$ZZ$2,C314)</f>
        <v>Desinfetante Aquafast Cha Branco Cx/06 X 2l</v>
      </c>
      <c r="H314" s="5" cm="1">
        <f t="array" ref="H314">INDEX('Linha 03'!$C$4:$ZZ$1000,B314,C314)</f>
        <v>1.38888888888889E-2</v>
      </c>
    </row>
    <row r="315" spans="1:8" x14ac:dyDescent="0.25">
      <c r="A315">
        <v>313</v>
      </c>
      <c r="B315">
        <f t="shared" si="8"/>
        <v>8</v>
      </c>
      <c r="C315">
        <f t="shared" si="9"/>
        <v>26</v>
      </c>
      <c r="D315" cm="1">
        <f t="array" ref="D315">INDEX('Linha 03'!$A$4:$A$1000,B315)</f>
        <v>20040057</v>
      </c>
      <c r="E315" t="str" cm="1">
        <f t="array" ref="E315">INDEX('Linha 03'!$B$4:$B$1000,B315)</f>
        <v>Amaciante Myata Rosa Cx/06 X 2l</v>
      </c>
      <c r="F315" cm="1">
        <f t="array" ref="F315">INDEX('Linha 03'!$C$3:$ZZ$3,C315)</f>
        <v>20060007</v>
      </c>
      <c r="G315" t="str" cm="1">
        <f t="array" ref="G315">INDEX('Linha 03'!$C$2:$ZZ$2,C315)</f>
        <v>Limp Perf Aquafast Magia Seducao Cx/06 X 2l (Promoc)</v>
      </c>
      <c r="H315" s="5" cm="1">
        <f t="array" ref="H315">INDEX('Linha 03'!$C$4:$ZZ$1000,B315,C315)</f>
        <v>0</v>
      </c>
    </row>
    <row r="316" spans="1:8" x14ac:dyDescent="0.25">
      <c r="A316">
        <v>314</v>
      </c>
      <c r="B316">
        <f t="shared" si="8"/>
        <v>8</v>
      </c>
      <c r="C316">
        <f t="shared" si="9"/>
        <v>27</v>
      </c>
      <c r="D316" cm="1">
        <f t="array" ref="D316">INDEX('Linha 03'!$A$4:$A$1000,B316)</f>
        <v>20040057</v>
      </c>
      <c r="E316" t="str" cm="1">
        <f t="array" ref="E316">INDEX('Linha 03'!$B$4:$B$1000,B316)</f>
        <v>Amaciante Myata Rosa Cx/06 X 2l</v>
      </c>
      <c r="F316" cm="1">
        <f t="array" ref="F316">INDEX('Linha 03'!$C$3:$ZZ$3,C316)</f>
        <v>20060009</v>
      </c>
      <c r="G316" t="str" cm="1">
        <f t="array" ref="G316">INDEX('Linha 03'!$C$2:$ZZ$2,C316)</f>
        <v>Limp Perf Aquafast Frescor Da Manha Cx/06 X 2l (Promoc)</v>
      </c>
      <c r="H316" s="5" cm="1">
        <f t="array" ref="H316">INDEX('Linha 03'!$C$4:$ZZ$1000,B316,C316)</f>
        <v>0</v>
      </c>
    </row>
    <row r="317" spans="1:8" x14ac:dyDescent="0.25">
      <c r="A317">
        <v>315</v>
      </c>
      <c r="B317">
        <f t="shared" si="8"/>
        <v>8</v>
      </c>
      <c r="C317">
        <f t="shared" si="9"/>
        <v>28</v>
      </c>
      <c r="D317" cm="1">
        <f t="array" ref="D317">INDEX('Linha 03'!$A$4:$A$1000,B317)</f>
        <v>20040057</v>
      </c>
      <c r="E317" t="str" cm="1">
        <f t="array" ref="E317">INDEX('Linha 03'!$B$4:$B$1000,B317)</f>
        <v>Amaciante Myata Rosa Cx/06 X 2l</v>
      </c>
      <c r="F317" cm="1">
        <f t="array" ref="F317">INDEX('Linha 03'!$C$3:$ZZ$3,C317)</f>
        <v>20060017</v>
      </c>
      <c r="G317" t="str" cm="1">
        <f t="array" ref="G317">INDEX('Linha 03'!$C$2:$ZZ$2,C317)</f>
        <v>Limp Perf Aquafast Doce Romance Cx/06 X 2l (Promoc)</v>
      </c>
      <c r="H317" s="5" cm="1">
        <f t="array" ref="H317">INDEX('Linha 03'!$C$4:$ZZ$1000,B317,C317)</f>
        <v>0</v>
      </c>
    </row>
    <row r="318" spans="1:8" x14ac:dyDescent="0.25">
      <c r="A318">
        <v>316</v>
      </c>
      <c r="B318">
        <f t="shared" si="8"/>
        <v>8</v>
      </c>
      <c r="C318">
        <f t="shared" si="9"/>
        <v>29</v>
      </c>
      <c r="D318" cm="1">
        <f t="array" ref="D318">INDEX('Linha 03'!$A$4:$A$1000,B318)</f>
        <v>20040057</v>
      </c>
      <c r="E318" t="str" cm="1">
        <f t="array" ref="E318">INDEX('Linha 03'!$B$4:$B$1000,B318)</f>
        <v>Amaciante Myata Rosa Cx/06 X 2l</v>
      </c>
      <c r="F318" cm="1">
        <f t="array" ref="F318">INDEX('Linha 03'!$C$3:$ZZ$3,C318)</f>
        <v>20060028</v>
      </c>
      <c r="G318" t="str" cm="1">
        <f t="array" ref="G318">INDEX('Linha 03'!$C$2:$ZZ$2,C318)</f>
        <v>Limp Perf Aquafast Essencia Natural Cx06 X 2l</v>
      </c>
      <c r="H318" s="5" cm="1">
        <f t="array" ref="H318">INDEX('Linha 03'!$C$4:$ZZ$1000,B318,C318)</f>
        <v>0</v>
      </c>
    </row>
    <row r="319" spans="1:8" x14ac:dyDescent="0.25">
      <c r="A319">
        <v>317</v>
      </c>
      <c r="B319">
        <f t="shared" si="8"/>
        <v>8</v>
      </c>
      <c r="C319">
        <f t="shared" si="9"/>
        <v>30</v>
      </c>
      <c r="D319" cm="1">
        <f t="array" ref="D319">INDEX('Linha 03'!$A$4:$A$1000,B319)</f>
        <v>20040057</v>
      </c>
      <c r="E319" t="str" cm="1">
        <f t="array" ref="E319">INDEX('Linha 03'!$B$4:$B$1000,B319)</f>
        <v>Amaciante Myata Rosa Cx/06 X 2l</v>
      </c>
      <c r="F319" cm="1">
        <f t="array" ref="F319">INDEX('Linha 03'!$C$3:$ZZ$3,C319)</f>
        <v>20200003</v>
      </c>
      <c r="G319" t="str" cm="1">
        <f t="array" ref="G319">INDEX('Linha 03'!$C$2:$ZZ$2,C319)</f>
        <v>Lava Roup. Aquafast Baby Cx/12 X 1l</v>
      </c>
      <c r="H319" s="5" cm="1">
        <f t="array" ref="H319">INDEX('Linha 03'!$C$4:$ZZ$1000,B319,C319)</f>
        <v>0</v>
      </c>
    </row>
    <row r="320" spans="1:8" x14ac:dyDescent="0.25">
      <c r="A320">
        <v>318</v>
      </c>
      <c r="B320">
        <f t="shared" si="8"/>
        <v>8</v>
      </c>
      <c r="C320">
        <f t="shared" si="9"/>
        <v>31</v>
      </c>
      <c r="D320" cm="1">
        <f t="array" ref="D320">INDEX('Linha 03'!$A$4:$A$1000,B320)</f>
        <v>20040057</v>
      </c>
      <c r="E320" t="str" cm="1">
        <f t="array" ref="E320">INDEX('Linha 03'!$B$4:$B$1000,B320)</f>
        <v>Amaciante Myata Rosa Cx/06 X 2l</v>
      </c>
      <c r="F320" cm="1">
        <f t="array" ref="F320">INDEX('Linha 03'!$C$3:$ZZ$3,C320)</f>
        <v>20200005</v>
      </c>
      <c r="G320" t="str" cm="1">
        <f t="array" ref="G320">INDEX('Linha 03'!$C$2:$ZZ$2,C320)</f>
        <v>Lava Roupas Aquafast Multi Acao Cx/06 X 2l</v>
      </c>
      <c r="H320" s="5" cm="1">
        <f t="array" ref="H320">INDEX('Linha 03'!$C$4:$ZZ$1000,B320,C320)</f>
        <v>0</v>
      </c>
    </row>
    <row r="321" spans="1:8" x14ac:dyDescent="0.25">
      <c r="A321">
        <v>319</v>
      </c>
      <c r="B321">
        <f t="shared" si="8"/>
        <v>8</v>
      </c>
      <c r="C321">
        <f t="shared" si="9"/>
        <v>32</v>
      </c>
      <c r="D321" cm="1">
        <f t="array" ref="D321">INDEX('Linha 03'!$A$4:$A$1000,B321)</f>
        <v>20040057</v>
      </c>
      <c r="E321" t="str" cm="1">
        <f t="array" ref="E321">INDEX('Linha 03'!$B$4:$B$1000,B321)</f>
        <v>Amaciante Myata Rosa Cx/06 X 2l</v>
      </c>
      <c r="F321" cm="1">
        <f t="array" ref="F321">INDEX('Linha 03'!$C$3:$ZZ$3,C321)</f>
        <v>20200006</v>
      </c>
      <c r="G321" t="str" cm="1">
        <f t="array" ref="G321">INDEX('Linha 03'!$C$2:$ZZ$2,C321)</f>
        <v>Lava Roupas Aquafast Glicerina Cx/06 X 2l</v>
      </c>
      <c r="H321" s="5" cm="1">
        <f t="array" ref="H321">INDEX('Linha 03'!$C$4:$ZZ$1000,B321,C321)</f>
        <v>0</v>
      </c>
    </row>
    <row r="322" spans="1:8" x14ac:dyDescent="0.25">
      <c r="A322">
        <v>320</v>
      </c>
      <c r="B322">
        <f t="shared" si="8"/>
        <v>8</v>
      </c>
      <c r="C322">
        <f t="shared" si="9"/>
        <v>33</v>
      </c>
      <c r="D322" cm="1">
        <f t="array" ref="D322">INDEX('Linha 03'!$A$4:$A$1000,B322)</f>
        <v>20040057</v>
      </c>
      <c r="E322" t="str" cm="1">
        <f t="array" ref="E322">INDEX('Linha 03'!$B$4:$B$1000,B322)</f>
        <v>Amaciante Myata Rosa Cx/06 X 2l</v>
      </c>
      <c r="F322" cm="1">
        <f t="array" ref="F322">INDEX('Linha 03'!$C$3:$ZZ$3,C322)</f>
        <v>20200015</v>
      </c>
      <c r="G322" t="str" cm="1">
        <f t="array" ref="G322">INDEX('Linha 03'!$C$2:$ZZ$2,C322)</f>
        <v>Lava Roup. Aquafast Multiacao Cx/12 X 1l</v>
      </c>
      <c r="H322" s="5" cm="1">
        <f t="array" ref="H322">INDEX('Linha 03'!$C$4:$ZZ$1000,B322,C322)</f>
        <v>0</v>
      </c>
    </row>
    <row r="323" spans="1:8" x14ac:dyDescent="0.25">
      <c r="A323">
        <v>321</v>
      </c>
      <c r="B323">
        <f t="shared" si="8"/>
        <v>8</v>
      </c>
      <c r="C323">
        <f t="shared" si="9"/>
        <v>34</v>
      </c>
      <c r="D323" cm="1">
        <f t="array" ref="D323">INDEX('Linha 03'!$A$4:$A$1000,B323)</f>
        <v>20040057</v>
      </c>
      <c r="E323" t="str" cm="1">
        <f t="array" ref="E323">INDEX('Linha 03'!$B$4:$B$1000,B323)</f>
        <v>Amaciante Myata Rosa Cx/06 X 2l</v>
      </c>
      <c r="F323" cm="1">
        <f t="array" ref="F323">INDEX('Linha 03'!$C$3:$ZZ$3,C323)</f>
        <v>20200036</v>
      </c>
      <c r="G323" t="str" cm="1">
        <f t="array" ref="G323">INDEX('Linha 03'!$C$2:$ZZ$2,C323)</f>
        <v>Lava Roupas Aquafast Ternura Cx/06 X 2l</v>
      </c>
      <c r="H323" s="5" cm="1">
        <f t="array" ref="H323">INDEX('Linha 03'!$C$4:$ZZ$1000,B323,C323)</f>
        <v>0</v>
      </c>
    </row>
    <row r="324" spans="1:8" x14ac:dyDescent="0.25">
      <c r="A324">
        <v>322</v>
      </c>
      <c r="B324">
        <f t="shared" ref="B324:B387" si="10">INT((A324-1)/$B$1)+1</f>
        <v>8</v>
      </c>
      <c r="C324">
        <f t="shared" ref="C324:C387" si="11">MOD(A324-1,$B$1)+1</f>
        <v>35</v>
      </c>
      <c r="D324" cm="1">
        <f t="array" ref="D324">INDEX('Linha 03'!$A$4:$A$1000,B324)</f>
        <v>20040057</v>
      </c>
      <c r="E324" t="str" cm="1">
        <f t="array" ref="E324">INDEX('Linha 03'!$B$4:$B$1000,B324)</f>
        <v>Amaciante Myata Rosa Cx/06 X 2l</v>
      </c>
      <c r="F324" cm="1">
        <f t="array" ref="F324">INDEX('Linha 03'!$C$3:$ZZ$3,C324)</f>
        <v>20200063</v>
      </c>
      <c r="G324" t="str" cm="1">
        <f t="array" ref="G324">INDEX('Linha 03'!$C$2:$ZZ$2,C324)</f>
        <v>Lava Roup. Aquafast Tradicional Cx/12 X 1l</v>
      </c>
      <c r="H324" s="5" cm="1">
        <f t="array" ref="H324">INDEX('Linha 03'!$C$4:$ZZ$1000,B324,C324)</f>
        <v>0</v>
      </c>
    </row>
    <row r="325" spans="1:8" x14ac:dyDescent="0.25">
      <c r="A325">
        <v>323</v>
      </c>
      <c r="B325">
        <f t="shared" si="10"/>
        <v>8</v>
      </c>
      <c r="C325">
        <f t="shared" si="11"/>
        <v>36</v>
      </c>
      <c r="D325" cm="1">
        <f t="array" ref="D325">INDEX('Linha 03'!$A$4:$A$1000,B325)</f>
        <v>20040057</v>
      </c>
      <c r="E325" t="str" cm="1">
        <f t="array" ref="E325">INDEX('Linha 03'!$B$4:$B$1000,B325)</f>
        <v>Amaciante Myata Rosa Cx/06 X 2l</v>
      </c>
      <c r="F325" cm="1">
        <f t="array" ref="F325">INDEX('Linha 03'!$C$3:$ZZ$3,C325)</f>
        <v>20200064</v>
      </c>
      <c r="G325" t="str" cm="1">
        <f t="array" ref="G325">INDEX('Linha 03'!$C$2:$ZZ$2,C325)</f>
        <v>Lava Roup. Aquafast Flores B. E Baunilha Cx/12 X 1l</v>
      </c>
      <c r="H325" s="5" cm="1">
        <f t="array" ref="H325">INDEX('Linha 03'!$C$4:$ZZ$1000,B325,C325)</f>
        <v>0</v>
      </c>
    </row>
    <row r="326" spans="1:8" x14ac:dyDescent="0.25">
      <c r="A326">
        <v>324</v>
      </c>
      <c r="B326">
        <f t="shared" si="10"/>
        <v>8</v>
      </c>
      <c r="C326">
        <f t="shared" si="11"/>
        <v>37</v>
      </c>
      <c r="D326" cm="1">
        <f t="array" ref="D326">INDEX('Linha 03'!$A$4:$A$1000,B326)</f>
        <v>20040057</v>
      </c>
      <c r="E326" t="str" cm="1">
        <f t="array" ref="E326">INDEX('Linha 03'!$B$4:$B$1000,B326)</f>
        <v>Amaciante Myata Rosa Cx/06 X 2l</v>
      </c>
      <c r="F326" cm="1">
        <f t="array" ref="F326">INDEX('Linha 03'!$C$3:$ZZ$3,C326)</f>
        <v>20200065</v>
      </c>
      <c r="G326" t="str" cm="1">
        <f t="array" ref="G326">INDEX('Linha 03'!$C$2:$ZZ$2,C326)</f>
        <v>Lava Roupas Aquafast Flores B. E Baunilha Cx/06 X 2l</v>
      </c>
      <c r="H326" s="5" cm="1">
        <f t="array" ref="H326">INDEX('Linha 03'!$C$4:$ZZ$1000,B326,C326)</f>
        <v>0</v>
      </c>
    </row>
    <row r="327" spans="1:8" x14ac:dyDescent="0.25">
      <c r="A327">
        <v>325</v>
      </c>
      <c r="B327">
        <f t="shared" si="10"/>
        <v>8</v>
      </c>
      <c r="C327">
        <f t="shared" si="11"/>
        <v>38</v>
      </c>
      <c r="D327" cm="1">
        <f t="array" ref="D327">INDEX('Linha 03'!$A$4:$A$1000,B327)</f>
        <v>20040057</v>
      </c>
      <c r="E327" t="str" cm="1">
        <f t="array" ref="E327">INDEX('Linha 03'!$B$4:$B$1000,B327)</f>
        <v>Amaciante Myata Rosa Cx/06 X 2l</v>
      </c>
      <c r="F327" cm="1">
        <f t="array" ref="F327">INDEX('Linha 03'!$C$3:$ZZ$3,C327)</f>
        <v>20200072</v>
      </c>
      <c r="G327" t="str" cm="1">
        <f t="array" ref="G327">INDEX('Linha 03'!$C$2:$ZZ$2,C327)</f>
        <v>Lava Roupas Aquafast Lavagem Rapida Total Clean Cx/12 X 1l</v>
      </c>
      <c r="H327" s="5" cm="1">
        <f t="array" ref="H327">INDEX('Linha 03'!$C$4:$ZZ$1000,B327,C327)</f>
        <v>0</v>
      </c>
    </row>
    <row r="328" spans="1:8" x14ac:dyDescent="0.25">
      <c r="A328">
        <v>326</v>
      </c>
      <c r="B328">
        <f t="shared" si="10"/>
        <v>8</v>
      </c>
      <c r="C328">
        <f t="shared" si="11"/>
        <v>39</v>
      </c>
      <c r="D328" cm="1">
        <f t="array" ref="D328">INDEX('Linha 03'!$A$4:$A$1000,B328)</f>
        <v>20040057</v>
      </c>
      <c r="E328" t="str" cm="1">
        <f t="array" ref="E328">INDEX('Linha 03'!$B$4:$B$1000,B328)</f>
        <v>Amaciante Myata Rosa Cx/06 X 2l</v>
      </c>
      <c r="F328" cm="1">
        <f t="array" ref="F328">INDEX('Linha 03'!$C$3:$ZZ$3,C328)</f>
        <v>20200074</v>
      </c>
      <c r="G328" t="str" cm="1">
        <f t="array" ref="G328">INDEX('Linha 03'!$C$2:$ZZ$2,C328)</f>
        <v>Lava Roupas Aquafast Lavagem Rapida Fresh Clean Cx/12 X 1l</v>
      </c>
      <c r="H328" s="5" cm="1">
        <f t="array" ref="H328">INDEX('Linha 03'!$C$4:$ZZ$1000,B328,C328)</f>
        <v>0</v>
      </c>
    </row>
    <row r="329" spans="1:8" x14ac:dyDescent="0.25">
      <c r="A329">
        <v>327</v>
      </c>
      <c r="B329">
        <f t="shared" si="10"/>
        <v>8</v>
      </c>
      <c r="C329">
        <f t="shared" si="11"/>
        <v>40</v>
      </c>
      <c r="D329" cm="1">
        <f t="array" ref="D329">INDEX('Linha 03'!$A$4:$A$1000,B329)</f>
        <v>20040057</v>
      </c>
      <c r="E329" t="str" cm="1">
        <f t="array" ref="E329">INDEX('Linha 03'!$B$4:$B$1000,B329)</f>
        <v>Amaciante Myata Rosa Cx/06 X 2l</v>
      </c>
      <c r="F329" cm="1">
        <f t="array" ref="F329">INDEX('Linha 03'!$C$3:$ZZ$3,C329)</f>
        <v>20250005</v>
      </c>
      <c r="G329" t="str" cm="1">
        <f t="array" ref="G329">INDEX('Linha 03'!$C$2:$ZZ$2,C329)</f>
        <v>Neutralizador De Odores Aquafast Floral Cx/06 X 2l</v>
      </c>
      <c r="H329" s="5" cm="1">
        <f t="array" ref="H329">INDEX('Linha 03'!$C$4:$ZZ$1000,B329,C329)</f>
        <v>0</v>
      </c>
    </row>
    <row r="330" spans="1:8" x14ac:dyDescent="0.25">
      <c r="A330">
        <v>328</v>
      </c>
      <c r="B330">
        <f t="shared" si="10"/>
        <v>8</v>
      </c>
      <c r="C330">
        <f t="shared" si="11"/>
        <v>41</v>
      </c>
      <c r="D330" cm="1">
        <f t="array" ref="D330">INDEX('Linha 03'!$A$4:$A$1000,B330)</f>
        <v>20040057</v>
      </c>
      <c r="E330" t="str" cm="1">
        <f t="array" ref="E330">INDEX('Linha 03'!$B$4:$B$1000,B330)</f>
        <v>Amaciante Myata Rosa Cx/06 X 2l</v>
      </c>
      <c r="F330" cm="1">
        <f t="array" ref="F330">INDEX('Linha 03'!$C$3:$ZZ$3,C330)</f>
        <v>20250007</v>
      </c>
      <c r="G330" t="str" cm="1">
        <f t="array" ref="G330">INDEX('Linha 03'!$C$2:$ZZ$2,C330)</f>
        <v>Neutralizador De Odores Aquafast Marine Cx/06 2l</v>
      </c>
      <c r="H330" s="5" cm="1">
        <f t="array" ref="H330">INDEX('Linha 03'!$C$4:$ZZ$1000,B330,C330)</f>
        <v>0</v>
      </c>
    </row>
    <row r="331" spans="1:8" x14ac:dyDescent="0.25">
      <c r="A331">
        <v>329</v>
      </c>
      <c r="B331">
        <f t="shared" si="10"/>
        <v>9</v>
      </c>
      <c r="C331">
        <f t="shared" si="11"/>
        <v>1</v>
      </c>
      <c r="D331" cm="1">
        <f t="array" ref="D331">INDEX('Linha 03'!$A$4:$A$1000,B331)</f>
        <v>20040084</v>
      </c>
      <c r="E331" t="str" cm="1">
        <f t="array" ref="E331">INDEX('Linha 03'!$B$4:$B$1000,B331)</f>
        <v>Amaciante Aquafast Vermelho Seducao Cx C/06 X 2l</v>
      </c>
      <c r="F331" cm="1">
        <f t="array" ref="F331">INDEX('Linha 03'!$C$3:$ZZ$3,C331)</f>
        <v>20040006</v>
      </c>
      <c r="G331" t="str" cm="1">
        <f t="array" ref="G331">INDEX('Linha 03'!$C$2:$ZZ$2,C331)</f>
        <v>Amaciante Aquafast Azul Fresc. Manha Cx/06 X 2l</v>
      </c>
      <c r="H331" s="5" cm="1">
        <f t="array" ref="H331">INDEX('Linha 03'!$C$4:$ZZ$1000,B331,C331)</f>
        <v>0</v>
      </c>
    </row>
    <row r="332" spans="1:8" x14ac:dyDescent="0.25">
      <c r="A332">
        <v>330</v>
      </c>
      <c r="B332">
        <f t="shared" si="10"/>
        <v>9</v>
      </c>
      <c r="C332">
        <f t="shared" si="11"/>
        <v>2</v>
      </c>
      <c r="D332" cm="1">
        <f t="array" ref="D332">INDEX('Linha 03'!$A$4:$A$1000,B332)</f>
        <v>20040084</v>
      </c>
      <c r="E332" t="str" cm="1">
        <f t="array" ref="E332">INDEX('Linha 03'!$B$4:$B$1000,B332)</f>
        <v>Amaciante Aquafast Vermelho Seducao Cx C/06 X 2l</v>
      </c>
      <c r="F332" cm="1">
        <f t="array" ref="F332">INDEX('Linha 03'!$C$3:$ZZ$3,C332)</f>
        <v>20040008</v>
      </c>
      <c r="G332" t="str" cm="1">
        <f t="array" ref="G332">INDEX('Linha 03'!$C$2:$ZZ$2,C332)</f>
        <v>Amaciante Aquafast Rosa Jard. Florid Cx/06 X 2l</v>
      </c>
      <c r="H332" s="5" cm="1">
        <f t="array" ref="H332">INDEX('Linha 03'!$C$4:$ZZ$1000,B332,C332)</f>
        <v>1.0416666666666666E-2</v>
      </c>
    </row>
    <row r="333" spans="1:8" x14ac:dyDescent="0.25">
      <c r="A333">
        <v>331</v>
      </c>
      <c r="B333">
        <f t="shared" si="10"/>
        <v>9</v>
      </c>
      <c r="C333">
        <f t="shared" si="11"/>
        <v>3</v>
      </c>
      <c r="D333" cm="1">
        <f t="array" ref="D333">INDEX('Linha 03'!$A$4:$A$1000,B333)</f>
        <v>20040084</v>
      </c>
      <c r="E333" t="str" cm="1">
        <f t="array" ref="E333">INDEX('Linha 03'!$B$4:$B$1000,B333)</f>
        <v>Amaciante Aquafast Vermelho Seducao Cx C/06 X 2l</v>
      </c>
      <c r="F333" cm="1">
        <f t="array" ref="F333">INDEX('Linha 03'!$C$3:$ZZ$3,C333)</f>
        <v>20040009</v>
      </c>
      <c r="G333" t="str" cm="1">
        <f t="array" ref="G333">INDEX('Linha 03'!$C$2:$ZZ$2,C333)</f>
        <v>Amaciante Aquafast Branco Pura Caric. Cx/06 X 2l</v>
      </c>
      <c r="H333" s="5" cm="1">
        <f t="array" ref="H333">INDEX('Linha 03'!$C$4:$ZZ$1000,B333,C333)</f>
        <v>0</v>
      </c>
    </row>
    <row r="334" spans="1:8" x14ac:dyDescent="0.25">
      <c r="A334">
        <v>332</v>
      </c>
      <c r="B334">
        <f t="shared" si="10"/>
        <v>9</v>
      </c>
      <c r="C334">
        <f t="shared" si="11"/>
        <v>4</v>
      </c>
      <c r="D334" cm="1">
        <f t="array" ref="D334">INDEX('Linha 03'!$A$4:$A$1000,B334)</f>
        <v>20040084</v>
      </c>
      <c r="E334" t="str" cm="1">
        <f t="array" ref="E334">INDEX('Linha 03'!$B$4:$B$1000,B334)</f>
        <v>Amaciante Aquafast Vermelho Seducao Cx C/06 X 2l</v>
      </c>
      <c r="F334" cm="1">
        <f t="array" ref="F334">INDEX('Linha 03'!$C$3:$ZZ$3,C334)</f>
        <v>20040026</v>
      </c>
      <c r="G334" t="str" cm="1">
        <f t="array" ref="G334">INDEX('Linha 03'!$C$2:$ZZ$2,C334)</f>
        <v>Amaciante Ito Azul Cx/06 X 2l</v>
      </c>
      <c r="H334" s="5" cm="1">
        <f t="array" ref="H334">INDEX('Linha 03'!$C$4:$ZZ$1000,B334,C334)</f>
        <v>0</v>
      </c>
    </row>
    <row r="335" spans="1:8" x14ac:dyDescent="0.25">
      <c r="A335">
        <v>333</v>
      </c>
      <c r="B335">
        <f t="shared" si="10"/>
        <v>9</v>
      </c>
      <c r="C335">
        <f t="shared" si="11"/>
        <v>5</v>
      </c>
      <c r="D335" cm="1">
        <f t="array" ref="D335">INDEX('Linha 03'!$A$4:$A$1000,B335)</f>
        <v>20040084</v>
      </c>
      <c r="E335" t="str" cm="1">
        <f t="array" ref="E335">INDEX('Linha 03'!$B$4:$B$1000,B335)</f>
        <v>Amaciante Aquafast Vermelho Seducao Cx C/06 X 2l</v>
      </c>
      <c r="F335" cm="1">
        <f t="array" ref="F335">INDEX('Linha 03'!$C$3:$ZZ$3,C335)</f>
        <v>20040028</v>
      </c>
      <c r="G335" t="str" cm="1">
        <f t="array" ref="G335">INDEX('Linha 03'!$C$2:$ZZ$2,C335)</f>
        <v>Amaciante Ito Rosa Cx/06 X 2l</v>
      </c>
      <c r="H335" s="5" cm="1">
        <f t="array" ref="H335">INDEX('Linha 03'!$C$4:$ZZ$1000,B335,C335)</f>
        <v>0</v>
      </c>
    </row>
    <row r="336" spans="1:8" x14ac:dyDescent="0.25">
      <c r="A336">
        <v>334</v>
      </c>
      <c r="B336">
        <f t="shared" si="10"/>
        <v>9</v>
      </c>
      <c r="C336">
        <f t="shared" si="11"/>
        <v>6</v>
      </c>
      <c r="D336" cm="1">
        <f t="array" ref="D336">INDEX('Linha 03'!$A$4:$A$1000,B336)</f>
        <v>20040084</v>
      </c>
      <c r="E336" t="str" cm="1">
        <f t="array" ref="E336">INDEX('Linha 03'!$B$4:$B$1000,B336)</f>
        <v>Amaciante Aquafast Vermelho Seducao Cx C/06 X 2l</v>
      </c>
      <c r="F336" cm="1">
        <f t="array" ref="F336">INDEX('Linha 03'!$C$3:$ZZ$3,C336)</f>
        <v>20040029</v>
      </c>
      <c r="G336" t="str" cm="1">
        <f t="array" ref="G336">INDEX('Linha 03'!$C$2:$ZZ$2,C336)</f>
        <v>Amaciante Ito Branco Cx/06 X 2l</v>
      </c>
      <c r="H336" s="5" cm="1">
        <f t="array" ref="H336">INDEX('Linha 03'!$C$4:$ZZ$1000,B336,C336)</f>
        <v>0</v>
      </c>
    </row>
    <row r="337" spans="1:8" x14ac:dyDescent="0.25">
      <c r="A337">
        <v>335</v>
      </c>
      <c r="B337">
        <f t="shared" si="10"/>
        <v>9</v>
      </c>
      <c r="C337">
        <f t="shared" si="11"/>
        <v>7</v>
      </c>
      <c r="D337" cm="1">
        <f t="array" ref="D337">INDEX('Linha 03'!$A$4:$A$1000,B337)</f>
        <v>20040084</v>
      </c>
      <c r="E337" t="str" cm="1">
        <f t="array" ref="E337">INDEX('Linha 03'!$B$4:$B$1000,B337)</f>
        <v>Amaciante Aquafast Vermelho Seducao Cx C/06 X 2l</v>
      </c>
      <c r="F337" cm="1">
        <f t="array" ref="F337">INDEX('Linha 03'!$C$3:$ZZ$3,C337)</f>
        <v>20040055</v>
      </c>
      <c r="G337" t="str" cm="1">
        <f t="array" ref="G337">INDEX('Linha 03'!$C$2:$ZZ$2,C337)</f>
        <v>Amaciante Myata Azul Cx/06 X 2l</v>
      </c>
      <c r="H337" s="5" cm="1">
        <f t="array" ref="H337">INDEX('Linha 03'!$C$4:$ZZ$1000,B337,C337)</f>
        <v>0</v>
      </c>
    </row>
    <row r="338" spans="1:8" x14ac:dyDescent="0.25">
      <c r="A338">
        <v>336</v>
      </c>
      <c r="B338">
        <f t="shared" si="10"/>
        <v>9</v>
      </c>
      <c r="C338">
        <f t="shared" si="11"/>
        <v>8</v>
      </c>
      <c r="D338" cm="1">
        <f t="array" ref="D338">INDEX('Linha 03'!$A$4:$A$1000,B338)</f>
        <v>20040084</v>
      </c>
      <c r="E338" t="str" cm="1">
        <f t="array" ref="E338">INDEX('Linha 03'!$B$4:$B$1000,B338)</f>
        <v>Amaciante Aquafast Vermelho Seducao Cx C/06 X 2l</v>
      </c>
      <c r="F338" cm="1">
        <f t="array" ref="F338">INDEX('Linha 03'!$C$3:$ZZ$3,C338)</f>
        <v>20040057</v>
      </c>
      <c r="G338" t="str" cm="1">
        <f t="array" ref="G338">INDEX('Linha 03'!$C$2:$ZZ$2,C338)</f>
        <v>Amaciante Myata Rosa Cx/06 X 2l</v>
      </c>
      <c r="H338" s="5" cm="1">
        <f t="array" ref="H338">INDEX('Linha 03'!$C$4:$ZZ$1000,B338,C338)</f>
        <v>0</v>
      </c>
    </row>
    <row r="339" spans="1:8" x14ac:dyDescent="0.25">
      <c r="A339">
        <v>337</v>
      </c>
      <c r="B339">
        <f t="shared" si="10"/>
        <v>9</v>
      </c>
      <c r="C339">
        <f t="shared" si="11"/>
        <v>9</v>
      </c>
      <c r="D339" cm="1">
        <f t="array" ref="D339">INDEX('Linha 03'!$A$4:$A$1000,B339)</f>
        <v>20040084</v>
      </c>
      <c r="E339" t="str" cm="1">
        <f t="array" ref="E339">INDEX('Linha 03'!$B$4:$B$1000,B339)</f>
        <v>Amaciante Aquafast Vermelho Seducao Cx C/06 X 2l</v>
      </c>
      <c r="F339" cm="1">
        <f t="array" ref="F339">INDEX('Linha 03'!$C$3:$ZZ$3,C339)</f>
        <v>20040084</v>
      </c>
      <c r="G339" t="str" cm="1">
        <f t="array" ref="G339">INDEX('Linha 03'!$C$2:$ZZ$2,C339)</f>
        <v>Amaciante Aquafast Vermelho Seducao Cx C/06 X 2l</v>
      </c>
      <c r="H339" s="5" cm="1">
        <f t="array" ref="H339">INDEX('Linha 03'!$C$4:$ZZ$1000,B339,C339)</f>
        <v>0</v>
      </c>
    </row>
    <row r="340" spans="1:8" x14ac:dyDescent="0.25">
      <c r="A340">
        <v>338</v>
      </c>
      <c r="B340">
        <f t="shared" si="10"/>
        <v>9</v>
      </c>
      <c r="C340">
        <f t="shared" si="11"/>
        <v>10</v>
      </c>
      <c r="D340" cm="1">
        <f t="array" ref="D340">INDEX('Linha 03'!$A$4:$A$1000,B340)</f>
        <v>20040084</v>
      </c>
      <c r="E340" t="str" cm="1">
        <f t="array" ref="E340">INDEX('Linha 03'!$B$4:$B$1000,B340)</f>
        <v>Amaciante Aquafast Vermelho Seducao Cx C/06 X 2l</v>
      </c>
      <c r="F340" cm="1">
        <f t="array" ref="F340">INDEX('Linha 03'!$C$3:$ZZ$3,C340)</f>
        <v>20040089</v>
      </c>
      <c r="G340" t="str" cm="1">
        <f t="array" ref="G340">INDEX('Linha 03'!$C$2:$ZZ$2,C340)</f>
        <v>Amaciante Aquafast Roxo Magia Cx/06 X 2l</v>
      </c>
      <c r="H340" s="5" cm="1">
        <f t="array" ref="H340">INDEX('Linha 03'!$C$4:$ZZ$1000,B340,C340)</f>
        <v>0</v>
      </c>
    </row>
    <row r="341" spans="1:8" x14ac:dyDescent="0.25">
      <c r="A341">
        <v>339</v>
      </c>
      <c r="B341">
        <f t="shared" si="10"/>
        <v>9</v>
      </c>
      <c r="C341">
        <f t="shared" si="11"/>
        <v>11</v>
      </c>
      <c r="D341" cm="1">
        <f t="array" ref="D341">INDEX('Linha 03'!$A$4:$A$1000,B341)</f>
        <v>20040084</v>
      </c>
      <c r="E341" t="str" cm="1">
        <f t="array" ref="E341">INDEX('Linha 03'!$B$4:$B$1000,B341)</f>
        <v>Amaciante Aquafast Vermelho Seducao Cx C/06 X 2l</v>
      </c>
      <c r="F341" cm="1">
        <f t="array" ref="F341">INDEX('Linha 03'!$C$3:$ZZ$3,C341)</f>
        <v>20040094</v>
      </c>
      <c r="G341" t="str" cm="1">
        <f t="array" ref="G341">INDEX('Linha 03'!$C$2:$ZZ$2,C341)</f>
        <v>Amaciante Aquafast Energia Cx/06 X 2l</v>
      </c>
      <c r="H341" s="5" cm="1">
        <f t="array" ref="H341">INDEX('Linha 03'!$C$4:$ZZ$1000,B341,C341)</f>
        <v>0</v>
      </c>
    </row>
    <row r="342" spans="1:8" x14ac:dyDescent="0.25">
      <c r="A342">
        <v>340</v>
      </c>
      <c r="B342">
        <f t="shared" si="10"/>
        <v>9</v>
      </c>
      <c r="C342">
        <f t="shared" si="11"/>
        <v>12</v>
      </c>
      <c r="D342" cm="1">
        <f t="array" ref="D342">INDEX('Linha 03'!$A$4:$A$1000,B342)</f>
        <v>20040084</v>
      </c>
      <c r="E342" t="str" cm="1">
        <f t="array" ref="E342">INDEX('Linha 03'!$B$4:$B$1000,B342)</f>
        <v>Amaciante Aquafast Vermelho Seducao Cx C/06 X 2l</v>
      </c>
      <c r="F342" cm="1">
        <f t="array" ref="F342">INDEX('Linha 03'!$C$3:$ZZ$3,C342)</f>
        <v>20050010</v>
      </c>
      <c r="G342" t="str" cm="1">
        <f t="array" ref="G342">INDEX('Linha 03'!$C$2:$ZZ$2,C342)</f>
        <v>Desinfetante Aquafast Campos Lavanda Cx/06 X 2l</v>
      </c>
      <c r="H342" s="5" cm="1">
        <f t="array" ref="H342">INDEX('Linha 03'!$C$4:$ZZ$1000,B342,C342)</f>
        <v>0</v>
      </c>
    </row>
    <row r="343" spans="1:8" x14ac:dyDescent="0.25">
      <c r="A343">
        <v>341</v>
      </c>
      <c r="B343">
        <f t="shared" si="10"/>
        <v>9</v>
      </c>
      <c r="C343">
        <f t="shared" si="11"/>
        <v>13</v>
      </c>
      <c r="D343" cm="1">
        <f t="array" ref="D343">INDEX('Linha 03'!$A$4:$A$1000,B343)</f>
        <v>20040084</v>
      </c>
      <c r="E343" t="str" cm="1">
        <f t="array" ref="E343">INDEX('Linha 03'!$B$4:$B$1000,B343)</f>
        <v>Amaciante Aquafast Vermelho Seducao Cx C/06 X 2l</v>
      </c>
      <c r="F343" cm="1">
        <f t="array" ref="F343">INDEX('Linha 03'!$C$3:$ZZ$3,C343)</f>
        <v>20050011</v>
      </c>
      <c r="G343" t="str" cm="1">
        <f t="array" ref="G343">INDEX('Linha 03'!$C$2:$ZZ$2,C343)</f>
        <v>Desinfetante Aquafast Jardim Florido Cx/06 X 2l</v>
      </c>
      <c r="H343" s="5" cm="1">
        <f t="array" ref="H343">INDEX('Linha 03'!$C$4:$ZZ$1000,B343,C343)</f>
        <v>0</v>
      </c>
    </row>
    <row r="344" spans="1:8" x14ac:dyDescent="0.25">
      <c r="A344">
        <v>342</v>
      </c>
      <c r="B344">
        <f t="shared" si="10"/>
        <v>9</v>
      </c>
      <c r="C344">
        <f t="shared" si="11"/>
        <v>14</v>
      </c>
      <c r="D344" cm="1">
        <f t="array" ref="D344">INDEX('Linha 03'!$A$4:$A$1000,B344)</f>
        <v>20040084</v>
      </c>
      <c r="E344" t="str" cm="1">
        <f t="array" ref="E344">INDEX('Linha 03'!$B$4:$B$1000,B344)</f>
        <v>Amaciante Aquafast Vermelho Seducao Cx C/06 X 2l</v>
      </c>
      <c r="F344" cm="1">
        <f t="array" ref="F344">INDEX('Linha 03'!$C$3:$ZZ$3,C344)</f>
        <v>20050016</v>
      </c>
      <c r="G344" t="str" cm="1">
        <f t="array" ref="G344">INDEX('Linha 03'!$C$2:$ZZ$2,C344)</f>
        <v>Desinfetante Aquafast Marine Cx/06 X 2l</v>
      </c>
      <c r="H344" s="5" cm="1">
        <f t="array" ref="H344">INDEX('Linha 03'!$C$4:$ZZ$1000,B344,C344)</f>
        <v>0</v>
      </c>
    </row>
    <row r="345" spans="1:8" x14ac:dyDescent="0.25">
      <c r="A345">
        <v>343</v>
      </c>
      <c r="B345">
        <f t="shared" si="10"/>
        <v>9</v>
      </c>
      <c r="C345">
        <f t="shared" si="11"/>
        <v>15</v>
      </c>
      <c r="D345" cm="1">
        <f t="array" ref="D345">INDEX('Linha 03'!$A$4:$A$1000,B345)</f>
        <v>20040084</v>
      </c>
      <c r="E345" t="str" cm="1">
        <f t="array" ref="E345">INDEX('Linha 03'!$B$4:$B$1000,B345)</f>
        <v>Amaciante Aquafast Vermelho Seducao Cx C/06 X 2l</v>
      </c>
      <c r="F345" cm="1">
        <f t="array" ref="F345">INDEX('Linha 03'!$C$3:$ZZ$3,C345)</f>
        <v>20050031</v>
      </c>
      <c r="G345" t="str" cm="1">
        <f t="array" ref="G345">INDEX('Linha 03'!$C$2:$ZZ$2,C345)</f>
        <v>Desinfetante Ito Lavanda Cx/06 X 2l</v>
      </c>
      <c r="H345" s="5" cm="1">
        <f t="array" ref="H345">INDEX('Linha 03'!$C$4:$ZZ$1000,B345,C345)</f>
        <v>0</v>
      </c>
    </row>
    <row r="346" spans="1:8" x14ac:dyDescent="0.25">
      <c r="A346">
        <v>344</v>
      </c>
      <c r="B346">
        <f t="shared" si="10"/>
        <v>9</v>
      </c>
      <c r="C346">
        <f t="shared" si="11"/>
        <v>16</v>
      </c>
      <c r="D346" cm="1">
        <f t="array" ref="D346">INDEX('Linha 03'!$A$4:$A$1000,B346)</f>
        <v>20040084</v>
      </c>
      <c r="E346" t="str" cm="1">
        <f t="array" ref="E346">INDEX('Linha 03'!$B$4:$B$1000,B346)</f>
        <v>Amaciante Aquafast Vermelho Seducao Cx C/06 X 2l</v>
      </c>
      <c r="F346" cm="1">
        <f t="array" ref="F346">INDEX('Linha 03'!$C$3:$ZZ$3,C346)</f>
        <v>20050032</v>
      </c>
      <c r="G346" t="str" cm="1">
        <f t="array" ref="G346">INDEX('Linha 03'!$C$2:$ZZ$2,C346)</f>
        <v>Desinfetante Ito Floral Cx/06 X 2l</v>
      </c>
      <c r="H346" s="5" cm="1">
        <f t="array" ref="H346">INDEX('Linha 03'!$C$4:$ZZ$1000,B346,C346)</f>
        <v>0</v>
      </c>
    </row>
    <row r="347" spans="1:8" x14ac:dyDescent="0.25">
      <c r="A347">
        <v>345</v>
      </c>
      <c r="B347">
        <f t="shared" si="10"/>
        <v>9</v>
      </c>
      <c r="C347">
        <f t="shared" si="11"/>
        <v>17</v>
      </c>
      <c r="D347" cm="1">
        <f t="array" ref="D347">INDEX('Linha 03'!$A$4:$A$1000,B347)</f>
        <v>20040084</v>
      </c>
      <c r="E347" t="str" cm="1">
        <f t="array" ref="E347">INDEX('Linha 03'!$B$4:$B$1000,B347)</f>
        <v>Amaciante Aquafast Vermelho Seducao Cx C/06 X 2l</v>
      </c>
      <c r="F347" cm="1">
        <f t="array" ref="F347">INDEX('Linha 03'!$C$3:$ZZ$3,C347)</f>
        <v>20050034</v>
      </c>
      <c r="G347" t="str" cm="1">
        <f t="array" ref="G347">INDEX('Linha 03'!$C$2:$ZZ$2,C347)</f>
        <v>Desinfetante Ito Eucalipto Cx/06 X 2l</v>
      </c>
      <c r="H347" s="5" cm="1">
        <f t="array" ref="H347">INDEX('Linha 03'!$C$4:$ZZ$1000,B347,C347)</f>
        <v>0</v>
      </c>
    </row>
    <row r="348" spans="1:8" x14ac:dyDescent="0.25">
      <c r="A348">
        <v>346</v>
      </c>
      <c r="B348">
        <f t="shared" si="10"/>
        <v>9</v>
      </c>
      <c r="C348">
        <f t="shared" si="11"/>
        <v>18</v>
      </c>
      <c r="D348" cm="1">
        <f t="array" ref="D348">INDEX('Linha 03'!$A$4:$A$1000,B348)</f>
        <v>20040084</v>
      </c>
      <c r="E348" t="str" cm="1">
        <f t="array" ref="E348">INDEX('Linha 03'!$B$4:$B$1000,B348)</f>
        <v>Amaciante Aquafast Vermelho Seducao Cx C/06 X 2l</v>
      </c>
      <c r="F348" cm="1">
        <f t="array" ref="F348">INDEX('Linha 03'!$C$3:$ZZ$3,C348)</f>
        <v>20050077</v>
      </c>
      <c r="G348" t="str" cm="1">
        <f t="array" ref="G348">INDEX('Linha 03'!$C$2:$ZZ$2,C348)</f>
        <v>Desinfetante Myata Lavanda Cx/06 X 2l</v>
      </c>
      <c r="H348" s="5" cm="1">
        <f t="array" ref="H348">INDEX('Linha 03'!$C$4:$ZZ$1000,B348,C348)</f>
        <v>0</v>
      </c>
    </row>
    <row r="349" spans="1:8" x14ac:dyDescent="0.25">
      <c r="A349">
        <v>347</v>
      </c>
      <c r="B349">
        <f t="shared" si="10"/>
        <v>9</v>
      </c>
      <c r="C349">
        <f t="shared" si="11"/>
        <v>19</v>
      </c>
      <c r="D349" cm="1">
        <f t="array" ref="D349">INDEX('Linha 03'!$A$4:$A$1000,B349)</f>
        <v>20040084</v>
      </c>
      <c r="E349" t="str" cm="1">
        <f t="array" ref="E349">INDEX('Linha 03'!$B$4:$B$1000,B349)</f>
        <v>Amaciante Aquafast Vermelho Seducao Cx C/06 X 2l</v>
      </c>
      <c r="F349" cm="1">
        <f t="array" ref="F349">INDEX('Linha 03'!$C$3:$ZZ$3,C349)</f>
        <v>20050078</v>
      </c>
      <c r="G349" t="str" cm="1">
        <f t="array" ref="G349">INDEX('Linha 03'!$C$2:$ZZ$2,C349)</f>
        <v>Desinfetante Myata Floral Cx/06 X 2l</v>
      </c>
      <c r="H349" s="5" cm="1">
        <f t="array" ref="H349">INDEX('Linha 03'!$C$4:$ZZ$1000,B349,C349)</f>
        <v>0</v>
      </c>
    </row>
    <row r="350" spans="1:8" x14ac:dyDescent="0.25">
      <c r="A350">
        <v>348</v>
      </c>
      <c r="B350">
        <f t="shared" si="10"/>
        <v>9</v>
      </c>
      <c r="C350">
        <f t="shared" si="11"/>
        <v>20</v>
      </c>
      <c r="D350" cm="1">
        <f t="array" ref="D350">INDEX('Linha 03'!$A$4:$A$1000,B350)</f>
        <v>20040084</v>
      </c>
      <c r="E350" t="str" cm="1">
        <f t="array" ref="E350">INDEX('Linha 03'!$B$4:$B$1000,B350)</f>
        <v>Amaciante Aquafast Vermelho Seducao Cx C/06 X 2l</v>
      </c>
      <c r="F350" cm="1">
        <f t="array" ref="F350">INDEX('Linha 03'!$C$3:$ZZ$3,C350)</f>
        <v>20050115</v>
      </c>
      <c r="G350" t="str" cm="1">
        <f t="array" ref="G350">INDEX('Linha 03'!$C$2:$ZZ$2,C350)</f>
        <v>Desinfetante Aquafast Paixao Cx/06 X 2l</v>
      </c>
      <c r="H350" s="5" cm="1">
        <f t="array" ref="H350">INDEX('Linha 03'!$C$4:$ZZ$1000,B350,C350)</f>
        <v>0</v>
      </c>
    </row>
    <row r="351" spans="1:8" x14ac:dyDescent="0.25">
      <c r="A351">
        <v>349</v>
      </c>
      <c r="B351">
        <f t="shared" si="10"/>
        <v>9</v>
      </c>
      <c r="C351">
        <f t="shared" si="11"/>
        <v>21</v>
      </c>
      <c r="D351" cm="1">
        <f t="array" ref="D351">INDEX('Linha 03'!$A$4:$A$1000,B351)</f>
        <v>20040084</v>
      </c>
      <c r="E351" t="str" cm="1">
        <f t="array" ref="E351">INDEX('Linha 03'!$B$4:$B$1000,B351)</f>
        <v>Amaciante Aquafast Vermelho Seducao Cx C/06 X 2l</v>
      </c>
      <c r="F351" cm="1">
        <f t="array" ref="F351">INDEX('Linha 03'!$C$3:$ZZ$3,C351)</f>
        <v>20050117</v>
      </c>
      <c r="G351" t="str" cm="1">
        <f t="array" ref="G351">INDEX('Linha 03'!$C$2:$ZZ$2,C351)</f>
        <v>Desinfetante Aquafast Harmonia Natural Cx/06 X 2l</v>
      </c>
      <c r="H351" s="5" cm="1">
        <f t="array" ref="H351">INDEX('Linha 03'!$C$4:$ZZ$1000,B351,C351)</f>
        <v>0</v>
      </c>
    </row>
    <row r="352" spans="1:8" x14ac:dyDescent="0.25">
      <c r="A352">
        <v>350</v>
      </c>
      <c r="B352">
        <f t="shared" si="10"/>
        <v>9</v>
      </c>
      <c r="C352">
        <f t="shared" si="11"/>
        <v>22</v>
      </c>
      <c r="D352" cm="1">
        <f t="array" ref="D352">INDEX('Linha 03'!$A$4:$A$1000,B352)</f>
        <v>20040084</v>
      </c>
      <c r="E352" t="str" cm="1">
        <f t="array" ref="E352">INDEX('Linha 03'!$B$4:$B$1000,B352)</f>
        <v>Amaciante Aquafast Vermelho Seducao Cx C/06 X 2l</v>
      </c>
      <c r="F352" cm="1">
        <f t="array" ref="F352">INDEX('Linha 03'!$C$3:$ZZ$3,C352)</f>
        <v>20050123</v>
      </c>
      <c r="G352" t="str" cm="1">
        <f t="array" ref="G352">INDEX('Linha 03'!$C$2:$ZZ$2,C352)</f>
        <v>Desinfetante Ito Harmonia Natural Cx/06 X 2l</v>
      </c>
      <c r="H352" s="5" cm="1">
        <f t="array" ref="H352">INDEX('Linha 03'!$C$4:$ZZ$1000,B352,C352)</f>
        <v>0</v>
      </c>
    </row>
    <row r="353" spans="1:8" x14ac:dyDescent="0.25">
      <c r="A353">
        <v>351</v>
      </c>
      <c r="B353">
        <f t="shared" si="10"/>
        <v>9</v>
      </c>
      <c r="C353">
        <f t="shared" si="11"/>
        <v>23</v>
      </c>
      <c r="D353" cm="1">
        <f t="array" ref="D353">INDEX('Linha 03'!$A$4:$A$1000,B353)</f>
        <v>20040084</v>
      </c>
      <c r="E353" t="str" cm="1">
        <f t="array" ref="E353">INDEX('Linha 03'!$B$4:$B$1000,B353)</f>
        <v>Amaciante Aquafast Vermelho Seducao Cx C/06 X 2l</v>
      </c>
      <c r="F353" cm="1">
        <f t="array" ref="F353">INDEX('Linha 03'!$C$3:$ZZ$3,C353)</f>
        <v>20050124</v>
      </c>
      <c r="G353" t="str" cm="1">
        <f t="array" ref="G353">INDEX('Linha 03'!$C$2:$ZZ$2,C353)</f>
        <v>Desinfetante Myata Harmonia Natural Cx/06 X 2l</v>
      </c>
      <c r="H353" s="5" cm="1">
        <f t="array" ref="H353">INDEX('Linha 03'!$C$4:$ZZ$1000,B353,C353)</f>
        <v>0</v>
      </c>
    </row>
    <row r="354" spans="1:8" x14ac:dyDescent="0.25">
      <c r="A354">
        <v>352</v>
      </c>
      <c r="B354">
        <f t="shared" si="10"/>
        <v>9</v>
      </c>
      <c r="C354">
        <f t="shared" si="11"/>
        <v>24</v>
      </c>
      <c r="D354" cm="1">
        <f t="array" ref="D354">INDEX('Linha 03'!$A$4:$A$1000,B354)</f>
        <v>20040084</v>
      </c>
      <c r="E354" t="str" cm="1">
        <f t="array" ref="E354">INDEX('Linha 03'!$B$4:$B$1000,B354)</f>
        <v>Amaciante Aquafast Vermelho Seducao Cx C/06 X 2l</v>
      </c>
      <c r="F354" cm="1">
        <f t="array" ref="F354">INDEX('Linha 03'!$C$3:$ZZ$3,C354)</f>
        <v>20050142</v>
      </c>
      <c r="G354" t="str" cm="1">
        <f t="array" ref="G354">INDEX('Linha 03'!$C$2:$ZZ$2,C354)</f>
        <v>Desinfetante Ito Marine Cx/06 X 2l</v>
      </c>
      <c r="H354" s="5" cm="1">
        <f t="array" ref="H354">INDEX('Linha 03'!$C$4:$ZZ$1000,B354,C354)</f>
        <v>0</v>
      </c>
    </row>
    <row r="355" spans="1:8" x14ac:dyDescent="0.25">
      <c r="A355">
        <v>353</v>
      </c>
      <c r="B355">
        <f t="shared" si="10"/>
        <v>9</v>
      </c>
      <c r="C355">
        <f t="shared" si="11"/>
        <v>25</v>
      </c>
      <c r="D355" cm="1">
        <f t="array" ref="D355">INDEX('Linha 03'!$A$4:$A$1000,B355)</f>
        <v>20040084</v>
      </c>
      <c r="E355" t="str" cm="1">
        <f t="array" ref="E355">INDEX('Linha 03'!$B$4:$B$1000,B355)</f>
        <v>Amaciante Aquafast Vermelho Seducao Cx C/06 X 2l</v>
      </c>
      <c r="F355" cm="1">
        <f t="array" ref="F355">INDEX('Linha 03'!$C$3:$ZZ$3,C355)</f>
        <v>20050159</v>
      </c>
      <c r="G355" t="str" cm="1">
        <f t="array" ref="G355">INDEX('Linha 03'!$C$2:$ZZ$2,C355)</f>
        <v>Desinfetante Aquafast Cha Branco Cx/06 X 2l</v>
      </c>
      <c r="H355" s="5" cm="1">
        <f t="array" ref="H355">INDEX('Linha 03'!$C$4:$ZZ$1000,B355,C355)</f>
        <v>1.38888888888889E-2</v>
      </c>
    </row>
    <row r="356" spans="1:8" x14ac:dyDescent="0.25">
      <c r="A356">
        <v>354</v>
      </c>
      <c r="B356">
        <f t="shared" si="10"/>
        <v>9</v>
      </c>
      <c r="C356">
        <f t="shared" si="11"/>
        <v>26</v>
      </c>
      <c r="D356" cm="1">
        <f t="array" ref="D356">INDEX('Linha 03'!$A$4:$A$1000,B356)</f>
        <v>20040084</v>
      </c>
      <c r="E356" t="str" cm="1">
        <f t="array" ref="E356">INDEX('Linha 03'!$B$4:$B$1000,B356)</f>
        <v>Amaciante Aquafast Vermelho Seducao Cx C/06 X 2l</v>
      </c>
      <c r="F356" cm="1">
        <f t="array" ref="F356">INDEX('Linha 03'!$C$3:$ZZ$3,C356)</f>
        <v>20060007</v>
      </c>
      <c r="G356" t="str" cm="1">
        <f t="array" ref="G356">INDEX('Linha 03'!$C$2:$ZZ$2,C356)</f>
        <v>Limp Perf Aquafast Magia Seducao Cx/06 X 2l (Promoc)</v>
      </c>
      <c r="H356" s="5" cm="1">
        <f t="array" ref="H356">INDEX('Linha 03'!$C$4:$ZZ$1000,B356,C356)</f>
        <v>0</v>
      </c>
    </row>
    <row r="357" spans="1:8" x14ac:dyDescent="0.25">
      <c r="A357">
        <v>355</v>
      </c>
      <c r="B357">
        <f t="shared" si="10"/>
        <v>9</v>
      </c>
      <c r="C357">
        <f t="shared" si="11"/>
        <v>27</v>
      </c>
      <c r="D357" cm="1">
        <f t="array" ref="D357">INDEX('Linha 03'!$A$4:$A$1000,B357)</f>
        <v>20040084</v>
      </c>
      <c r="E357" t="str" cm="1">
        <f t="array" ref="E357">INDEX('Linha 03'!$B$4:$B$1000,B357)</f>
        <v>Amaciante Aquafast Vermelho Seducao Cx C/06 X 2l</v>
      </c>
      <c r="F357" cm="1">
        <f t="array" ref="F357">INDEX('Linha 03'!$C$3:$ZZ$3,C357)</f>
        <v>20060009</v>
      </c>
      <c r="G357" t="str" cm="1">
        <f t="array" ref="G357">INDEX('Linha 03'!$C$2:$ZZ$2,C357)</f>
        <v>Limp Perf Aquafast Frescor Da Manha Cx/06 X 2l (Promoc)</v>
      </c>
      <c r="H357" s="5" cm="1">
        <f t="array" ref="H357">INDEX('Linha 03'!$C$4:$ZZ$1000,B357,C357)</f>
        <v>0</v>
      </c>
    </row>
    <row r="358" spans="1:8" x14ac:dyDescent="0.25">
      <c r="A358">
        <v>356</v>
      </c>
      <c r="B358">
        <f t="shared" si="10"/>
        <v>9</v>
      </c>
      <c r="C358">
        <f t="shared" si="11"/>
        <v>28</v>
      </c>
      <c r="D358" cm="1">
        <f t="array" ref="D358">INDEX('Linha 03'!$A$4:$A$1000,B358)</f>
        <v>20040084</v>
      </c>
      <c r="E358" t="str" cm="1">
        <f t="array" ref="E358">INDEX('Linha 03'!$B$4:$B$1000,B358)</f>
        <v>Amaciante Aquafast Vermelho Seducao Cx C/06 X 2l</v>
      </c>
      <c r="F358" cm="1">
        <f t="array" ref="F358">INDEX('Linha 03'!$C$3:$ZZ$3,C358)</f>
        <v>20060017</v>
      </c>
      <c r="G358" t="str" cm="1">
        <f t="array" ref="G358">INDEX('Linha 03'!$C$2:$ZZ$2,C358)</f>
        <v>Limp Perf Aquafast Doce Romance Cx/06 X 2l (Promoc)</v>
      </c>
      <c r="H358" s="5" cm="1">
        <f t="array" ref="H358">INDEX('Linha 03'!$C$4:$ZZ$1000,B358,C358)</f>
        <v>0</v>
      </c>
    </row>
    <row r="359" spans="1:8" x14ac:dyDescent="0.25">
      <c r="A359">
        <v>357</v>
      </c>
      <c r="B359">
        <f t="shared" si="10"/>
        <v>9</v>
      </c>
      <c r="C359">
        <f t="shared" si="11"/>
        <v>29</v>
      </c>
      <c r="D359" cm="1">
        <f t="array" ref="D359">INDEX('Linha 03'!$A$4:$A$1000,B359)</f>
        <v>20040084</v>
      </c>
      <c r="E359" t="str" cm="1">
        <f t="array" ref="E359">INDEX('Linha 03'!$B$4:$B$1000,B359)</f>
        <v>Amaciante Aquafast Vermelho Seducao Cx C/06 X 2l</v>
      </c>
      <c r="F359" cm="1">
        <f t="array" ref="F359">INDEX('Linha 03'!$C$3:$ZZ$3,C359)</f>
        <v>20060028</v>
      </c>
      <c r="G359" t="str" cm="1">
        <f t="array" ref="G359">INDEX('Linha 03'!$C$2:$ZZ$2,C359)</f>
        <v>Limp Perf Aquafast Essencia Natural Cx06 X 2l</v>
      </c>
      <c r="H359" s="5" cm="1">
        <f t="array" ref="H359">INDEX('Linha 03'!$C$4:$ZZ$1000,B359,C359)</f>
        <v>0</v>
      </c>
    </row>
    <row r="360" spans="1:8" x14ac:dyDescent="0.25">
      <c r="A360">
        <v>358</v>
      </c>
      <c r="B360">
        <f t="shared" si="10"/>
        <v>9</v>
      </c>
      <c r="C360">
        <f t="shared" si="11"/>
        <v>30</v>
      </c>
      <c r="D360" cm="1">
        <f t="array" ref="D360">INDEX('Linha 03'!$A$4:$A$1000,B360)</f>
        <v>20040084</v>
      </c>
      <c r="E360" t="str" cm="1">
        <f t="array" ref="E360">INDEX('Linha 03'!$B$4:$B$1000,B360)</f>
        <v>Amaciante Aquafast Vermelho Seducao Cx C/06 X 2l</v>
      </c>
      <c r="F360" cm="1">
        <f t="array" ref="F360">INDEX('Linha 03'!$C$3:$ZZ$3,C360)</f>
        <v>20200003</v>
      </c>
      <c r="G360" t="str" cm="1">
        <f t="array" ref="G360">INDEX('Linha 03'!$C$2:$ZZ$2,C360)</f>
        <v>Lava Roup. Aquafast Baby Cx/12 X 1l</v>
      </c>
      <c r="H360" s="5" cm="1">
        <f t="array" ref="H360">INDEX('Linha 03'!$C$4:$ZZ$1000,B360,C360)</f>
        <v>0</v>
      </c>
    </row>
    <row r="361" spans="1:8" x14ac:dyDescent="0.25">
      <c r="A361">
        <v>359</v>
      </c>
      <c r="B361">
        <f t="shared" si="10"/>
        <v>9</v>
      </c>
      <c r="C361">
        <f t="shared" si="11"/>
        <v>31</v>
      </c>
      <c r="D361" cm="1">
        <f t="array" ref="D361">INDEX('Linha 03'!$A$4:$A$1000,B361)</f>
        <v>20040084</v>
      </c>
      <c r="E361" t="str" cm="1">
        <f t="array" ref="E361">INDEX('Linha 03'!$B$4:$B$1000,B361)</f>
        <v>Amaciante Aquafast Vermelho Seducao Cx C/06 X 2l</v>
      </c>
      <c r="F361" cm="1">
        <f t="array" ref="F361">INDEX('Linha 03'!$C$3:$ZZ$3,C361)</f>
        <v>20200005</v>
      </c>
      <c r="G361" t="str" cm="1">
        <f t="array" ref="G361">INDEX('Linha 03'!$C$2:$ZZ$2,C361)</f>
        <v>Lava Roupas Aquafast Multi Acao Cx/06 X 2l</v>
      </c>
      <c r="H361" s="5" cm="1">
        <f t="array" ref="H361">INDEX('Linha 03'!$C$4:$ZZ$1000,B361,C361)</f>
        <v>0</v>
      </c>
    </row>
    <row r="362" spans="1:8" x14ac:dyDescent="0.25">
      <c r="A362">
        <v>360</v>
      </c>
      <c r="B362">
        <f t="shared" si="10"/>
        <v>9</v>
      </c>
      <c r="C362">
        <f t="shared" si="11"/>
        <v>32</v>
      </c>
      <c r="D362" cm="1">
        <f t="array" ref="D362">INDEX('Linha 03'!$A$4:$A$1000,B362)</f>
        <v>20040084</v>
      </c>
      <c r="E362" t="str" cm="1">
        <f t="array" ref="E362">INDEX('Linha 03'!$B$4:$B$1000,B362)</f>
        <v>Amaciante Aquafast Vermelho Seducao Cx C/06 X 2l</v>
      </c>
      <c r="F362" cm="1">
        <f t="array" ref="F362">INDEX('Linha 03'!$C$3:$ZZ$3,C362)</f>
        <v>20200006</v>
      </c>
      <c r="G362" t="str" cm="1">
        <f t="array" ref="G362">INDEX('Linha 03'!$C$2:$ZZ$2,C362)</f>
        <v>Lava Roupas Aquafast Glicerina Cx/06 X 2l</v>
      </c>
      <c r="H362" s="5" cm="1">
        <f t="array" ref="H362">INDEX('Linha 03'!$C$4:$ZZ$1000,B362,C362)</f>
        <v>0</v>
      </c>
    </row>
    <row r="363" spans="1:8" x14ac:dyDescent="0.25">
      <c r="A363">
        <v>361</v>
      </c>
      <c r="B363">
        <f t="shared" si="10"/>
        <v>9</v>
      </c>
      <c r="C363">
        <f t="shared" si="11"/>
        <v>33</v>
      </c>
      <c r="D363" cm="1">
        <f t="array" ref="D363">INDEX('Linha 03'!$A$4:$A$1000,B363)</f>
        <v>20040084</v>
      </c>
      <c r="E363" t="str" cm="1">
        <f t="array" ref="E363">INDEX('Linha 03'!$B$4:$B$1000,B363)</f>
        <v>Amaciante Aquafast Vermelho Seducao Cx C/06 X 2l</v>
      </c>
      <c r="F363" cm="1">
        <f t="array" ref="F363">INDEX('Linha 03'!$C$3:$ZZ$3,C363)</f>
        <v>20200015</v>
      </c>
      <c r="G363" t="str" cm="1">
        <f t="array" ref="G363">INDEX('Linha 03'!$C$2:$ZZ$2,C363)</f>
        <v>Lava Roup. Aquafast Multiacao Cx/12 X 1l</v>
      </c>
      <c r="H363" s="5" cm="1">
        <f t="array" ref="H363">INDEX('Linha 03'!$C$4:$ZZ$1000,B363,C363)</f>
        <v>0</v>
      </c>
    </row>
    <row r="364" spans="1:8" x14ac:dyDescent="0.25">
      <c r="A364">
        <v>362</v>
      </c>
      <c r="B364">
        <f t="shared" si="10"/>
        <v>9</v>
      </c>
      <c r="C364">
        <f t="shared" si="11"/>
        <v>34</v>
      </c>
      <c r="D364" cm="1">
        <f t="array" ref="D364">INDEX('Linha 03'!$A$4:$A$1000,B364)</f>
        <v>20040084</v>
      </c>
      <c r="E364" t="str" cm="1">
        <f t="array" ref="E364">INDEX('Linha 03'!$B$4:$B$1000,B364)</f>
        <v>Amaciante Aquafast Vermelho Seducao Cx C/06 X 2l</v>
      </c>
      <c r="F364" cm="1">
        <f t="array" ref="F364">INDEX('Linha 03'!$C$3:$ZZ$3,C364)</f>
        <v>20200036</v>
      </c>
      <c r="G364" t="str" cm="1">
        <f t="array" ref="G364">INDEX('Linha 03'!$C$2:$ZZ$2,C364)</f>
        <v>Lava Roupas Aquafast Ternura Cx/06 X 2l</v>
      </c>
      <c r="H364" s="5" cm="1">
        <f t="array" ref="H364">INDEX('Linha 03'!$C$4:$ZZ$1000,B364,C364)</f>
        <v>0</v>
      </c>
    </row>
    <row r="365" spans="1:8" x14ac:dyDescent="0.25">
      <c r="A365">
        <v>363</v>
      </c>
      <c r="B365">
        <f t="shared" si="10"/>
        <v>9</v>
      </c>
      <c r="C365">
        <f t="shared" si="11"/>
        <v>35</v>
      </c>
      <c r="D365" cm="1">
        <f t="array" ref="D365">INDEX('Linha 03'!$A$4:$A$1000,B365)</f>
        <v>20040084</v>
      </c>
      <c r="E365" t="str" cm="1">
        <f t="array" ref="E365">INDEX('Linha 03'!$B$4:$B$1000,B365)</f>
        <v>Amaciante Aquafast Vermelho Seducao Cx C/06 X 2l</v>
      </c>
      <c r="F365" cm="1">
        <f t="array" ref="F365">INDEX('Linha 03'!$C$3:$ZZ$3,C365)</f>
        <v>20200063</v>
      </c>
      <c r="G365" t="str" cm="1">
        <f t="array" ref="G365">INDEX('Linha 03'!$C$2:$ZZ$2,C365)</f>
        <v>Lava Roup. Aquafast Tradicional Cx/12 X 1l</v>
      </c>
      <c r="H365" s="5" cm="1">
        <f t="array" ref="H365">INDEX('Linha 03'!$C$4:$ZZ$1000,B365,C365)</f>
        <v>0</v>
      </c>
    </row>
    <row r="366" spans="1:8" x14ac:dyDescent="0.25">
      <c r="A366">
        <v>364</v>
      </c>
      <c r="B366">
        <f t="shared" si="10"/>
        <v>9</v>
      </c>
      <c r="C366">
        <f t="shared" si="11"/>
        <v>36</v>
      </c>
      <c r="D366" cm="1">
        <f t="array" ref="D366">INDEX('Linha 03'!$A$4:$A$1000,B366)</f>
        <v>20040084</v>
      </c>
      <c r="E366" t="str" cm="1">
        <f t="array" ref="E366">INDEX('Linha 03'!$B$4:$B$1000,B366)</f>
        <v>Amaciante Aquafast Vermelho Seducao Cx C/06 X 2l</v>
      </c>
      <c r="F366" cm="1">
        <f t="array" ref="F366">INDEX('Linha 03'!$C$3:$ZZ$3,C366)</f>
        <v>20200064</v>
      </c>
      <c r="G366" t="str" cm="1">
        <f t="array" ref="G366">INDEX('Linha 03'!$C$2:$ZZ$2,C366)</f>
        <v>Lava Roup. Aquafast Flores B. E Baunilha Cx/12 X 1l</v>
      </c>
      <c r="H366" s="5" cm="1">
        <f t="array" ref="H366">INDEX('Linha 03'!$C$4:$ZZ$1000,B366,C366)</f>
        <v>0</v>
      </c>
    </row>
    <row r="367" spans="1:8" x14ac:dyDescent="0.25">
      <c r="A367">
        <v>365</v>
      </c>
      <c r="B367">
        <f t="shared" si="10"/>
        <v>9</v>
      </c>
      <c r="C367">
        <f t="shared" si="11"/>
        <v>37</v>
      </c>
      <c r="D367" cm="1">
        <f t="array" ref="D367">INDEX('Linha 03'!$A$4:$A$1000,B367)</f>
        <v>20040084</v>
      </c>
      <c r="E367" t="str" cm="1">
        <f t="array" ref="E367">INDEX('Linha 03'!$B$4:$B$1000,B367)</f>
        <v>Amaciante Aquafast Vermelho Seducao Cx C/06 X 2l</v>
      </c>
      <c r="F367" cm="1">
        <f t="array" ref="F367">INDEX('Linha 03'!$C$3:$ZZ$3,C367)</f>
        <v>20200065</v>
      </c>
      <c r="G367" t="str" cm="1">
        <f t="array" ref="G367">INDEX('Linha 03'!$C$2:$ZZ$2,C367)</f>
        <v>Lava Roupas Aquafast Flores B. E Baunilha Cx/06 X 2l</v>
      </c>
      <c r="H367" s="5" cm="1">
        <f t="array" ref="H367">INDEX('Linha 03'!$C$4:$ZZ$1000,B367,C367)</f>
        <v>0</v>
      </c>
    </row>
    <row r="368" spans="1:8" x14ac:dyDescent="0.25">
      <c r="A368">
        <v>366</v>
      </c>
      <c r="B368">
        <f t="shared" si="10"/>
        <v>9</v>
      </c>
      <c r="C368">
        <f t="shared" si="11"/>
        <v>38</v>
      </c>
      <c r="D368" cm="1">
        <f t="array" ref="D368">INDEX('Linha 03'!$A$4:$A$1000,B368)</f>
        <v>20040084</v>
      </c>
      <c r="E368" t="str" cm="1">
        <f t="array" ref="E368">INDEX('Linha 03'!$B$4:$B$1000,B368)</f>
        <v>Amaciante Aquafast Vermelho Seducao Cx C/06 X 2l</v>
      </c>
      <c r="F368" cm="1">
        <f t="array" ref="F368">INDEX('Linha 03'!$C$3:$ZZ$3,C368)</f>
        <v>20200072</v>
      </c>
      <c r="G368" t="str" cm="1">
        <f t="array" ref="G368">INDEX('Linha 03'!$C$2:$ZZ$2,C368)</f>
        <v>Lava Roupas Aquafast Lavagem Rapida Total Clean Cx/12 X 1l</v>
      </c>
      <c r="H368" s="5" cm="1">
        <f t="array" ref="H368">INDEX('Linha 03'!$C$4:$ZZ$1000,B368,C368)</f>
        <v>0</v>
      </c>
    </row>
    <row r="369" spans="1:8" x14ac:dyDescent="0.25">
      <c r="A369">
        <v>367</v>
      </c>
      <c r="B369">
        <f t="shared" si="10"/>
        <v>9</v>
      </c>
      <c r="C369">
        <f t="shared" si="11"/>
        <v>39</v>
      </c>
      <c r="D369" cm="1">
        <f t="array" ref="D369">INDEX('Linha 03'!$A$4:$A$1000,B369)</f>
        <v>20040084</v>
      </c>
      <c r="E369" t="str" cm="1">
        <f t="array" ref="E369">INDEX('Linha 03'!$B$4:$B$1000,B369)</f>
        <v>Amaciante Aquafast Vermelho Seducao Cx C/06 X 2l</v>
      </c>
      <c r="F369" cm="1">
        <f t="array" ref="F369">INDEX('Linha 03'!$C$3:$ZZ$3,C369)</f>
        <v>20200074</v>
      </c>
      <c r="G369" t="str" cm="1">
        <f t="array" ref="G369">INDEX('Linha 03'!$C$2:$ZZ$2,C369)</f>
        <v>Lava Roupas Aquafast Lavagem Rapida Fresh Clean Cx/12 X 1l</v>
      </c>
      <c r="H369" s="5" cm="1">
        <f t="array" ref="H369">INDEX('Linha 03'!$C$4:$ZZ$1000,B369,C369)</f>
        <v>0</v>
      </c>
    </row>
    <row r="370" spans="1:8" x14ac:dyDescent="0.25">
      <c r="A370">
        <v>368</v>
      </c>
      <c r="B370">
        <f t="shared" si="10"/>
        <v>9</v>
      </c>
      <c r="C370">
        <f t="shared" si="11"/>
        <v>40</v>
      </c>
      <c r="D370" cm="1">
        <f t="array" ref="D370">INDEX('Linha 03'!$A$4:$A$1000,B370)</f>
        <v>20040084</v>
      </c>
      <c r="E370" t="str" cm="1">
        <f t="array" ref="E370">INDEX('Linha 03'!$B$4:$B$1000,B370)</f>
        <v>Amaciante Aquafast Vermelho Seducao Cx C/06 X 2l</v>
      </c>
      <c r="F370" cm="1">
        <f t="array" ref="F370">INDEX('Linha 03'!$C$3:$ZZ$3,C370)</f>
        <v>20250005</v>
      </c>
      <c r="G370" t="str" cm="1">
        <f t="array" ref="G370">INDEX('Linha 03'!$C$2:$ZZ$2,C370)</f>
        <v>Neutralizador De Odores Aquafast Floral Cx/06 X 2l</v>
      </c>
      <c r="H370" s="5" cm="1">
        <f t="array" ref="H370">INDEX('Linha 03'!$C$4:$ZZ$1000,B370,C370)</f>
        <v>0</v>
      </c>
    </row>
    <row r="371" spans="1:8" x14ac:dyDescent="0.25">
      <c r="A371">
        <v>369</v>
      </c>
      <c r="B371">
        <f t="shared" si="10"/>
        <v>9</v>
      </c>
      <c r="C371">
        <f t="shared" si="11"/>
        <v>41</v>
      </c>
      <c r="D371" cm="1">
        <f t="array" ref="D371">INDEX('Linha 03'!$A$4:$A$1000,B371)</f>
        <v>20040084</v>
      </c>
      <c r="E371" t="str" cm="1">
        <f t="array" ref="E371">INDEX('Linha 03'!$B$4:$B$1000,B371)</f>
        <v>Amaciante Aquafast Vermelho Seducao Cx C/06 X 2l</v>
      </c>
      <c r="F371" cm="1">
        <f t="array" ref="F371">INDEX('Linha 03'!$C$3:$ZZ$3,C371)</f>
        <v>20250007</v>
      </c>
      <c r="G371" t="str" cm="1">
        <f t="array" ref="G371">INDEX('Linha 03'!$C$2:$ZZ$2,C371)</f>
        <v>Neutralizador De Odores Aquafast Marine Cx/06 2l</v>
      </c>
      <c r="H371" s="5" cm="1">
        <f t="array" ref="H371">INDEX('Linha 03'!$C$4:$ZZ$1000,B371,C371)</f>
        <v>0</v>
      </c>
    </row>
    <row r="372" spans="1:8" x14ac:dyDescent="0.25">
      <c r="A372">
        <v>370</v>
      </c>
      <c r="B372">
        <f t="shared" si="10"/>
        <v>10</v>
      </c>
      <c r="C372">
        <f t="shared" si="11"/>
        <v>1</v>
      </c>
      <c r="D372" cm="1">
        <f t="array" ref="D372">INDEX('Linha 03'!$A$4:$A$1000,B372)</f>
        <v>20040089</v>
      </c>
      <c r="E372" t="str" cm="1">
        <f t="array" ref="E372">INDEX('Linha 03'!$B$4:$B$1000,B372)</f>
        <v>Amaciante Aquafast Roxo Magia Cx/06 X 2l</v>
      </c>
      <c r="F372" cm="1">
        <f t="array" ref="F372">INDEX('Linha 03'!$C$3:$ZZ$3,C372)</f>
        <v>20040006</v>
      </c>
      <c r="G372" t="str" cm="1">
        <f t="array" ref="G372">INDEX('Linha 03'!$C$2:$ZZ$2,C372)</f>
        <v>Amaciante Aquafast Azul Fresc. Manha Cx/06 X 2l</v>
      </c>
      <c r="H372" s="5" cm="1">
        <f t="array" ref="H372">INDEX('Linha 03'!$C$4:$ZZ$1000,B372,C372)</f>
        <v>0</v>
      </c>
    </row>
    <row r="373" spans="1:8" x14ac:dyDescent="0.25">
      <c r="A373">
        <v>371</v>
      </c>
      <c r="B373">
        <f t="shared" si="10"/>
        <v>10</v>
      </c>
      <c r="C373">
        <f t="shared" si="11"/>
        <v>2</v>
      </c>
      <c r="D373" cm="1">
        <f t="array" ref="D373">INDEX('Linha 03'!$A$4:$A$1000,B373)</f>
        <v>20040089</v>
      </c>
      <c r="E373" t="str" cm="1">
        <f t="array" ref="E373">INDEX('Linha 03'!$B$4:$B$1000,B373)</f>
        <v>Amaciante Aquafast Roxo Magia Cx/06 X 2l</v>
      </c>
      <c r="F373" cm="1">
        <f t="array" ref="F373">INDEX('Linha 03'!$C$3:$ZZ$3,C373)</f>
        <v>20040008</v>
      </c>
      <c r="G373" t="str" cm="1">
        <f t="array" ref="G373">INDEX('Linha 03'!$C$2:$ZZ$2,C373)</f>
        <v>Amaciante Aquafast Rosa Jard. Florid Cx/06 X 2l</v>
      </c>
      <c r="H373" s="5" cm="1">
        <f t="array" ref="H373">INDEX('Linha 03'!$C$4:$ZZ$1000,B373,C373)</f>
        <v>0</v>
      </c>
    </row>
    <row r="374" spans="1:8" x14ac:dyDescent="0.25">
      <c r="A374">
        <v>372</v>
      </c>
      <c r="B374">
        <f t="shared" si="10"/>
        <v>10</v>
      </c>
      <c r="C374">
        <f t="shared" si="11"/>
        <v>3</v>
      </c>
      <c r="D374" cm="1">
        <f t="array" ref="D374">INDEX('Linha 03'!$A$4:$A$1000,B374)</f>
        <v>20040089</v>
      </c>
      <c r="E374" t="str" cm="1">
        <f t="array" ref="E374">INDEX('Linha 03'!$B$4:$B$1000,B374)</f>
        <v>Amaciante Aquafast Roxo Magia Cx/06 X 2l</v>
      </c>
      <c r="F374" cm="1">
        <f t="array" ref="F374">INDEX('Linha 03'!$C$3:$ZZ$3,C374)</f>
        <v>20040009</v>
      </c>
      <c r="G374" t="str" cm="1">
        <f t="array" ref="G374">INDEX('Linha 03'!$C$2:$ZZ$2,C374)</f>
        <v>Amaciante Aquafast Branco Pura Caric. Cx/06 X 2l</v>
      </c>
      <c r="H374" s="5" cm="1">
        <f t="array" ref="H374">INDEX('Linha 03'!$C$4:$ZZ$1000,B374,C374)</f>
        <v>0</v>
      </c>
    </row>
    <row r="375" spans="1:8" x14ac:dyDescent="0.25">
      <c r="A375">
        <v>373</v>
      </c>
      <c r="B375">
        <f t="shared" si="10"/>
        <v>10</v>
      </c>
      <c r="C375">
        <f t="shared" si="11"/>
        <v>4</v>
      </c>
      <c r="D375" cm="1">
        <f t="array" ref="D375">INDEX('Linha 03'!$A$4:$A$1000,B375)</f>
        <v>20040089</v>
      </c>
      <c r="E375" t="str" cm="1">
        <f t="array" ref="E375">INDEX('Linha 03'!$B$4:$B$1000,B375)</f>
        <v>Amaciante Aquafast Roxo Magia Cx/06 X 2l</v>
      </c>
      <c r="F375" cm="1">
        <f t="array" ref="F375">INDEX('Linha 03'!$C$3:$ZZ$3,C375)</f>
        <v>20040026</v>
      </c>
      <c r="G375" t="str" cm="1">
        <f t="array" ref="G375">INDEX('Linha 03'!$C$2:$ZZ$2,C375)</f>
        <v>Amaciante Ito Azul Cx/06 X 2l</v>
      </c>
      <c r="H375" s="5" cm="1">
        <f t="array" ref="H375">INDEX('Linha 03'!$C$4:$ZZ$1000,B375,C375)</f>
        <v>0</v>
      </c>
    </row>
    <row r="376" spans="1:8" x14ac:dyDescent="0.25">
      <c r="A376">
        <v>374</v>
      </c>
      <c r="B376">
        <f t="shared" si="10"/>
        <v>10</v>
      </c>
      <c r="C376">
        <f t="shared" si="11"/>
        <v>5</v>
      </c>
      <c r="D376" cm="1">
        <f t="array" ref="D376">INDEX('Linha 03'!$A$4:$A$1000,B376)</f>
        <v>20040089</v>
      </c>
      <c r="E376" t="str" cm="1">
        <f t="array" ref="E376">INDEX('Linha 03'!$B$4:$B$1000,B376)</f>
        <v>Amaciante Aquafast Roxo Magia Cx/06 X 2l</v>
      </c>
      <c r="F376" cm="1">
        <f t="array" ref="F376">INDEX('Linha 03'!$C$3:$ZZ$3,C376)</f>
        <v>20040028</v>
      </c>
      <c r="G376" t="str" cm="1">
        <f t="array" ref="G376">INDEX('Linha 03'!$C$2:$ZZ$2,C376)</f>
        <v>Amaciante Ito Rosa Cx/06 X 2l</v>
      </c>
      <c r="H376" s="5" cm="1">
        <f t="array" ref="H376">INDEX('Linha 03'!$C$4:$ZZ$1000,B376,C376)</f>
        <v>0</v>
      </c>
    </row>
    <row r="377" spans="1:8" x14ac:dyDescent="0.25">
      <c r="A377">
        <v>375</v>
      </c>
      <c r="B377">
        <f t="shared" si="10"/>
        <v>10</v>
      </c>
      <c r="C377">
        <f t="shared" si="11"/>
        <v>6</v>
      </c>
      <c r="D377" cm="1">
        <f t="array" ref="D377">INDEX('Linha 03'!$A$4:$A$1000,B377)</f>
        <v>20040089</v>
      </c>
      <c r="E377" t="str" cm="1">
        <f t="array" ref="E377">INDEX('Linha 03'!$B$4:$B$1000,B377)</f>
        <v>Amaciante Aquafast Roxo Magia Cx/06 X 2l</v>
      </c>
      <c r="F377" cm="1">
        <f t="array" ref="F377">INDEX('Linha 03'!$C$3:$ZZ$3,C377)</f>
        <v>20040029</v>
      </c>
      <c r="G377" t="str" cm="1">
        <f t="array" ref="G377">INDEX('Linha 03'!$C$2:$ZZ$2,C377)</f>
        <v>Amaciante Ito Branco Cx/06 X 2l</v>
      </c>
      <c r="H377" s="5" cm="1">
        <f t="array" ref="H377">INDEX('Linha 03'!$C$4:$ZZ$1000,B377,C377)</f>
        <v>0</v>
      </c>
    </row>
    <row r="378" spans="1:8" x14ac:dyDescent="0.25">
      <c r="A378">
        <v>376</v>
      </c>
      <c r="B378">
        <f t="shared" si="10"/>
        <v>10</v>
      </c>
      <c r="C378">
        <f t="shared" si="11"/>
        <v>7</v>
      </c>
      <c r="D378" cm="1">
        <f t="array" ref="D378">INDEX('Linha 03'!$A$4:$A$1000,B378)</f>
        <v>20040089</v>
      </c>
      <c r="E378" t="str" cm="1">
        <f t="array" ref="E378">INDEX('Linha 03'!$B$4:$B$1000,B378)</f>
        <v>Amaciante Aquafast Roxo Magia Cx/06 X 2l</v>
      </c>
      <c r="F378" cm="1">
        <f t="array" ref="F378">INDEX('Linha 03'!$C$3:$ZZ$3,C378)</f>
        <v>20040055</v>
      </c>
      <c r="G378" t="str" cm="1">
        <f t="array" ref="G378">INDEX('Linha 03'!$C$2:$ZZ$2,C378)</f>
        <v>Amaciante Myata Azul Cx/06 X 2l</v>
      </c>
      <c r="H378" s="5" cm="1">
        <f t="array" ref="H378">INDEX('Linha 03'!$C$4:$ZZ$1000,B378,C378)</f>
        <v>0</v>
      </c>
    </row>
    <row r="379" spans="1:8" x14ac:dyDescent="0.25">
      <c r="A379">
        <v>377</v>
      </c>
      <c r="B379">
        <f t="shared" si="10"/>
        <v>10</v>
      </c>
      <c r="C379">
        <f t="shared" si="11"/>
        <v>8</v>
      </c>
      <c r="D379" cm="1">
        <f t="array" ref="D379">INDEX('Linha 03'!$A$4:$A$1000,B379)</f>
        <v>20040089</v>
      </c>
      <c r="E379" t="str" cm="1">
        <f t="array" ref="E379">INDEX('Linha 03'!$B$4:$B$1000,B379)</f>
        <v>Amaciante Aquafast Roxo Magia Cx/06 X 2l</v>
      </c>
      <c r="F379" cm="1">
        <f t="array" ref="F379">INDEX('Linha 03'!$C$3:$ZZ$3,C379)</f>
        <v>20040057</v>
      </c>
      <c r="G379" t="str" cm="1">
        <f t="array" ref="G379">INDEX('Linha 03'!$C$2:$ZZ$2,C379)</f>
        <v>Amaciante Myata Rosa Cx/06 X 2l</v>
      </c>
      <c r="H379" s="5" cm="1">
        <f t="array" ref="H379">INDEX('Linha 03'!$C$4:$ZZ$1000,B379,C379)</f>
        <v>0</v>
      </c>
    </row>
    <row r="380" spans="1:8" x14ac:dyDescent="0.25">
      <c r="A380">
        <v>378</v>
      </c>
      <c r="B380">
        <f t="shared" si="10"/>
        <v>10</v>
      </c>
      <c r="C380">
        <f t="shared" si="11"/>
        <v>9</v>
      </c>
      <c r="D380" cm="1">
        <f t="array" ref="D380">INDEX('Linha 03'!$A$4:$A$1000,B380)</f>
        <v>20040089</v>
      </c>
      <c r="E380" t="str" cm="1">
        <f t="array" ref="E380">INDEX('Linha 03'!$B$4:$B$1000,B380)</f>
        <v>Amaciante Aquafast Roxo Magia Cx/06 X 2l</v>
      </c>
      <c r="F380" cm="1">
        <f t="array" ref="F380">INDEX('Linha 03'!$C$3:$ZZ$3,C380)</f>
        <v>20040084</v>
      </c>
      <c r="G380" t="str" cm="1">
        <f t="array" ref="G380">INDEX('Linha 03'!$C$2:$ZZ$2,C380)</f>
        <v>Amaciante Aquafast Vermelho Seducao Cx C/06 X 2l</v>
      </c>
      <c r="H380" s="5" cm="1">
        <f t="array" ref="H380">INDEX('Linha 03'!$C$4:$ZZ$1000,B380,C380)</f>
        <v>0</v>
      </c>
    </row>
    <row r="381" spans="1:8" x14ac:dyDescent="0.25">
      <c r="A381">
        <v>379</v>
      </c>
      <c r="B381">
        <f t="shared" si="10"/>
        <v>10</v>
      </c>
      <c r="C381">
        <f t="shared" si="11"/>
        <v>10</v>
      </c>
      <c r="D381" cm="1">
        <f t="array" ref="D381">INDEX('Linha 03'!$A$4:$A$1000,B381)</f>
        <v>20040089</v>
      </c>
      <c r="E381" t="str" cm="1">
        <f t="array" ref="E381">INDEX('Linha 03'!$B$4:$B$1000,B381)</f>
        <v>Amaciante Aquafast Roxo Magia Cx/06 X 2l</v>
      </c>
      <c r="F381" cm="1">
        <f t="array" ref="F381">INDEX('Linha 03'!$C$3:$ZZ$3,C381)</f>
        <v>20040089</v>
      </c>
      <c r="G381" t="str" cm="1">
        <f t="array" ref="G381">INDEX('Linha 03'!$C$2:$ZZ$2,C381)</f>
        <v>Amaciante Aquafast Roxo Magia Cx/06 X 2l</v>
      </c>
      <c r="H381" s="5" cm="1">
        <f t="array" ref="H381">INDEX('Linha 03'!$C$4:$ZZ$1000,B381,C381)</f>
        <v>0</v>
      </c>
    </row>
    <row r="382" spans="1:8" x14ac:dyDescent="0.25">
      <c r="A382">
        <v>380</v>
      </c>
      <c r="B382">
        <f t="shared" si="10"/>
        <v>10</v>
      </c>
      <c r="C382">
        <f t="shared" si="11"/>
        <v>11</v>
      </c>
      <c r="D382" cm="1">
        <f t="array" ref="D382">INDEX('Linha 03'!$A$4:$A$1000,B382)</f>
        <v>20040089</v>
      </c>
      <c r="E382" t="str" cm="1">
        <f t="array" ref="E382">INDEX('Linha 03'!$B$4:$B$1000,B382)</f>
        <v>Amaciante Aquafast Roxo Magia Cx/06 X 2l</v>
      </c>
      <c r="F382" cm="1">
        <f t="array" ref="F382">INDEX('Linha 03'!$C$3:$ZZ$3,C382)</f>
        <v>20040094</v>
      </c>
      <c r="G382" t="str" cm="1">
        <f t="array" ref="G382">INDEX('Linha 03'!$C$2:$ZZ$2,C382)</f>
        <v>Amaciante Aquafast Energia Cx/06 X 2l</v>
      </c>
      <c r="H382" s="5" cm="1">
        <f t="array" ref="H382">INDEX('Linha 03'!$C$4:$ZZ$1000,B382,C382)</f>
        <v>0</v>
      </c>
    </row>
    <row r="383" spans="1:8" x14ac:dyDescent="0.25">
      <c r="A383">
        <v>381</v>
      </c>
      <c r="B383">
        <f t="shared" si="10"/>
        <v>10</v>
      </c>
      <c r="C383">
        <f t="shared" si="11"/>
        <v>12</v>
      </c>
      <c r="D383" cm="1">
        <f t="array" ref="D383">INDEX('Linha 03'!$A$4:$A$1000,B383)</f>
        <v>20040089</v>
      </c>
      <c r="E383" t="str" cm="1">
        <f t="array" ref="E383">INDEX('Linha 03'!$B$4:$B$1000,B383)</f>
        <v>Amaciante Aquafast Roxo Magia Cx/06 X 2l</v>
      </c>
      <c r="F383" cm="1">
        <f t="array" ref="F383">INDEX('Linha 03'!$C$3:$ZZ$3,C383)</f>
        <v>20050010</v>
      </c>
      <c r="G383" t="str" cm="1">
        <f t="array" ref="G383">INDEX('Linha 03'!$C$2:$ZZ$2,C383)</f>
        <v>Desinfetante Aquafast Campos Lavanda Cx/06 X 2l</v>
      </c>
      <c r="H383" s="5" cm="1">
        <f t="array" ref="H383">INDEX('Linha 03'!$C$4:$ZZ$1000,B383,C383)</f>
        <v>0</v>
      </c>
    </row>
    <row r="384" spans="1:8" x14ac:dyDescent="0.25">
      <c r="A384">
        <v>382</v>
      </c>
      <c r="B384">
        <f t="shared" si="10"/>
        <v>10</v>
      </c>
      <c r="C384">
        <f t="shared" si="11"/>
        <v>13</v>
      </c>
      <c r="D384" cm="1">
        <f t="array" ref="D384">INDEX('Linha 03'!$A$4:$A$1000,B384)</f>
        <v>20040089</v>
      </c>
      <c r="E384" t="str" cm="1">
        <f t="array" ref="E384">INDEX('Linha 03'!$B$4:$B$1000,B384)</f>
        <v>Amaciante Aquafast Roxo Magia Cx/06 X 2l</v>
      </c>
      <c r="F384" cm="1">
        <f t="array" ref="F384">INDEX('Linha 03'!$C$3:$ZZ$3,C384)</f>
        <v>20050011</v>
      </c>
      <c r="G384" t="str" cm="1">
        <f t="array" ref="G384">INDEX('Linha 03'!$C$2:$ZZ$2,C384)</f>
        <v>Desinfetante Aquafast Jardim Florido Cx/06 X 2l</v>
      </c>
      <c r="H384" s="5" cm="1">
        <f t="array" ref="H384">INDEX('Linha 03'!$C$4:$ZZ$1000,B384,C384)</f>
        <v>0</v>
      </c>
    </row>
    <row r="385" spans="1:8" x14ac:dyDescent="0.25">
      <c r="A385">
        <v>383</v>
      </c>
      <c r="B385">
        <f t="shared" si="10"/>
        <v>10</v>
      </c>
      <c r="C385">
        <f t="shared" si="11"/>
        <v>14</v>
      </c>
      <c r="D385" cm="1">
        <f t="array" ref="D385">INDEX('Linha 03'!$A$4:$A$1000,B385)</f>
        <v>20040089</v>
      </c>
      <c r="E385" t="str" cm="1">
        <f t="array" ref="E385">INDEX('Linha 03'!$B$4:$B$1000,B385)</f>
        <v>Amaciante Aquafast Roxo Magia Cx/06 X 2l</v>
      </c>
      <c r="F385" cm="1">
        <f t="array" ref="F385">INDEX('Linha 03'!$C$3:$ZZ$3,C385)</f>
        <v>20050016</v>
      </c>
      <c r="G385" t="str" cm="1">
        <f t="array" ref="G385">INDEX('Linha 03'!$C$2:$ZZ$2,C385)</f>
        <v>Desinfetante Aquafast Marine Cx/06 X 2l</v>
      </c>
      <c r="H385" s="5" cm="1">
        <f t="array" ref="H385">INDEX('Linha 03'!$C$4:$ZZ$1000,B385,C385)</f>
        <v>0</v>
      </c>
    </row>
    <row r="386" spans="1:8" x14ac:dyDescent="0.25">
      <c r="A386">
        <v>384</v>
      </c>
      <c r="B386">
        <f t="shared" si="10"/>
        <v>10</v>
      </c>
      <c r="C386">
        <f t="shared" si="11"/>
        <v>15</v>
      </c>
      <c r="D386" cm="1">
        <f t="array" ref="D386">INDEX('Linha 03'!$A$4:$A$1000,B386)</f>
        <v>20040089</v>
      </c>
      <c r="E386" t="str" cm="1">
        <f t="array" ref="E386">INDEX('Linha 03'!$B$4:$B$1000,B386)</f>
        <v>Amaciante Aquafast Roxo Magia Cx/06 X 2l</v>
      </c>
      <c r="F386" cm="1">
        <f t="array" ref="F386">INDEX('Linha 03'!$C$3:$ZZ$3,C386)</f>
        <v>20050031</v>
      </c>
      <c r="G386" t="str" cm="1">
        <f t="array" ref="G386">INDEX('Linha 03'!$C$2:$ZZ$2,C386)</f>
        <v>Desinfetante Ito Lavanda Cx/06 X 2l</v>
      </c>
      <c r="H386" s="5" cm="1">
        <f t="array" ref="H386">INDEX('Linha 03'!$C$4:$ZZ$1000,B386,C386)</f>
        <v>0</v>
      </c>
    </row>
    <row r="387" spans="1:8" x14ac:dyDescent="0.25">
      <c r="A387">
        <v>385</v>
      </c>
      <c r="B387">
        <f t="shared" si="10"/>
        <v>10</v>
      </c>
      <c r="C387">
        <f t="shared" si="11"/>
        <v>16</v>
      </c>
      <c r="D387" cm="1">
        <f t="array" ref="D387">INDEX('Linha 03'!$A$4:$A$1000,B387)</f>
        <v>20040089</v>
      </c>
      <c r="E387" t="str" cm="1">
        <f t="array" ref="E387">INDEX('Linha 03'!$B$4:$B$1000,B387)</f>
        <v>Amaciante Aquafast Roxo Magia Cx/06 X 2l</v>
      </c>
      <c r="F387" cm="1">
        <f t="array" ref="F387">INDEX('Linha 03'!$C$3:$ZZ$3,C387)</f>
        <v>20050032</v>
      </c>
      <c r="G387" t="str" cm="1">
        <f t="array" ref="G387">INDEX('Linha 03'!$C$2:$ZZ$2,C387)</f>
        <v>Desinfetante Ito Floral Cx/06 X 2l</v>
      </c>
      <c r="H387" s="5" cm="1">
        <f t="array" ref="H387">INDEX('Linha 03'!$C$4:$ZZ$1000,B387,C387)</f>
        <v>0</v>
      </c>
    </row>
    <row r="388" spans="1:8" x14ac:dyDescent="0.25">
      <c r="A388">
        <v>386</v>
      </c>
      <c r="B388">
        <f t="shared" ref="B388:B451" si="12">INT((A388-1)/$B$1)+1</f>
        <v>10</v>
      </c>
      <c r="C388">
        <f t="shared" ref="C388:C451" si="13">MOD(A388-1,$B$1)+1</f>
        <v>17</v>
      </c>
      <c r="D388" cm="1">
        <f t="array" ref="D388">INDEX('Linha 03'!$A$4:$A$1000,B388)</f>
        <v>20040089</v>
      </c>
      <c r="E388" t="str" cm="1">
        <f t="array" ref="E388">INDEX('Linha 03'!$B$4:$B$1000,B388)</f>
        <v>Amaciante Aquafast Roxo Magia Cx/06 X 2l</v>
      </c>
      <c r="F388" cm="1">
        <f t="array" ref="F388">INDEX('Linha 03'!$C$3:$ZZ$3,C388)</f>
        <v>20050034</v>
      </c>
      <c r="G388" t="str" cm="1">
        <f t="array" ref="G388">INDEX('Linha 03'!$C$2:$ZZ$2,C388)</f>
        <v>Desinfetante Ito Eucalipto Cx/06 X 2l</v>
      </c>
      <c r="H388" s="5" cm="1">
        <f t="array" ref="H388">INDEX('Linha 03'!$C$4:$ZZ$1000,B388,C388)</f>
        <v>0</v>
      </c>
    </row>
    <row r="389" spans="1:8" x14ac:dyDescent="0.25">
      <c r="A389">
        <v>387</v>
      </c>
      <c r="B389">
        <f t="shared" si="12"/>
        <v>10</v>
      </c>
      <c r="C389">
        <f t="shared" si="13"/>
        <v>18</v>
      </c>
      <c r="D389" cm="1">
        <f t="array" ref="D389">INDEX('Linha 03'!$A$4:$A$1000,B389)</f>
        <v>20040089</v>
      </c>
      <c r="E389" t="str" cm="1">
        <f t="array" ref="E389">INDEX('Linha 03'!$B$4:$B$1000,B389)</f>
        <v>Amaciante Aquafast Roxo Magia Cx/06 X 2l</v>
      </c>
      <c r="F389" cm="1">
        <f t="array" ref="F389">INDEX('Linha 03'!$C$3:$ZZ$3,C389)</f>
        <v>20050077</v>
      </c>
      <c r="G389" t="str" cm="1">
        <f t="array" ref="G389">INDEX('Linha 03'!$C$2:$ZZ$2,C389)</f>
        <v>Desinfetante Myata Lavanda Cx/06 X 2l</v>
      </c>
      <c r="H389" s="5" cm="1">
        <f t="array" ref="H389">INDEX('Linha 03'!$C$4:$ZZ$1000,B389,C389)</f>
        <v>0</v>
      </c>
    </row>
    <row r="390" spans="1:8" x14ac:dyDescent="0.25">
      <c r="A390">
        <v>388</v>
      </c>
      <c r="B390">
        <f t="shared" si="12"/>
        <v>10</v>
      </c>
      <c r="C390">
        <f t="shared" si="13"/>
        <v>19</v>
      </c>
      <c r="D390" cm="1">
        <f t="array" ref="D390">INDEX('Linha 03'!$A$4:$A$1000,B390)</f>
        <v>20040089</v>
      </c>
      <c r="E390" t="str" cm="1">
        <f t="array" ref="E390">INDEX('Linha 03'!$B$4:$B$1000,B390)</f>
        <v>Amaciante Aquafast Roxo Magia Cx/06 X 2l</v>
      </c>
      <c r="F390" cm="1">
        <f t="array" ref="F390">INDEX('Linha 03'!$C$3:$ZZ$3,C390)</f>
        <v>20050078</v>
      </c>
      <c r="G390" t="str" cm="1">
        <f t="array" ref="G390">INDEX('Linha 03'!$C$2:$ZZ$2,C390)</f>
        <v>Desinfetante Myata Floral Cx/06 X 2l</v>
      </c>
      <c r="H390" s="5" cm="1">
        <f t="array" ref="H390">INDEX('Linha 03'!$C$4:$ZZ$1000,B390,C390)</f>
        <v>0</v>
      </c>
    </row>
    <row r="391" spans="1:8" x14ac:dyDescent="0.25">
      <c r="A391">
        <v>389</v>
      </c>
      <c r="B391">
        <f t="shared" si="12"/>
        <v>10</v>
      </c>
      <c r="C391">
        <f t="shared" si="13"/>
        <v>20</v>
      </c>
      <c r="D391" cm="1">
        <f t="array" ref="D391">INDEX('Linha 03'!$A$4:$A$1000,B391)</f>
        <v>20040089</v>
      </c>
      <c r="E391" t="str" cm="1">
        <f t="array" ref="E391">INDEX('Linha 03'!$B$4:$B$1000,B391)</f>
        <v>Amaciante Aquafast Roxo Magia Cx/06 X 2l</v>
      </c>
      <c r="F391" cm="1">
        <f t="array" ref="F391">INDEX('Linha 03'!$C$3:$ZZ$3,C391)</f>
        <v>20050115</v>
      </c>
      <c r="G391" t="str" cm="1">
        <f t="array" ref="G391">INDEX('Linha 03'!$C$2:$ZZ$2,C391)</f>
        <v>Desinfetante Aquafast Paixao Cx/06 X 2l</v>
      </c>
      <c r="H391" s="5" cm="1">
        <f t="array" ref="H391">INDEX('Linha 03'!$C$4:$ZZ$1000,B391,C391)</f>
        <v>0</v>
      </c>
    </row>
    <row r="392" spans="1:8" x14ac:dyDescent="0.25">
      <c r="A392">
        <v>390</v>
      </c>
      <c r="B392">
        <f t="shared" si="12"/>
        <v>10</v>
      </c>
      <c r="C392">
        <f t="shared" si="13"/>
        <v>21</v>
      </c>
      <c r="D392" cm="1">
        <f t="array" ref="D392">INDEX('Linha 03'!$A$4:$A$1000,B392)</f>
        <v>20040089</v>
      </c>
      <c r="E392" t="str" cm="1">
        <f t="array" ref="E392">INDEX('Linha 03'!$B$4:$B$1000,B392)</f>
        <v>Amaciante Aquafast Roxo Magia Cx/06 X 2l</v>
      </c>
      <c r="F392" cm="1">
        <f t="array" ref="F392">INDEX('Linha 03'!$C$3:$ZZ$3,C392)</f>
        <v>20050117</v>
      </c>
      <c r="G392" t="str" cm="1">
        <f t="array" ref="G392">INDEX('Linha 03'!$C$2:$ZZ$2,C392)</f>
        <v>Desinfetante Aquafast Harmonia Natural Cx/06 X 2l</v>
      </c>
      <c r="H392" s="5" cm="1">
        <f t="array" ref="H392">INDEX('Linha 03'!$C$4:$ZZ$1000,B392,C392)</f>
        <v>0</v>
      </c>
    </row>
    <row r="393" spans="1:8" x14ac:dyDescent="0.25">
      <c r="A393">
        <v>391</v>
      </c>
      <c r="B393">
        <f t="shared" si="12"/>
        <v>10</v>
      </c>
      <c r="C393">
        <f t="shared" si="13"/>
        <v>22</v>
      </c>
      <c r="D393" cm="1">
        <f t="array" ref="D393">INDEX('Linha 03'!$A$4:$A$1000,B393)</f>
        <v>20040089</v>
      </c>
      <c r="E393" t="str" cm="1">
        <f t="array" ref="E393">INDEX('Linha 03'!$B$4:$B$1000,B393)</f>
        <v>Amaciante Aquafast Roxo Magia Cx/06 X 2l</v>
      </c>
      <c r="F393" cm="1">
        <f t="array" ref="F393">INDEX('Linha 03'!$C$3:$ZZ$3,C393)</f>
        <v>20050123</v>
      </c>
      <c r="G393" t="str" cm="1">
        <f t="array" ref="G393">INDEX('Linha 03'!$C$2:$ZZ$2,C393)</f>
        <v>Desinfetante Ito Harmonia Natural Cx/06 X 2l</v>
      </c>
      <c r="H393" s="5" cm="1">
        <f t="array" ref="H393">INDEX('Linha 03'!$C$4:$ZZ$1000,B393,C393)</f>
        <v>0</v>
      </c>
    </row>
    <row r="394" spans="1:8" x14ac:dyDescent="0.25">
      <c r="A394">
        <v>392</v>
      </c>
      <c r="B394">
        <f t="shared" si="12"/>
        <v>10</v>
      </c>
      <c r="C394">
        <f t="shared" si="13"/>
        <v>23</v>
      </c>
      <c r="D394" cm="1">
        <f t="array" ref="D394">INDEX('Linha 03'!$A$4:$A$1000,B394)</f>
        <v>20040089</v>
      </c>
      <c r="E394" t="str" cm="1">
        <f t="array" ref="E394">INDEX('Linha 03'!$B$4:$B$1000,B394)</f>
        <v>Amaciante Aquafast Roxo Magia Cx/06 X 2l</v>
      </c>
      <c r="F394" cm="1">
        <f t="array" ref="F394">INDEX('Linha 03'!$C$3:$ZZ$3,C394)</f>
        <v>20050124</v>
      </c>
      <c r="G394" t="str" cm="1">
        <f t="array" ref="G394">INDEX('Linha 03'!$C$2:$ZZ$2,C394)</f>
        <v>Desinfetante Myata Harmonia Natural Cx/06 X 2l</v>
      </c>
      <c r="H394" s="5" cm="1">
        <f t="array" ref="H394">INDEX('Linha 03'!$C$4:$ZZ$1000,B394,C394)</f>
        <v>0</v>
      </c>
    </row>
    <row r="395" spans="1:8" x14ac:dyDescent="0.25">
      <c r="A395">
        <v>393</v>
      </c>
      <c r="B395">
        <f t="shared" si="12"/>
        <v>10</v>
      </c>
      <c r="C395">
        <f t="shared" si="13"/>
        <v>24</v>
      </c>
      <c r="D395" cm="1">
        <f t="array" ref="D395">INDEX('Linha 03'!$A$4:$A$1000,B395)</f>
        <v>20040089</v>
      </c>
      <c r="E395" t="str" cm="1">
        <f t="array" ref="E395">INDEX('Linha 03'!$B$4:$B$1000,B395)</f>
        <v>Amaciante Aquafast Roxo Magia Cx/06 X 2l</v>
      </c>
      <c r="F395" cm="1">
        <f t="array" ref="F395">INDEX('Linha 03'!$C$3:$ZZ$3,C395)</f>
        <v>20050142</v>
      </c>
      <c r="G395" t="str" cm="1">
        <f t="array" ref="G395">INDEX('Linha 03'!$C$2:$ZZ$2,C395)</f>
        <v>Desinfetante Ito Marine Cx/06 X 2l</v>
      </c>
      <c r="H395" s="5" cm="1">
        <f t="array" ref="H395">INDEX('Linha 03'!$C$4:$ZZ$1000,B395,C395)</f>
        <v>0</v>
      </c>
    </row>
    <row r="396" spans="1:8" x14ac:dyDescent="0.25">
      <c r="A396">
        <v>394</v>
      </c>
      <c r="B396">
        <f t="shared" si="12"/>
        <v>10</v>
      </c>
      <c r="C396">
        <f t="shared" si="13"/>
        <v>25</v>
      </c>
      <c r="D396" cm="1">
        <f t="array" ref="D396">INDEX('Linha 03'!$A$4:$A$1000,B396)</f>
        <v>20040089</v>
      </c>
      <c r="E396" t="str" cm="1">
        <f t="array" ref="E396">INDEX('Linha 03'!$B$4:$B$1000,B396)</f>
        <v>Amaciante Aquafast Roxo Magia Cx/06 X 2l</v>
      </c>
      <c r="F396" cm="1">
        <f t="array" ref="F396">INDEX('Linha 03'!$C$3:$ZZ$3,C396)</f>
        <v>20050159</v>
      </c>
      <c r="G396" t="str" cm="1">
        <f t="array" ref="G396">INDEX('Linha 03'!$C$2:$ZZ$2,C396)</f>
        <v>Desinfetante Aquafast Cha Branco Cx/06 X 2l</v>
      </c>
      <c r="H396" s="5" cm="1">
        <f t="array" ref="H396">INDEX('Linha 03'!$C$4:$ZZ$1000,B396,C396)</f>
        <v>1.38888888888889E-2</v>
      </c>
    </row>
    <row r="397" spans="1:8" x14ac:dyDescent="0.25">
      <c r="A397">
        <v>395</v>
      </c>
      <c r="B397">
        <f t="shared" si="12"/>
        <v>10</v>
      </c>
      <c r="C397">
        <f t="shared" si="13"/>
        <v>26</v>
      </c>
      <c r="D397" cm="1">
        <f t="array" ref="D397">INDEX('Linha 03'!$A$4:$A$1000,B397)</f>
        <v>20040089</v>
      </c>
      <c r="E397" t="str" cm="1">
        <f t="array" ref="E397">INDEX('Linha 03'!$B$4:$B$1000,B397)</f>
        <v>Amaciante Aquafast Roxo Magia Cx/06 X 2l</v>
      </c>
      <c r="F397" cm="1">
        <f t="array" ref="F397">INDEX('Linha 03'!$C$3:$ZZ$3,C397)</f>
        <v>20060007</v>
      </c>
      <c r="G397" t="str" cm="1">
        <f t="array" ref="G397">INDEX('Linha 03'!$C$2:$ZZ$2,C397)</f>
        <v>Limp Perf Aquafast Magia Seducao Cx/06 X 2l (Promoc)</v>
      </c>
      <c r="H397" s="5" cm="1">
        <f t="array" ref="H397">INDEX('Linha 03'!$C$4:$ZZ$1000,B397,C397)</f>
        <v>0</v>
      </c>
    </row>
    <row r="398" spans="1:8" x14ac:dyDescent="0.25">
      <c r="A398">
        <v>396</v>
      </c>
      <c r="B398">
        <f t="shared" si="12"/>
        <v>10</v>
      </c>
      <c r="C398">
        <f t="shared" si="13"/>
        <v>27</v>
      </c>
      <c r="D398" cm="1">
        <f t="array" ref="D398">INDEX('Linha 03'!$A$4:$A$1000,B398)</f>
        <v>20040089</v>
      </c>
      <c r="E398" t="str" cm="1">
        <f t="array" ref="E398">INDEX('Linha 03'!$B$4:$B$1000,B398)</f>
        <v>Amaciante Aquafast Roxo Magia Cx/06 X 2l</v>
      </c>
      <c r="F398" cm="1">
        <f t="array" ref="F398">INDEX('Linha 03'!$C$3:$ZZ$3,C398)</f>
        <v>20060009</v>
      </c>
      <c r="G398" t="str" cm="1">
        <f t="array" ref="G398">INDEX('Linha 03'!$C$2:$ZZ$2,C398)</f>
        <v>Limp Perf Aquafast Frescor Da Manha Cx/06 X 2l (Promoc)</v>
      </c>
      <c r="H398" s="5" cm="1">
        <f t="array" ref="H398">INDEX('Linha 03'!$C$4:$ZZ$1000,B398,C398)</f>
        <v>0</v>
      </c>
    </row>
    <row r="399" spans="1:8" x14ac:dyDescent="0.25">
      <c r="A399">
        <v>397</v>
      </c>
      <c r="B399">
        <f t="shared" si="12"/>
        <v>10</v>
      </c>
      <c r="C399">
        <f t="shared" si="13"/>
        <v>28</v>
      </c>
      <c r="D399" cm="1">
        <f t="array" ref="D399">INDEX('Linha 03'!$A$4:$A$1000,B399)</f>
        <v>20040089</v>
      </c>
      <c r="E399" t="str" cm="1">
        <f t="array" ref="E399">INDEX('Linha 03'!$B$4:$B$1000,B399)</f>
        <v>Amaciante Aquafast Roxo Magia Cx/06 X 2l</v>
      </c>
      <c r="F399" cm="1">
        <f t="array" ref="F399">INDEX('Linha 03'!$C$3:$ZZ$3,C399)</f>
        <v>20060017</v>
      </c>
      <c r="G399" t="str" cm="1">
        <f t="array" ref="G399">INDEX('Linha 03'!$C$2:$ZZ$2,C399)</f>
        <v>Limp Perf Aquafast Doce Romance Cx/06 X 2l (Promoc)</v>
      </c>
      <c r="H399" s="5" cm="1">
        <f t="array" ref="H399">INDEX('Linha 03'!$C$4:$ZZ$1000,B399,C399)</f>
        <v>0</v>
      </c>
    </row>
    <row r="400" spans="1:8" x14ac:dyDescent="0.25">
      <c r="A400">
        <v>398</v>
      </c>
      <c r="B400">
        <f t="shared" si="12"/>
        <v>10</v>
      </c>
      <c r="C400">
        <f t="shared" si="13"/>
        <v>29</v>
      </c>
      <c r="D400" cm="1">
        <f t="array" ref="D400">INDEX('Linha 03'!$A$4:$A$1000,B400)</f>
        <v>20040089</v>
      </c>
      <c r="E400" t="str" cm="1">
        <f t="array" ref="E400">INDEX('Linha 03'!$B$4:$B$1000,B400)</f>
        <v>Amaciante Aquafast Roxo Magia Cx/06 X 2l</v>
      </c>
      <c r="F400" cm="1">
        <f t="array" ref="F400">INDEX('Linha 03'!$C$3:$ZZ$3,C400)</f>
        <v>20060028</v>
      </c>
      <c r="G400" t="str" cm="1">
        <f t="array" ref="G400">INDEX('Linha 03'!$C$2:$ZZ$2,C400)</f>
        <v>Limp Perf Aquafast Essencia Natural Cx06 X 2l</v>
      </c>
      <c r="H400" s="5" cm="1">
        <f t="array" ref="H400">INDEX('Linha 03'!$C$4:$ZZ$1000,B400,C400)</f>
        <v>0</v>
      </c>
    </row>
    <row r="401" spans="1:8" x14ac:dyDescent="0.25">
      <c r="A401">
        <v>399</v>
      </c>
      <c r="B401">
        <f t="shared" si="12"/>
        <v>10</v>
      </c>
      <c r="C401">
        <f t="shared" si="13"/>
        <v>30</v>
      </c>
      <c r="D401" cm="1">
        <f t="array" ref="D401">INDEX('Linha 03'!$A$4:$A$1000,B401)</f>
        <v>20040089</v>
      </c>
      <c r="E401" t="str" cm="1">
        <f t="array" ref="E401">INDEX('Linha 03'!$B$4:$B$1000,B401)</f>
        <v>Amaciante Aquafast Roxo Magia Cx/06 X 2l</v>
      </c>
      <c r="F401" cm="1">
        <f t="array" ref="F401">INDEX('Linha 03'!$C$3:$ZZ$3,C401)</f>
        <v>20200003</v>
      </c>
      <c r="G401" t="str" cm="1">
        <f t="array" ref="G401">INDEX('Linha 03'!$C$2:$ZZ$2,C401)</f>
        <v>Lava Roup. Aquafast Baby Cx/12 X 1l</v>
      </c>
      <c r="H401" s="5" cm="1">
        <f t="array" ref="H401">INDEX('Linha 03'!$C$4:$ZZ$1000,B401,C401)</f>
        <v>0</v>
      </c>
    </row>
    <row r="402" spans="1:8" x14ac:dyDescent="0.25">
      <c r="A402">
        <v>400</v>
      </c>
      <c r="B402">
        <f t="shared" si="12"/>
        <v>10</v>
      </c>
      <c r="C402">
        <f t="shared" si="13"/>
        <v>31</v>
      </c>
      <c r="D402" cm="1">
        <f t="array" ref="D402">INDEX('Linha 03'!$A$4:$A$1000,B402)</f>
        <v>20040089</v>
      </c>
      <c r="E402" t="str" cm="1">
        <f t="array" ref="E402">INDEX('Linha 03'!$B$4:$B$1000,B402)</f>
        <v>Amaciante Aquafast Roxo Magia Cx/06 X 2l</v>
      </c>
      <c r="F402" cm="1">
        <f t="array" ref="F402">INDEX('Linha 03'!$C$3:$ZZ$3,C402)</f>
        <v>20200005</v>
      </c>
      <c r="G402" t="str" cm="1">
        <f t="array" ref="G402">INDEX('Linha 03'!$C$2:$ZZ$2,C402)</f>
        <v>Lava Roupas Aquafast Multi Acao Cx/06 X 2l</v>
      </c>
      <c r="H402" s="5" cm="1">
        <f t="array" ref="H402">INDEX('Linha 03'!$C$4:$ZZ$1000,B402,C402)</f>
        <v>0</v>
      </c>
    </row>
    <row r="403" spans="1:8" x14ac:dyDescent="0.25">
      <c r="A403">
        <v>401</v>
      </c>
      <c r="B403">
        <f t="shared" si="12"/>
        <v>10</v>
      </c>
      <c r="C403">
        <f t="shared" si="13"/>
        <v>32</v>
      </c>
      <c r="D403" cm="1">
        <f t="array" ref="D403">INDEX('Linha 03'!$A$4:$A$1000,B403)</f>
        <v>20040089</v>
      </c>
      <c r="E403" t="str" cm="1">
        <f t="array" ref="E403">INDEX('Linha 03'!$B$4:$B$1000,B403)</f>
        <v>Amaciante Aquafast Roxo Magia Cx/06 X 2l</v>
      </c>
      <c r="F403" cm="1">
        <f t="array" ref="F403">INDEX('Linha 03'!$C$3:$ZZ$3,C403)</f>
        <v>20200006</v>
      </c>
      <c r="G403" t="str" cm="1">
        <f t="array" ref="G403">INDEX('Linha 03'!$C$2:$ZZ$2,C403)</f>
        <v>Lava Roupas Aquafast Glicerina Cx/06 X 2l</v>
      </c>
      <c r="H403" s="5" cm="1">
        <f t="array" ref="H403">INDEX('Linha 03'!$C$4:$ZZ$1000,B403,C403)</f>
        <v>0</v>
      </c>
    </row>
    <row r="404" spans="1:8" x14ac:dyDescent="0.25">
      <c r="A404">
        <v>402</v>
      </c>
      <c r="B404">
        <f t="shared" si="12"/>
        <v>10</v>
      </c>
      <c r="C404">
        <f t="shared" si="13"/>
        <v>33</v>
      </c>
      <c r="D404" cm="1">
        <f t="array" ref="D404">INDEX('Linha 03'!$A$4:$A$1000,B404)</f>
        <v>20040089</v>
      </c>
      <c r="E404" t="str" cm="1">
        <f t="array" ref="E404">INDEX('Linha 03'!$B$4:$B$1000,B404)</f>
        <v>Amaciante Aquafast Roxo Magia Cx/06 X 2l</v>
      </c>
      <c r="F404" cm="1">
        <f t="array" ref="F404">INDEX('Linha 03'!$C$3:$ZZ$3,C404)</f>
        <v>20200015</v>
      </c>
      <c r="G404" t="str" cm="1">
        <f t="array" ref="G404">INDEX('Linha 03'!$C$2:$ZZ$2,C404)</f>
        <v>Lava Roup. Aquafast Multiacao Cx/12 X 1l</v>
      </c>
      <c r="H404" s="5" cm="1">
        <f t="array" ref="H404">INDEX('Linha 03'!$C$4:$ZZ$1000,B404,C404)</f>
        <v>0</v>
      </c>
    </row>
    <row r="405" spans="1:8" x14ac:dyDescent="0.25">
      <c r="A405">
        <v>403</v>
      </c>
      <c r="B405">
        <f t="shared" si="12"/>
        <v>10</v>
      </c>
      <c r="C405">
        <f t="shared" si="13"/>
        <v>34</v>
      </c>
      <c r="D405" cm="1">
        <f t="array" ref="D405">INDEX('Linha 03'!$A$4:$A$1000,B405)</f>
        <v>20040089</v>
      </c>
      <c r="E405" t="str" cm="1">
        <f t="array" ref="E405">INDEX('Linha 03'!$B$4:$B$1000,B405)</f>
        <v>Amaciante Aquafast Roxo Magia Cx/06 X 2l</v>
      </c>
      <c r="F405" cm="1">
        <f t="array" ref="F405">INDEX('Linha 03'!$C$3:$ZZ$3,C405)</f>
        <v>20200036</v>
      </c>
      <c r="G405" t="str" cm="1">
        <f t="array" ref="G405">INDEX('Linha 03'!$C$2:$ZZ$2,C405)</f>
        <v>Lava Roupas Aquafast Ternura Cx/06 X 2l</v>
      </c>
      <c r="H405" s="5" cm="1">
        <f t="array" ref="H405">INDEX('Linha 03'!$C$4:$ZZ$1000,B405,C405)</f>
        <v>0</v>
      </c>
    </row>
    <row r="406" spans="1:8" x14ac:dyDescent="0.25">
      <c r="A406">
        <v>404</v>
      </c>
      <c r="B406">
        <f t="shared" si="12"/>
        <v>10</v>
      </c>
      <c r="C406">
        <f t="shared" si="13"/>
        <v>35</v>
      </c>
      <c r="D406" cm="1">
        <f t="array" ref="D406">INDEX('Linha 03'!$A$4:$A$1000,B406)</f>
        <v>20040089</v>
      </c>
      <c r="E406" t="str" cm="1">
        <f t="array" ref="E406">INDEX('Linha 03'!$B$4:$B$1000,B406)</f>
        <v>Amaciante Aquafast Roxo Magia Cx/06 X 2l</v>
      </c>
      <c r="F406" cm="1">
        <f t="array" ref="F406">INDEX('Linha 03'!$C$3:$ZZ$3,C406)</f>
        <v>20200063</v>
      </c>
      <c r="G406" t="str" cm="1">
        <f t="array" ref="G406">INDEX('Linha 03'!$C$2:$ZZ$2,C406)</f>
        <v>Lava Roup. Aquafast Tradicional Cx/12 X 1l</v>
      </c>
      <c r="H406" s="5" cm="1">
        <f t="array" ref="H406">INDEX('Linha 03'!$C$4:$ZZ$1000,B406,C406)</f>
        <v>0</v>
      </c>
    </row>
    <row r="407" spans="1:8" x14ac:dyDescent="0.25">
      <c r="A407">
        <v>405</v>
      </c>
      <c r="B407">
        <f t="shared" si="12"/>
        <v>10</v>
      </c>
      <c r="C407">
        <f t="shared" si="13"/>
        <v>36</v>
      </c>
      <c r="D407" cm="1">
        <f t="array" ref="D407">INDEX('Linha 03'!$A$4:$A$1000,B407)</f>
        <v>20040089</v>
      </c>
      <c r="E407" t="str" cm="1">
        <f t="array" ref="E407">INDEX('Linha 03'!$B$4:$B$1000,B407)</f>
        <v>Amaciante Aquafast Roxo Magia Cx/06 X 2l</v>
      </c>
      <c r="F407" cm="1">
        <f t="array" ref="F407">INDEX('Linha 03'!$C$3:$ZZ$3,C407)</f>
        <v>20200064</v>
      </c>
      <c r="G407" t="str" cm="1">
        <f t="array" ref="G407">INDEX('Linha 03'!$C$2:$ZZ$2,C407)</f>
        <v>Lava Roup. Aquafast Flores B. E Baunilha Cx/12 X 1l</v>
      </c>
      <c r="H407" s="5" cm="1">
        <f t="array" ref="H407">INDEX('Linha 03'!$C$4:$ZZ$1000,B407,C407)</f>
        <v>0</v>
      </c>
    </row>
    <row r="408" spans="1:8" x14ac:dyDescent="0.25">
      <c r="A408">
        <v>406</v>
      </c>
      <c r="B408">
        <f t="shared" si="12"/>
        <v>10</v>
      </c>
      <c r="C408">
        <f t="shared" si="13"/>
        <v>37</v>
      </c>
      <c r="D408" cm="1">
        <f t="array" ref="D408">INDEX('Linha 03'!$A$4:$A$1000,B408)</f>
        <v>20040089</v>
      </c>
      <c r="E408" t="str" cm="1">
        <f t="array" ref="E408">INDEX('Linha 03'!$B$4:$B$1000,B408)</f>
        <v>Amaciante Aquafast Roxo Magia Cx/06 X 2l</v>
      </c>
      <c r="F408" cm="1">
        <f t="array" ref="F408">INDEX('Linha 03'!$C$3:$ZZ$3,C408)</f>
        <v>20200065</v>
      </c>
      <c r="G408" t="str" cm="1">
        <f t="array" ref="G408">INDEX('Linha 03'!$C$2:$ZZ$2,C408)</f>
        <v>Lava Roupas Aquafast Flores B. E Baunilha Cx/06 X 2l</v>
      </c>
      <c r="H408" s="5" cm="1">
        <f t="array" ref="H408">INDEX('Linha 03'!$C$4:$ZZ$1000,B408,C408)</f>
        <v>0</v>
      </c>
    </row>
    <row r="409" spans="1:8" x14ac:dyDescent="0.25">
      <c r="A409">
        <v>407</v>
      </c>
      <c r="B409">
        <f t="shared" si="12"/>
        <v>10</v>
      </c>
      <c r="C409">
        <f t="shared" si="13"/>
        <v>38</v>
      </c>
      <c r="D409" cm="1">
        <f t="array" ref="D409">INDEX('Linha 03'!$A$4:$A$1000,B409)</f>
        <v>20040089</v>
      </c>
      <c r="E409" t="str" cm="1">
        <f t="array" ref="E409">INDEX('Linha 03'!$B$4:$B$1000,B409)</f>
        <v>Amaciante Aquafast Roxo Magia Cx/06 X 2l</v>
      </c>
      <c r="F409" cm="1">
        <f t="array" ref="F409">INDEX('Linha 03'!$C$3:$ZZ$3,C409)</f>
        <v>20200072</v>
      </c>
      <c r="G409" t="str" cm="1">
        <f t="array" ref="G409">INDEX('Linha 03'!$C$2:$ZZ$2,C409)</f>
        <v>Lava Roupas Aquafast Lavagem Rapida Total Clean Cx/12 X 1l</v>
      </c>
      <c r="H409" s="5" cm="1">
        <f t="array" ref="H409">INDEX('Linha 03'!$C$4:$ZZ$1000,B409,C409)</f>
        <v>0</v>
      </c>
    </row>
    <row r="410" spans="1:8" x14ac:dyDescent="0.25">
      <c r="A410">
        <v>408</v>
      </c>
      <c r="B410">
        <f t="shared" si="12"/>
        <v>10</v>
      </c>
      <c r="C410">
        <f t="shared" si="13"/>
        <v>39</v>
      </c>
      <c r="D410" cm="1">
        <f t="array" ref="D410">INDEX('Linha 03'!$A$4:$A$1000,B410)</f>
        <v>20040089</v>
      </c>
      <c r="E410" t="str" cm="1">
        <f t="array" ref="E410">INDEX('Linha 03'!$B$4:$B$1000,B410)</f>
        <v>Amaciante Aquafast Roxo Magia Cx/06 X 2l</v>
      </c>
      <c r="F410" cm="1">
        <f t="array" ref="F410">INDEX('Linha 03'!$C$3:$ZZ$3,C410)</f>
        <v>20200074</v>
      </c>
      <c r="G410" t="str" cm="1">
        <f t="array" ref="G410">INDEX('Linha 03'!$C$2:$ZZ$2,C410)</f>
        <v>Lava Roupas Aquafast Lavagem Rapida Fresh Clean Cx/12 X 1l</v>
      </c>
      <c r="H410" s="5" cm="1">
        <f t="array" ref="H410">INDEX('Linha 03'!$C$4:$ZZ$1000,B410,C410)</f>
        <v>0</v>
      </c>
    </row>
    <row r="411" spans="1:8" x14ac:dyDescent="0.25">
      <c r="A411">
        <v>409</v>
      </c>
      <c r="B411">
        <f t="shared" si="12"/>
        <v>10</v>
      </c>
      <c r="C411">
        <f t="shared" si="13"/>
        <v>40</v>
      </c>
      <c r="D411" cm="1">
        <f t="array" ref="D411">INDEX('Linha 03'!$A$4:$A$1000,B411)</f>
        <v>20040089</v>
      </c>
      <c r="E411" t="str" cm="1">
        <f t="array" ref="E411">INDEX('Linha 03'!$B$4:$B$1000,B411)</f>
        <v>Amaciante Aquafast Roxo Magia Cx/06 X 2l</v>
      </c>
      <c r="F411" cm="1">
        <f t="array" ref="F411">INDEX('Linha 03'!$C$3:$ZZ$3,C411)</f>
        <v>20250005</v>
      </c>
      <c r="G411" t="str" cm="1">
        <f t="array" ref="G411">INDEX('Linha 03'!$C$2:$ZZ$2,C411)</f>
        <v>Neutralizador De Odores Aquafast Floral Cx/06 X 2l</v>
      </c>
      <c r="H411" s="5" cm="1">
        <f t="array" ref="H411">INDEX('Linha 03'!$C$4:$ZZ$1000,B411,C411)</f>
        <v>0</v>
      </c>
    </row>
    <row r="412" spans="1:8" x14ac:dyDescent="0.25">
      <c r="A412">
        <v>410</v>
      </c>
      <c r="B412">
        <f t="shared" si="12"/>
        <v>10</v>
      </c>
      <c r="C412">
        <f t="shared" si="13"/>
        <v>41</v>
      </c>
      <c r="D412" cm="1">
        <f t="array" ref="D412">INDEX('Linha 03'!$A$4:$A$1000,B412)</f>
        <v>20040089</v>
      </c>
      <c r="E412" t="str" cm="1">
        <f t="array" ref="E412">INDEX('Linha 03'!$B$4:$B$1000,B412)</f>
        <v>Amaciante Aquafast Roxo Magia Cx/06 X 2l</v>
      </c>
      <c r="F412" cm="1">
        <f t="array" ref="F412">INDEX('Linha 03'!$C$3:$ZZ$3,C412)</f>
        <v>20250007</v>
      </c>
      <c r="G412" t="str" cm="1">
        <f t="array" ref="G412">INDEX('Linha 03'!$C$2:$ZZ$2,C412)</f>
        <v>Neutralizador De Odores Aquafast Marine Cx/06 2l</v>
      </c>
      <c r="H412" s="5" cm="1">
        <f t="array" ref="H412">INDEX('Linha 03'!$C$4:$ZZ$1000,B412,C412)</f>
        <v>0</v>
      </c>
    </row>
    <row r="413" spans="1:8" x14ac:dyDescent="0.25">
      <c r="A413">
        <v>411</v>
      </c>
      <c r="B413">
        <f t="shared" si="12"/>
        <v>11</v>
      </c>
      <c r="C413">
        <f t="shared" si="13"/>
        <v>1</v>
      </c>
      <c r="D413" cm="1">
        <f t="array" ref="D413">INDEX('Linha 03'!$A$4:$A$1000,B413)</f>
        <v>20040094</v>
      </c>
      <c r="E413" t="str" cm="1">
        <f t="array" ref="E413">INDEX('Linha 03'!$B$4:$B$1000,B413)</f>
        <v>Amaciante Aquafast Energia Cx/06 X 2l</v>
      </c>
      <c r="F413" cm="1">
        <f t="array" ref="F413">INDEX('Linha 03'!$C$3:$ZZ$3,C413)</f>
        <v>20040006</v>
      </c>
      <c r="G413" t="str" cm="1">
        <f t="array" ref="G413">INDEX('Linha 03'!$C$2:$ZZ$2,C413)</f>
        <v>Amaciante Aquafast Azul Fresc. Manha Cx/06 X 2l</v>
      </c>
      <c r="H413" s="5" cm="1">
        <f t="array" ref="H413">INDEX('Linha 03'!$C$4:$ZZ$1000,B413,C413)</f>
        <v>0</v>
      </c>
    </row>
    <row r="414" spans="1:8" x14ac:dyDescent="0.25">
      <c r="A414">
        <v>412</v>
      </c>
      <c r="B414">
        <f t="shared" si="12"/>
        <v>11</v>
      </c>
      <c r="C414">
        <f t="shared" si="13"/>
        <v>2</v>
      </c>
      <c r="D414" cm="1">
        <f t="array" ref="D414">INDEX('Linha 03'!$A$4:$A$1000,B414)</f>
        <v>20040094</v>
      </c>
      <c r="E414" t="str" cm="1">
        <f t="array" ref="E414">INDEX('Linha 03'!$B$4:$B$1000,B414)</f>
        <v>Amaciante Aquafast Energia Cx/06 X 2l</v>
      </c>
      <c r="F414" cm="1">
        <f t="array" ref="F414">INDEX('Linha 03'!$C$3:$ZZ$3,C414)</f>
        <v>20040008</v>
      </c>
      <c r="G414" t="str" cm="1">
        <f t="array" ref="G414">INDEX('Linha 03'!$C$2:$ZZ$2,C414)</f>
        <v>Amaciante Aquafast Rosa Jard. Florid Cx/06 X 2l</v>
      </c>
      <c r="H414" s="5" cm="1">
        <f t="array" ref="H414">INDEX('Linha 03'!$C$4:$ZZ$1000,B414,C414)</f>
        <v>0</v>
      </c>
    </row>
    <row r="415" spans="1:8" x14ac:dyDescent="0.25">
      <c r="A415">
        <v>413</v>
      </c>
      <c r="B415">
        <f t="shared" si="12"/>
        <v>11</v>
      </c>
      <c r="C415">
        <f t="shared" si="13"/>
        <v>3</v>
      </c>
      <c r="D415" cm="1">
        <f t="array" ref="D415">INDEX('Linha 03'!$A$4:$A$1000,B415)</f>
        <v>20040094</v>
      </c>
      <c r="E415" t="str" cm="1">
        <f t="array" ref="E415">INDEX('Linha 03'!$B$4:$B$1000,B415)</f>
        <v>Amaciante Aquafast Energia Cx/06 X 2l</v>
      </c>
      <c r="F415" cm="1">
        <f t="array" ref="F415">INDEX('Linha 03'!$C$3:$ZZ$3,C415)</f>
        <v>20040009</v>
      </c>
      <c r="G415" t="str" cm="1">
        <f t="array" ref="G415">INDEX('Linha 03'!$C$2:$ZZ$2,C415)</f>
        <v>Amaciante Aquafast Branco Pura Caric. Cx/06 X 2l</v>
      </c>
      <c r="H415" s="5" cm="1">
        <f t="array" ref="H415">INDEX('Linha 03'!$C$4:$ZZ$1000,B415,C415)</f>
        <v>0</v>
      </c>
    </row>
    <row r="416" spans="1:8" x14ac:dyDescent="0.25">
      <c r="A416">
        <v>414</v>
      </c>
      <c r="B416">
        <f t="shared" si="12"/>
        <v>11</v>
      </c>
      <c r="C416">
        <f t="shared" si="13"/>
        <v>4</v>
      </c>
      <c r="D416" cm="1">
        <f t="array" ref="D416">INDEX('Linha 03'!$A$4:$A$1000,B416)</f>
        <v>20040094</v>
      </c>
      <c r="E416" t="str" cm="1">
        <f t="array" ref="E416">INDEX('Linha 03'!$B$4:$B$1000,B416)</f>
        <v>Amaciante Aquafast Energia Cx/06 X 2l</v>
      </c>
      <c r="F416" cm="1">
        <f t="array" ref="F416">INDEX('Linha 03'!$C$3:$ZZ$3,C416)</f>
        <v>20040026</v>
      </c>
      <c r="G416" t="str" cm="1">
        <f t="array" ref="G416">INDEX('Linha 03'!$C$2:$ZZ$2,C416)</f>
        <v>Amaciante Ito Azul Cx/06 X 2l</v>
      </c>
      <c r="H416" s="5" cm="1">
        <f t="array" ref="H416">INDEX('Linha 03'!$C$4:$ZZ$1000,B416,C416)</f>
        <v>0</v>
      </c>
    </row>
    <row r="417" spans="1:8" x14ac:dyDescent="0.25">
      <c r="A417">
        <v>415</v>
      </c>
      <c r="B417">
        <f t="shared" si="12"/>
        <v>11</v>
      </c>
      <c r="C417">
        <f t="shared" si="13"/>
        <v>5</v>
      </c>
      <c r="D417" cm="1">
        <f t="array" ref="D417">INDEX('Linha 03'!$A$4:$A$1000,B417)</f>
        <v>20040094</v>
      </c>
      <c r="E417" t="str" cm="1">
        <f t="array" ref="E417">INDEX('Linha 03'!$B$4:$B$1000,B417)</f>
        <v>Amaciante Aquafast Energia Cx/06 X 2l</v>
      </c>
      <c r="F417" cm="1">
        <f t="array" ref="F417">INDEX('Linha 03'!$C$3:$ZZ$3,C417)</f>
        <v>20040028</v>
      </c>
      <c r="G417" t="str" cm="1">
        <f t="array" ref="G417">INDEX('Linha 03'!$C$2:$ZZ$2,C417)</f>
        <v>Amaciante Ito Rosa Cx/06 X 2l</v>
      </c>
      <c r="H417" s="5" cm="1">
        <f t="array" ref="H417">INDEX('Linha 03'!$C$4:$ZZ$1000,B417,C417)</f>
        <v>0</v>
      </c>
    </row>
    <row r="418" spans="1:8" x14ac:dyDescent="0.25">
      <c r="A418">
        <v>416</v>
      </c>
      <c r="B418">
        <f t="shared" si="12"/>
        <v>11</v>
      </c>
      <c r="C418">
        <f t="shared" si="13"/>
        <v>6</v>
      </c>
      <c r="D418" cm="1">
        <f t="array" ref="D418">INDEX('Linha 03'!$A$4:$A$1000,B418)</f>
        <v>20040094</v>
      </c>
      <c r="E418" t="str" cm="1">
        <f t="array" ref="E418">INDEX('Linha 03'!$B$4:$B$1000,B418)</f>
        <v>Amaciante Aquafast Energia Cx/06 X 2l</v>
      </c>
      <c r="F418" cm="1">
        <f t="array" ref="F418">INDEX('Linha 03'!$C$3:$ZZ$3,C418)</f>
        <v>20040029</v>
      </c>
      <c r="G418" t="str" cm="1">
        <f t="array" ref="G418">INDEX('Linha 03'!$C$2:$ZZ$2,C418)</f>
        <v>Amaciante Ito Branco Cx/06 X 2l</v>
      </c>
      <c r="H418" s="5" cm="1">
        <f t="array" ref="H418">INDEX('Linha 03'!$C$4:$ZZ$1000,B418,C418)</f>
        <v>0</v>
      </c>
    </row>
    <row r="419" spans="1:8" x14ac:dyDescent="0.25">
      <c r="A419">
        <v>417</v>
      </c>
      <c r="B419">
        <f t="shared" si="12"/>
        <v>11</v>
      </c>
      <c r="C419">
        <f t="shared" si="13"/>
        <v>7</v>
      </c>
      <c r="D419" cm="1">
        <f t="array" ref="D419">INDEX('Linha 03'!$A$4:$A$1000,B419)</f>
        <v>20040094</v>
      </c>
      <c r="E419" t="str" cm="1">
        <f t="array" ref="E419">INDEX('Linha 03'!$B$4:$B$1000,B419)</f>
        <v>Amaciante Aquafast Energia Cx/06 X 2l</v>
      </c>
      <c r="F419" cm="1">
        <f t="array" ref="F419">INDEX('Linha 03'!$C$3:$ZZ$3,C419)</f>
        <v>20040055</v>
      </c>
      <c r="G419" t="str" cm="1">
        <f t="array" ref="G419">INDEX('Linha 03'!$C$2:$ZZ$2,C419)</f>
        <v>Amaciante Myata Azul Cx/06 X 2l</v>
      </c>
      <c r="H419" s="5" cm="1">
        <f t="array" ref="H419">INDEX('Linha 03'!$C$4:$ZZ$1000,B419,C419)</f>
        <v>0</v>
      </c>
    </row>
    <row r="420" spans="1:8" x14ac:dyDescent="0.25">
      <c r="A420">
        <v>418</v>
      </c>
      <c r="B420">
        <f t="shared" si="12"/>
        <v>11</v>
      </c>
      <c r="C420">
        <f t="shared" si="13"/>
        <v>8</v>
      </c>
      <c r="D420" cm="1">
        <f t="array" ref="D420">INDEX('Linha 03'!$A$4:$A$1000,B420)</f>
        <v>20040094</v>
      </c>
      <c r="E420" t="str" cm="1">
        <f t="array" ref="E420">INDEX('Linha 03'!$B$4:$B$1000,B420)</f>
        <v>Amaciante Aquafast Energia Cx/06 X 2l</v>
      </c>
      <c r="F420" cm="1">
        <f t="array" ref="F420">INDEX('Linha 03'!$C$3:$ZZ$3,C420)</f>
        <v>20040057</v>
      </c>
      <c r="G420" t="str" cm="1">
        <f t="array" ref="G420">INDEX('Linha 03'!$C$2:$ZZ$2,C420)</f>
        <v>Amaciante Myata Rosa Cx/06 X 2l</v>
      </c>
      <c r="H420" s="5" cm="1">
        <f t="array" ref="H420">INDEX('Linha 03'!$C$4:$ZZ$1000,B420,C420)</f>
        <v>0</v>
      </c>
    </row>
    <row r="421" spans="1:8" x14ac:dyDescent="0.25">
      <c r="A421">
        <v>419</v>
      </c>
      <c r="B421">
        <f t="shared" si="12"/>
        <v>11</v>
      </c>
      <c r="C421">
        <f t="shared" si="13"/>
        <v>9</v>
      </c>
      <c r="D421" cm="1">
        <f t="array" ref="D421">INDEX('Linha 03'!$A$4:$A$1000,B421)</f>
        <v>20040094</v>
      </c>
      <c r="E421" t="str" cm="1">
        <f t="array" ref="E421">INDEX('Linha 03'!$B$4:$B$1000,B421)</f>
        <v>Amaciante Aquafast Energia Cx/06 X 2l</v>
      </c>
      <c r="F421" cm="1">
        <f t="array" ref="F421">INDEX('Linha 03'!$C$3:$ZZ$3,C421)</f>
        <v>20040084</v>
      </c>
      <c r="G421" t="str" cm="1">
        <f t="array" ref="G421">INDEX('Linha 03'!$C$2:$ZZ$2,C421)</f>
        <v>Amaciante Aquafast Vermelho Seducao Cx C/06 X 2l</v>
      </c>
      <c r="H421" s="5" cm="1">
        <f t="array" ref="H421">INDEX('Linha 03'!$C$4:$ZZ$1000,B421,C421)</f>
        <v>0</v>
      </c>
    </row>
    <row r="422" spans="1:8" x14ac:dyDescent="0.25">
      <c r="A422">
        <v>420</v>
      </c>
      <c r="B422">
        <f t="shared" si="12"/>
        <v>11</v>
      </c>
      <c r="C422">
        <f t="shared" si="13"/>
        <v>10</v>
      </c>
      <c r="D422" cm="1">
        <f t="array" ref="D422">INDEX('Linha 03'!$A$4:$A$1000,B422)</f>
        <v>20040094</v>
      </c>
      <c r="E422" t="str" cm="1">
        <f t="array" ref="E422">INDEX('Linha 03'!$B$4:$B$1000,B422)</f>
        <v>Amaciante Aquafast Energia Cx/06 X 2l</v>
      </c>
      <c r="F422" cm="1">
        <f t="array" ref="F422">INDEX('Linha 03'!$C$3:$ZZ$3,C422)</f>
        <v>20040089</v>
      </c>
      <c r="G422" t="str" cm="1">
        <f t="array" ref="G422">INDEX('Linha 03'!$C$2:$ZZ$2,C422)</f>
        <v>Amaciante Aquafast Roxo Magia Cx/06 X 2l</v>
      </c>
      <c r="H422" s="5" cm="1">
        <f t="array" ref="H422">INDEX('Linha 03'!$C$4:$ZZ$1000,B422,C422)</f>
        <v>0</v>
      </c>
    </row>
    <row r="423" spans="1:8" x14ac:dyDescent="0.25">
      <c r="A423">
        <v>421</v>
      </c>
      <c r="B423">
        <f t="shared" si="12"/>
        <v>11</v>
      </c>
      <c r="C423">
        <f t="shared" si="13"/>
        <v>11</v>
      </c>
      <c r="D423" cm="1">
        <f t="array" ref="D423">INDEX('Linha 03'!$A$4:$A$1000,B423)</f>
        <v>20040094</v>
      </c>
      <c r="E423" t="str" cm="1">
        <f t="array" ref="E423">INDEX('Linha 03'!$B$4:$B$1000,B423)</f>
        <v>Amaciante Aquafast Energia Cx/06 X 2l</v>
      </c>
      <c r="F423" cm="1">
        <f t="array" ref="F423">INDEX('Linha 03'!$C$3:$ZZ$3,C423)</f>
        <v>20040094</v>
      </c>
      <c r="G423" t="str" cm="1">
        <f t="array" ref="G423">INDEX('Linha 03'!$C$2:$ZZ$2,C423)</f>
        <v>Amaciante Aquafast Energia Cx/06 X 2l</v>
      </c>
      <c r="H423" s="5" cm="1">
        <f t="array" ref="H423">INDEX('Linha 03'!$C$4:$ZZ$1000,B423,C423)</f>
        <v>0</v>
      </c>
    </row>
    <row r="424" spans="1:8" x14ac:dyDescent="0.25">
      <c r="A424">
        <v>422</v>
      </c>
      <c r="B424">
        <f t="shared" si="12"/>
        <v>11</v>
      </c>
      <c r="C424">
        <f t="shared" si="13"/>
        <v>12</v>
      </c>
      <c r="D424" cm="1">
        <f t="array" ref="D424">INDEX('Linha 03'!$A$4:$A$1000,B424)</f>
        <v>20040094</v>
      </c>
      <c r="E424" t="str" cm="1">
        <f t="array" ref="E424">INDEX('Linha 03'!$B$4:$B$1000,B424)</f>
        <v>Amaciante Aquafast Energia Cx/06 X 2l</v>
      </c>
      <c r="F424" cm="1">
        <f t="array" ref="F424">INDEX('Linha 03'!$C$3:$ZZ$3,C424)</f>
        <v>20050010</v>
      </c>
      <c r="G424" t="str" cm="1">
        <f t="array" ref="G424">INDEX('Linha 03'!$C$2:$ZZ$2,C424)</f>
        <v>Desinfetante Aquafast Campos Lavanda Cx/06 X 2l</v>
      </c>
      <c r="H424" s="5" cm="1">
        <f t="array" ref="H424">INDEX('Linha 03'!$C$4:$ZZ$1000,B424,C424)</f>
        <v>0</v>
      </c>
    </row>
    <row r="425" spans="1:8" x14ac:dyDescent="0.25">
      <c r="A425">
        <v>423</v>
      </c>
      <c r="B425">
        <f t="shared" si="12"/>
        <v>11</v>
      </c>
      <c r="C425">
        <f t="shared" si="13"/>
        <v>13</v>
      </c>
      <c r="D425" cm="1">
        <f t="array" ref="D425">INDEX('Linha 03'!$A$4:$A$1000,B425)</f>
        <v>20040094</v>
      </c>
      <c r="E425" t="str" cm="1">
        <f t="array" ref="E425">INDEX('Linha 03'!$B$4:$B$1000,B425)</f>
        <v>Amaciante Aquafast Energia Cx/06 X 2l</v>
      </c>
      <c r="F425" cm="1">
        <f t="array" ref="F425">INDEX('Linha 03'!$C$3:$ZZ$3,C425)</f>
        <v>20050011</v>
      </c>
      <c r="G425" t="str" cm="1">
        <f t="array" ref="G425">INDEX('Linha 03'!$C$2:$ZZ$2,C425)</f>
        <v>Desinfetante Aquafast Jardim Florido Cx/06 X 2l</v>
      </c>
      <c r="H425" s="5" cm="1">
        <f t="array" ref="H425">INDEX('Linha 03'!$C$4:$ZZ$1000,B425,C425)</f>
        <v>0</v>
      </c>
    </row>
    <row r="426" spans="1:8" x14ac:dyDescent="0.25">
      <c r="A426">
        <v>424</v>
      </c>
      <c r="B426">
        <f t="shared" si="12"/>
        <v>11</v>
      </c>
      <c r="C426">
        <f t="shared" si="13"/>
        <v>14</v>
      </c>
      <c r="D426" cm="1">
        <f t="array" ref="D426">INDEX('Linha 03'!$A$4:$A$1000,B426)</f>
        <v>20040094</v>
      </c>
      <c r="E426" t="str" cm="1">
        <f t="array" ref="E426">INDEX('Linha 03'!$B$4:$B$1000,B426)</f>
        <v>Amaciante Aquafast Energia Cx/06 X 2l</v>
      </c>
      <c r="F426" cm="1">
        <f t="array" ref="F426">INDEX('Linha 03'!$C$3:$ZZ$3,C426)</f>
        <v>20050016</v>
      </c>
      <c r="G426" t="str" cm="1">
        <f t="array" ref="G426">INDEX('Linha 03'!$C$2:$ZZ$2,C426)</f>
        <v>Desinfetante Aquafast Marine Cx/06 X 2l</v>
      </c>
      <c r="H426" s="5" cm="1">
        <f t="array" ref="H426">INDEX('Linha 03'!$C$4:$ZZ$1000,B426,C426)</f>
        <v>0</v>
      </c>
    </row>
    <row r="427" spans="1:8" x14ac:dyDescent="0.25">
      <c r="A427">
        <v>425</v>
      </c>
      <c r="B427">
        <f t="shared" si="12"/>
        <v>11</v>
      </c>
      <c r="C427">
        <f t="shared" si="13"/>
        <v>15</v>
      </c>
      <c r="D427" cm="1">
        <f t="array" ref="D427">INDEX('Linha 03'!$A$4:$A$1000,B427)</f>
        <v>20040094</v>
      </c>
      <c r="E427" t="str" cm="1">
        <f t="array" ref="E427">INDEX('Linha 03'!$B$4:$B$1000,B427)</f>
        <v>Amaciante Aquafast Energia Cx/06 X 2l</v>
      </c>
      <c r="F427" cm="1">
        <f t="array" ref="F427">INDEX('Linha 03'!$C$3:$ZZ$3,C427)</f>
        <v>20050031</v>
      </c>
      <c r="G427" t="str" cm="1">
        <f t="array" ref="G427">INDEX('Linha 03'!$C$2:$ZZ$2,C427)</f>
        <v>Desinfetante Ito Lavanda Cx/06 X 2l</v>
      </c>
      <c r="H427" s="5" cm="1">
        <f t="array" ref="H427">INDEX('Linha 03'!$C$4:$ZZ$1000,B427,C427)</f>
        <v>0</v>
      </c>
    </row>
    <row r="428" spans="1:8" x14ac:dyDescent="0.25">
      <c r="A428">
        <v>426</v>
      </c>
      <c r="B428">
        <f t="shared" si="12"/>
        <v>11</v>
      </c>
      <c r="C428">
        <f t="shared" si="13"/>
        <v>16</v>
      </c>
      <c r="D428" cm="1">
        <f t="array" ref="D428">INDEX('Linha 03'!$A$4:$A$1000,B428)</f>
        <v>20040094</v>
      </c>
      <c r="E428" t="str" cm="1">
        <f t="array" ref="E428">INDEX('Linha 03'!$B$4:$B$1000,B428)</f>
        <v>Amaciante Aquafast Energia Cx/06 X 2l</v>
      </c>
      <c r="F428" cm="1">
        <f t="array" ref="F428">INDEX('Linha 03'!$C$3:$ZZ$3,C428)</f>
        <v>20050032</v>
      </c>
      <c r="G428" t="str" cm="1">
        <f t="array" ref="G428">INDEX('Linha 03'!$C$2:$ZZ$2,C428)</f>
        <v>Desinfetante Ito Floral Cx/06 X 2l</v>
      </c>
      <c r="H428" s="5" cm="1">
        <f t="array" ref="H428">INDEX('Linha 03'!$C$4:$ZZ$1000,B428,C428)</f>
        <v>0</v>
      </c>
    </row>
    <row r="429" spans="1:8" x14ac:dyDescent="0.25">
      <c r="A429">
        <v>427</v>
      </c>
      <c r="B429">
        <f t="shared" si="12"/>
        <v>11</v>
      </c>
      <c r="C429">
        <f t="shared" si="13"/>
        <v>17</v>
      </c>
      <c r="D429" cm="1">
        <f t="array" ref="D429">INDEX('Linha 03'!$A$4:$A$1000,B429)</f>
        <v>20040094</v>
      </c>
      <c r="E429" t="str" cm="1">
        <f t="array" ref="E429">INDEX('Linha 03'!$B$4:$B$1000,B429)</f>
        <v>Amaciante Aquafast Energia Cx/06 X 2l</v>
      </c>
      <c r="F429" cm="1">
        <f t="array" ref="F429">INDEX('Linha 03'!$C$3:$ZZ$3,C429)</f>
        <v>20050034</v>
      </c>
      <c r="G429" t="str" cm="1">
        <f t="array" ref="G429">INDEX('Linha 03'!$C$2:$ZZ$2,C429)</f>
        <v>Desinfetante Ito Eucalipto Cx/06 X 2l</v>
      </c>
      <c r="H429" s="5" cm="1">
        <f t="array" ref="H429">INDEX('Linha 03'!$C$4:$ZZ$1000,B429,C429)</f>
        <v>0</v>
      </c>
    </row>
    <row r="430" spans="1:8" x14ac:dyDescent="0.25">
      <c r="A430">
        <v>428</v>
      </c>
      <c r="B430">
        <f t="shared" si="12"/>
        <v>11</v>
      </c>
      <c r="C430">
        <f t="shared" si="13"/>
        <v>18</v>
      </c>
      <c r="D430" cm="1">
        <f t="array" ref="D430">INDEX('Linha 03'!$A$4:$A$1000,B430)</f>
        <v>20040094</v>
      </c>
      <c r="E430" t="str" cm="1">
        <f t="array" ref="E430">INDEX('Linha 03'!$B$4:$B$1000,B430)</f>
        <v>Amaciante Aquafast Energia Cx/06 X 2l</v>
      </c>
      <c r="F430" cm="1">
        <f t="array" ref="F430">INDEX('Linha 03'!$C$3:$ZZ$3,C430)</f>
        <v>20050077</v>
      </c>
      <c r="G430" t="str" cm="1">
        <f t="array" ref="G430">INDEX('Linha 03'!$C$2:$ZZ$2,C430)</f>
        <v>Desinfetante Myata Lavanda Cx/06 X 2l</v>
      </c>
      <c r="H430" s="5" cm="1">
        <f t="array" ref="H430">INDEX('Linha 03'!$C$4:$ZZ$1000,B430,C430)</f>
        <v>0</v>
      </c>
    </row>
    <row r="431" spans="1:8" x14ac:dyDescent="0.25">
      <c r="A431">
        <v>429</v>
      </c>
      <c r="B431">
        <f t="shared" si="12"/>
        <v>11</v>
      </c>
      <c r="C431">
        <f t="shared" si="13"/>
        <v>19</v>
      </c>
      <c r="D431" cm="1">
        <f t="array" ref="D431">INDEX('Linha 03'!$A$4:$A$1000,B431)</f>
        <v>20040094</v>
      </c>
      <c r="E431" t="str" cm="1">
        <f t="array" ref="E431">INDEX('Linha 03'!$B$4:$B$1000,B431)</f>
        <v>Amaciante Aquafast Energia Cx/06 X 2l</v>
      </c>
      <c r="F431" cm="1">
        <f t="array" ref="F431">INDEX('Linha 03'!$C$3:$ZZ$3,C431)</f>
        <v>20050078</v>
      </c>
      <c r="G431" t="str" cm="1">
        <f t="array" ref="G431">INDEX('Linha 03'!$C$2:$ZZ$2,C431)</f>
        <v>Desinfetante Myata Floral Cx/06 X 2l</v>
      </c>
      <c r="H431" s="5" cm="1">
        <f t="array" ref="H431">INDEX('Linha 03'!$C$4:$ZZ$1000,B431,C431)</f>
        <v>0</v>
      </c>
    </row>
    <row r="432" spans="1:8" x14ac:dyDescent="0.25">
      <c r="A432">
        <v>430</v>
      </c>
      <c r="B432">
        <f t="shared" si="12"/>
        <v>11</v>
      </c>
      <c r="C432">
        <f t="shared" si="13"/>
        <v>20</v>
      </c>
      <c r="D432" cm="1">
        <f t="array" ref="D432">INDEX('Linha 03'!$A$4:$A$1000,B432)</f>
        <v>20040094</v>
      </c>
      <c r="E432" t="str" cm="1">
        <f t="array" ref="E432">INDEX('Linha 03'!$B$4:$B$1000,B432)</f>
        <v>Amaciante Aquafast Energia Cx/06 X 2l</v>
      </c>
      <c r="F432" cm="1">
        <f t="array" ref="F432">INDEX('Linha 03'!$C$3:$ZZ$3,C432)</f>
        <v>20050115</v>
      </c>
      <c r="G432" t="str" cm="1">
        <f t="array" ref="G432">INDEX('Linha 03'!$C$2:$ZZ$2,C432)</f>
        <v>Desinfetante Aquafast Paixao Cx/06 X 2l</v>
      </c>
      <c r="H432" s="5" cm="1">
        <f t="array" ref="H432">INDEX('Linha 03'!$C$4:$ZZ$1000,B432,C432)</f>
        <v>0</v>
      </c>
    </row>
    <row r="433" spans="1:8" x14ac:dyDescent="0.25">
      <c r="A433">
        <v>431</v>
      </c>
      <c r="B433">
        <f t="shared" si="12"/>
        <v>11</v>
      </c>
      <c r="C433">
        <f t="shared" si="13"/>
        <v>21</v>
      </c>
      <c r="D433" cm="1">
        <f t="array" ref="D433">INDEX('Linha 03'!$A$4:$A$1000,B433)</f>
        <v>20040094</v>
      </c>
      <c r="E433" t="str" cm="1">
        <f t="array" ref="E433">INDEX('Linha 03'!$B$4:$B$1000,B433)</f>
        <v>Amaciante Aquafast Energia Cx/06 X 2l</v>
      </c>
      <c r="F433" cm="1">
        <f t="array" ref="F433">INDEX('Linha 03'!$C$3:$ZZ$3,C433)</f>
        <v>20050117</v>
      </c>
      <c r="G433" t="str" cm="1">
        <f t="array" ref="G433">INDEX('Linha 03'!$C$2:$ZZ$2,C433)</f>
        <v>Desinfetante Aquafast Harmonia Natural Cx/06 X 2l</v>
      </c>
      <c r="H433" s="5" cm="1">
        <f t="array" ref="H433">INDEX('Linha 03'!$C$4:$ZZ$1000,B433,C433)</f>
        <v>0</v>
      </c>
    </row>
    <row r="434" spans="1:8" x14ac:dyDescent="0.25">
      <c r="A434">
        <v>432</v>
      </c>
      <c r="B434">
        <f t="shared" si="12"/>
        <v>11</v>
      </c>
      <c r="C434">
        <f t="shared" si="13"/>
        <v>22</v>
      </c>
      <c r="D434" cm="1">
        <f t="array" ref="D434">INDEX('Linha 03'!$A$4:$A$1000,B434)</f>
        <v>20040094</v>
      </c>
      <c r="E434" t="str" cm="1">
        <f t="array" ref="E434">INDEX('Linha 03'!$B$4:$B$1000,B434)</f>
        <v>Amaciante Aquafast Energia Cx/06 X 2l</v>
      </c>
      <c r="F434" cm="1">
        <f t="array" ref="F434">INDEX('Linha 03'!$C$3:$ZZ$3,C434)</f>
        <v>20050123</v>
      </c>
      <c r="G434" t="str" cm="1">
        <f t="array" ref="G434">INDEX('Linha 03'!$C$2:$ZZ$2,C434)</f>
        <v>Desinfetante Ito Harmonia Natural Cx/06 X 2l</v>
      </c>
      <c r="H434" s="5" cm="1">
        <f t="array" ref="H434">INDEX('Linha 03'!$C$4:$ZZ$1000,B434,C434)</f>
        <v>0</v>
      </c>
    </row>
    <row r="435" spans="1:8" x14ac:dyDescent="0.25">
      <c r="A435">
        <v>433</v>
      </c>
      <c r="B435">
        <f t="shared" si="12"/>
        <v>11</v>
      </c>
      <c r="C435">
        <f t="shared" si="13"/>
        <v>23</v>
      </c>
      <c r="D435" cm="1">
        <f t="array" ref="D435">INDEX('Linha 03'!$A$4:$A$1000,B435)</f>
        <v>20040094</v>
      </c>
      <c r="E435" t="str" cm="1">
        <f t="array" ref="E435">INDEX('Linha 03'!$B$4:$B$1000,B435)</f>
        <v>Amaciante Aquafast Energia Cx/06 X 2l</v>
      </c>
      <c r="F435" cm="1">
        <f t="array" ref="F435">INDEX('Linha 03'!$C$3:$ZZ$3,C435)</f>
        <v>20050124</v>
      </c>
      <c r="G435" t="str" cm="1">
        <f t="array" ref="G435">INDEX('Linha 03'!$C$2:$ZZ$2,C435)</f>
        <v>Desinfetante Myata Harmonia Natural Cx/06 X 2l</v>
      </c>
      <c r="H435" s="5" cm="1">
        <f t="array" ref="H435">INDEX('Linha 03'!$C$4:$ZZ$1000,B435,C435)</f>
        <v>0</v>
      </c>
    </row>
    <row r="436" spans="1:8" x14ac:dyDescent="0.25">
      <c r="A436">
        <v>434</v>
      </c>
      <c r="B436">
        <f t="shared" si="12"/>
        <v>11</v>
      </c>
      <c r="C436">
        <f t="shared" si="13"/>
        <v>24</v>
      </c>
      <c r="D436" cm="1">
        <f t="array" ref="D436">INDEX('Linha 03'!$A$4:$A$1000,B436)</f>
        <v>20040094</v>
      </c>
      <c r="E436" t="str" cm="1">
        <f t="array" ref="E436">INDEX('Linha 03'!$B$4:$B$1000,B436)</f>
        <v>Amaciante Aquafast Energia Cx/06 X 2l</v>
      </c>
      <c r="F436" cm="1">
        <f t="array" ref="F436">INDEX('Linha 03'!$C$3:$ZZ$3,C436)</f>
        <v>20050142</v>
      </c>
      <c r="G436" t="str" cm="1">
        <f t="array" ref="G436">INDEX('Linha 03'!$C$2:$ZZ$2,C436)</f>
        <v>Desinfetante Ito Marine Cx/06 X 2l</v>
      </c>
      <c r="H436" s="5" cm="1">
        <f t="array" ref="H436">INDEX('Linha 03'!$C$4:$ZZ$1000,B436,C436)</f>
        <v>0</v>
      </c>
    </row>
    <row r="437" spans="1:8" x14ac:dyDescent="0.25">
      <c r="A437">
        <v>435</v>
      </c>
      <c r="B437">
        <f t="shared" si="12"/>
        <v>11</v>
      </c>
      <c r="C437">
        <f t="shared" si="13"/>
        <v>25</v>
      </c>
      <c r="D437" cm="1">
        <f t="array" ref="D437">INDEX('Linha 03'!$A$4:$A$1000,B437)</f>
        <v>20040094</v>
      </c>
      <c r="E437" t="str" cm="1">
        <f t="array" ref="E437">INDEX('Linha 03'!$B$4:$B$1000,B437)</f>
        <v>Amaciante Aquafast Energia Cx/06 X 2l</v>
      </c>
      <c r="F437" cm="1">
        <f t="array" ref="F437">INDEX('Linha 03'!$C$3:$ZZ$3,C437)</f>
        <v>20050159</v>
      </c>
      <c r="G437" t="str" cm="1">
        <f t="array" ref="G437">INDEX('Linha 03'!$C$2:$ZZ$2,C437)</f>
        <v>Desinfetante Aquafast Cha Branco Cx/06 X 2l</v>
      </c>
      <c r="H437" s="5" cm="1">
        <f t="array" ref="H437">INDEX('Linha 03'!$C$4:$ZZ$1000,B437,C437)</f>
        <v>1.38888888888889E-2</v>
      </c>
    </row>
    <row r="438" spans="1:8" x14ac:dyDescent="0.25">
      <c r="A438">
        <v>436</v>
      </c>
      <c r="B438">
        <f t="shared" si="12"/>
        <v>11</v>
      </c>
      <c r="C438">
        <f t="shared" si="13"/>
        <v>26</v>
      </c>
      <c r="D438" cm="1">
        <f t="array" ref="D438">INDEX('Linha 03'!$A$4:$A$1000,B438)</f>
        <v>20040094</v>
      </c>
      <c r="E438" t="str" cm="1">
        <f t="array" ref="E438">INDEX('Linha 03'!$B$4:$B$1000,B438)</f>
        <v>Amaciante Aquafast Energia Cx/06 X 2l</v>
      </c>
      <c r="F438" cm="1">
        <f t="array" ref="F438">INDEX('Linha 03'!$C$3:$ZZ$3,C438)</f>
        <v>20060007</v>
      </c>
      <c r="G438" t="str" cm="1">
        <f t="array" ref="G438">INDEX('Linha 03'!$C$2:$ZZ$2,C438)</f>
        <v>Limp Perf Aquafast Magia Seducao Cx/06 X 2l (Promoc)</v>
      </c>
      <c r="H438" s="5" cm="1">
        <f t="array" ref="H438">INDEX('Linha 03'!$C$4:$ZZ$1000,B438,C438)</f>
        <v>0</v>
      </c>
    </row>
    <row r="439" spans="1:8" x14ac:dyDescent="0.25">
      <c r="A439">
        <v>437</v>
      </c>
      <c r="B439">
        <f t="shared" si="12"/>
        <v>11</v>
      </c>
      <c r="C439">
        <f t="shared" si="13"/>
        <v>27</v>
      </c>
      <c r="D439" cm="1">
        <f t="array" ref="D439">INDEX('Linha 03'!$A$4:$A$1000,B439)</f>
        <v>20040094</v>
      </c>
      <c r="E439" t="str" cm="1">
        <f t="array" ref="E439">INDEX('Linha 03'!$B$4:$B$1000,B439)</f>
        <v>Amaciante Aquafast Energia Cx/06 X 2l</v>
      </c>
      <c r="F439" cm="1">
        <f t="array" ref="F439">INDEX('Linha 03'!$C$3:$ZZ$3,C439)</f>
        <v>20060009</v>
      </c>
      <c r="G439" t="str" cm="1">
        <f t="array" ref="G439">INDEX('Linha 03'!$C$2:$ZZ$2,C439)</f>
        <v>Limp Perf Aquafast Frescor Da Manha Cx/06 X 2l (Promoc)</v>
      </c>
      <c r="H439" s="5" cm="1">
        <f t="array" ref="H439">INDEX('Linha 03'!$C$4:$ZZ$1000,B439,C439)</f>
        <v>0</v>
      </c>
    </row>
    <row r="440" spans="1:8" x14ac:dyDescent="0.25">
      <c r="A440">
        <v>438</v>
      </c>
      <c r="B440">
        <f t="shared" si="12"/>
        <v>11</v>
      </c>
      <c r="C440">
        <f t="shared" si="13"/>
        <v>28</v>
      </c>
      <c r="D440" cm="1">
        <f t="array" ref="D440">INDEX('Linha 03'!$A$4:$A$1000,B440)</f>
        <v>20040094</v>
      </c>
      <c r="E440" t="str" cm="1">
        <f t="array" ref="E440">INDEX('Linha 03'!$B$4:$B$1000,B440)</f>
        <v>Amaciante Aquafast Energia Cx/06 X 2l</v>
      </c>
      <c r="F440" cm="1">
        <f t="array" ref="F440">INDEX('Linha 03'!$C$3:$ZZ$3,C440)</f>
        <v>20060017</v>
      </c>
      <c r="G440" t="str" cm="1">
        <f t="array" ref="G440">INDEX('Linha 03'!$C$2:$ZZ$2,C440)</f>
        <v>Limp Perf Aquafast Doce Romance Cx/06 X 2l (Promoc)</v>
      </c>
      <c r="H440" s="5" cm="1">
        <f t="array" ref="H440">INDEX('Linha 03'!$C$4:$ZZ$1000,B440,C440)</f>
        <v>0</v>
      </c>
    </row>
    <row r="441" spans="1:8" x14ac:dyDescent="0.25">
      <c r="A441">
        <v>439</v>
      </c>
      <c r="B441">
        <f t="shared" si="12"/>
        <v>11</v>
      </c>
      <c r="C441">
        <f t="shared" si="13"/>
        <v>29</v>
      </c>
      <c r="D441" cm="1">
        <f t="array" ref="D441">INDEX('Linha 03'!$A$4:$A$1000,B441)</f>
        <v>20040094</v>
      </c>
      <c r="E441" t="str" cm="1">
        <f t="array" ref="E441">INDEX('Linha 03'!$B$4:$B$1000,B441)</f>
        <v>Amaciante Aquafast Energia Cx/06 X 2l</v>
      </c>
      <c r="F441" cm="1">
        <f t="array" ref="F441">INDEX('Linha 03'!$C$3:$ZZ$3,C441)</f>
        <v>20060028</v>
      </c>
      <c r="G441" t="str" cm="1">
        <f t="array" ref="G441">INDEX('Linha 03'!$C$2:$ZZ$2,C441)</f>
        <v>Limp Perf Aquafast Essencia Natural Cx06 X 2l</v>
      </c>
      <c r="H441" s="5" cm="1">
        <f t="array" ref="H441">INDEX('Linha 03'!$C$4:$ZZ$1000,B441,C441)</f>
        <v>0</v>
      </c>
    </row>
    <row r="442" spans="1:8" x14ac:dyDescent="0.25">
      <c r="A442">
        <v>440</v>
      </c>
      <c r="B442">
        <f t="shared" si="12"/>
        <v>11</v>
      </c>
      <c r="C442">
        <f t="shared" si="13"/>
        <v>30</v>
      </c>
      <c r="D442" cm="1">
        <f t="array" ref="D442">INDEX('Linha 03'!$A$4:$A$1000,B442)</f>
        <v>20040094</v>
      </c>
      <c r="E442" t="str" cm="1">
        <f t="array" ref="E442">INDEX('Linha 03'!$B$4:$B$1000,B442)</f>
        <v>Amaciante Aquafast Energia Cx/06 X 2l</v>
      </c>
      <c r="F442" cm="1">
        <f t="array" ref="F442">INDEX('Linha 03'!$C$3:$ZZ$3,C442)</f>
        <v>20200003</v>
      </c>
      <c r="G442" t="str" cm="1">
        <f t="array" ref="G442">INDEX('Linha 03'!$C$2:$ZZ$2,C442)</f>
        <v>Lava Roup. Aquafast Baby Cx/12 X 1l</v>
      </c>
      <c r="H442" s="5" cm="1">
        <f t="array" ref="H442">INDEX('Linha 03'!$C$4:$ZZ$1000,B442,C442)</f>
        <v>0</v>
      </c>
    </row>
    <row r="443" spans="1:8" x14ac:dyDescent="0.25">
      <c r="A443">
        <v>441</v>
      </c>
      <c r="B443">
        <f t="shared" si="12"/>
        <v>11</v>
      </c>
      <c r="C443">
        <f t="shared" si="13"/>
        <v>31</v>
      </c>
      <c r="D443" cm="1">
        <f t="array" ref="D443">INDEX('Linha 03'!$A$4:$A$1000,B443)</f>
        <v>20040094</v>
      </c>
      <c r="E443" t="str" cm="1">
        <f t="array" ref="E443">INDEX('Linha 03'!$B$4:$B$1000,B443)</f>
        <v>Amaciante Aquafast Energia Cx/06 X 2l</v>
      </c>
      <c r="F443" cm="1">
        <f t="array" ref="F443">INDEX('Linha 03'!$C$3:$ZZ$3,C443)</f>
        <v>20200005</v>
      </c>
      <c r="G443" t="str" cm="1">
        <f t="array" ref="G443">INDEX('Linha 03'!$C$2:$ZZ$2,C443)</f>
        <v>Lava Roupas Aquafast Multi Acao Cx/06 X 2l</v>
      </c>
      <c r="H443" s="5" cm="1">
        <f t="array" ref="H443">INDEX('Linha 03'!$C$4:$ZZ$1000,B443,C443)</f>
        <v>0</v>
      </c>
    </row>
    <row r="444" spans="1:8" x14ac:dyDescent="0.25">
      <c r="A444">
        <v>442</v>
      </c>
      <c r="B444">
        <f t="shared" si="12"/>
        <v>11</v>
      </c>
      <c r="C444">
        <f t="shared" si="13"/>
        <v>32</v>
      </c>
      <c r="D444" cm="1">
        <f t="array" ref="D444">INDEX('Linha 03'!$A$4:$A$1000,B444)</f>
        <v>20040094</v>
      </c>
      <c r="E444" t="str" cm="1">
        <f t="array" ref="E444">INDEX('Linha 03'!$B$4:$B$1000,B444)</f>
        <v>Amaciante Aquafast Energia Cx/06 X 2l</v>
      </c>
      <c r="F444" cm="1">
        <f t="array" ref="F444">INDEX('Linha 03'!$C$3:$ZZ$3,C444)</f>
        <v>20200006</v>
      </c>
      <c r="G444" t="str" cm="1">
        <f t="array" ref="G444">INDEX('Linha 03'!$C$2:$ZZ$2,C444)</f>
        <v>Lava Roupas Aquafast Glicerina Cx/06 X 2l</v>
      </c>
      <c r="H444" s="5" cm="1">
        <f t="array" ref="H444">INDEX('Linha 03'!$C$4:$ZZ$1000,B444,C444)</f>
        <v>0</v>
      </c>
    </row>
    <row r="445" spans="1:8" x14ac:dyDescent="0.25">
      <c r="A445">
        <v>443</v>
      </c>
      <c r="B445">
        <f t="shared" si="12"/>
        <v>11</v>
      </c>
      <c r="C445">
        <f t="shared" si="13"/>
        <v>33</v>
      </c>
      <c r="D445" cm="1">
        <f t="array" ref="D445">INDEX('Linha 03'!$A$4:$A$1000,B445)</f>
        <v>20040094</v>
      </c>
      <c r="E445" t="str" cm="1">
        <f t="array" ref="E445">INDEX('Linha 03'!$B$4:$B$1000,B445)</f>
        <v>Amaciante Aquafast Energia Cx/06 X 2l</v>
      </c>
      <c r="F445" cm="1">
        <f t="array" ref="F445">INDEX('Linha 03'!$C$3:$ZZ$3,C445)</f>
        <v>20200015</v>
      </c>
      <c r="G445" t="str" cm="1">
        <f t="array" ref="G445">INDEX('Linha 03'!$C$2:$ZZ$2,C445)</f>
        <v>Lava Roup. Aquafast Multiacao Cx/12 X 1l</v>
      </c>
      <c r="H445" s="5" cm="1">
        <f t="array" ref="H445">INDEX('Linha 03'!$C$4:$ZZ$1000,B445,C445)</f>
        <v>0</v>
      </c>
    </row>
    <row r="446" spans="1:8" x14ac:dyDescent="0.25">
      <c r="A446">
        <v>444</v>
      </c>
      <c r="B446">
        <f t="shared" si="12"/>
        <v>11</v>
      </c>
      <c r="C446">
        <f t="shared" si="13"/>
        <v>34</v>
      </c>
      <c r="D446" cm="1">
        <f t="array" ref="D446">INDEX('Linha 03'!$A$4:$A$1000,B446)</f>
        <v>20040094</v>
      </c>
      <c r="E446" t="str" cm="1">
        <f t="array" ref="E446">INDEX('Linha 03'!$B$4:$B$1000,B446)</f>
        <v>Amaciante Aquafast Energia Cx/06 X 2l</v>
      </c>
      <c r="F446" cm="1">
        <f t="array" ref="F446">INDEX('Linha 03'!$C$3:$ZZ$3,C446)</f>
        <v>20200036</v>
      </c>
      <c r="G446" t="str" cm="1">
        <f t="array" ref="G446">INDEX('Linha 03'!$C$2:$ZZ$2,C446)</f>
        <v>Lava Roupas Aquafast Ternura Cx/06 X 2l</v>
      </c>
      <c r="H446" s="5" cm="1">
        <f t="array" ref="H446">INDEX('Linha 03'!$C$4:$ZZ$1000,B446,C446)</f>
        <v>0</v>
      </c>
    </row>
    <row r="447" spans="1:8" x14ac:dyDescent="0.25">
      <c r="A447">
        <v>445</v>
      </c>
      <c r="B447">
        <f t="shared" si="12"/>
        <v>11</v>
      </c>
      <c r="C447">
        <f t="shared" si="13"/>
        <v>35</v>
      </c>
      <c r="D447" cm="1">
        <f t="array" ref="D447">INDEX('Linha 03'!$A$4:$A$1000,B447)</f>
        <v>20040094</v>
      </c>
      <c r="E447" t="str" cm="1">
        <f t="array" ref="E447">INDEX('Linha 03'!$B$4:$B$1000,B447)</f>
        <v>Amaciante Aquafast Energia Cx/06 X 2l</v>
      </c>
      <c r="F447" cm="1">
        <f t="array" ref="F447">INDEX('Linha 03'!$C$3:$ZZ$3,C447)</f>
        <v>20200063</v>
      </c>
      <c r="G447" t="str" cm="1">
        <f t="array" ref="G447">INDEX('Linha 03'!$C$2:$ZZ$2,C447)</f>
        <v>Lava Roup. Aquafast Tradicional Cx/12 X 1l</v>
      </c>
      <c r="H447" s="5" cm="1">
        <f t="array" ref="H447">INDEX('Linha 03'!$C$4:$ZZ$1000,B447,C447)</f>
        <v>0</v>
      </c>
    </row>
    <row r="448" spans="1:8" x14ac:dyDescent="0.25">
      <c r="A448">
        <v>446</v>
      </c>
      <c r="B448">
        <f t="shared" si="12"/>
        <v>11</v>
      </c>
      <c r="C448">
        <f t="shared" si="13"/>
        <v>36</v>
      </c>
      <c r="D448" cm="1">
        <f t="array" ref="D448">INDEX('Linha 03'!$A$4:$A$1000,B448)</f>
        <v>20040094</v>
      </c>
      <c r="E448" t="str" cm="1">
        <f t="array" ref="E448">INDEX('Linha 03'!$B$4:$B$1000,B448)</f>
        <v>Amaciante Aquafast Energia Cx/06 X 2l</v>
      </c>
      <c r="F448" cm="1">
        <f t="array" ref="F448">INDEX('Linha 03'!$C$3:$ZZ$3,C448)</f>
        <v>20200064</v>
      </c>
      <c r="G448" t="str" cm="1">
        <f t="array" ref="G448">INDEX('Linha 03'!$C$2:$ZZ$2,C448)</f>
        <v>Lava Roup. Aquafast Flores B. E Baunilha Cx/12 X 1l</v>
      </c>
      <c r="H448" s="5" cm="1">
        <f t="array" ref="H448">INDEX('Linha 03'!$C$4:$ZZ$1000,B448,C448)</f>
        <v>0</v>
      </c>
    </row>
    <row r="449" spans="1:8" x14ac:dyDescent="0.25">
      <c r="A449">
        <v>447</v>
      </c>
      <c r="B449">
        <f t="shared" si="12"/>
        <v>11</v>
      </c>
      <c r="C449">
        <f t="shared" si="13"/>
        <v>37</v>
      </c>
      <c r="D449" cm="1">
        <f t="array" ref="D449">INDEX('Linha 03'!$A$4:$A$1000,B449)</f>
        <v>20040094</v>
      </c>
      <c r="E449" t="str" cm="1">
        <f t="array" ref="E449">INDEX('Linha 03'!$B$4:$B$1000,B449)</f>
        <v>Amaciante Aquafast Energia Cx/06 X 2l</v>
      </c>
      <c r="F449" cm="1">
        <f t="array" ref="F449">INDEX('Linha 03'!$C$3:$ZZ$3,C449)</f>
        <v>20200065</v>
      </c>
      <c r="G449" t="str" cm="1">
        <f t="array" ref="G449">INDEX('Linha 03'!$C$2:$ZZ$2,C449)</f>
        <v>Lava Roupas Aquafast Flores B. E Baunilha Cx/06 X 2l</v>
      </c>
      <c r="H449" s="5" cm="1">
        <f t="array" ref="H449">INDEX('Linha 03'!$C$4:$ZZ$1000,B449,C449)</f>
        <v>0</v>
      </c>
    </row>
    <row r="450" spans="1:8" x14ac:dyDescent="0.25">
      <c r="A450">
        <v>448</v>
      </c>
      <c r="B450">
        <f t="shared" si="12"/>
        <v>11</v>
      </c>
      <c r="C450">
        <f t="shared" si="13"/>
        <v>38</v>
      </c>
      <c r="D450" cm="1">
        <f t="array" ref="D450">INDEX('Linha 03'!$A$4:$A$1000,B450)</f>
        <v>20040094</v>
      </c>
      <c r="E450" t="str" cm="1">
        <f t="array" ref="E450">INDEX('Linha 03'!$B$4:$B$1000,B450)</f>
        <v>Amaciante Aquafast Energia Cx/06 X 2l</v>
      </c>
      <c r="F450" cm="1">
        <f t="array" ref="F450">INDEX('Linha 03'!$C$3:$ZZ$3,C450)</f>
        <v>20200072</v>
      </c>
      <c r="G450" t="str" cm="1">
        <f t="array" ref="G450">INDEX('Linha 03'!$C$2:$ZZ$2,C450)</f>
        <v>Lava Roupas Aquafast Lavagem Rapida Total Clean Cx/12 X 1l</v>
      </c>
      <c r="H450" s="5" cm="1">
        <f t="array" ref="H450">INDEX('Linha 03'!$C$4:$ZZ$1000,B450,C450)</f>
        <v>0</v>
      </c>
    </row>
    <row r="451" spans="1:8" x14ac:dyDescent="0.25">
      <c r="A451">
        <v>449</v>
      </c>
      <c r="B451">
        <f t="shared" si="12"/>
        <v>11</v>
      </c>
      <c r="C451">
        <f t="shared" si="13"/>
        <v>39</v>
      </c>
      <c r="D451" cm="1">
        <f t="array" ref="D451">INDEX('Linha 03'!$A$4:$A$1000,B451)</f>
        <v>20040094</v>
      </c>
      <c r="E451" t="str" cm="1">
        <f t="array" ref="E451">INDEX('Linha 03'!$B$4:$B$1000,B451)</f>
        <v>Amaciante Aquafast Energia Cx/06 X 2l</v>
      </c>
      <c r="F451" cm="1">
        <f t="array" ref="F451">INDEX('Linha 03'!$C$3:$ZZ$3,C451)</f>
        <v>20200074</v>
      </c>
      <c r="G451" t="str" cm="1">
        <f t="array" ref="G451">INDEX('Linha 03'!$C$2:$ZZ$2,C451)</f>
        <v>Lava Roupas Aquafast Lavagem Rapida Fresh Clean Cx/12 X 1l</v>
      </c>
      <c r="H451" s="5" cm="1">
        <f t="array" ref="H451">INDEX('Linha 03'!$C$4:$ZZ$1000,B451,C451)</f>
        <v>0</v>
      </c>
    </row>
    <row r="452" spans="1:8" x14ac:dyDescent="0.25">
      <c r="A452">
        <v>450</v>
      </c>
      <c r="B452">
        <f t="shared" ref="B452:B515" si="14">INT((A452-1)/$B$1)+1</f>
        <v>11</v>
      </c>
      <c r="C452">
        <f t="shared" ref="C452:C515" si="15">MOD(A452-1,$B$1)+1</f>
        <v>40</v>
      </c>
      <c r="D452" cm="1">
        <f t="array" ref="D452">INDEX('Linha 03'!$A$4:$A$1000,B452)</f>
        <v>20040094</v>
      </c>
      <c r="E452" t="str" cm="1">
        <f t="array" ref="E452">INDEX('Linha 03'!$B$4:$B$1000,B452)</f>
        <v>Amaciante Aquafast Energia Cx/06 X 2l</v>
      </c>
      <c r="F452" cm="1">
        <f t="array" ref="F452">INDEX('Linha 03'!$C$3:$ZZ$3,C452)</f>
        <v>20250005</v>
      </c>
      <c r="G452" t="str" cm="1">
        <f t="array" ref="G452">INDEX('Linha 03'!$C$2:$ZZ$2,C452)</f>
        <v>Neutralizador De Odores Aquafast Floral Cx/06 X 2l</v>
      </c>
      <c r="H452" s="5" cm="1">
        <f t="array" ref="H452">INDEX('Linha 03'!$C$4:$ZZ$1000,B452,C452)</f>
        <v>0</v>
      </c>
    </row>
    <row r="453" spans="1:8" x14ac:dyDescent="0.25">
      <c r="A453">
        <v>451</v>
      </c>
      <c r="B453">
        <f t="shared" si="14"/>
        <v>11</v>
      </c>
      <c r="C453">
        <f t="shared" si="15"/>
        <v>41</v>
      </c>
      <c r="D453" cm="1">
        <f t="array" ref="D453">INDEX('Linha 03'!$A$4:$A$1000,B453)</f>
        <v>20040094</v>
      </c>
      <c r="E453" t="str" cm="1">
        <f t="array" ref="E453">INDEX('Linha 03'!$B$4:$B$1000,B453)</f>
        <v>Amaciante Aquafast Energia Cx/06 X 2l</v>
      </c>
      <c r="F453" cm="1">
        <f t="array" ref="F453">INDEX('Linha 03'!$C$3:$ZZ$3,C453)</f>
        <v>20250007</v>
      </c>
      <c r="G453" t="str" cm="1">
        <f t="array" ref="G453">INDEX('Linha 03'!$C$2:$ZZ$2,C453)</f>
        <v>Neutralizador De Odores Aquafast Marine Cx/06 2l</v>
      </c>
      <c r="H453" s="5" cm="1">
        <f t="array" ref="H453">INDEX('Linha 03'!$C$4:$ZZ$1000,B453,C453)</f>
        <v>0</v>
      </c>
    </row>
    <row r="454" spans="1:8" x14ac:dyDescent="0.25">
      <c r="A454">
        <v>452</v>
      </c>
      <c r="B454">
        <f t="shared" si="14"/>
        <v>12</v>
      </c>
      <c r="C454">
        <f t="shared" si="15"/>
        <v>1</v>
      </c>
      <c r="D454" cm="1">
        <f t="array" ref="D454">INDEX('Linha 03'!$A$4:$A$1000,B454)</f>
        <v>20050010</v>
      </c>
      <c r="E454" t="str" cm="1">
        <f t="array" ref="E454">INDEX('Linha 03'!$B$4:$B$1000,B454)</f>
        <v>Desinfetante Aquafast Campos Lavanda Cx/06 X 2l</v>
      </c>
      <c r="F454" cm="1">
        <f t="array" ref="F454">INDEX('Linha 03'!$C$3:$ZZ$3,C454)</f>
        <v>20040006</v>
      </c>
      <c r="G454" t="str" cm="1">
        <f t="array" ref="G454">INDEX('Linha 03'!$C$2:$ZZ$2,C454)</f>
        <v>Amaciante Aquafast Azul Fresc. Manha Cx/06 X 2l</v>
      </c>
      <c r="H454" s="5" cm="1">
        <f t="array" ref="H454">INDEX('Linha 03'!$C$4:$ZZ$1000,B454,C454)</f>
        <v>0</v>
      </c>
    </row>
    <row r="455" spans="1:8" x14ac:dyDescent="0.25">
      <c r="A455">
        <v>453</v>
      </c>
      <c r="B455">
        <f t="shared" si="14"/>
        <v>12</v>
      </c>
      <c r="C455">
        <f t="shared" si="15"/>
        <v>2</v>
      </c>
      <c r="D455" cm="1">
        <f t="array" ref="D455">INDEX('Linha 03'!$A$4:$A$1000,B455)</f>
        <v>20050010</v>
      </c>
      <c r="E455" t="str" cm="1">
        <f t="array" ref="E455">INDEX('Linha 03'!$B$4:$B$1000,B455)</f>
        <v>Desinfetante Aquafast Campos Lavanda Cx/06 X 2l</v>
      </c>
      <c r="F455" cm="1">
        <f t="array" ref="F455">INDEX('Linha 03'!$C$3:$ZZ$3,C455)</f>
        <v>20040008</v>
      </c>
      <c r="G455" t="str" cm="1">
        <f t="array" ref="G455">INDEX('Linha 03'!$C$2:$ZZ$2,C455)</f>
        <v>Amaciante Aquafast Rosa Jard. Florid Cx/06 X 2l</v>
      </c>
      <c r="H455" s="5" cm="1">
        <f t="array" ref="H455">INDEX('Linha 03'!$C$4:$ZZ$1000,B455,C455)</f>
        <v>0</v>
      </c>
    </row>
    <row r="456" spans="1:8" x14ac:dyDescent="0.25">
      <c r="A456">
        <v>454</v>
      </c>
      <c r="B456">
        <f t="shared" si="14"/>
        <v>12</v>
      </c>
      <c r="C456">
        <f t="shared" si="15"/>
        <v>3</v>
      </c>
      <c r="D456" cm="1">
        <f t="array" ref="D456">INDEX('Linha 03'!$A$4:$A$1000,B456)</f>
        <v>20050010</v>
      </c>
      <c r="E456" t="str" cm="1">
        <f t="array" ref="E456">INDEX('Linha 03'!$B$4:$B$1000,B456)</f>
        <v>Desinfetante Aquafast Campos Lavanda Cx/06 X 2l</v>
      </c>
      <c r="F456" cm="1">
        <f t="array" ref="F456">INDEX('Linha 03'!$C$3:$ZZ$3,C456)</f>
        <v>20040009</v>
      </c>
      <c r="G456" t="str" cm="1">
        <f t="array" ref="G456">INDEX('Linha 03'!$C$2:$ZZ$2,C456)</f>
        <v>Amaciante Aquafast Branco Pura Caric. Cx/06 X 2l</v>
      </c>
      <c r="H456" s="5" cm="1">
        <f t="array" ref="H456">INDEX('Linha 03'!$C$4:$ZZ$1000,B456,C456)</f>
        <v>0</v>
      </c>
    </row>
    <row r="457" spans="1:8" x14ac:dyDescent="0.25">
      <c r="A457">
        <v>455</v>
      </c>
      <c r="B457">
        <f t="shared" si="14"/>
        <v>12</v>
      </c>
      <c r="C457">
        <f t="shared" si="15"/>
        <v>4</v>
      </c>
      <c r="D457" cm="1">
        <f t="array" ref="D457">INDEX('Linha 03'!$A$4:$A$1000,B457)</f>
        <v>20050010</v>
      </c>
      <c r="E457" t="str" cm="1">
        <f t="array" ref="E457">INDEX('Linha 03'!$B$4:$B$1000,B457)</f>
        <v>Desinfetante Aquafast Campos Lavanda Cx/06 X 2l</v>
      </c>
      <c r="F457" cm="1">
        <f t="array" ref="F457">INDEX('Linha 03'!$C$3:$ZZ$3,C457)</f>
        <v>20040026</v>
      </c>
      <c r="G457" t="str" cm="1">
        <f t="array" ref="G457">INDEX('Linha 03'!$C$2:$ZZ$2,C457)</f>
        <v>Amaciante Ito Azul Cx/06 X 2l</v>
      </c>
      <c r="H457" s="5" cm="1">
        <f t="array" ref="H457">INDEX('Linha 03'!$C$4:$ZZ$1000,B457,C457)</f>
        <v>0</v>
      </c>
    </row>
    <row r="458" spans="1:8" x14ac:dyDescent="0.25">
      <c r="A458">
        <v>456</v>
      </c>
      <c r="B458">
        <f t="shared" si="14"/>
        <v>12</v>
      </c>
      <c r="C458">
        <f t="shared" si="15"/>
        <v>5</v>
      </c>
      <c r="D458" cm="1">
        <f t="array" ref="D458">INDEX('Linha 03'!$A$4:$A$1000,B458)</f>
        <v>20050010</v>
      </c>
      <c r="E458" t="str" cm="1">
        <f t="array" ref="E458">INDEX('Linha 03'!$B$4:$B$1000,B458)</f>
        <v>Desinfetante Aquafast Campos Lavanda Cx/06 X 2l</v>
      </c>
      <c r="F458" cm="1">
        <f t="array" ref="F458">INDEX('Linha 03'!$C$3:$ZZ$3,C458)</f>
        <v>20040028</v>
      </c>
      <c r="G458" t="str" cm="1">
        <f t="array" ref="G458">INDEX('Linha 03'!$C$2:$ZZ$2,C458)</f>
        <v>Amaciante Ito Rosa Cx/06 X 2l</v>
      </c>
      <c r="H458" s="5" cm="1">
        <f t="array" ref="H458">INDEX('Linha 03'!$C$4:$ZZ$1000,B458,C458)</f>
        <v>0</v>
      </c>
    </row>
    <row r="459" spans="1:8" x14ac:dyDescent="0.25">
      <c r="A459">
        <v>457</v>
      </c>
      <c r="B459">
        <f t="shared" si="14"/>
        <v>12</v>
      </c>
      <c r="C459">
        <f t="shared" si="15"/>
        <v>6</v>
      </c>
      <c r="D459" cm="1">
        <f t="array" ref="D459">INDEX('Linha 03'!$A$4:$A$1000,B459)</f>
        <v>20050010</v>
      </c>
      <c r="E459" t="str" cm="1">
        <f t="array" ref="E459">INDEX('Linha 03'!$B$4:$B$1000,B459)</f>
        <v>Desinfetante Aquafast Campos Lavanda Cx/06 X 2l</v>
      </c>
      <c r="F459" cm="1">
        <f t="array" ref="F459">INDEX('Linha 03'!$C$3:$ZZ$3,C459)</f>
        <v>20040029</v>
      </c>
      <c r="G459" t="str" cm="1">
        <f t="array" ref="G459">INDEX('Linha 03'!$C$2:$ZZ$2,C459)</f>
        <v>Amaciante Ito Branco Cx/06 X 2l</v>
      </c>
      <c r="H459" s="5" cm="1">
        <f t="array" ref="H459">INDEX('Linha 03'!$C$4:$ZZ$1000,B459,C459)</f>
        <v>0</v>
      </c>
    </row>
    <row r="460" spans="1:8" x14ac:dyDescent="0.25">
      <c r="A460">
        <v>458</v>
      </c>
      <c r="B460">
        <f t="shared" si="14"/>
        <v>12</v>
      </c>
      <c r="C460">
        <f t="shared" si="15"/>
        <v>7</v>
      </c>
      <c r="D460" cm="1">
        <f t="array" ref="D460">INDEX('Linha 03'!$A$4:$A$1000,B460)</f>
        <v>20050010</v>
      </c>
      <c r="E460" t="str" cm="1">
        <f t="array" ref="E460">INDEX('Linha 03'!$B$4:$B$1000,B460)</f>
        <v>Desinfetante Aquafast Campos Lavanda Cx/06 X 2l</v>
      </c>
      <c r="F460" cm="1">
        <f t="array" ref="F460">INDEX('Linha 03'!$C$3:$ZZ$3,C460)</f>
        <v>20040055</v>
      </c>
      <c r="G460" t="str" cm="1">
        <f t="array" ref="G460">INDEX('Linha 03'!$C$2:$ZZ$2,C460)</f>
        <v>Amaciante Myata Azul Cx/06 X 2l</v>
      </c>
      <c r="H460" s="5" cm="1">
        <f t="array" ref="H460">INDEX('Linha 03'!$C$4:$ZZ$1000,B460,C460)</f>
        <v>0</v>
      </c>
    </row>
    <row r="461" spans="1:8" x14ac:dyDescent="0.25">
      <c r="A461">
        <v>459</v>
      </c>
      <c r="B461">
        <f t="shared" si="14"/>
        <v>12</v>
      </c>
      <c r="C461">
        <f t="shared" si="15"/>
        <v>8</v>
      </c>
      <c r="D461" cm="1">
        <f t="array" ref="D461">INDEX('Linha 03'!$A$4:$A$1000,B461)</f>
        <v>20050010</v>
      </c>
      <c r="E461" t="str" cm="1">
        <f t="array" ref="E461">INDEX('Linha 03'!$B$4:$B$1000,B461)</f>
        <v>Desinfetante Aquafast Campos Lavanda Cx/06 X 2l</v>
      </c>
      <c r="F461" cm="1">
        <f t="array" ref="F461">INDEX('Linha 03'!$C$3:$ZZ$3,C461)</f>
        <v>20040057</v>
      </c>
      <c r="G461" t="str" cm="1">
        <f t="array" ref="G461">INDEX('Linha 03'!$C$2:$ZZ$2,C461)</f>
        <v>Amaciante Myata Rosa Cx/06 X 2l</v>
      </c>
      <c r="H461" s="5" cm="1">
        <f t="array" ref="H461">INDEX('Linha 03'!$C$4:$ZZ$1000,B461,C461)</f>
        <v>0</v>
      </c>
    </row>
    <row r="462" spans="1:8" x14ac:dyDescent="0.25">
      <c r="A462">
        <v>460</v>
      </c>
      <c r="B462">
        <f t="shared" si="14"/>
        <v>12</v>
      </c>
      <c r="C462">
        <f t="shared" si="15"/>
        <v>9</v>
      </c>
      <c r="D462" cm="1">
        <f t="array" ref="D462">INDEX('Linha 03'!$A$4:$A$1000,B462)</f>
        <v>20050010</v>
      </c>
      <c r="E462" t="str" cm="1">
        <f t="array" ref="E462">INDEX('Linha 03'!$B$4:$B$1000,B462)</f>
        <v>Desinfetante Aquafast Campos Lavanda Cx/06 X 2l</v>
      </c>
      <c r="F462" cm="1">
        <f t="array" ref="F462">INDEX('Linha 03'!$C$3:$ZZ$3,C462)</f>
        <v>20040084</v>
      </c>
      <c r="G462" t="str" cm="1">
        <f t="array" ref="G462">INDEX('Linha 03'!$C$2:$ZZ$2,C462)</f>
        <v>Amaciante Aquafast Vermelho Seducao Cx C/06 X 2l</v>
      </c>
      <c r="H462" s="5" cm="1">
        <f t="array" ref="H462">INDEX('Linha 03'!$C$4:$ZZ$1000,B462,C462)</f>
        <v>0</v>
      </c>
    </row>
    <row r="463" spans="1:8" x14ac:dyDescent="0.25">
      <c r="A463">
        <v>461</v>
      </c>
      <c r="B463">
        <f t="shared" si="14"/>
        <v>12</v>
      </c>
      <c r="C463">
        <f t="shared" si="15"/>
        <v>10</v>
      </c>
      <c r="D463" cm="1">
        <f t="array" ref="D463">INDEX('Linha 03'!$A$4:$A$1000,B463)</f>
        <v>20050010</v>
      </c>
      <c r="E463" t="str" cm="1">
        <f t="array" ref="E463">INDEX('Linha 03'!$B$4:$B$1000,B463)</f>
        <v>Desinfetante Aquafast Campos Lavanda Cx/06 X 2l</v>
      </c>
      <c r="F463" cm="1">
        <f t="array" ref="F463">INDEX('Linha 03'!$C$3:$ZZ$3,C463)</f>
        <v>20040089</v>
      </c>
      <c r="G463" t="str" cm="1">
        <f t="array" ref="G463">INDEX('Linha 03'!$C$2:$ZZ$2,C463)</f>
        <v>Amaciante Aquafast Roxo Magia Cx/06 X 2l</v>
      </c>
      <c r="H463" s="5" cm="1">
        <f t="array" ref="H463">INDEX('Linha 03'!$C$4:$ZZ$1000,B463,C463)</f>
        <v>0</v>
      </c>
    </row>
    <row r="464" spans="1:8" x14ac:dyDescent="0.25">
      <c r="A464">
        <v>462</v>
      </c>
      <c r="B464">
        <f t="shared" si="14"/>
        <v>12</v>
      </c>
      <c r="C464">
        <f t="shared" si="15"/>
        <v>11</v>
      </c>
      <c r="D464" cm="1">
        <f t="array" ref="D464">INDEX('Linha 03'!$A$4:$A$1000,B464)</f>
        <v>20050010</v>
      </c>
      <c r="E464" t="str" cm="1">
        <f t="array" ref="E464">INDEX('Linha 03'!$B$4:$B$1000,B464)</f>
        <v>Desinfetante Aquafast Campos Lavanda Cx/06 X 2l</v>
      </c>
      <c r="F464" cm="1">
        <f t="array" ref="F464">INDEX('Linha 03'!$C$3:$ZZ$3,C464)</f>
        <v>20040094</v>
      </c>
      <c r="G464" t="str" cm="1">
        <f t="array" ref="G464">INDEX('Linha 03'!$C$2:$ZZ$2,C464)</f>
        <v>Amaciante Aquafast Energia Cx/06 X 2l</v>
      </c>
      <c r="H464" s="5" cm="1">
        <f t="array" ref="H464">INDEX('Linha 03'!$C$4:$ZZ$1000,B464,C464)</f>
        <v>0</v>
      </c>
    </row>
    <row r="465" spans="1:8" x14ac:dyDescent="0.25">
      <c r="A465">
        <v>463</v>
      </c>
      <c r="B465">
        <f t="shared" si="14"/>
        <v>12</v>
      </c>
      <c r="C465">
        <f t="shared" si="15"/>
        <v>12</v>
      </c>
      <c r="D465" cm="1">
        <f t="array" ref="D465">INDEX('Linha 03'!$A$4:$A$1000,B465)</f>
        <v>20050010</v>
      </c>
      <c r="E465" t="str" cm="1">
        <f t="array" ref="E465">INDEX('Linha 03'!$B$4:$B$1000,B465)</f>
        <v>Desinfetante Aquafast Campos Lavanda Cx/06 X 2l</v>
      </c>
      <c r="F465" cm="1">
        <f t="array" ref="F465">INDEX('Linha 03'!$C$3:$ZZ$3,C465)</f>
        <v>20050010</v>
      </c>
      <c r="G465" t="str" cm="1">
        <f t="array" ref="G465">INDEX('Linha 03'!$C$2:$ZZ$2,C465)</f>
        <v>Desinfetante Aquafast Campos Lavanda Cx/06 X 2l</v>
      </c>
      <c r="H465" s="5" cm="1">
        <f t="array" ref="H465">INDEX('Linha 03'!$C$4:$ZZ$1000,B465,C465)</f>
        <v>0</v>
      </c>
    </row>
    <row r="466" spans="1:8" x14ac:dyDescent="0.25">
      <c r="A466">
        <v>464</v>
      </c>
      <c r="B466">
        <f t="shared" si="14"/>
        <v>12</v>
      </c>
      <c r="C466">
        <f t="shared" si="15"/>
        <v>13</v>
      </c>
      <c r="D466" cm="1">
        <f t="array" ref="D466">INDEX('Linha 03'!$A$4:$A$1000,B466)</f>
        <v>20050010</v>
      </c>
      <c r="E466" t="str" cm="1">
        <f t="array" ref="E466">INDEX('Linha 03'!$B$4:$B$1000,B466)</f>
        <v>Desinfetante Aquafast Campos Lavanda Cx/06 X 2l</v>
      </c>
      <c r="F466" cm="1">
        <f t="array" ref="F466">INDEX('Linha 03'!$C$3:$ZZ$3,C466)</f>
        <v>20050011</v>
      </c>
      <c r="G466" t="str" cm="1">
        <f t="array" ref="G466">INDEX('Linha 03'!$C$2:$ZZ$2,C466)</f>
        <v>Desinfetante Aquafast Jardim Florido Cx/06 X 2l</v>
      </c>
      <c r="H466" s="5" cm="1">
        <f t="array" ref="H466">INDEX('Linha 03'!$C$4:$ZZ$1000,B466,C466)</f>
        <v>0</v>
      </c>
    </row>
    <row r="467" spans="1:8" x14ac:dyDescent="0.25">
      <c r="A467">
        <v>465</v>
      </c>
      <c r="B467">
        <f t="shared" si="14"/>
        <v>12</v>
      </c>
      <c r="C467">
        <f t="shared" si="15"/>
        <v>14</v>
      </c>
      <c r="D467" cm="1">
        <f t="array" ref="D467">INDEX('Linha 03'!$A$4:$A$1000,B467)</f>
        <v>20050010</v>
      </c>
      <c r="E467" t="str" cm="1">
        <f t="array" ref="E467">INDEX('Linha 03'!$B$4:$B$1000,B467)</f>
        <v>Desinfetante Aquafast Campos Lavanda Cx/06 X 2l</v>
      </c>
      <c r="F467" cm="1">
        <f t="array" ref="F467">INDEX('Linha 03'!$C$3:$ZZ$3,C467)</f>
        <v>20050016</v>
      </c>
      <c r="G467" t="str" cm="1">
        <f t="array" ref="G467">INDEX('Linha 03'!$C$2:$ZZ$2,C467)</f>
        <v>Desinfetante Aquafast Marine Cx/06 X 2l</v>
      </c>
      <c r="H467" s="5" cm="1">
        <f t="array" ref="H467">INDEX('Linha 03'!$C$4:$ZZ$1000,B467,C467)</f>
        <v>0</v>
      </c>
    </row>
    <row r="468" spans="1:8" x14ac:dyDescent="0.25">
      <c r="A468">
        <v>466</v>
      </c>
      <c r="B468">
        <f t="shared" si="14"/>
        <v>12</v>
      </c>
      <c r="C468">
        <f t="shared" si="15"/>
        <v>15</v>
      </c>
      <c r="D468" cm="1">
        <f t="array" ref="D468">INDEX('Linha 03'!$A$4:$A$1000,B468)</f>
        <v>20050010</v>
      </c>
      <c r="E468" t="str" cm="1">
        <f t="array" ref="E468">INDEX('Linha 03'!$B$4:$B$1000,B468)</f>
        <v>Desinfetante Aquafast Campos Lavanda Cx/06 X 2l</v>
      </c>
      <c r="F468" cm="1">
        <f t="array" ref="F468">INDEX('Linha 03'!$C$3:$ZZ$3,C468)</f>
        <v>20050031</v>
      </c>
      <c r="G468" t="str" cm="1">
        <f t="array" ref="G468">INDEX('Linha 03'!$C$2:$ZZ$2,C468)</f>
        <v>Desinfetante Ito Lavanda Cx/06 X 2l</v>
      </c>
      <c r="H468" s="5" cm="1">
        <f t="array" ref="H468">INDEX('Linha 03'!$C$4:$ZZ$1000,B468,C468)</f>
        <v>0</v>
      </c>
    </row>
    <row r="469" spans="1:8" x14ac:dyDescent="0.25">
      <c r="A469">
        <v>467</v>
      </c>
      <c r="B469">
        <f t="shared" si="14"/>
        <v>12</v>
      </c>
      <c r="C469">
        <f t="shared" si="15"/>
        <v>16</v>
      </c>
      <c r="D469" cm="1">
        <f t="array" ref="D469">INDEX('Linha 03'!$A$4:$A$1000,B469)</f>
        <v>20050010</v>
      </c>
      <c r="E469" t="str" cm="1">
        <f t="array" ref="E469">INDEX('Linha 03'!$B$4:$B$1000,B469)</f>
        <v>Desinfetante Aquafast Campos Lavanda Cx/06 X 2l</v>
      </c>
      <c r="F469" cm="1">
        <f t="array" ref="F469">INDEX('Linha 03'!$C$3:$ZZ$3,C469)</f>
        <v>20050032</v>
      </c>
      <c r="G469" t="str" cm="1">
        <f t="array" ref="G469">INDEX('Linha 03'!$C$2:$ZZ$2,C469)</f>
        <v>Desinfetante Ito Floral Cx/06 X 2l</v>
      </c>
      <c r="H469" s="5" cm="1">
        <f t="array" ref="H469">INDEX('Linha 03'!$C$4:$ZZ$1000,B469,C469)</f>
        <v>0</v>
      </c>
    </row>
    <row r="470" spans="1:8" x14ac:dyDescent="0.25">
      <c r="A470">
        <v>468</v>
      </c>
      <c r="B470">
        <f t="shared" si="14"/>
        <v>12</v>
      </c>
      <c r="C470">
        <f t="shared" si="15"/>
        <v>17</v>
      </c>
      <c r="D470" cm="1">
        <f t="array" ref="D470">INDEX('Linha 03'!$A$4:$A$1000,B470)</f>
        <v>20050010</v>
      </c>
      <c r="E470" t="str" cm="1">
        <f t="array" ref="E470">INDEX('Linha 03'!$B$4:$B$1000,B470)</f>
        <v>Desinfetante Aquafast Campos Lavanda Cx/06 X 2l</v>
      </c>
      <c r="F470" cm="1">
        <f t="array" ref="F470">INDEX('Linha 03'!$C$3:$ZZ$3,C470)</f>
        <v>20050034</v>
      </c>
      <c r="G470" t="str" cm="1">
        <f t="array" ref="G470">INDEX('Linha 03'!$C$2:$ZZ$2,C470)</f>
        <v>Desinfetante Ito Eucalipto Cx/06 X 2l</v>
      </c>
      <c r="H470" s="5" cm="1">
        <f t="array" ref="H470">INDEX('Linha 03'!$C$4:$ZZ$1000,B470,C470)</f>
        <v>0</v>
      </c>
    </row>
    <row r="471" spans="1:8" x14ac:dyDescent="0.25">
      <c r="A471">
        <v>469</v>
      </c>
      <c r="B471">
        <f t="shared" si="14"/>
        <v>12</v>
      </c>
      <c r="C471">
        <f t="shared" si="15"/>
        <v>18</v>
      </c>
      <c r="D471" cm="1">
        <f t="array" ref="D471">INDEX('Linha 03'!$A$4:$A$1000,B471)</f>
        <v>20050010</v>
      </c>
      <c r="E471" t="str" cm="1">
        <f t="array" ref="E471">INDEX('Linha 03'!$B$4:$B$1000,B471)</f>
        <v>Desinfetante Aquafast Campos Lavanda Cx/06 X 2l</v>
      </c>
      <c r="F471" cm="1">
        <f t="array" ref="F471">INDEX('Linha 03'!$C$3:$ZZ$3,C471)</f>
        <v>20050077</v>
      </c>
      <c r="G471" t="str" cm="1">
        <f t="array" ref="G471">INDEX('Linha 03'!$C$2:$ZZ$2,C471)</f>
        <v>Desinfetante Myata Lavanda Cx/06 X 2l</v>
      </c>
      <c r="H471" s="5" cm="1">
        <f t="array" ref="H471">INDEX('Linha 03'!$C$4:$ZZ$1000,B471,C471)</f>
        <v>0</v>
      </c>
    </row>
    <row r="472" spans="1:8" x14ac:dyDescent="0.25">
      <c r="A472">
        <v>470</v>
      </c>
      <c r="B472">
        <f t="shared" si="14"/>
        <v>12</v>
      </c>
      <c r="C472">
        <f t="shared" si="15"/>
        <v>19</v>
      </c>
      <c r="D472" cm="1">
        <f t="array" ref="D472">INDEX('Linha 03'!$A$4:$A$1000,B472)</f>
        <v>20050010</v>
      </c>
      <c r="E472" t="str" cm="1">
        <f t="array" ref="E472">INDEX('Linha 03'!$B$4:$B$1000,B472)</f>
        <v>Desinfetante Aquafast Campos Lavanda Cx/06 X 2l</v>
      </c>
      <c r="F472" cm="1">
        <f t="array" ref="F472">INDEX('Linha 03'!$C$3:$ZZ$3,C472)</f>
        <v>20050078</v>
      </c>
      <c r="G472" t="str" cm="1">
        <f t="array" ref="G472">INDEX('Linha 03'!$C$2:$ZZ$2,C472)</f>
        <v>Desinfetante Myata Floral Cx/06 X 2l</v>
      </c>
      <c r="H472" s="5" cm="1">
        <f t="array" ref="H472">INDEX('Linha 03'!$C$4:$ZZ$1000,B472,C472)</f>
        <v>0</v>
      </c>
    </row>
    <row r="473" spans="1:8" x14ac:dyDescent="0.25">
      <c r="A473">
        <v>471</v>
      </c>
      <c r="B473">
        <f t="shared" si="14"/>
        <v>12</v>
      </c>
      <c r="C473">
        <f t="shared" si="15"/>
        <v>20</v>
      </c>
      <c r="D473" cm="1">
        <f t="array" ref="D473">INDEX('Linha 03'!$A$4:$A$1000,B473)</f>
        <v>20050010</v>
      </c>
      <c r="E473" t="str" cm="1">
        <f t="array" ref="E473">INDEX('Linha 03'!$B$4:$B$1000,B473)</f>
        <v>Desinfetante Aquafast Campos Lavanda Cx/06 X 2l</v>
      </c>
      <c r="F473" cm="1">
        <f t="array" ref="F473">INDEX('Linha 03'!$C$3:$ZZ$3,C473)</f>
        <v>20050115</v>
      </c>
      <c r="G473" t="str" cm="1">
        <f t="array" ref="G473">INDEX('Linha 03'!$C$2:$ZZ$2,C473)</f>
        <v>Desinfetante Aquafast Paixao Cx/06 X 2l</v>
      </c>
      <c r="H473" s="5" cm="1">
        <f t="array" ref="H473">INDEX('Linha 03'!$C$4:$ZZ$1000,B473,C473)</f>
        <v>0</v>
      </c>
    </row>
    <row r="474" spans="1:8" x14ac:dyDescent="0.25">
      <c r="A474">
        <v>472</v>
      </c>
      <c r="B474">
        <f t="shared" si="14"/>
        <v>12</v>
      </c>
      <c r="C474">
        <f t="shared" si="15"/>
        <v>21</v>
      </c>
      <c r="D474" cm="1">
        <f t="array" ref="D474">INDEX('Linha 03'!$A$4:$A$1000,B474)</f>
        <v>20050010</v>
      </c>
      <c r="E474" t="str" cm="1">
        <f t="array" ref="E474">INDEX('Linha 03'!$B$4:$B$1000,B474)</f>
        <v>Desinfetante Aquafast Campos Lavanda Cx/06 X 2l</v>
      </c>
      <c r="F474" cm="1">
        <f t="array" ref="F474">INDEX('Linha 03'!$C$3:$ZZ$3,C474)</f>
        <v>20050117</v>
      </c>
      <c r="G474" t="str" cm="1">
        <f t="array" ref="G474">INDEX('Linha 03'!$C$2:$ZZ$2,C474)</f>
        <v>Desinfetante Aquafast Harmonia Natural Cx/06 X 2l</v>
      </c>
      <c r="H474" s="5" cm="1">
        <f t="array" ref="H474">INDEX('Linha 03'!$C$4:$ZZ$1000,B474,C474)</f>
        <v>0</v>
      </c>
    </row>
    <row r="475" spans="1:8" x14ac:dyDescent="0.25">
      <c r="A475">
        <v>473</v>
      </c>
      <c r="B475">
        <f t="shared" si="14"/>
        <v>12</v>
      </c>
      <c r="C475">
        <f t="shared" si="15"/>
        <v>22</v>
      </c>
      <c r="D475" cm="1">
        <f t="array" ref="D475">INDEX('Linha 03'!$A$4:$A$1000,B475)</f>
        <v>20050010</v>
      </c>
      <c r="E475" t="str" cm="1">
        <f t="array" ref="E475">INDEX('Linha 03'!$B$4:$B$1000,B475)</f>
        <v>Desinfetante Aquafast Campos Lavanda Cx/06 X 2l</v>
      </c>
      <c r="F475" cm="1">
        <f t="array" ref="F475">INDEX('Linha 03'!$C$3:$ZZ$3,C475)</f>
        <v>20050123</v>
      </c>
      <c r="G475" t="str" cm="1">
        <f t="array" ref="G475">INDEX('Linha 03'!$C$2:$ZZ$2,C475)</f>
        <v>Desinfetante Ito Harmonia Natural Cx/06 X 2l</v>
      </c>
      <c r="H475" s="5" cm="1">
        <f t="array" ref="H475">INDEX('Linha 03'!$C$4:$ZZ$1000,B475,C475)</f>
        <v>0</v>
      </c>
    </row>
    <row r="476" spans="1:8" x14ac:dyDescent="0.25">
      <c r="A476">
        <v>474</v>
      </c>
      <c r="B476">
        <f t="shared" si="14"/>
        <v>12</v>
      </c>
      <c r="C476">
        <f t="shared" si="15"/>
        <v>23</v>
      </c>
      <c r="D476" cm="1">
        <f t="array" ref="D476">INDEX('Linha 03'!$A$4:$A$1000,B476)</f>
        <v>20050010</v>
      </c>
      <c r="E476" t="str" cm="1">
        <f t="array" ref="E476">INDEX('Linha 03'!$B$4:$B$1000,B476)</f>
        <v>Desinfetante Aquafast Campos Lavanda Cx/06 X 2l</v>
      </c>
      <c r="F476" cm="1">
        <f t="array" ref="F476">INDEX('Linha 03'!$C$3:$ZZ$3,C476)</f>
        <v>20050124</v>
      </c>
      <c r="G476" t="str" cm="1">
        <f t="array" ref="G476">INDEX('Linha 03'!$C$2:$ZZ$2,C476)</f>
        <v>Desinfetante Myata Harmonia Natural Cx/06 X 2l</v>
      </c>
      <c r="H476" s="5" cm="1">
        <f t="array" ref="H476">INDEX('Linha 03'!$C$4:$ZZ$1000,B476,C476)</f>
        <v>0</v>
      </c>
    </row>
    <row r="477" spans="1:8" x14ac:dyDescent="0.25">
      <c r="A477">
        <v>475</v>
      </c>
      <c r="B477">
        <f t="shared" si="14"/>
        <v>12</v>
      </c>
      <c r="C477">
        <f t="shared" si="15"/>
        <v>24</v>
      </c>
      <c r="D477" cm="1">
        <f t="array" ref="D477">INDEX('Linha 03'!$A$4:$A$1000,B477)</f>
        <v>20050010</v>
      </c>
      <c r="E477" t="str" cm="1">
        <f t="array" ref="E477">INDEX('Linha 03'!$B$4:$B$1000,B477)</f>
        <v>Desinfetante Aquafast Campos Lavanda Cx/06 X 2l</v>
      </c>
      <c r="F477" cm="1">
        <f t="array" ref="F477">INDEX('Linha 03'!$C$3:$ZZ$3,C477)</f>
        <v>20050142</v>
      </c>
      <c r="G477" t="str" cm="1">
        <f t="array" ref="G477">INDEX('Linha 03'!$C$2:$ZZ$2,C477)</f>
        <v>Desinfetante Ito Marine Cx/06 X 2l</v>
      </c>
      <c r="H477" s="5" cm="1">
        <f t="array" ref="H477">INDEX('Linha 03'!$C$4:$ZZ$1000,B477,C477)</f>
        <v>0</v>
      </c>
    </row>
    <row r="478" spans="1:8" x14ac:dyDescent="0.25">
      <c r="A478">
        <v>476</v>
      </c>
      <c r="B478">
        <f t="shared" si="14"/>
        <v>12</v>
      </c>
      <c r="C478">
        <f t="shared" si="15"/>
        <v>25</v>
      </c>
      <c r="D478" cm="1">
        <f t="array" ref="D478">INDEX('Linha 03'!$A$4:$A$1000,B478)</f>
        <v>20050010</v>
      </c>
      <c r="E478" t="str" cm="1">
        <f t="array" ref="E478">INDEX('Linha 03'!$B$4:$B$1000,B478)</f>
        <v>Desinfetante Aquafast Campos Lavanda Cx/06 X 2l</v>
      </c>
      <c r="F478" cm="1">
        <f t="array" ref="F478">INDEX('Linha 03'!$C$3:$ZZ$3,C478)</f>
        <v>20050159</v>
      </c>
      <c r="G478" t="str" cm="1">
        <f t="array" ref="G478">INDEX('Linha 03'!$C$2:$ZZ$2,C478)</f>
        <v>Desinfetante Aquafast Cha Branco Cx/06 X 2l</v>
      </c>
      <c r="H478" s="5" cm="1">
        <f t="array" ref="H478">INDEX('Linha 03'!$C$4:$ZZ$1000,B478,C478)</f>
        <v>1.38888888888889E-2</v>
      </c>
    </row>
    <row r="479" spans="1:8" x14ac:dyDescent="0.25">
      <c r="A479">
        <v>477</v>
      </c>
      <c r="B479">
        <f t="shared" si="14"/>
        <v>12</v>
      </c>
      <c r="C479">
        <f t="shared" si="15"/>
        <v>26</v>
      </c>
      <c r="D479" cm="1">
        <f t="array" ref="D479">INDEX('Linha 03'!$A$4:$A$1000,B479)</f>
        <v>20050010</v>
      </c>
      <c r="E479" t="str" cm="1">
        <f t="array" ref="E479">INDEX('Linha 03'!$B$4:$B$1000,B479)</f>
        <v>Desinfetante Aquafast Campos Lavanda Cx/06 X 2l</v>
      </c>
      <c r="F479" cm="1">
        <f t="array" ref="F479">INDEX('Linha 03'!$C$3:$ZZ$3,C479)</f>
        <v>20060007</v>
      </c>
      <c r="G479" t="str" cm="1">
        <f t="array" ref="G479">INDEX('Linha 03'!$C$2:$ZZ$2,C479)</f>
        <v>Limp Perf Aquafast Magia Seducao Cx/06 X 2l (Promoc)</v>
      </c>
      <c r="H479" s="5" cm="1">
        <f t="array" ref="H479">INDEX('Linha 03'!$C$4:$ZZ$1000,B479,C479)</f>
        <v>0</v>
      </c>
    </row>
    <row r="480" spans="1:8" x14ac:dyDescent="0.25">
      <c r="A480">
        <v>478</v>
      </c>
      <c r="B480">
        <f t="shared" si="14"/>
        <v>12</v>
      </c>
      <c r="C480">
        <f t="shared" si="15"/>
        <v>27</v>
      </c>
      <c r="D480" cm="1">
        <f t="array" ref="D480">INDEX('Linha 03'!$A$4:$A$1000,B480)</f>
        <v>20050010</v>
      </c>
      <c r="E480" t="str" cm="1">
        <f t="array" ref="E480">INDEX('Linha 03'!$B$4:$B$1000,B480)</f>
        <v>Desinfetante Aquafast Campos Lavanda Cx/06 X 2l</v>
      </c>
      <c r="F480" cm="1">
        <f t="array" ref="F480">INDEX('Linha 03'!$C$3:$ZZ$3,C480)</f>
        <v>20060009</v>
      </c>
      <c r="G480" t="str" cm="1">
        <f t="array" ref="G480">INDEX('Linha 03'!$C$2:$ZZ$2,C480)</f>
        <v>Limp Perf Aquafast Frescor Da Manha Cx/06 X 2l (Promoc)</v>
      </c>
      <c r="H480" s="5" cm="1">
        <f t="array" ref="H480">INDEX('Linha 03'!$C$4:$ZZ$1000,B480,C480)</f>
        <v>0</v>
      </c>
    </row>
    <row r="481" spans="1:8" x14ac:dyDescent="0.25">
      <c r="A481">
        <v>479</v>
      </c>
      <c r="B481">
        <f t="shared" si="14"/>
        <v>12</v>
      </c>
      <c r="C481">
        <f t="shared" si="15"/>
        <v>28</v>
      </c>
      <c r="D481" cm="1">
        <f t="array" ref="D481">INDEX('Linha 03'!$A$4:$A$1000,B481)</f>
        <v>20050010</v>
      </c>
      <c r="E481" t="str" cm="1">
        <f t="array" ref="E481">INDEX('Linha 03'!$B$4:$B$1000,B481)</f>
        <v>Desinfetante Aquafast Campos Lavanda Cx/06 X 2l</v>
      </c>
      <c r="F481" cm="1">
        <f t="array" ref="F481">INDEX('Linha 03'!$C$3:$ZZ$3,C481)</f>
        <v>20060017</v>
      </c>
      <c r="G481" t="str" cm="1">
        <f t="array" ref="G481">INDEX('Linha 03'!$C$2:$ZZ$2,C481)</f>
        <v>Limp Perf Aquafast Doce Romance Cx/06 X 2l (Promoc)</v>
      </c>
      <c r="H481" s="5" cm="1">
        <f t="array" ref="H481">INDEX('Linha 03'!$C$4:$ZZ$1000,B481,C481)</f>
        <v>0</v>
      </c>
    </row>
    <row r="482" spans="1:8" x14ac:dyDescent="0.25">
      <c r="A482">
        <v>480</v>
      </c>
      <c r="B482">
        <f t="shared" si="14"/>
        <v>12</v>
      </c>
      <c r="C482">
        <f t="shared" si="15"/>
        <v>29</v>
      </c>
      <c r="D482" cm="1">
        <f t="array" ref="D482">INDEX('Linha 03'!$A$4:$A$1000,B482)</f>
        <v>20050010</v>
      </c>
      <c r="E482" t="str" cm="1">
        <f t="array" ref="E482">INDEX('Linha 03'!$B$4:$B$1000,B482)</f>
        <v>Desinfetante Aquafast Campos Lavanda Cx/06 X 2l</v>
      </c>
      <c r="F482" cm="1">
        <f t="array" ref="F482">INDEX('Linha 03'!$C$3:$ZZ$3,C482)</f>
        <v>20060028</v>
      </c>
      <c r="G482" t="str" cm="1">
        <f t="array" ref="G482">INDEX('Linha 03'!$C$2:$ZZ$2,C482)</f>
        <v>Limp Perf Aquafast Essencia Natural Cx06 X 2l</v>
      </c>
      <c r="H482" s="5" cm="1">
        <f t="array" ref="H482">INDEX('Linha 03'!$C$4:$ZZ$1000,B482,C482)</f>
        <v>0</v>
      </c>
    </row>
    <row r="483" spans="1:8" x14ac:dyDescent="0.25">
      <c r="A483">
        <v>481</v>
      </c>
      <c r="B483">
        <f t="shared" si="14"/>
        <v>12</v>
      </c>
      <c r="C483">
        <f t="shared" si="15"/>
        <v>30</v>
      </c>
      <c r="D483" cm="1">
        <f t="array" ref="D483">INDEX('Linha 03'!$A$4:$A$1000,B483)</f>
        <v>20050010</v>
      </c>
      <c r="E483" t="str" cm="1">
        <f t="array" ref="E483">INDEX('Linha 03'!$B$4:$B$1000,B483)</f>
        <v>Desinfetante Aquafast Campos Lavanda Cx/06 X 2l</v>
      </c>
      <c r="F483" cm="1">
        <f t="array" ref="F483">INDEX('Linha 03'!$C$3:$ZZ$3,C483)</f>
        <v>20200003</v>
      </c>
      <c r="G483" t="str" cm="1">
        <f t="array" ref="G483">INDEX('Linha 03'!$C$2:$ZZ$2,C483)</f>
        <v>Lava Roup. Aquafast Baby Cx/12 X 1l</v>
      </c>
      <c r="H483" s="5" cm="1">
        <f t="array" ref="H483">INDEX('Linha 03'!$C$4:$ZZ$1000,B483,C483)</f>
        <v>0</v>
      </c>
    </row>
    <row r="484" spans="1:8" x14ac:dyDescent="0.25">
      <c r="A484">
        <v>482</v>
      </c>
      <c r="B484">
        <f t="shared" si="14"/>
        <v>12</v>
      </c>
      <c r="C484">
        <f t="shared" si="15"/>
        <v>31</v>
      </c>
      <c r="D484" cm="1">
        <f t="array" ref="D484">INDEX('Linha 03'!$A$4:$A$1000,B484)</f>
        <v>20050010</v>
      </c>
      <c r="E484" t="str" cm="1">
        <f t="array" ref="E484">INDEX('Linha 03'!$B$4:$B$1000,B484)</f>
        <v>Desinfetante Aquafast Campos Lavanda Cx/06 X 2l</v>
      </c>
      <c r="F484" cm="1">
        <f t="array" ref="F484">INDEX('Linha 03'!$C$3:$ZZ$3,C484)</f>
        <v>20200005</v>
      </c>
      <c r="G484" t="str" cm="1">
        <f t="array" ref="G484">INDEX('Linha 03'!$C$2:$ZZ$2,C484)</f>
        <v>Lava Roupas Aquafast Multi Acao Cx/06 X 2l</v>
      </c>
      <c r="H484" s="5" cm="1">
        <f t="array" ref="H484">INDEX('Linha 03'!$C$4:$ZZ$1000,B484,C484)</f>
        <v>0</v>
      </c>
    </row>
    <row r="485" spans="1:8" x14ac:dyDescent="0.25">
      <c r="A485">
        <v>483</v>
      </c>
      <c r="B485">
        <f t="shared" si="14"/>
        <v>12</v>
      </c>
      <c r="C485">
        <f t="shared" si="15"/>
        <v>32</v>
      </c>
      <c r="D485" cm="1">
        <f t="array" ref="D485">INDEX('Linha 03'!$A$4:$A$1000,B485)</f>
        <v>20050010</v>
      </c>
      <c r="E485" t="str" cm="1">
        <f t="array" ref="E485">INDEX('Linha 03'!$B$4:$B$1000,B485)</f>
        <v>Desinfetante Aquafast Campos Lavanda Cx/06 X 2l</v>
      </c>
      <c r="F485" cm="1">
        <f t="array" ref="F485">INDEX('Linha 03'!$C$3:$ZZ$3,C485)</f>
        <v>20200006</v>
      </c>
      <c r="G485" t="str" cm="1">
        <f t="array" ref="G485">INDEX('Linha 03'!$C$2:$ZZ$2,C485)</f>
        <v>Lava Roupas Aquafast Glicerina Cx/06 X 2l</v>
      </c>
      <c r="H485" s="5" cm="1">
        <f t="array" ref="H485">INDEX('Linha 03'!$C$4:$ZZ$1000,B485,C485)</f>
        <v>0</v>
      </c>
    </row>
    <row r="486" spans="1:8" x14ac:dyDescent="0.25">
      <c r="A486">
        <v>484</v>
      </c>
      <c r="B486">
        <f t="shared" si="14"/>
        <v>12</v>
      </c>
      <c r="C486">
        <f t="shared" si="15"/>
        <v>33</v>
      </c>
      <c r="D486" cm="1">
        <f t="array" ref="D486">INDEX('Linha 03'!$A$4:$A$1000,B486)</f>
        <v>20050010</v>
      </c>
      <c r="E486" t="str" cm="1">
        <f t="array" ref="E486">INDEX('Linha 03'!$B$4:$B$1000,B486)</f>
        <v>Desinfetante Aquafast Campos Lavanda Cx/06 X 2l</v>
      </c>
      <c r="F486" cm="1">
        <f t="array" ref="F486">INDEX('Linha 03'!$C$3:$ZZ$3,C486)</f>
        <v>20200015</v>
      </c>
      <c r="G486" t="str" cm="1">
        <f t="array" ref="G486">INDEX('Linha 03'!$C$2:$ZZ$2,C486)</f>
        <v>Lava Roup. Aquafast Multiacao Cx/12 X 1l</v>
      </c>
      <c r="H486" s="5" cm="1">
        <f t="array" ref="H486">INDEX('Linha 03'!$C$4:$ZZ$1000,B486,C486)</f>
        <v>0</v>
      </c>
    </row>
    <row r="487" spans="1:8" x14ac:dyDescent="0.25">
      <c r="A487">
        <v>485</v>
      </c>
      <c r="B487">
        <f t="shared" si="14"/>
        <v>12</v>
      </c>
      <c r="C487">
        <f t="shared" si="15"/>
        <v>34</v>
      </c>
      <c r="D487" cm="1">
        <f t="array" ref="D487">INDEX('Linha 03'!$A$4:$A$1000,B487)</f>
        <v>20050010</v>
      </c>
      <c r="E487" t="str" cm="1">
        <f t="array" ref="E487">INDEX('Linha 03'!$B$4:$B$1000,B487)</f>
        <v>Desinfetante Aquafast Campos Lavanda Cx/06 X 2l</v>
      </c>
      <c r="F487" cm="1">
        <f t="array" ref="F487">INDEX('Linha 03'!$C$3:$ZZ$3,C487)</f>
        <v>20200036</v>
      </c>
      <c r="G487" t="str" cm="1">
        <f t="array" ref="G487">INDEX('Linha 03'!$C$2:$ZZ$2,C487)</f>
        <v>Lava Roupas Aquafast Ternura Cx/06 X 2l</v>
      </c>
      <c r="H487" s="5" cm="1">
        <f t="array" ref="H487">INDEX('Linha 03'!$C$4:$ZZ$1000,B487,C487)</f>
        <v>0</v>
      </c>
    </row>
    <row r="488" spans="1:8" x14ac:dyDescent="0.25">
      <c r="A488">
        <v>486</v>
      </c>
      <c r="B488">
        <f t="shared" si="14"/>
        <v>12</v>
      </c>
      <c r="C488">
        <f t="shared" si="15"/>
        <v>35</v>
      </c>
      <c r="D488" cm="1">
        <f t="array" ref="D488">INDEX('Linha 03'!$A$4:$A$1000,B488)</f>
        <v>20050010</v>
      </c>
      <c r="E488" t="str" cm="1">
        <f t="array" ref="E488">INDEX('Linha 03'!$B$4:$B$1000,B488)</f>
        <v>Desinfetante Aquafast Campos Lavanda Cx/06 X 2l</v>
      </c>
      <c r="F488" cm="1">
        <f t="array" ref="F488">INDEX('Linha 03'!$C$3:$ZZ$3,C488)</f>
        <v>20200063</v>
      </c>
      <c r="G488" t="str" cm="1">
        <f t="array" ref="G488">INDEX('Linha 03'!$C$2:$ZZ$2,C488)</f>
        <v>Lava Roup. Aquafast Tradicional Cx/12 X 1l</v>
      </c>
      <c r="H488" s="5" cm="1">
        <f t="array" ref="H488">INDEX('Linha 03'!$C$4:$ZZ$1000,B488,C488)</f>
        <v>0</v>
      </c>
    </row>
    <row r="489" spans="1:8" x14ac:dyDescent="0.25">
      <c r="A489">
        <v>487</v>
      </c>
      <c r="B489">
        <f t="shared" si="14"/>
        <v>12</v>
      </c>
      <c r="C489">
        <f t="shared" si="15"/>
        <v>36</v>
      </c>
      <c r="D489" cm="1">
        <f t="array" ref="D489">INDEX('Linha 03'!$A$4:$A$1000,B489)</f>
        <v>20050010</v>
      </c>
      <c r="E489" t="str" cm="1">
        <f t="array" ref="E489">INDEX('Linha 03'!$B$4:$B$1000,B489)</f>
        <v>Desinfetante Aquafast Campos Lavanda Cx/06 X 2l</v>
      </c>
      <c r="F489" cm="1">
        <f t="array" ref="F489">INDEX('Linha 03'!$C$3:$ZZ$3,C489)</f>
        <v>20200064</v>
      </c>
      <c r="G489" t="str" cm="1">
        <f t="array" ref="G489">INDEX('Linha 03'!$C$2:$ZZ$2,C489)</f>
        <v>Lava Roup. Aquafast Flores B. E Baunilha Cx/12 X 1l</v>
      </c>
      <c r="H489" s="5" cm="1">
        <f t="array" ref="H489">INDEX('Linha 03'!$C$4:$ZZ$1000,B489,C489)</f>
        <v>0</v>
      </c>
    </row>
    <row r="490" spans="1:8" x14ac:dyDescent="0.25">
      <c r="A490">
        <v>488</v>
      </c>
      <c r="B490">
        <f t="shared" si="14"/>
        <v>12</v>
      </c>
      <c r="C490">
        <f t="shared" si="15"/>
        <v>37</v>
      </c>
      <c r="D490" cm="1">
        <f t="array" ref="D490">INDEX('Linha 03'!$A$4:$A$1000,B490)</f>
        <v>20050010</v>
      </c>
      <c r="E490" t="str" cm="1">
        <f t="array" ref="E490">INDEX('Linha 03'!$B$4:$B$1000,B490)</f>
        <v>Desinfetante Aquafast Campos Lavanda Cx/06 X 2l</v>
      </c>
      <c r="F490" cm="1">
        <f t="array" ref="F490">INDEX('Linha 03'!$C$3:$ZZ$3,C490)</f>
        <v>20200065</v>
      </c>
      <c r="G490" t="str" cm="1">
        <f t="array" ref="G490">INDEX('Linha 03'!$C$2:$ZZ$2,C490)</f>
        <v>Lava Roupas Aquafast Flores B. E Baunilha Cx/06 X 2l</v>
      </c>
      <c r="H490" s="5" cm="1">
        <f t="array" ref="H490">INDEX('Linha 03'!$C$4:$ZZ$1000,B490,C490)</f>
        <v>0</v>
      </c>
    </row>
    <row r="491" spans="1:8" x14ac:dyDescent="0.25">
      <c r="A491">
        <v>489</v>
      </c>
      <c r="B491">
        <f t="shared" si="14"/>
        <v>12</v>
      </c>
      <c r="C491">
        <f t="shared" si="15"/>
        <v>38</v>
      </c>
      <c r="D491" cm="1">
        <f t="array" ref="D491">INDEX('Linha 03'!$A$4:$A$1000,B491)</f>
        <v>20050010</v>
      </c>
      <c r="E491" t="str" cm="1">
        <f t="array" ref="E491">INDEX('Linha 03'!$B$4:$B$1000,B491)</f>
        <v>Desinfetante Aquafast Campos Lavanda Cx/06 X 2l</v>
      </c>
      <c r="F491" cm="1">
        <f t="array" ref="F491">INDEX('Linha 03'!$C$3:$ZZ$3,C491)</f>
        <v>20200072</v>
      </c>
      <c r="G491" t="str" cm="1">
        <f t="array" ref="G491">INDEX('Linha 03'!$C$2:$ZZ$2,C491)</f>
        <v>Lava Roupas Aquafast Lavagem Rapida Total Clean Cx/12 X 1l</v>
      </c>
      <c r="H491" s="5" cm="1">
        <f t="array" ref="H491">INDEX('Linha 03'!$C$4:$ZZ$1000,B491,C491)</f>
        <v>0</v>
      </c>
    </row>
    <row r="492" spans="1:8" x14ac:dyDescent="0.25">
      <c r="A492">
        <v>490</v>
      </c>
      <c r="B492">
        <f t="shared" si="14"/>
        <v>12</v>
      </c>
      <c r="C492">
        <f t="shared" si="15"/>
        <v>39</v>
      </c>
      <c r="D492" cm="1">
        <f t="array" ref="D492">INDEX('Linha 03'!$A$4:$A$1000,B492)</f>
        <v>20050010</v>
      </c>
      <c r="E492" t="str" cm="1">
        <f t="array" ref="E492">INDEX('Linha 03'!$B$4:$B$1000,B492)</f>
        <v>Desinfetante Aquafast Campos Lavanda Cx/06 X 2l</v>
      </c>
      <c r="F492" cm="1">
        <f t="array" ref="F492">INDEX('Linha 03'!$C$3:$ZZ$3,C492)</f>
        <v>20200074</v>
      </c>
      <c r="G492" t="str" cm="1">
        <f t="array" ref="G492">INDEX('Linha 03'!$C$2:$ZZ$2,C492)</f>
        <v>Lava Roupas Aquafast Lavagem Rapida Fresh Clean Cx/12 X 1l</v>
      </c>
      <c r="H492" s="5" cm="1">
        <f t="array" ref="H492">INDEX('Linha 03'!$C$4:$ZZ$1000,B492,C492)</f>
        <v>0</v>
      </c>
    </row>
    <row r="493" spans="1:8" x14ac:dyDescent="0.25">
      <c r="A493">
        <v>491</v>
      </c>
      <c r="B493">
        <f t="shared" si="14"/>
        <v>12</v>
      </c>
      <c r="C493">
        <f t="shared" si="15"/>
        <v>40</v>
      </c>
      <c r="D493" cm="1">
        <f t="array" ref="D493">INDEX('Linha 03'!$A$4:$A$1000,B493)</f>
        <v>20050010</v>
      </c>
      <c r="E493" t="str" cm="1">
        <f t="array" ref="E493">INDEX('Linha 03'!$B$4:$B$1000,B493)</f>
        <v>Desinfetante Aquafast Campos Lavanda Cx/06 X 2l</v>
      </c>
      <c r="F493" cm="1">
        <f t="array" ref="F493">INDEX('Linha 03'!$C$3:$ZZ$3,C493)</f>
        <v>20250005</v>
      </c>
      <c r="G493" t="str" cm="1">
        <f t="array" ref="G493">INDEX('Linha 03'!$C$2:$ZZ$2,C493)</f>
        <v>Neutralizador De Odores Aquafast Floral Cx/06 X 2l</v>
      </c>
      <c r="H493" s="5" cm="1">
        <f t="array" ref="H493">INDEX('Linha 03'!$C$4:$ZZ$1000,B493,C493)</f>
        <v>0</v>
      </c>
    </row>
    <row r="494" spans="1:8" x14ac:dyDescent="0.25">
      <c r="A494">
        <v>492</v>
      </c>
      <c r="B494">
        <f t="shared" si="14"/>
        <v>12</v>
      </c>
      <c r="C494">
        <f t="shared" si="15"/>
        <v>41</v>
      </c>
      <c r="D494" cm="1">
        <f t="array" ref="D494">INDEX('Linha 03'!$A$4:$A$1000,B494)</f>
        <v>20050010</v>
      </c>
      <c r="E494" t="str" cm="1">
        <f t="array" ref="E494">INDEX('Linha 03'!$B$4:$B$1000,B494)</f>
        <v>Desinfetante Aquafast Campos Lavanda Cx/06 X 2l</v>
      </c>
      <c r="F494" cm="1">
        <f t="array" ref="F494">INDEX('Linha 03'!$C$3:$ZZ$3,C494)</f>
        <v>20250007</v>
      </c>
      <c r="G494" t="str" cm="1">
        <f t="array" ref="G494">INDEX('Linha 03'!$C$2:$ZZ$2,C494)</f>
        <v>Neutralizador De Odores Aquafast Marine Cx/06 2l</v>
      </c>
      <c r="H494" s="5" cm="1">
        <f t="array" ref="H494">INDEX('Linha 03'!$C$4:$ZZ$1000,B494,C494)</f>
        <v>0</v>
      </c>
    </row>
    <row r="495" spans="1:8" x14ac:dyDescent="0.25">
      <c r="A495">
        <v>493</v>
      </c>
      <c r="B495">
        <f t="shared" si="14"/>
        <v>13</v>
      </c>
      <c r="C495">
        <f t="shared" si="15"/>
        <v>1</v>
      </c>
      <c r="D495" cm="1">
        <f t="array" ref="D495">INDEX('Linha 03'!$A$4:$A$1000,B495)</f>
        <v>20050011</v>
      </c>
      <c r="E495" t="str" cm="1">
        <f t="array" ref="E495">INDEX('Linha 03'!$B$4:$B$1000,B495)</f>
        <v>Desinfetante Aquafast Jardim Florido Cx/06 X 2l</v>
      </c>
      <c r="F495" cm="1">
        <f t="array" ref="F495">INDEX('Linha 03'!$C$3:$ZZ$3,C495)</f>
        <v>20040006</v>
      </c>
      <c r="G495" t="str" cm="1">
        <f t="array" ref="G495">INDEX('Linha 03'!$C$2:$ZZ$2,C495)</f>
        <v>Amaciante Aquafast Azul Fresc. Manha Cx/06 X 2l</v>
      </c>
      <c r="H495" s="5" cm="1">
        <f t="array" ref="H495">INDEX('Linha 03'!$C$4:$ZZ$1000,B495,C495)</f>
        <v>0</v>
      </c>
    </row>
    <row r="496" spans="1:8" x14ac:dyDescent="0.25">
      <c r="A496">
        <v>494</v>
      </c>
      <c r="B496">
        <f t="shared" si="14"/>
        <v>13</v>
      </c>
      <c r="C496">
        <f t="shared" si="15"/>
        <v>2</v>
      </c>
      <c r="D496" cm="1">
        <f t="array" ref="D496">INDEX('Linha 03'!$A$4:$A$1000,B496)</f>
        <v>20050011</v>
      </c>
      <c r="E496" t="str" cm="1">
        <f t="array" ref="E496">INDEX('Linha 03'!$B$4:$B$1000,B496)</f>
        <v>Desinfetante Aquafast Jardim Florido Cx/06 X 2l</v>
      </c>
      <c r="F496" cm="1">
        <f t="array" ref="F496">INDEX('Linha 03'!$C$3:$ZZ$3,C496)</f>
        <v>20040008</v>
      </c>
      <c r="G496" t="str" cm="1">
        <f t="array" ref="G496">INDEX('Linha 03'!$C$2:$ZZ$2,C496)</f>
        <v>Amaciante Aquafast Rosa Jard. Florid Cx/06 X 2l</v>
      </c>
      <c r="H496" s="5" cm="1">
        <f t="array" ref="H496">INDEX('Linha 03'!$C$4:$ZZ$1000,B496,C496)</f>
        <v>0</v>
      </c>
    </row>
    <row r="497" spans="1:8" x14ac:dyDescent="0.25">
      <c r="A497">
        <v>495</v>
      </c>
      <c r="B497">
        <f t="shared" si="14"/>
        <v>13</v>
      </c>
      <c r="C497">
        <f t="shared" si="15"/>
        <v>3</v>
      </c>
      <c r="D497" cm="1">
        <f t="array" ref="D497">INDEX('Linha 03'!$A$4:$A$1000,B497)</f>
        <v>20050011</v>
      </c>
      <c r="E497" t="str" cm="1">
        <f t="array" ref="E497">INDEX('Linha 03'!$B$4:$B$1000,B497)</f>
        <v>Desinfetante Aquafast Jardim Florido Cx/06 X 2l</v>
      </c>
      <c r="F497" cm="1">
        <f t="array" ref="F497">INDEX('Linha 03'!$C$3:$ZZ$3,C497)</f>
        <v>20040009</v>
      </c>
      <c r="G497" t="str" cm="1">
        <f t="array" ref="G497">INDEX('Linha 03'!$C$2:$ZZ$2,C497)</f>
        <v>Amaciante Aquafast Branco Pura Caric. Cx/06 X 2l</v>
      </c>
      <c r="H497" s="5" cm="1">
        <f t="array" ref="H497">INDEX('Linha 03'!$C$4:$ZZ$1000,B497,C497)</f>
        <v>0</v>
      </c>
    </row>
    <row r="498" spans="1:8" x14ac:dyDescent="0.25">
      <c r="A498">
        <v>496</v>
      </c>
      <c r="B498">
        <f t="shared" si="14"/>
        <v>13</v>
      </c>
      <c r="C498">
        <f t="shared" si="15"/>
        <v>4</v>
      </c>
      <c r="D498" cm="1">
        <f t="array" ref="D498">INDEX('Linha 03'!$A$4:$A$1000,B498)</f>
        <v>20050011</v>
      </c>
      <c r="E498" t="str" cm="1">
        <f t="array" ref="E498">INDEX('Linha 03'!$B$4:$B$1000,B498)</f>
        <v>Desinfetante Aquafast Jardim Florido Cx/06 X 2l</v>
      </c>
      <c r="F498" cm="1">
        <f t="array" ref="F498">INDEX('Linha 03'!$C$3:$ZZ$3,C498)</f>
        <v>20040026</v>
      </c>
      <c r="G498" t="str" cm="1">
        <f t="array" ref="G498">INDEX('Linha 03'!$C$2:$ZZ$2,C498)</f>
        <v>Amaciante Ito Azul Cx/06 X 2l</v>
      </c>
      <c r="H498" s="5" cm="1">
        <f t="array" ref="H498">INDEX('Linha 03'!$C$4:$ZZ$1000,B498,C498)</f>
        <v>0</v>
      </c>
    </row>
    <row r="499" spans="1:8" x14ac:dyDescent="0.25">
      <c r="A499">
        <v>497</v>
      </c>
      <c r="B499">
        <f t="shared" si="14"/>
        <v>13</v>
      </c>
      <c r="C499">
        <f t="shared" si="15"/>
        <v>5</v>
      </c>
      <c r="D499" cm="1">
        <f t="array" ref="D499">INDEX('Linha 03'!$A$4:$A$1000,B499)</f>
        <v>20050011</v>
      </c>
      <c r="E499" t="str" cm="1">
        <f t="array" ref="E499">INDEX('Linha 03'!$B$4:$B$1000,B499)</f>
        <v>Desinfetante Aquafast Jardim Florido Cx/06 X 2l</v>
      </c>
      <c r="F499" cm="1">
        <f t="array" ref="F499">INDEX('Linha 03'!$C$3:$ZZ$3,C499)</f>
        <v>20040028</v>
      </c>
      <c r="G499" t="str" cm="1">
        <f t="array" ref="G499">INDEX('Linha 03'!$C$2:$ZZ$2,C499)</f>
        <v>Amaciante Ito Rosa Cx/06 X 2l</v>
      </c>
      <c r="H499" s="5" cm="1">
        <f t="array" ref="H499">INDEX('Linha 03'!$C$4:$ZZ$1000,B499,C499)</f>
        <v>0</v>
      </c>
    </row>
    <row r="500" spans="1:8" x14ac:dyDescent="0.25">
      <c r="A500">
        <v>498</v>
      </c>
      <c r="B500">
        <f t="shared" si="14"/>
        <v>13</v>
      </c>
      <c r="C500">
        <f t="shared" si="15"/>
        <v>6</v>
      </c>
      <c r="D500" cm="1">
        <f t="array" ref="D500">INDEX('Linha 03'!$A$4:$A$1000,B500)</f>
        <v>20050011</v>
      </c>
      <c r="E500" t="str" cm="1">
        <f t="array" ref="E500">INDEX('Linha 03'!$B$4:$B$1000,B500)</f>
        <v>Desinfetante Aquafast Jardim Florido Cx/06 X 2l</v>
      </c>
      <c r="F500" cm="1">
        <f t="array" ref="F500">INDEX('Linha 03'!$C$3:$ZZ$3,C500)</f>
        <v>20040029</v>
      </c>
      <c r="G500" t="str" cm="1">
        <f t="array" ref="G500">INDEX('Linha 03'!$C$2:$ZZ$2,C500)</f>
        <v>Amaciante Ito Branco Cx/06 X 2l</v>
      </c>
      <c r="H500" s="5" cm="1">
        <f t="array" ref="H500">INDEX('Linha 03'!$C$4:$ZZ$1000,B500,C500)</f>
        <v>0</v>
      </c>
    </row>
    <row r="501" spans="1:8" x14ac:dyDescent="0.25">
      <c r="A501">
        <v>499</v>
      </c>
      <c r="B501">
        <f t="shared" si="14"/>
        <v>13</v>
      </c>
      <c r="C501">
        <f t="shared" si="15"/>
        <v>7</v>
      </c>
      <c r="D501" cm="1">
        <f t="array" ref="D501">INDEX('Linha 03'!$A$4:$A$1000,B501)</f>
        <v>20050011</v>
      </c>
      <c r="E501" t="str" cm="1">
        <f t="array" ref="E501">INDEX('Linha 03'!$B$4:$B$1000,B501)</f>
        <v>Desinfetante Aquafast Jardim Florido Cx/06 X 2l</v>
      </c>
      <c r="F501" cm="1">
        <f t="array" ref="F501">INDEX('Linha 03'!$C$3:$ZZ$3,C501)</f>
        <v>20040055</v>
      </c>
      <c r="G501" t="str" cm="1">
        <f t="array" ref="G501">INDEX('Linha 03'!$C$2:$ZZ$2,C501)</f>
        <v>Amaciante Myata Azul Cx/06 X 2l</v>
      </c>
      <c r="H501" s="5" cm="1">
        <f t="array" ref="H501">INDEX('Linha 03'!$C$4:$ZZ$1000,B501,C501)</f>
        <v>0</v>
      </c>
    </row>
    <row r="502" spans="1:8" x14ac:dyDescent="0.25">
      <c r="A502">
        <v>500</v>
      </c>
      <c r="B502">
        <f t="shared" si="14"/>
        <v>13</v>
      </c>
      <c r="C502">
        <f t="shared" si="15"/>
        <v>8</v>
      </c>
      <c r="D502" cm="1">
        <f t="array" ref="D502">INDEX('Linha 03'!$A$4:$A$1000,B502)</f>
        <v>20050011</v>
      </c>
      <c r="E502" t="str" cm="1">
        <f t="array" ref="E502">INDEX('Linha 03'!$B$4:$B$1000,B502)</f>
        <v>Desinfetante Aquafast Jardim Florido Cx/06 X 2l</v>
      </c>
      <c r="F502" cm="1">
        <f t="array" ref="F502">INDEX('Linha 03'!$C$3:$ZZ$3,C502)</f>
        <v>20040057</v>
      </c>
      <c r="G502" t="str" cm="1">
        <f t="array" ref="G502">INDEX('Linha 03'!$C$2:$ZZ$2,C502)</f>
        <v>Amaciante Myata Rosa Cx/06 X 2l</v>
      </c>
      <c r="H502" s="5" cm="1">
        <f t="array" ref="H502">INDEX('Linha 03'!$C$4:$ZZ$1000,B502,C502)</f>
        <v>0</v>
      </c>
    </row>
    <row r="503" spans="1:8" x14ac:dyDescent="0.25">
      <c r="A503">
        <v>501</v>
      </c>
      <c r="B503">
        <f t="shared" si="14"/>
        <v>13</v>
      </c>
      <c r="C503">
        <f t="shared" si="15"/>
        <v>9</v>
      </c>
      <c r="D503" cm="1">
        <f t="array" ref="D503">INDEX('Linha 03'!$A$4:$A$1000,B503)</f>
        <v>20050011</v>
      </c>
      <c r="E503" t="str" cm="1">
        <f t="array" ref="E503">INDEX('Linha 03'!$B$4:$B$1000,B503)</f>
        <v>Desinfetante Aquafast Jardim Florido Cx/06 X 2l</v>
      </c>
      <c r="F503" cm="1">
        <f t="array" ref="F503">INDEX('Linha 03'!$C$3:$ZZ$3,C503)</f>
        <v>20040084</v>
      </c>
      <c r="G503" t="str" cm="1">
        <f t="array" ref="G503">INDEX('Linha 03'!$C$2:$ZZ$2,C503)</f>
        <v>Amaciante Aquafast Vermelho Seducao Cx C/06 X 2l</v>
      </c>
      <c r="H503" s="5" cm="1">
        <f t="array" ref="H503">INDEX('Linha 03'!$C$4:$ZZ$1000,B503,C503)</f>
        <v>0</v>
      </c>
    </row>
    <row r="504" spans="1:8" x14ac:dyDescent="0.25">
      <c r="A504">
        <v>502</v>
      </c>
      <c r="B504">
        <f t="shared" si="14"/>
        <v>13</v>
      </c>
      <c r="C504">
        <f t="shared" si="15"/>
        <v>10</v>
      </c>
      <c r="D504" cm="1">
        <f t="array" ref="D504">INDEX('Linha 03'!$A$4:$A$1000,B504)</f>
        <v>20050011</v>
      </c>
      <c r="E504" t="str" cm="1">
        <f t="array" ref="E504">INDEX('Linha 03'!$B$4:$B$1000,B504)</f>
        <v>Desinfetante Aquafast Jardim Florido Cx/06 X 2l</v>
      </c>
      <c r="F504" cm="1">
        <f t="array" ref="F504">INDEX('Linha 03'!$C$3:$ZZ$3,C504)</f>
        <v>20040089</v>
      </c>
      <c r="G504" t="str" cm="1">
        <f t="array" ref="G504">INDEX('Linha 03'!$C$2:$ZZ$2,C504)</f>
        <v>Amaciante Aquafast Roxo Magia Cx/06 X 2l</v>
      </c>
      <c r="H504" s="5" cm="1">
        <f t="array" ref="H504">INDEX('Linha 03'!$C$4:$ZZ$1000,B504,C504)</f>
        <v>0</v>
      </c>
    </row>
    <row r="505" spans="1:8" x14ac:dyDescent="0.25">
      <c r="A505">
        <v>503</v>
      </c>
      <c r="B505">
        <f t="shared" si="14"/>
        <v>13</v>
      </c>
      <c r="C505">
        <f t="shared" si="15"/>
        <v>11</v>
      </c>
      <c r="D505" cm="1">
        <f t="array" ref="D505">INDEX('Linha 03'!$A$4:$A$1000,B505)</f>
        <v>20050011</v>
      </c>
      <c r="E505" t="str" cm="1">
        <f t="array" ref="E505">INDEX('Linha 03'!$B$4:$B$1000,B505)</f>
        <v>Desinfetante Aquafast Jardim Florido Cx/06 X 2l</v>
      </c>
      <c r="F505" cm="1">
        <f t="array" ref="F505">INDEX('Linha 03'!$C$3:$ZZ$3,C505)</f>
        <v>20040094</v>
      </c>
      <c r="G505" t="str" cm="1">
        <f t="array" ref="G505">INDEX('Linha 03'!$C$2:$ZZ$2,C505)</f>
        <v>Amaciante Aquafast Energia Cx/06 X 2l</v>
      </c>
      <c r="H505" s="5" cm="1">
        <f t="array" ref="H505">INDEX('Linha 03'!$C$4:$ZZ$1000,B505,C505)</f>
        <v>0</v>
      </c>
    </row>
    <row r="506" spans="1:8" x14ac:dyDescent="0.25">
      <c r="A506">
        <v>504</v>
      </c>
      <c r="B506">
        <f t="shared" si="14"/>
        <v>13</v>
      </c>
      <c r="C506">
        <f t="shared" si="15"/>
        <v>12</v>
      </c>
      <c r="D506" cm="1">
        <f t="array" ref="D506">INDEX('Linha 03'!$A$4:$A$1000,B506)</f>
        <v>20050011</v>
      </c>
      <c r="E506" t="str" cm="1">
        <f t="array" ref="E506">INDEX('Linha 03'!$B$4:$B$1000,B506)</f>
        <v>Desinfetante Aquafast Jardim Florido Cx/06 X 2l</v>
      </c>
      <c r="F506" cm="1">
        <f t="array" ref="F506">INDEX('Linha 03'!$C$3:$ZZ$3,C506)</f>
        <v>20050010</v>
      </c>
      <c r="G506" t="str" cm="1">
        <f t="array" ref="G506">INDEX('Linha 03'!$C$2:$ZZ$2,C506)</f>
        <v>Desinfetante Aquafast Campos Lavanda Cx/06 X 2l</v>
      </c>
      <c r="H506" s="5" cm="1">
        <f t="array" ref="H506">INDEX('Linha 03'!$C$4:$ZZ$1000,B506,C506)</f>
        <v>0</v>
      </c>
    </row>
    <row r="507" spans="1:8" x14ac:dyDescent="0.25">
      <c r="A507">
        <v>505</v>
      </c>
      <c r="B507">
        <f t="shared" si="14"/>
        <v>13</v>
      </c>
      <c r="C507">
        <f t="shared" si="15"/>
        <v>13</v>
      </c>
      <c r="D507" cm="1">
        <f t="array" ref="D507">INDEX('Linha 03'!$A$4:$A$1000,B507)</f>
        <v>20050011</v>
      </c>
      <c r="E507" t="str" cm="1">
        <f t="array" ref="E507">INDEX('Linha 03'!$B$4:$B$1000,B507)</f>
        <v>Desinfetante Aquafast Jardim Florido Cx/06 X 2l</v>
      </c>
      <c r="F507" cm="1">
        <f t="array" ref="F507">INDEX('Linha 03'!$C$3:$ZZ$3,C507)</f>
        <v>20050011</v>
      </c>
      <c r="G507" t="str" cm="1">
        <f t="array" ref="G507">INDEX('Linha 03'!$C$2:$ZZ$2,C507)</f>
        <v>Desinfetante Aquafast Jardim Florido Cx/06 X 2l</v>
      </c>
      <c r="H507" s="5" cm="1">
        <f t="array" ref="H507">INDEX('Linha 03'!$C$4:$ZZ$1000,B507,C507)</f>
        <v>0</v>
      </c>
    </row>
    <row r="508" spans="1:8" x14ac:dyDescent="0.25">
      <c r="A508">
        <v>506</v>
      </c>
      <c r="B508">
        <f t="shared" si="14"/>
        <v>13</v>
      </c>
      <c r="C508">
        <f t="shared" si="15"/>
        <v>14</v>
      </c>
      <c r="D508" cm="1">
        <f t="array" ref="D508">INDEX('Linha 03'!$A$4:$A$1000,B508)</f>
        <v>20050011</v>
      </c>
      <c r="E508" t="str" cm="1">
        <f t="array" ref="E508">INDEX('Linha 03'!$B$4:$B$1000,B508)</f>
        <v>Desinfetante Aquafast Jardim Florido Cx/06 X 2l</v>
      </c>
      <c r="F508" cm="1">
        <f t="array" ref="F508">INDEX('Linha 03'!$C$3:$ZZ$3,C508)</f>
        <v>20050016</v>
      </c>
      <c r="G508" t="str" cm="1">
        <f t="array" ref="G508">INDEX('Linha 03'!$C$2:$ZZ$2,C508)</f>
        <v>Desinfetante Aquafast Marine Cx/06 X 2l</v>
      </c>
      <c r="H508" s="5" cm="1">
        <f t="array" ref="H508">INDEX('Linha 03'!$C$4:$ZZ$1000,B508,C508)</f>
        <v>0</v>
      </c>
    </row>
    <row r="509" spans="1:8" x14ac:dyDescent="0.25">
      <c r="A509">
        <v>507</v>
      </c>
      <c r="B509">
        <f t="shared" si="14"/>
        <v>13</v>
      </c>
      <c r="C509">
        <f t="shared" si="15"/>
        <v>15</v>
      </c>
      <c r="D509" cm="1">
        <f t="array" ref="D509">INDEX('Linha 03'!$A$4:$A$1000,B509)</f>
        <v>20050011</v>
      </c>
      <c r="E509" t="str" cm="1">
        <f t="array" ref="E509">INDEX('Linha 03'!$B$4:$B$1000,B509)</f>
        <v>Desinfetante Aquafast Jardim Florido Cx/06 X 2l</v>
      </c>
      <c r="F509" cm="1">
        <f t="array" ref="F509">INDEX('Linha 03'!$C$3:$ZZ$3,C509)</f>
        <v>20050031</v>
      </c>
      <c r="G509" t="str" cm="1">
        <f t="array" ref="G509">INDEX('Linha 03'!$C$2:$ZZ$2,C509)</f>
        <v>Desinfetante Ito Lavanda Cx/06 X 2l</v>
      </c>
      <c r="H509" s="5" cm="1">
        <f t="array" ref="H509">INDEX('Linha 03'!$C$4:$ZZ$1000,B509,C509)</f>
        <v>0</v>
      </c>
    </row>
    <row r="510" spans="1:8" x14ac:dyDescent="0.25">
      <c r="A510">
        <v>508</v>
      </c>
      <c r="B510">
        <f t="shared" si="14"/>
        <v>13</v>
      </c>
      <c r="C510">
        <f t="shared" si="15"/>
        <v>16</v>
      </c>
      <c r="D510" cm="1">
        <f t="array" ref="D510">INDEX('Linha 03'!$A$4:$A$1000,B510)</f>
        <v>20050011</v>
      </c>
      <c r="E510" t="str" cm="1">
        <f t="array" ref="E510">INDEX('Linha 03'!$B$4:$B$1000,B510)</f>
        <v>Desinfetante Aquafast Jardim Florido Cx/06 X 2l</v>
      </c>
      <c r="F510" cm="1">
        <f t="array" ref="F510">INDEX('Linha 03'!$C$3:$ZZ$3,C510)</f>
        <v>20050032</v>
      </c>
      <c r="G510" t="str" cm="1">
        <f t="array" ref="G510">INDEX('Linha 03'!$C$2:$ZZ$2,C510)</f>
        <v>Desinfetante Ito Floral Cx/06 X 2l</v>
      </c>
      <c r="H510" s="5" cm="1">
        <f t="array" ref="H510">INDEX('Linha 03'!$C$4:$ZZ$1000,B510,C510)</f>
        <v>0</v>
      </c>
    </row>
    <row r="511" spans="1:8" x14ac:dyDescent="0.25">
      <c r="A511">
        <v>509</v>
      </c>
      <c r="B511">
        <f t="shared" si="14"/>
        <v>13</v>
      </c>
      <c r="C511">
        <f t="shared" si="15"/>
        <v>17</v>
      </c>
      <c r="D511" cm="1">
        <f t="array" ref="D511">INDEX('Linha 03'!$A$4:$A$1000,B511)</f>
        <v>20050011</v>
      </c>
      <c r="E511" t="str" cm="1">
        <f t="array" ref="E511">INDEX('Linha 03'!$B$4:$B$1000,B511)</f>
        <v>Desinfetante Aquafast Jardim Florido Cx/06 X 2l</v>
      </c>
      <c r="F511" cm="1">
        <f t="array" ref="F511">INDEX('Linha 03'!$C$3:$ZZ$3,C511)</f>
        <v>20050034</v>
      </c>
      <c r="G511" t="str" cm="1">
        <f t="array" ref="G511">INDEX('Linha 03'!$C$2:$ZZ$2,C511)</f>
        <v>Desinfetante Ito Eucalipto Cx/06 X 2l</v>
      </c>
      <c r="H511" s="5" cm="1">
        <f t="array" ref="H511">INDEX('Linha 03'!$C$4:$ZZ$1000,B511,C511)</f>
        <v>0</v>
      </c>
    </row>
    <row r="512" spans="1:8" x14ac:dyDescent="0.25">
      <c r="A512">
        <v>510</v>
      </c>
      <c r="B512">
        <f t="shared" si="14"/>
        <v>13</v>
      </c>
      <c r="C512">
        <f t="shared" si="15"/>
        <v>18</v>
      </c>
      <c r="D512" cm="1">
        <f t="array" ref="D512">INDEX('Linha 03'!$A$4:$A$1000,B512)</f>
        <v>20050011</v>
      </c>
      <c r="E512" t="str" cm="1">
        <f t="array" ref="E512">INDEX('Linha 03'!$B$4:$B$1000,B512)</f>
        <v>Desinfetante Aquafast Jardim Florido Cx/06 X 2l</v>
      </c>
      <c r="F512" cm="1">
        <f t="array" ref="F512">INDEX('Linha 03'!$C$3:$ZZ$3,C512)</f>
        <v>20050077</v>
      </c>
      <c r="G512" t="str" cm="1">
        <f t="array" ref="G512">INDEX('Linha 03'!$C$2:$ZZ$2,C512)</f>
        <v>Desinfetante Myata Lavanda Cx/06 X 2l</v>
      </c>
      <c r="H512" s="5" cm="1">
        <f t="array" ref="H512">INDEX('Linha 03'!$C$4:$ZZ$1000,B512,C512)</f>
        <v>0</v>
      </c>
    </row>
    <row r="513" spans="1:8" x14ac:dyDescent="0.25">
      <c r="A513">
        <v>511</v>
      </c>
      <c r="B513">
        <f t="shared" si="14"/>
        <v>13</v>
      </c>
      <c r="C513">
        <f t="shared" si="15"/>
        <v>19</v>
      </c>
      <c r="D513" cm="1">
        <f t="array" ref="D513">INDEX('Linha 03'!$A$4:$A$1000,B513)</f>
        <v>20050011</v>
      </c>
      <c r="E513" t="str" cm="1">
        <f t="array" ref="E513">INDEX('Linha 03'!$B$4:$B$1000,B513)</f>
        <v>Desinfetante Aquafast Jardim Florido Cx/06 X 2l</v>
      </c>
      <c r="F513" cm="1">
        <f t="array" ref="F513">INDEX('Linha 03'!$C$3:$ZZ$3,C513)</f>
        <v>20050078</v>
      </c>
      <c r="G513" t="str" cm="1">
        <f t="array" ref="G513">INDEX('Linha 03'!$C$2:$ZZ$2,C513)</f>
        <v>Desinfetante Myata Floral Cx/06 X 2l</v>
      </c>
      <c r="H513" s="5" cm="1">
        <f t="array" ref="H513">INDEX('Linha 03'!$C$4:$ZZ$1000,B513,C513)</f>
        <v>0</v>
      </c>
    </row>
    <row r="514" spans="1:8" x14ac:dyDescent="0.25">
      <c r="A514">
        <v>512</v>
      </c>
      <c r="B514">
        <f t="shared" si="14"/>
        <v>13</v>
      </c>
      <c r="C514">
        <f t="shared" si="15"/>
        <v>20</v>
      </c>
      <c r="D514" cm="1">
        <f t="array" ref="D514">INDEX('Linha 03'!$A$4:$A$1000,B514)</f>
        <v>20050011</v>
      </c>
      <c r="E514" t="str" cm="1">
        <f t="array" ref="E514">INDEX('Linha 03'!$B$4:$B$1000,B514)</f>
        <v>Desinfetante Aquafast Jardim Florido Cx/06 X 2l</v>
      </c>
      <c r="F514" cm="1">
        <f t="array" ref="F514">INDEX('Linha 03'!$C$3:$ZZ$3,C514)</f>
        <v>20050115</v>
      </c>
      <c r="G514" t="str" cm="1">
        <f t="array" ref="G514">INDEX('Linha 03'!$C$2:$ZZ$2,C514)</f>
        <v>Desinfetante Aquafast Paixao Cx/06 X 2l</v>
      </c>
      <c r="H514" s="5" cm="1">
        <f t="array" ref="H514">INDEX('Linha 03'!$C$4:$ZZ$1000,B514,C514)</f>
        <v>0</v>
      </c>
    </row>
    <row r="515" spans="1:8" x14ac:dyDescent="0.25">
      <c r="A515">
        <v>513</v>
      </c>
      <c r="B515">
        <f t="shared" si="14"/>
        <v>13</v>
      </c>
      <c r="C515">
        <f t="shared" si="15"/>
        <v>21</v>
      </c>
      <c r="D515" cm="1">
        <f t="array" ref="D515">INDEX('Linha 03'!$A$4:$A$1000,B515)</f>
        <v>20050011</v>
      </c>
      <c r="E515" t="str" cm="1">
        <f t="array" ref="E515">INDEX('Linha 03'!$B$4:$B$1000,B515)</f>
        <v>Desinfetante Aquafast Jardim Florido Cx/06 X 2l</v>
      </c>
      <c r="F515" cm="1">
        <f t="array" ref="F515">INDEX('Linha 03'!$C$3:$ZZ$3,C515)</f>
        <v>20050117</v>
      </c>
      <c r="G515" t="str" cm="1">
        <f t="array" ref="G515">INDEX('Linha 03'!$C$2:$ZZ$2,C515)</f>
        <v>Desinfetante Aquafast Harmonia Natural Cx/06 X 2l</v>
      </c>
      <c r="H515" s="5" cm="1">
        <f t="array" ref="H515">INDEX('Linha 03'!$C$4:$ZZ$1000,B515,C515)</f>
        <v>0</v>
      </c>
    </row>
    <row r="516" spans="1:8" x14ac:dyDescent="0.25">
      <c r="A516">
        <v>514</v>
      </c>
      <c r="B516">
        <f t="shared" ref="B516:B579" si="16">INT((A516-1)/$B$1)+1</f>
        <v>13</v>
      </c>
      <c r="C516">
        <f t="shared" ref="C516:C579" si="17">MOD(A516-1,$B$1)+1</f>
        <v>22</v>
      </c>
      <c r="D516" cm="1">
        <f t="array" ref="D516">INDEX('Linha 03'!$A$4:$A$1000,B516)</f>
        <v>20050011</v>
      </c>
      <c r="E516" t="str" cm="1">
        <f t="array" ref="E516">INDEX('Linha 03'!$B$4:$B$1000,B516)</f>
        <v>Desinfetante Aquafast Jardim Florido Cx/06 X 2l</v>
      </c>
      <c r="F516" cm="1">
        <f t="array" ref="F516">INDEX('Linha 03'!$C$3:$ZZ$3,C516)</f>
        <v>20050123</v>
      </c>
      <c r="G516" t="str" cm="1">
        <f t="array" ref="G516">INDEX('Linha 03'!$C$2:$ZZ$2,C516)</f>
        <v>Desinfetante Ito Harmonia Natural Cx/06 X 2l</v>
      </c>
      <c r="H516" s="5" cm="1">
        <f t="array" ref="H516">INDEX('Linha 03'!$C$4:$ZZ$1000,B516,C516)</f>
        <v>0</v>
      </c>
    </row>
    <row r="517" spans="1:8" x14ac:dyDescent="0.25">
      <c r="A517">
        <v>515</v>
      </c>
      <c r="B517">
        <f t="shared" si="16"/>
        <v>13</v>
      </c>
      <c r="C517">
        <f t="shared" si="17"/>
        <v>23</v>
      </c>
      <c r="D517" cm="1">
        <f t="array" ref="D517">INDEX('Linha 03'!$A$4:$A$1000,B517)</f>
        <v>20050011</v>
      </c>
      <c r="E517" t="str" cm="1">
        <f t="array" ref="E517">INDEX('Linha 03'!$B$4:$B$1000,B517)</f>
        <v>Desinfetante Aquafast Jardim Florido Cx/06 X 2l</v>
      </c>
      <c r="F517" cm="1">
        <f t="array" ref="F517">INDEX('Linha 03'!$C$3:$ZZ$3,C517)</f>
        <v>20050124</v>
      </c>
      <c r="G517" t="str" cm="1">
        <f t="array" ref="G517">INDEX('Linha 03'!$C$2:$ZZ$2,C517)</f>
        <v>Desinfetante Myata Harmonia Natural Cx/06 X 2l</v>
      </c>
      <c r="H517" s="5" cm="1">
        <f t="array" ref="H517">INDEX('Linha 03'!$C$4:$ZZ$1000,B517,C517)</f>
        <v>0</v>
      </c>
    </row>
    <row r="518" spans="1:8" x14ac:dyDescent="0.25">
      <c r="A518">
        <v>516</v>
      </c>
      <c r="B518">
        <f t="shared" si="16"/>
        <v>13</v>
      </c>
      <c r="C518">
        <f t="shared" si="17"/>
        <v>24</v>
      </c>
      <c r="D518" cm="1">
        <f t="array" ref="D518">INDEX('Linha 03'!$A$4:$A$1000,B518)</f>
        <v>20050011</v>
      </c>
      <c r="E518" t="str" cm="1">
        <f t="array" ref="E518">INDEX('Linha 03'!$B$4:$B$1000,B518)</f>
        <v>Desinfetante Aquafast Jardim Florido Cx/06 X 2l</v>
      </c>
      <c r="F518" cm="1">
        <f t="array" ref="F518">INDEX('Linha 03'!$C$3:$ZZ$3,C518)</f>
        <v>20050142</v>
      </c>
      <c r="G518" t="str" cm="1">
        <f t="array" ref="G518">INDEX('Linha 03'!$C$2:$ZZ$2,C518)</f>
        <v>Desinfetante Ito Marine Cx/06 X 2l</v>
      </c>
      <c r="H518" s="5" cm="1">
        <f t="array" ref="H518">INDEX('Linha 03'!$C$4:$ZZ$1000,B518,C518)</f>
        <v>0</v>
      </c>
    </row>
    <row r="519" spans="1:8" x14ac:dyDescent="0.25">
      <c r="A519">
        <v>517</v>
      </c>
      <c r="B519">
        <f t="shared" si="16"/>
        <v>13</v>
      </c>
      <c r="C519">
        <f t="shared" si="17"/>
        <v>25</v>
      </c>
      <c r="D519" cm="1">
        <f t="array" ref="D519">INDEX('Linha 03'!$A$4:$A$1000,B519)</f>
        <v>20050011</v>
      </c>
      <c r="E519" t="str" cm="1">
        <f t="array" ref="E519">INDEX('Linha 03'!$B$4:$B$1000,B519)</f>
        <v>Desinfetante Aquafast Jardim Florido Cx/06 X 2l</v>
      </c>
      <c r="F519" cm="1">
        <f t="array" ref="F519">INDEX('Linha 03'!$C$3:$ZZ$3,C519)</f>
        <v>20050159</v>
      </c>
      <c r="G519" t="str" cm="1">
        <f t="array" ref="G519">INDEX('Linha 03'!$C$2:$ZZ$2,C519)</f>
        <v>Desinfetante Aquafast Cha Branco Cx/06 X 2l</v>
      </c>
      <c r="H519" s="5" cm="1">
        <f t="array" ref="H519">INDEX('Linha 03'!$C$4:$ZZ$1000,B519,C519)</f>
        <v>1.38888888888889E-2</v>
      </c>
    </row>
    <row r="520" spans="1:8" x14ac:dyDescent="0.25">
      <c r="A520">
        <v>518</v>
      </c>
      <c r="B520">
        <f t="shared" si="16"/>
        <v>13</v>
      </c>
      <c r="C520">
        <f t="shared" si="17"/>
        <v>26</v>
      </c>
      <c r="D520" cm="1">
        <f t="array" ref="D520">INDEX('Linha 03'!$A$4:$A$1000,B520)</f>
        <v>20050011</v>
      </c>
      <c r="E520" t="str" cm="1">
        <f t="array" ref="E520">INDEX('Linha 03'!$B$4:$B$1000,B520)</f>
        <v>Desinfetante Aquafast Jardim Florido Cx/06 X 2l</v>
      </c>
      <c r="F520" cm="1">
        <f t="array" ref="F520">INDEX('Linha 03'!$C$3:$ZZ$3,C520)</f>
        <v>20060007</v>
      </c>
      <c r="G520" t="str" cm="1">
        <f t="array" ref="G520">INDEX('Linha 03'!$C$2:$ZZ$2,C520)</f>
        <v>Limp Perf Aquafast Magia Seducao Cx/06 X 2l (Promoc)</v>
      </c>
      <c r="H520" s="5" cm="1">
        <f t="array" ref="H520">INDEX('Linha 03'!$C$4:$ZZ$1000,B520,C520)</f>
        <v>0</v>
      </c>
    </row>
    <row r="521" spans="1:8" x14ac:dyDescent="0.25">
      <c r="A521">
        <v>519</v>
      </c>
      <c r="B521">
        <f t="shared" si="16"/>
        <v>13</v>
      </c>
      <c r="C521">
        <f t="shared" si="17"/>
        <v>27</v>
      </c>
      <c r="D521" cm="1">
        <f t="array" ref="D521">INDEX('Linha 03'!$A$4:$A$1000,B521)</f>
        <v>20050011</v>
      </c>
      <c r="E521" t="str" cm="1">
        <f t="array" ref="E521">INDEX('Linha 03'!$B$4:$B$1000,B521)</f>
        <v>Desinfetante Aquafast Jardim Florido Cx/06 X 2l</v>
      </c>
      <c r="F521" cm="1">
        <f t="array" ref="F521">INDEX('Linha 03'!$C$3:$ZZ$3,C521)</f>
        <v>20060009</v>
      </c>
      <c r="G521" t="str" cm="1">
        <f t="array" ref="G521">INDEX('Linha 03'!$C$2:$ZZ$2,C521)</f>
        <v>Limp Perf Aquafast Frescor Da Manha Cx/06 X 2l (Promoc)</v>
      </c>
      <c r="H521" s="5" cm="1">
        <f t="array" ref="H521">INDEX('Linha 03'!$C$4:$ZZ$1000,B521,C521)</f>
        <v>0</v>
      </c>
    </row>
    <row r="522" spans="1:8" x14ac:dyDescent="0.25">
      <c r="A522">
        <v>520</v>
      </c>
      <c r="B522">
        <f t="shared" si="16"/>
        <v>13</v>
      </c>
      <c r="C522">
        <f t="shared" si="17"/>
        <v>28</v>
      </c>
      <c r="D522" cm="1">
        <f t="array" ref="D522">INDEX('Linha 03'!$A$4:$A$1000,B522)</f>
        <v>20050011</v>
      </c>
      <c r="E522" t="str" cm="1">
        <f t="array" ref="E522">INDEX('Linha 03'!$B$4:$B$1000,B522)</f>
        <v>Desinfetante Aquafast Jardim Florido Cx/06 X 2l</v>
      </c>
      <c r="F522" cm="1">
        <f t="array" ref="F522">INDEX('Linha 03'!$C$3:$ZZ$3,C522)</f>
        <v>20060017</v>
      </c>
      <c r="G522" t="str" cm="1">
        <f t="array" ref="G522">INDEX('Linha 03'!$C$2:$ZZ$2,C522)</f>
        <v>Limp Perf Aquafast Doce Romance Cx/06 X 2l (Promoc)</v>
      </c>
      <c r="H522" s="5" cm="1">
        <f t="array" ref="H522">INDEX('Linha 03'!$C$4:$ZZ$1000,B522,C522)</f>
        <v>0</v>
      </c>
    </row>
    <row r="523" spans="1:8" x14ac:dyDescent="0.25">
      <c r="A523">
        <v>521</v>
      </c>
      <c r="B523">
        <f t="shared" si="16"/>
        <v>13</v>
      </c>
      <c r="C523">
        <f t="shared" si="17"/>
        <v>29</v>
      </c>
      <c r="D523" cm="1">
        <f t="array" ref="D523">INDEX('Linha 03'!$A$4:$A$1000,B523)</f>
        <v>20050011</v>
      </c>
      <c r="E523" t="str" cm="1">
        <f t="array" ref="E523">INDEX('Linha 03'!$B$4:$B$1000,B523)</f>
        <v>Desinfetante Aquafast Jardim Florido Cx/06 X 2l</v>
      </c>
      <c r="F523" cm="1">
        <f t="array" ref="F523">INDEX('Linha 03'!$C$3:$ZZ$3,C523)</f>
        <v>20060028</v>
      </c>
      <c r="G523" t="str" cm="1">
        <f t="array" ref="G523">INDEX('Linha 03'!$C$2:$ZZ$2,C523)</f>
        <v>Limp Perf Aquafast Essencia Natural Cx06 X 2l</v>
      </c>
      <c r="H523" s="5" cm="1">
        <f t="array" ref="H523">INDEX('Linha 03'!$C$4:$ZZ$1000,B523,C523)</f>
        <v>0</v>
      </c>
    </row>
    <row r="524" spans="1:8" x14ac:dyDescent="0.25">
      <c r="A524">
        <v>522</v>
      </c>
      <c r="B524">
        <f t="shared" si="16"/>
        <v>13</v>
      </c>
      <c r="C524">
        <f t="shared" si="17"/>
        <v>30</v>
      </c>
      <c r="D524" cm="1">
        <f t="array" ref="D524">INDEX('Linha 03'!$A$4:$A$1000,B524)</f>
        <v>20050011</v>
      </c>
      <c r="E524" t="str" cm="1">
        <f t="array" ref="E524">INDEX('Linha 03'!$B$4:$B$1000,B524)</f>
        <v>Desinfetante Aquafast Jardim Florido Cx/06 X 2l</v>
      </c>
      <c r="F524" cm="1">
        <f t="array" ref="F524">INDEX('Linha 03'!$C$3:$ZZ$3,C524)</f>
        <v>20200003</v>
      </c>
      <c r="G524" t="str" cm="1">
        <f t="array" ref="G524">INDEX('Linha 03'!$C$2:$ZZ$2,C524)</f>
        <v>Lava Roup. Aquafast Baby Cx/12 X 1l</v>
      </c>
      <c r="H524" s="5" cm="1">
        <f t="array" ref="H524">INDEX('Linha 03'!$C$4:$ZZ$1000,B524,C524)</f>
        <v>0</v>
      </c>
    </row>
    <row r="525" spans="1:8" x14ac:dyDescent="0.25">
      <c r="A525">
        <v>523</v>
      </c>
      <c r="B525">
        <f t="shared" si="16"/>
        <v>13</v>
      </c>
      <c r="C525">
        <f t="shared" si="17"/>
        <v>31</v>
      </c>
      <c r="D525" cm="1">
        <f t="array" ref="D525">INDEX('Linha 03'!$A$4:$A$1000,B525)</f>
        <v>20050011</v>
      </c>
      <c r="E525" t="str" cm="1">
        <f t="array" ref="E525">INDEX('Linha 03'!$B$4:$B$1000,B525)</f>
        <v>Desinfetante Aquafast Jardim Florido Cx/06 X 2l</v>
      </c>
      <c r="F525" cm="1">
        <f t="array" ref="F525">INDEX('Linha 03'!$C$3:$ZZ$3,C525)</f>
        <v>20200005</v>
      </c>
      <c r="G525" t="str" cm="1">
        <f t="array" ref="G525">INDEX('Linha 03'!$C$2:$ZZ$2,C525)</f>
        <v>Lava Roupas Aquafast Multi Acao Cx/06 X 2l</v>
      </c>
      <c r="H525" s="5" cm="1">
        <f t="array" ref="H525">INDEX('Linha 03'!$C$4:$ZZ$1000,B525,C525)</f>
        <v>0</v>
      </c>
    </row>
    <row r="526" spans="1:8" x14ac:dyDescent="0.25">
      <c r="A526">
        <v>524</v>
      </c>
      <c r="B526">
        <f t="shared" si="16"/>
        <v>13</v>
      </c>
      <c r="C526">
        <f t="shared" si="17"/>
        <v>32</v>
      </c>
      <c r="D526" cm="1">
        <f t="array" ref="D526">INDEX('Linha 03'!$A$4:$A$1000,B526)</f>
        <v>20050011</v>
      </c>
      <c r="E526" t="str" cm="1">
        <f t="array" ref="E526">INDEX('Linha 03'!$B$4:$B$1000,B526)</f>
        <v>Desinfetante Aquafast Jardim Florido Cx/06 X 2l</v>
      </c>
      <c r="F526" cm="1">
        <f t="array" ref="F526">INDEX('Linha 03'!$C$3:$ZZ$3,C526)</f>
        <v>20200006</v>
      </c>
      <c r="G526" t="str" cm="1">
        <f t="array" ref="G526">INDEX('Linha 03'!$C$2:$ZZ$2,C526)</f>
        <v>Lava Roupas Aquafast Glicerina Cx/06 X 2l</v>
      </c>
      <c r="H526" s="5" cm="1">
        <f t="array" ref="H526">INDEX('Linha 03'!$C$4:$ZZ$1000,B526,C526)</f>
        <v>0</v>
      </c>
    </row>
    <row r="527" spans="1:8" x14ac:dyDescent="0.25">
      <c r="A527">
        <v>525</v>
      </c>
      <c r="B527">
        <f t="shared" si="16"/>
        <v>13</v>
      </c>
      <c r="C527">
        <f t="shared" si="17"/>
        <v>33</v>
      </c>
      <c r="D527" cm="1">
        <f t="array" ref="D527">INDEX('Linha 03'!$A$4:$A$1000,B527)</f>
        <v>20050011</v>
      </c>
      <c r="E527" t="str" cm="1">
        <f t="array" ref="E527">INDEX('Linha 03'!$B$4:$B$1000,B527)</f>
        <v>Desinfetante Aquafast Jardim Florido Cx/06 X 2l</v>
      </c>
      <c r="F527" cm="1">
        <f t="array" ref="F527">INDEX('Linha 03'!$C$3:$ZZ$3,C527)</f>
        <v>20200015</v>
      </c>
      <c r="G527" t="str" cm="1">
        <f t="array" ref="G527">INDEX('Linha 03'!$C$2:$ZZ$2,C527)</f>
        <v>Lava Roup. Aquafast Multiacao Cx/12 X 1l</v>
      </c>
      <c r="H527" s="5" cm="1">
        <f t="array" ref="H527">INDEX('Linha 03'!$C$4:$ZZ$1000,B527,C527)</f>
        <v>0</v>
      </c>
    </row>
    <row r="528" spans="1:8" x14ac:dyDescent="0.25">
      <c r="A528">
        <v>526</v>
      </c>
      <c r="B528">
        <f t="shared" si="16"/>
        <v>13</v>
      </c>
      <c r="C528">
        <f t="shared" si="17"/>
        <v>34</v>
      </c>
      <c r="D528" cm="1">
        <f t="array" ref="D528">INDEX('Linha 03'!$A$4:$A$1000,B528)</f>
        <v>20050011</v>
      </c>
      <c r="E528" t="str" cm="1">
        <f t="array" ref="E528">INDEX('Linha 03'!$B$4:$B$1000,B528)</f>
        <v>Desinfetante Aquafast Jardim Florido Cx/06 X 2l</v>
      </c>
      <c r="F528" cm="1">
        <f t="array" ref="F528">INDEX('Linha 03'!$C$3:$ZZ$3,C528)</f>
        <v>20200036</v>
      </c>
      <c r="G528" t="str" cm="1">
        <f t="array" ref="G528">INDEX('Linha 03'!$C$2:$ZZ$2,C528)</f>
        <v>Lava Roupas Aquafast Ternura Cx/06 X 2l</v>
      </c>
      <c r="H528" s="5" cm="1">
        <f t="array" ref="H528">INDEX('Linha 03'!$C$4:$ZZ$1000,B528,C528)</f>
        <v>0</v>
      </c>
    </row>
    <row r="529" spans="1:8" x14ac:dyDescent="0.25">
      <c r="A529">
        <v>527</v>
      </c>
      <c r="B529">
        <f t="shared" si="16"/>
        <v>13</v>
      </c>
      <c r="C529">
        <f t="shared" si="17"/>
        <v>35</v>
      </c>
      <c r="D529" cm="1">
        <f t="array" ref="D529">INDEX('Linha 03'!$A$4:$A$1000,B529)</f>
        <v>20050011</v>
      </c>
      <c r="E529" t="str" cm="1">
        <f t="array" ref="E529">INDEX('Linha 03'!$B$4:$B$1000,B529)</f>
        <v>Desinfetante Aquafast Jardim Florido Cx/06 X 2l</v>
      </c>
      <c r="F529" cm="1">
        <f t="array" ref="F529">INDEX('Linha 03'!$C$3:$ZZ$3,C529)</f>
        <v>20200063</v>
      </c>
      <c r="G529" t="str" cm="1">
        <f t="array" ref="G529">INDEX('Linha 03'!$C$2:$ZZ$2,C529)</f>
        <v>Lava Roup. Aquafast Tradicional Cx/12 X 1l</v>
      </c>
      <c r="H529" s="5" cm="1">
        <f t="array" ref="H529">INDEX('Linha 03'!$C$4:$ZZ$1000,B529,C529)</f>
        <v>0</v>
      </c>
    </row>
    <row r="530" spans="1:8" x14ac:dyDescent="0.25">
      <c r="A530">
        <v>528</v>
      </c>
      <c r="B530">
        <f t="shared" si="16"/>
        <v>13</v>
      </c>
      <c r="C530">
        <f t="shared" si="17"/>
        <v>36</v>
      </c>
      <c r="D530" cm="1">
        <f t="array" ref="D530">INDEX('Linha 03'!$A$4:$A$1000,B530)</f>
        <v>20050011</v>
      </c>
      <c r="E530" t="str" cm="1">
        <f t="array" ref="E530">INDEX('Linha 03'!$B$4:$B$1000,B530)</f>
        <v>Desinfetante Aquafast Jardim Florido Cx/06 X 2l</v>
      </c>
      <c r="F530" cm="1">
        <f t="array" ref="F530">INDEX('Linha 03'!$C$3:$ZZ$3,C530)</f>
        <v>20200064</v>
      </c>
      <c r="G530" t="str" cm="1">
        <f t="array" ref="G530">INDEX('Linha 03'!$C$2:$ZZ$2,C530)</f>
        <v>Lava Roup. Aquafast Flores B. E Baunilha Cx/12 X 1l</v>
      </c>
      <c r="H530" s="5" cm="1">
        <f t="array" ref="H530">INDEX('Linha 03'!$C$4:$ZZ$1000,B530,C530)</f>
        <v>0</v>
      </c>
    </row>
    <row r="531" spans="1:8" x14ac:dyDescent="0.25">
      <c r="A531">
        <v>529</v>
      </c>
      <c r="B531">
        <f t="shared" si="16"/>
        <v>13</v>
      </c>
      <c r="C531">
        <f t="shared" si="17"/>
        <v>37</v>
      </c>
      <c r="D531" cm="1">
        <f t="array" ref="D531">INDEX('Linha 03'!$A$4:$A$1000,B531)</f>
        <v>20050011</v>
      </c>
      <c r="E531" t="str" cm="1">
        <f t="array" ref="E531">INDEX('Linha 03'!$B$4:$B$1000,B531)</f>
        <v>Desinfetante Aquafast Jardim Florido Cx/06 X 2l</v>
      </c>
      <c r="F531" cm="1">
        <f t="array" ref="F531">INDEX('Linha 03'!$C$3:$ZZ$3,C531)</f>
        <v>20200065</v>
      </c>
      <c r="G531" t="str" cm="1">
        <f t="array" ref="G531">INDEX('Linha 03'!$C$2:$ZZ$2,C531)</f>
        <v>Lava Roupas Aquafast Flores B. E Baunilha Cx/06 X 2l</v>
      </c>
      <c r="H531" s="5" cm="1">
        <f t="array" ref="H531">INDEX('Linha 03'!$C$4:$ZZ$1000,B531,C531)</f>
        <v>0</v>
      </c>
    </row>
    <row r="532" spans="1:8" x14ac:dyDescent="0.25">
      <c r="A532">
        <v>530</v>
      </c>
      <c r="B532">
        <f t="shared" si="16"/>
        <v>13</v>
      </c>
      <c r="C532">
        <f t="shared" si="17"/>
        <v>38</v>
      </c>
      <c r="D532" cm="1">
        <f t="array" ref="D532">INDEX('Linha 03'!$A$4:$A$1000,B532)</f>
        <v>20050011</v>
      </c>
      <c r="E532" t="str" cm="1">
        <f t="array" ref="E532">INDEX('Linha 03'!$B$4:$B$1000,B532)</f>
        <v>Desinfetante Aquafast Jardim Florido Cx/06 X 2l</v>
      </c>
      <c r="F532" cm="1">
        <f t="array" ref="F532">INDEX('Linha 03'!$C$3:$ZZ$3,C532)</f>
        <v>20200072</v>
      </c>
      <c r="G532" t="str" cm="1">
        <f t="array" ref="G532">INDEX('Linha 03'!$C$2:$ZZ$2,C532)</f>
        <v>Lava Roupas Aquafast Lavagem Rapida Total Clean Cx/12 X 1l</v>
      </c>
      <c r="H532" s="5" cm="1">
        <f t="array" ref="H532">INDEX('Linha 03'!$C$4:$ZZ$1000,B532,C532)</f>
        <v>0</v>
      </c>
    </row>
    <row r="533" spans="1:8" x14ac:dyDescent="0.25">
      <c r="A533">
        <v>531</v>
      </c>
      <c r="B533">
        <f t="shared" si="16"/>
        <v>13</v>
      </c>
      <c r="C533">
        <f t="shared" si="17"/>
        <v>39</v>
      </c>
      <c r="D533" cm="1">
        <f t="array" ref="D533">INDEX('Linha 03'!$A$4:$A$1000,B533)</f>
        <v>20050011</v>
      </c>
      <c r="E533" t="str" cm="1">
        <f t="array" ref="E533">INDEX('Linha 03'!$B$4:$B$1000,B533)</f>
        <v>Desinfetante Aquafast Jardim Florido Cx/06 X 2l</v>
      </c>
      <c r="F533" cm="1">
        <f t="array" ref="F533">INDEX('Linha 03'!$C$3:$ZZ$3,C533)</f>
        <v>20200074</v>
      </c>
      <c r="G533" t="str" cm="1">
        <f t="array" ref="G533">INDEX('Linha 03'!$C$2:$ZZ$2,C533)</f>
        <v>Lava Roupas Aquafast Lavagem Rapida Fresh Clean Cx/12 X 1l</v>
      </c>
      <c r="H533" s="5" cm="1">
        <f t="array" ref="H533">INDEX('Linha 03'!$C$4:$ZZ$1000,B533,C533)</f>
        <v>0</v>
      </c>
    </row>
    <row r="534" spans="1:8" x14ac:dyDescent="0.25">
      <c r="A534">
        <v>532</v>
      </c>
      <c r="B534">
        <f t="shared" si="16"/>
        <v>13</v>
      </c>
      <c r="C534">
        <f t="shared" si="17"/>
        <v>40</v>
      </c>
      <c r="D534" cm="1">
        <f t="array" ref="D534">INDEX('Linha 03'!$A$4:$A$1000,B534)</f>
        <v>20050011</v>
      </c>
      <c r="E534" t="str" cm="1">
        <f t="array" ref="E534">INDEX('Linha 03'!$B$4:$B$1000,B534)</f>
        <v>Desinfetante Aquafast Jardim Florido Cx/06 X 2l</v>
      </c>
      <c r="F534" cm="1">
        <f t="array" ref="F534">INDEX('Linha 03'!$C$3:$ZZ$3,C534)</f>
        <v>20250005</v>
      </c>
      <c r="G534" t="str" cm="1">
        <f t="array" ref="G534">INDEX('Linha 03'!$C$2:$ZZ$2,C534)</f>
        <v>Neutralizador De Odores Aquafast Floral Cx/06 X 2l</v>
      </c>
      <c r="H534" s="5" cm="1">
        <f t="array" ref="H534">INDEX('Linha 03'!$C$4:$ZZ$1000,B534,C534)</f>
        <v>0</v>
      </c>
    </row>
    <row r="535" spans="1:8" x14ac:dyDescent="0.25">
      <c r="A535">
        <v>533</v>
      </c>
      <c r="B535">
        <f t="shared" si="16"/>
        <v>13</v>
      </c>
      <c r="C535">
        <f t="shared" si="17"/>
        <v>41</v>
      </c>
      <c r="D535" cm="1">
        <f t="array" ref="D535">INDEX('Linha 03'!$A$4:$A$1000,B535)</f>
        <v>20050011</v>
      </c>
      <c r="E535" t="str" cm="1">
        <f t="array" ref="E535">INDEX('Linha 03'!$B$4:$B$1000,B535)</f>
        <v>Desinfetante Aquafast Jardim Florido Cx/06 X 2l</v>
      </c>
      <c r="F535" cm="1">
        <f t="array" ref="F535">INDEX('Linha 03'!$C$3:$ZZ$3,C535)</f>
        <v>20250007</v>
      </c>
      <c r="G535" t="str" cm="1">
        <f t="array" ref="G535">INDEX('Linha 03'!$C$2:$ZZ$2,C535)</f>
        <v>Neutralizador De Odores Aquafast Marine Cx/06 2l</v>
      </c>
      <c r="H535" s="5" cm="1">
        <f t="array" ref="H535">INDEX('Linha 03'!$C$4:$ZZ$1000,B535,C535)</f>
        <v>0</v>
      </c>
    </row>
    <row r="536" spans="1:8" x14ac:dyDescent="0.25">
      <c r="A536">
        <v>534</v>
      </c>
      <c r="B536">
        <f t="shared" si="16"/>
        <v>14</v>
      </c>
      <c r="C536">
        <f t="shared" si="17"/>
        <v>1</v>
      </c>
      <c r="D536" cm="1">
        <f t="array" ref="D536">INDEX('Linha 03'!$A$4:$A$1000,B536)</f>
        <v>20050016</v>
      </c>
      <c r="E536" t="str" cm="1">
        <f t="array" ref="E536">INDEX('Linha 03'!$B$4:$B$1000,B536)</f>
        <v>Desinfetante Aquafast Marine Cx/06 X 2l</v>
      </c>
      <c r="F536" cm="1">
        <f t="array" ref="F536">INDEX('Linha 03'!$C$3:$ZZ$3,C536)</f>
        <v>20040006</v>
      </c>
      <c r="G536" t="str" cm="1">
        <f t="array" ref="G536">INDEX('Linha 03'!$C$2:$ZZ$2,C536)</f>
        <v>Amaciante Aquafast Azul Fresc. Manha Cx/06 X 2l</v>
      </c>
      <c r="H536" s="5" cm="1">
        <f t="array" ref="H536">INDEX('Linha 03'!$C$4:$ZZ$1000,B536,C536)</f>
        <v>0</v>
      </c>
    </row>
    <row r="537" spans="1:8" x14ac:dyDescent="0.25">
      <c r="A537">
        <v>535</v>
      </c>
      <c r="B537">
        <f t="shared" si="16"/>
        <v>14</v>
      </c>
      <c r="C537">
        <f t="shared" si="17"/>
        <v>2</v>
      </c>
      <c r="D537" cm="1">
        <f t="array" ref="D537">INDEX('Linha 03'!$A$4:$A$1000,B537)</f>
        <v>20050016</v>
      </c>
      <c r="E537" t="str" cm="1">
        <f t="array" ref="E537">INDEX('Linha 03'!$B$4:$B$1000,B537)</f>
        <v>Desinfetante Aquafast Marine Cx/06 X 2l</v>
      </c>
      <c r="F537" cm="1">
        <f t="array" ref="F537">INDEX('Linha 03'!$C$3:$ZZ$3,C537)</f>
        <v>20040008</v>
      </c>
      <c r="G537" t="str" cm="1">
        <f t="array" ref="G537">INDEX('Linha 03'!$C$2:$ZZ$2,C537)</f>
        <v>Amaciante Aquafast Rosa Jard. Florid Cx/06 X 2l</v>
      </c>
      <c r="H537" s="5" cm="1">
        <f t="array" ref="H537">INDEX('Linha 03'!$C$4:$ZZ$1000,B537,C537)</f>
        <v>0</v>
      </c>
    </row>
    <row r="538" spans="1:8" x14ac:dyDescent="0.25">
      <c r="A538">
        <v>536</v>
      </c>
      <c r="B538">
        <f t="shared" si="16"/>
        <v>14</v>
      </c>
      <c r="C538">
        <f t="shared" si="17"/>
        <v>3</v>
      </c>
      <c r="D538" cm="1">
        <f t="array" ref="D538">INDEX('Linha 03'!$A$4:$A$1000,B538)</f>
        <v>20050016</v>
      </c>
      <c r="E538" t="str" cm="1">
        <f t="array" ref="E538">INDEX('Linha 03'!$B$4:$B$1000,B538)</f>
        <v>Desinfetante Aquafast Marine Cx/06 X 2l</v>
      </c>
      <c r="F538" cm="1">
        <f t="array" ref="F538">INDEX('Linha 03'!$C$3:$ZZ$3,C538)</f>
        <v>20040009</v>
      </c>
      <c r="G538" t="str" cm="1">
        <f t="array" ref="G538">INDEX('Linha 03'!$C$2:$ZZ$2,C538)</f>
        <v>Amaciante Aquafast Branco Pura Caric. Cx/06 X 2l</v>
      </c>
      <c r="H538" s="5" cm="1">
        <f t="array" ref="H538">INDEX('Linha 03'!$C$4:$ZZ$1000,B538,C538)</f>
        <v>0</v>
      </c>
    </row>
    <row r="539" spans="1:8" x14ac:dyDescent="0.25">
      <c r="A539">
        <v>537</v>
      </c>
      <c r="B539">
        <f t="shared" si="16"/>
        <v>14</v>
      </c>
      <c r="C539">
        <f t="shared" si="17"/>
        <v>4</v>
      </c>
      <c r="D539" cm="1">
        <f t="array" ref="D539">INDEX('Linha 03'!$A$4:$A$1000,B539)</f>
        <v>20050016</v>
      </c>
      <c r="E539" t="str" cm="1">
        <f t="array" ref="E539">INDEX('Linha 03'!$B$4:$B$1000,B539)</f>
        <v>Desinfetante Aquafast Marine Cx/06 X 2l</v>
      </c>
      <c r="F539" cm="1">
        <f t="array" ref="F539">INDEX('Linha 03'!$C$3:$ZZ$3,C539)</f>
        <v>20040026</v>
      </c>
      <c r="G539" t="str" cm="1">
        <f t="array" ref="G539">INDEX('Linha 03'!$C$2:$ZZ$2,C539)</f>
        <v>Amaciante Ito Azul Cx/06 X 2l</v>
      </c>
      <c r="H539" s="5" cm="1">
        <f t="array" ref="H539">INDEX('Linha 03'!$C$4:$ZZ$1000,B539,C539)</f>
        <v>0</v>
      </c>
    </row>
    <row r="540" spans="1:8" x14ac:dyDescent="0.25">
      <c r="A540">
        <v>538</v>
      </c>
      <c r="B540">
        <f t="shared" si="16"/>
        <v>14</v>
      </c>
      <c r="C540">
        <f t="shared" si="17"/>
        <v>5</v>
      </c>
      <c r="D540" cm="1">
        <f t="array" ref="D540">INDEX('Linha 03'!$A$4:$A$1000,B540)</f>
        <v>20050016</v>
      </c>
      <c r="E540" t="str" cm="1">
        <f t="array" ref="E540">INDEX('Linha 03'!$B$4:$B$1000,B540)</f>
        <v>Desinfetante Aquafast Marine Cx/06 X 2l</v>
      </c>
      <c r="F540" cm="1">
        <f t="array" ref="F540">INDEX('Linha 03'!$C$3:$ZZ$3,C540)</f>
        <v>20040028</v>
      </c>
      <c r="G540" t="str" cm="1">
        <f t="array" ref="G540">INDEX('Linha 03'!$C$2:$ZZ$2,C540)</f>
        <v>Amaciante Ito Rosa Cx/06 X 2l</v>
      </c>
      <c r="H540" s="5" cm="1">
        <f t="array" ref="H540">INDEX('Linha 03'!$C$4:$ZZ$1000,B540,C540)</f>
        <v>0</v>
      </c>
    </row>
    <row r="541" spans="1:8" x14ac:dyDescent="0.25">
      <c r="A541">
        <v>539</v>
      </c>
      <c r="B541">
        <f t="shared" si="16"/>
        <v>14</v>
      </c>
      <c r="C541">
        <f t="shared" si="17"/>
        <v>6</v>
      </c>
      <c r="D541" cm="1">
        <f t="array" ref="D541">INDEX('Linha 03'!$A$4:$A$1000,B541)</f>
        <v>20050016</v>
      </c>
      <c r="E541" t="str" cm="1">
        <f t="array" ref="E541">INDEX('Linha 03'!$B$4:$B$1000,B541)</f>
        <v>Desinfetante Aquafast Marine Cx/06 X 2l</v>
      </c>
      <c r="F541" cm="1">
        <f t="array" ref="F541">INDEX('Linha 03'!$C$3:$ZZ$3,C541)</f>
        <v>20040029</v>
      </c>
      <c r="G541" t="str" cm="1">
        <f t="array" ref="G541">INDEX('Linha 03'!$C$2:$ZZ$2,C541)</f>
        <v>Amaciante Ito Branco Cx/06 X 2l</v>
      </c>
      <c r="H541" s="5" cm="1">
        <f t="array" ref="H541">INDEX('Linha 03'!$C$4:$ZZ$1000,B541,C541)</f>
        <v>0</v>
      </c>
    </row>
    <row r="542" spans="1:8" x14ac:dyDescent="0.25">
      <c r="A542">
        <v>540</v>
      </c>
      <c r="B542">
        <f t="shared" si="16"/>
        <v>14</v>
      </c>
      <c r="C542">
        <f t="shared" si="17"/>
        <v>7</v>
      </c>
      <c r="D542" cm="1">
        <f t="array" ref="D542">INDEX('Linha 03'!$A$4:$A$1000,B542)</f>
        <v>20050016</v>
      </c>
      <c r="E542" t="str" cm="1">
        <f t="array" ref="E542">INDEX('Linha 03'!$B$4:$B$1000,B542)</f>
        <v>Desinfetante Aquafast Marine Cx/06 X 2l</v>
      </c>
      <c r="F542" cm="1">
        <f t="array" ref="F542">INDEX('Linha 03'!$C$3:$ZZ$3,C542)</f>
        <v>20040055</v>
      </c>
      <c r="G542" t="str" cm="1">
        <f t="array" ref="G542">INDEX('Linha 03'!$C$2:$ZZ$2,C542)</f>
        <v>Amaciante Myata Azul Cx/06 X 2l</v>
      </c>
      <c r="H542" s="5" cm="1">
        <f t="array" ref="H542">INDEX('Linha 03'!$C$4:$ZZ$1000,B542,C542)</f>
        <v>0</v>
      </c>
    </row>
    <row r="543" spans="1:8" x14ac:dyDescent="0.25">
      <c r="A543">
        <v>541</v>
      </c>
      <c r="B543">
        <f t="shared" si="16"/>
        <v>14</v>
      </c>
      <c r="C543">
        <f t="shared" si="17"/>
        <v>8</v>
      </c>
      <c r="D543" cm="1">
        <f t="array" ref="D543">INDEX('Linha 03'!$A$4:$A$1000,B543)</f>
        <v>20050016</v>
      </c>
      <c r="E543" t="str" cm="1">
        <f t="array" ref="E543">INDEX('Linha 03'!$B$4:$B$1000,B543)</f>
        <v>Desinfetante Aquafast Marine Cx/06 X 2l</v>
      </c>
      <c r="F543" cm="1">
        <f t="array" ref="F543">INDEX('Linha 03'!$C$3:$ZZ$3,C543)</f>
        <v>20040057</v>
      </c>
      <c r="G543" t="str" cm="1">
        <f t="array" ref="G543">INDEX('Linha 03'!$C$2:$ZZ$2,C543)</f>
        <v>Amaciante Myata Rosa Cx/06 X 2l</v>
      </c>
      <c r="H543" s="5" cm="1">
        <f t="array" ref="H543">INDEX('Linha 03'!$C$4:$ZZ$1000,B543,C543)</f>
        <v>0</v>
      </c>
    </row>
    <row r="544" spans="1:8" x14ac:dyDescent="0.25">
      <c r="A544">
        <v>542</v>
      </c>
      <c r="B544">
        <f t="shared" si="16"/>
        <v>14</v>
      </c>
      <c r="C544">
        <f t="shared" si="17"/>
        <v>9</v>
      </c>
      <c r="D544" cm="1">
        <f t="array" ref="D544">INDEX('Linha 03'!$A$4:$A$1000,B544)</f>
        <v>20050016</v>
      </c>
      <c r="E544" t="str" cm="1">
        <f t="array" ref="E544">INDEX('Linha 03'!$B$4:$B$1000,B544)</f>
        <v>Desinfetante Aquafast Marine Cx/06 X 2l</v>
      </c>
      <c r="F544" cm="1">
        <f t="array" ref="F544">INDEX('Linha 03'!$C$3:$ZZ$3,C544)</f>
        <v>20040084</v>
      </c>
      <c r="G544" t="str" cm="1">
        <f t="array" ref="G544">INDEX('Linha 03'!$C$2:$ZZ$2,C544)</f>
        <v>Amaciante Aquafast Vermelho Seducao Cx C/06 X 2l</v>
      </c>
      <c r="H544" s="5" cm="1">
        <f t="array" ref="H544">INDEX('Linha 03'!$C$4:$ZZ$1000,B544,C544)</f>
        <v>0</v>
      </c>
    </row>
    <row r="545" spans="1:8" x14ac:dyDescent="0.25">
      <c r="A545">
        <v>543</v>
      </c>
      <c r="B545">
        <f t="shared" si="16"/>
        <v>14</v>
      </c>
      <c r="C545">
        <f t="shared" si="17"/>
        <v>10</v>
      </c>
      <c r="D545" cm="1">
        <f t="array" ref="D545">INDEX('Linha 03'!$A$4:$A$1000,B545)</f>
        <v>20050016</v>
      </c>
      <c r="E545" t="str" cm="1">
        <f t="array" ref="E545">INDEX('Linha 03'!$B$4:$B$1000,B545)</f>
        <v>Desinfetante Aquafast Marine Cx/06 X 2l</v>
      </c>
      <c r="F545" cm="1">
        <f t="array" ref="F545">INDEX('Linha 03'!$C$3:$ZZ$3,C545)</f>
        <v>20040089</v>
      </c>
      <c r="G545" t="str" cm="1">
        <f t="array" ref="G545">INDEX('Linha 03'!$C$2:$ZZ$2,C545)</f>
        <v>Amaciante Aquafast Roxo Magia Cx/06 X 2l</v>
      </c>
      <c r="H545" s="5" cm="1">
        <f t="array" ref="H545">INDEX('Linha 03'!$C$4:$ZZ$1000,B545,C545)</f>
        <v>0</v>
      </c>
    </row>
    <row r="546" spans="1:8" x14ac:dyDescent="0.25">
      <c r="A546">
        <v>544</v>
      </c>
      <c r="B546">
        <f t="shared" si="16"/>
        <v>14</v>
      </c>
      <c r="C546">
        <f t="shared" si="17"/>
        <v>11</v>
      </c>
      <c r="D546" cm="1">
        <f t="array" ref="D546">INDEX('Linha 03'!$A$4:$A$1000,B546)</f>
        <v>20050016</v>
      </c>
      <c r="E546" t="str" cm="1">
        <f t="array" ref="E546">INDEX('Linha 03'!$B$4:$B$1000,B546)</f>
        <v>Desinfetante Aquafast Marine Cx/06 X 2l</v>
      </c>
      <c r="F546" cm="1">
        <f t="array" ref="F546">INDEX('Linha 03'!$C$3:$ZZ$3,C546)</f>
        <v>20040094</v>
      </c>
      <c r="G546" t="str" cm="1">
        <f t="array" ref="G546">INDEX('Linha 03'!$C$2:$ZZ$2,C546)</f>
        <v>Amaciante Aquafast Energia Cx/06 X 2l</v>
      </c>
      <c r="H546" s="5" cm="1">
        <f t="array" ref="H546">INDEX('Linha 03'!$C$4:$ZZ$1000,B546,C546)</f>
        <v>0</v>
      </c>
    </row>
    <row r="547" spans="1:8" x14ac:dyDescent="0.25">
      <c r="A547">
        <v>545</v>
      </c>
      <c r="B547">
        <f t="shared" si="16"/>
        <v>14</v>
      </c>
      <c r="C547">
        <f t="shared" si="17"/>
        <v>12</v>
      </c>
      <c r="D547" cm="1">
        <f t="array" ref="D547">INDEX('Linha 03'!$A$4:$A$1000,B547)</f>
        <v>20050016</v>
      </c>
      <c r="E547" t="str" cm="1">
        <f t="array" ref="E547">INDEX('Linha 03'!$B$4:$B$1000,B547)</f>
        <v>Desinfetante Aquafast Marine Cx/06 X 2l</v>
      </c>
      <c r="F547" cm="1">
        <f t="array" ref="F547">INDEX('Linha 03'!$C$3:$ZZ$3,C547)</f>
        <v>20050010</v>
      </c>
      <c r="G547" t="str" cm="1">
        <f t="array" ref="G547">INDEX('Linha 03'!$C$2:$ZZ$2,C547)</f>
        <v>Desinfetante Aquafast Campos Lavanda Cx/06 X 2l</v>
      </c>
      <c r="H547" s="5" cm="1">
        <f t="array" ref="H547">INDEX('Linha 03'!$C$4:$ZZ$1000,B547,C547)</f>
        <v>0</v>
      </c>
    </row>
    <row r="548" spans="1:8" x14ac:dyDescent="0.25">
      <c r="A548">
        <v>546</v>
      </c>
      <c r="B548">
        <f t="shared" si="16"/>
        <v>14</v>
      </c>
      <c r="C548">
        <f t="shared" si="17"/>
        <v>13</v>
      </c>
      <c r="D548" cm="1">
        <f t="array" ref="D548">INDEX('Linha 03'!$A$4:$A$1000,B548)</f>
        <v>20050016</v>
      </c>
      <c r="E548" t="str" cm="1">
        <f t="array" ref="E548">INDEX('Linha 03'!$B$4:$B$1000,B548)</f>
        <v>Desinfetante Aquafast Marine Cx/06 X 2l</v>
      </c>
      <c r="F548" cm="1">
        <f t="array" ref="F548">INDEX('Linha 03'!$C$3:$ZZ$3,C548)</f>
        <v>20050011</v>
      </c>
      <c r="G548" t="str" cm="1">
        <f t="array" ref="G548">INDEX('Linha 03'!$C$2:$ZZ$2,C548)</f>
        <v>Desinfetante Aquafast Jardim Florido Cx/06 X 2l</v>
      </c>
      <c r="H548" s="5" cm="1">
        <f t="array" ref="H548">INDEX('Linha 03'!$C$4:$ZZ$1000,B548,C548)</f>
        <v>0</v>
      </c>
    </row>
    <row r="549" spans="1:8" x14ac:dyDescent="0.25">
      <c r="A549">
        <v>547</v>
      </c>
      <c r="B549">
        <f t="shared" si="16"/>
        <v>14</v>
      </c>
      <c r="C549">
        <f t="shared" si="17"/>
        <v>14</v>
      </c>
      <c r="D549" cm="1">
        <f t="array" ref="D549">INDEX('Linha 03'!$A$4:$A$1000,B549)</f>
        <v>20050016</v>
      </c>
      <c r="E549" t="str" cm="1">
        <f t="array" ref="E549">INDEX('Linha 03'!$B$4:$B$1000,B549)</f>
        <v>Desinfetante Aquafast Marine Cx/06 X 2l</v>
      </c>
      <c r="F549" cm="1">
        <f t="array" ref="F549">INDEX('Linha 03'!$C$3:$ZZ$3,C549)</f>
        <v>20050016</v>
      </c>
      <c r="G549" t="str" cm="1">
        <f t="array" ref="G549">INDEX('Linha 03'!$C$2:$ZZ$2,C549)</f>
        <v>Desinfetante Aquafast Marine Cx/06 X 2l</v>
      </c>
      <c r="H549" s="5" cm="1">
        <f t="array" ref="H549">INDEX('Linha 03'!$C$4:$ZZ$1000,B549,C549)</f>
        <v>0</v>
      </c>
    </row>
    <row r="550" spans="1:8" x14ac:dyDescent="0.25">
      <c r="A550">
        <v>548</v>
      </c>
      <c r="B550">
        <f t="shared" si="16"/>
        <v>14</v>
      </c>
      <c r="C550">
        <f t="shared" si="17"/>
        <v>15</v>
      </c>
      <c r="D550" cm="1">
        <f t="array" ref="D550">INDEX('Linha 03'!$A$4:$A$1000,B550)</f>
        <v>20050016</v>
      </c>
      <c r="E550" t="str" cm="1">
        <f t="array" ref="E550">INDEX('Linha 03'!$B$4:$B$1000,B550)</f>
        <v>Desinfetante Aquafast Marine Cx/06 X 2l</v>
      </c>
      <c r="F550" cm="1">
        <f t="array" ref="F550">INDEX('Linha 03'!$C$3:$ZZ$3,C550)</f>
        <v>20050031</v>
      </c>
      <c r="G550" t="str" cm="1">
        <f t="array" ref="G550">INDEX('Linha 03'!$C$2:$ZZ$2,C550)</f>
        <v>Desinfetante Ito Lavanda Cx/06 X 2l</v>
      </c>
      <c r="H550" s="5" cm="1">
        <f t="array" ref="H550">INDEX('Linha 03'!$C$4:$ZZ$1000,B550,C550)</f>
        <v>0</v>
      </c>
    </row>
    <row r="551" spans="1:8" x14ac:dyDescent="0.25">
      <c r="A551">
        <v>549</v>
      </c>
      <c r="B551">
        <f t="shared" si="16"/>
        <v>14</v>
      </c>
      <c r="C551">
        <f t="shared" si="17"/>
        <v>16</v>
      </c>
      <c r="D551" cm="1">
        <f t="array" ref="D551">INDEX('Linha 03'!$A$4:$A$1000,B551)</f>
        <v>20050016</v>
      </c>
      <c r="E551" t="str" cm="1">
        <f t="array" ref="E551">INDEX('Linha 03'!$B$4:$B$1000,B551)</f>
        <v>Desinfetante Aquafast Marine Cx/06 X 2l</v>
      </c>
      <c r="F551" cm="1">
        <f t="array" ref="F551">INDEX('Linha 03'!$C$3:$ZZ$3,C551)</f>
        <v>20050032</v>
      </c>
      <c r="G551" t="str" cm="1">
        <f t="array" ref="G551">INDEX('Linha 03'!$C$2:$ZZ$2,C551)</f>
        <v>Desinfetante Ito Floral Cx/06 X 2l</v>
      </c>
      <c r="H551" s="5" cm="1">
        <f t="array" ref="H551">INDEX('Linha 03'!$C$4:$ZZ$1000,B551,C551)</f>
        <v>0</v>
      </c>
    </row>
    <row r="552" spans="1:8" x14ac:dyDescent="0.25">
      <c r="A552">
        <v>550</v>
      </c>
      <c r="B552">
        <f t="shared" si="16"/>
        <v>14</v>
      </c>
      <c r="C552">
        <f t="shared" si="17"/>
        <v>17</v>
      </c>
      <c r="D552" cm="1">
        <f t="array" ref="D552">INDEX('Linha 03'!$A$4:$A$1000,B552)</f>
        <v>20050016</v>
      </c>
      <c r="E552" t="str" cm="1">
        <f t="array" ref="E552">INDEX('Linha 03'!$B$4:$B$1000,B552)</f>
        <v>Desinfetante Aquafast Marine Cx/06 X 2l</v>
      </c>
      <c r="F552" cm="1">
        <f t="array" ref="F552">INDEX('Linha 03'!$C$3:$ZZ$3,C552)</f>
        <v>20050034</v>
      </c>
      <c r="G552" t="str" cm="1">
        <f t="array" ref="G552">INDEX('Linha 03'!$C$2:$ZZ$2,C552)</f>
        <v>Desinfetante Ito Eucalipto Cx/06 X 2l</v>
      </c>
      <c r="H552" s="5" cm="1">
        <f t="array" ref="H552">INDEX('Linha 03'!$C$4:$ZZ$1000,B552,C552)</f>
        <v>0</v>
      </c>
    </row>
    <row r="553" spans="1:8" x14ac:dyDescent="0.25">
      <c r="A553">
        <v>551</v>
      </c>
      <c r="B553">
        <f t="shared" si="16"/>
        <v>14</v>
      </c>
      <c r="C553">
        <f t="shared" si="17"/>
        <v>18</v>
      </c>
      <c r="D553" cm="1">
        <f t="array" ref="D553">INDEX('Linha 03'!$A$4:$A$1000,B553)</f>
        <v>20050016</v>
      </c>
      <c r="E553" t="str" cm="1">
        <f t="array" ref="E553">INDEX('Linha 03'!$B$4:$B$1000,B553)</f>
        <v>Desinfetante Aquafast Marine Cx/06 X 2l</v>
      </c>
      <c r="F553" cm="1">
        <f t="array" ref="F553">INDEX('Linha 03'!$C$3:$ZZ$3,C553)</f>
        <v>20050077</v>
      </c>
      <c r="G553" t="str" cm="1">
        <f t="array" ref="G553">INDEX('Linha 03'!$C$2:$ZZ$2,C553)</f>
        <v>Desinfetante Myata Lavanda Cx/06 X 2l</v>
      </c>
      <c r="H553" s="5" cm="1">
        <f t="array" ref="H553">INDEX('Linha 03'!$C$4:$ZZ$1000,B553,C553)</f>
        <v>0</v>
      </c>
    </row>
    <row r="554" spans="1:8" x14ac:dyDescent="0.25">
      <c r="A554">
        <v>552</v>
      </c>
      <c r="B554">
        <f t="shared" si="16"/>
        <v>14</v>
      </c>
      <c r="C554">
        <f t="shared" si="17"/>
        <v>19</v>
      </c>
      <c r="D554" cm="1">
        <f t="array" ref="D554">INDEX('Linha 03'!$A$4:$A$1000,B554)</f>
        <v>20050016</v>
      </c>
      <c r="E554" t="str" cm="1">
        <f t="array" ref="E554">INDEX('Linha 03'!$B$4:$B$1000,B554)</f>
        <v>Desinfetante Aquafast Marine Cx/06 X 2l</v>
      </c>
      <c r="F554" cm="1">
        <f t="array" ref="F554">INDEX('Linha 03'!$C$3:$ZZ$3,C554)</f>
        <v>20050078</v>
      </c>
      <c r="G554" t="str" cm="1">
        <f t="array" ref="G554">INDEX('Linha 03'!$C$2:$ZZ$2,C554)</f>
        <v>Desinfetante Myata Floral Cx/06 X 2l</v>
      </c>
      <c r="H554" s="5" cm="1">
        <f t="array" ref="H554">INDEX('Linha 03'!$C$4:$ZZ$1000,B554,C554)</f>
        <v>0</v>
      </c>
    </row>
    <row r="555" spans="1:8" x14ac:dyDescent="0.25">
      <c r="A555">
        <v>553</v>
      </c>
      <c r="B555">
        <f t="shared" si="16"/>
        <v>14</v>
      </c>
      <c r="C555">
        <f t="shared" si="17"/>
        <v>20</v>
      </c>
      <c r="D555" cm="1">
        <f t="array" ref="D555">INDEX('Linha 03'!$A$4:$A$1000,B555)</f>
        <v>20050016</v>
      </c>
      <c r="E555" t="str" cm="1">
        <f t="array" ref="E555">INDEX('Linha 03'!$B$4:$B$1000,B555)</f>
        <v>Desinfetante Aquafast Marine Cx/06 X 2l</v>
      </c>
      <c r="F555" cm="1">
        <f t="array" ref="F555">INDEX('Linha 03'!$C$3:$ZZ$3,C555)</f>
        <v>20050115</v>
      </c>
      <c r="G555" t="str" cm="1">
        <f t="array" ref="G555">INDEX('Linha 03'!$C$2:$ZZ$2,C555)</f>
        <v>Desinfetante Aquafast Paixao Cx/06 X 2l</v>
      </c>
      <c r="H555" s="5" cm="1">
        <f t="array" ref="H555">INDEX('Linha 03'!$C$4:$ZZ$1000,B555,C555)</f>
        <v>0</v>
      </c>
    </row>
    <row r="556" spans="1:8" x14ac:dyDescent="0.25">
      <c r="A556">
        <v>554</v>
      </c>
      <c r="B556">
        <f t="shared" si="16"/>
        <v>14</v>
      </c>
      <c r="C556">
        <f t="shared" si="17"/>
        <v>21</v>
      </c>
      <c r="D556" cm="1">
        <f t="array" ref="D556">INDEX('Linha 03'!$A$4:$A$1000,B556)</f>
        <v>20050016</v>
      </c>
      <c r="E556" t="str" cm="1">
        <f t="array" ref="E556">INDEX('Linha 03'!$B$4:$B$1000,B556)</f>
        <v>Desinfetante Aquafast Marine Cx/06 X 2l</v>
      </c>
      <c r="F556" cm="1">
        <f t="array" ref="F556">INDEX('Linha 03'!$C$3:$ZZ$3,C556)</f>
        <v>20050117</v>
      </c>
      <c r="G556" t="str" cm="1">
        <f t="array" ref="G556">INDEX('Linha 03'!$C$2:$ZZ$2,C556)</f>
        <v>Desinfetante Aquafast Harmonia Natural Cx/06 X 2l</v>
      </c>
      <c r="H556" s="5" cm="1">
        <f t="array" ref="H556">INDEX('Linha 03'!$C$4:$ZZ$1000,B556,C556)</f>
        <v>0</v>
      </c>
    </row>
    <row r="557" spans="1:8" x14ac:dyDescent="0.25">
      <c r="A557">
        <v>555</v>
      </c>
      <c r="B557">
        <f t="shared" si="16"/>
        <v>14</v>
      </c>
      <c r="C557">
        <f t="shared" si="17"/>
        <v>22</v>
      </c>
      <c r="D557" cm="1">
        <f t="array" ref="D557">INDEX('Linha 03'!$A$4:$A$1000,B557)</f>
        <v>20050016</v>
      </c>
      <c r="E557" t="str" cm="1">
        <f t="array" ref="E557">INDEX('Linha 03'!$B$4:$B$1000,B557)</f>
        <v>Desinfetante Aquafast Marine Cx/06 X 2l</v>
      </c>
      <c r="F557" cm="1">
        <f t="array" ref="F557">INDEX('Linha 03'!$C$3:$ZZ$3,C557)</f>
        <v>20050123</v>
      </c>
      <c r="G557" t="str" cm="1">
        <f t="array" ref="G557">INDEX('Linha 03'!$C$2:$ZZ$2,C557)</f>
        <v>Desinfetante Ito Harmonia Natural Cx/06 X 2l</v>
      </c>
      <c r="H557" s="5" cm="1">
        <f t="array" ref="H557">INDEX('Linha 03'!$C$4:$ZZ$1000,B557,C557)</f>
        <v>0</v>
      </c>
    </row>
    <row r="558" spans="1:8" x14ac:dyDescent="0.25">
      <c r="A558">
        <v>556</v>
      </c>
      <c r="B558">
        <f t="shared" si="16"/>
        <v>14</v>
      </c>
      <c r="C558">
        <f t="shared" si="17"/>
        <v>23</v>
      </c>
      <c r="D558" cm="1">
        <f t="array" ref="D558">INDEX('Linha 03'!$A$4:$A$1000,B558)</f>
        <v>20050016</v>
      </c>
      <c r="E558" t="str" cm="1">
        <f t="array" ref="E558">INDEX('Linha 03'!$B$4:$B$1000,B558)</f>
        <v>Desinfetante Aquafast Marine Cx/06 X 2l</v>
      </c>
      <c r="F558" cm="1">
        <f t="array" ref="F558">INDEX('Linha 03'!$C$3:$ZZ$3,C558)</f>
        <v>20050124</v>
      </c>
      <c r="G558" t="str" cm="1">
        <f t="array" ref="G558">INDEX('Linha 03'!$C$2:$ZZ$2,C558)</f>
        <v>Desinfetante Myata Harmonia Natural Cx/06 X 2l</v>
      </c>
      <c r="H558" s="5" cm="1">
        <f t="array" ref="H558">INDEX('Linha 03'!$C$4:$ZZ$1000,B558,C558)</f>
        <v>0</v>
      </c>
    </row>
    <row r="559" spans="1:8" x14ac:dyDescent="0.25">
      <c r="A559">
        <v>557</v>
      </c>
      <c r="B559">
        <f t="shared" si="16"/>
        <v>14</v>
      </c>
      <c r="C559">
        <f t="shared" si="17"/>
        <v>24</v>
      </c>
      <c r="D559" cm="1">
        <f t="array" ref="D559">INDEX('Linha 03'!$A$4:$A$1000,B559)</f>
        <v>20050016</v>
      </c>
      <c r="E559" t="str" cm="1">
        <f t="array" ref="E559">INDEX('Linha 03'!$B$4:$B$1000,B559)</f>
        <v>Desinfetante Aquafast Marine Cx/06 X 2l</v>
      </c>
      <c r="F559" cm="1">
        <f t="array" ref="F559">INDEX('Linha 03'!$C$3:$ZZ$3,C559)</f>
        <v>20050142</v>
      </c>
      <c r="G559" t="str" cm="1">
        <f t="array" ref="G559">INDEX('Linha 03'!$C$2:$ZZ$2,C559)</f>
        <v>Desinfetante Ito Marine Cx/06 X 2l</v>
      </c>
      <c r="H559" s="5" cm="1">
        <f t="array" ref="H559">INDEX('Linha 03'!$C$4:$ZZ$1000,B559,C559)</f>
        <v>0</v>
      </c>
    </row>
    <row r="560" spans="1:8" x14ac:dyDescent="0.25">
      <c r="A560">
        <v>558</v>
      </c>
      <c r="B560">
        <f t="shared" si="16"/>
        <v>14</v>
      </c>
      <c r="C560">
        <f t="shared" si="17"/>
        <v>25</v>
      </c>
      <c r="D560" cm="1">
        <f t="array" ref="D560">INDEX('Linha 03'!$A$4:$A$1000,B560)</f>
        <v>20050016</v>
      </c>
      <c r="E560" t="str" cm="1">
        <f t="array" ref="E560">INDEX('Linha 03'!$B$4:$B$1000,B560)</f>
        <v>Desinfetante Aquafast Marine Cx/06 X 2l</v>
      </c>
      <c r="F560" cm="1">
        <f t="array" ref="F560">INDEX('Linha 03'!$C$3:$ZZ$3,C560)</f>
        <v>20050159</v>
      </c>
      <c r="G560" t="str" cm="1">
        <f t="array" ref="G560">INDEX('Linha 03'!$C$2:$ZZ$2,C560)</f>
        <v>Desinfetante Aquafast Cha Branco Cx/06 X 2l</v>
      </c>
      <c r="H560" s="5" cm="1">
        <f t="array" ref="H560">INDEX('Linha 03'!$C$4:$ZZ$1000,B560,C560)</f>
        <v>1.38888888888889E-2</v>
      </c>
    </row>
    <row r="561" spans="1:8" x14ac:dyDescent="0.25">
      <c r="A561">
        <v>559</v>
      </c>
      <c r="B561">
        <f t="shared" si="16"/>
        <v>14</v>
      </c>
      <c r="C561">
        <f t="shared" si="17"/>
        <v>26</v>
      </c>
      <c r="D561" cm="1">
        <f t="array" ref="D561">INDEX('Linha 03'!$A$4:$A$1000,B561)</f>
        <v>20050016</v>
      </c>
      <c r="E561" t="str" cm="1">
        <f t="array" ref="E561">INDEX('Linha 03'!$B$4:$B$1000,B561)</f>
        <v>Desinfetante Aquafast Marine Cx/06 X 2l</v>
      </c>
      <c r="F561" cm="1">
        <f t="array" ref="F561">INDEX('Linha 03'!$C$3:$ZZ$3,C561)</f>
        <v>20060007</v>
      </c>
      <c r="G561" t="str" cm="1">
        <f t="array" ref="G561">INDEX('Linha 03'!$C$2:$ZZ$2,C561)</f>
        <v>Limp Perf Aquafast Magia Seducao Cx/06 X 2l (Promoc)</v>
      </c>
      <c r="H561" s="5" cm="1">
        <f t="array" ref="H561">INDEX('Linha 03'!$C$4:$ZZ$1000,B561,C561)</f>
        <v>0</v>
      </c>
    </row>
    <row r="562" spans="1:8" x14ac:dyDescent="0.25">
      <c r="A562">
        <v>560</v>
      </c>
      <c r="B562">
        <f t="shared" si="16"/>
        <v>14</v>
      </c>
      <c r="C562">
        <f t="shared" si="17"/>
        <v>27</v>
      </c>
      <c r="D562" cm="1">
        <f t="array" ref="D562">INDEX('Linha 03'!$A$4:$A$1000,B562)</f>
        <v>20050016</v>
      </c>
      <c r="E562" t="str" cm="1">
        <f t="array" ref="E562">INDEX('Linha 03'!$B$4:$B$1000,B562)</f>
        <v>Desinfetante Aquafast Marine Cx/06 X 2l</v>
      </c>
      <c r="F562" cm="1">
        <f t="array" ref="F562">INDEX('Linha 03'!$C$3:$ZZ$3,C562)</f>
        <v>20060009</v>
      </c>
      <c r="G562" t="str" cm="1">
        <f t="array" ref="G562">INDEX('Linha 03'!$C$2:$ZZ$2,C562)</f>
        <v>Limp Perf Aquafast Frescor Da Manha Cx/06 X 2l (Promoc)</v>
      </c>
      <c r="H562" s="5" cm="1">
        <f t="array" ref="H562">INDEX('Linha 03'!$C$4:$ZZ$1000,B562,C562)</f>
        <v>0</v>
      </c>
    </row>
    <row r="563" spans="1:8" x14ac:dyDescent="0.25">
      <c r="A563">
        <v>561</v>
      </c>
      <c r="B563">
        <f t="shared" si="16"/>
        <v>14</v>
      </c>
      <c r="C563">
        <f t="shared" si="17"/>
        <v>28</v>
      </c>
      <c r="D563" cm="1">
        <f t="array" ref="D563">INDEX('Linha 03'!$A$4:$A$1000,B563)</f>
        <v>20050016</v>
      </c>
      <c r="E563" t="str" cm="1">
        <f t="array" ref="E563">INDEX('Linha 03'!$B$4:$B$1000,B563)</f>
        <v>Desinfetante Aquafast Marine Cx/06 X 2l</v>
      </c>
      <c r="F563" cm="1">
        <f t="array" ref="F563">INDEX('Linha 03'!$C$3:$ZZ$3,C563)</f>
        <v>20060017</v>
      </c>
      <c r="G563" t="str" cm="1">
        <f t="array" ref="G563">INDEX('Linha 03'!$C$2:$ZZ$2,C563)</f>
        <v>Limp Perf Aquafast Doce Romance Cx/06 X 2l (Promoc)</v>
      </c>
      <c r="H563" s="5" cm="1">
        <f t="array" ref="H563">INDEX('Linha 03'!$C$4:$ZZ$1000,B563,C563)</f>
        <v>0</v>
      </c>
    </row>
    <row r="564" spans="1:8" x14ac:dyDescent="0.25">
      <c r="A564">
        <v>562</v>
      </c>
      <c r="B564">
        <f t="shared" si="16"/>
        <v>14</v>
      </c>
      <c r="C564">
        <f t="shared" si="17"/>
        <v>29</v>
      </c>
      <c r="D564" cm="1">
        <f t="array" ref="D564">INDEX('Linha 03'!$A$4:$A$1000,B564)</f>
        <v>20050016</v>
      </c>
      <c r="E564" t="str" cm="1">
        <f t="array" ref="E564">INDEX('Linha 03'!$B$4:$B$1000,B564)</f>
        <v>Desinfetante Aquafast Marine Cx/06 X 2l</v>
      </c>
      <c r="F564" cm="1">
        <f t="array" ref="F564">INDEX('Linha 03'!$C$3:$ZZ$3,C564)</f>
        <v>20060028</v>
      </c>
      <c r="G564" t="str" cm="1">
        <f t="array" ref="G564">INDEX('Linha 03'!$C$2:$ZZ$2,C564)</f>
        <v>Limp Perf Aquafast Essencia Natural Cx06 X 2l</v>
      </c>
      <c r="H564" s="5" cm="1">
        <f t="array" ref="H564">INDEX('Linha 03'!$C$4:$ZZ$1000,B564,C564)</f>
        <v>0</v>
      </c>
    </row>
    <row r="565" spans="1:8" x14ac:dyDescent="0.25">
      <c r="A565">
        <v>563</v>
      </c>
      <c r="B565">
        <f t="shared" si="16"/>
        <v>14</v>
      </c>
      <c r="C565">
        <f t="shared" si="17"/>
        <v>30</v>
      </c>
      <c r="D565" cm="1">
        <f t="array" ref="D565">INDEX('Linha 03'!$A$4:$A$1000,B565)</f>
        <v>20050016</v>
      </c>
      <c r="E565" t="str" cm="1">
        <f t="array" ref="E565">INDEX('Linha 03'!$B$4:$B$1000,B565)</f>
        <v>Desinfetante Aquafast Marine Cx/06 X 2l</v>
      </c>
      <c r="F565" cm="1">
        <f t="array" ref="F565">INDEX('Linha 03'!$C$3:$ZZ$3,C565)</f>
        <v>20200003</v>
      </c>
      <c r="G565" t="str" cm="1">
        <f t="array" ref="G565">INDEX('Linha 03'!$C$2:$ZZ$2,C565)</f>
        <v>Lava Roup. Aquafast Baby Cx/12 X 1l</v>
      </c>
      <c r="H565" s="5" cm="1">
        <f t="array" ref="H565">INDEX('Linha 03'!$C$4:$ZZ$1000,B565,C565)</f>
        <v>0</v>
      </c>
    </row>
    <row r="566" spans="1:8" x14ac:dyDescent="0.25">
      <c r="A566">
        <v>564</v>
      </c>
      <c r="B566">
        <f t="shared" si="16"/>
        <v>14</v>
      </c>
      <c r="C566">
        <f t="shared" si="17"/>
        <v>31</v>
      </c>
      <c r="D566" cm="1">
        <f t="array" ref="D566">INDEX('Linha 03'!$A$4:$A$1000,B566)</f>
        <v>20050016</v>
      </c>
      <c r="E566" t="str" cm="1">
        <f t="array" ref="E566">INDEX('Linha 03'!$B$4:$B$1000,B566)</f>
        <v>Desinfetante Aquafast Marine Cx/06 X 2l</v>
      </c>
      <c r="F566" cm="1">
        <f t="array" ref="F566">INDEX('Linha 03'!$C$3:$ZZ$3,C566)</f>
        <v>20200005</v>
      </c>
      <c r="G566" t="str" cm="1">
        <f t="array" ref="G566">INDEX('Linha 03'!$C$2:$ZZ$2,C566)</f>
        <v>Lava Roupas Aquafast Multi Acao Cx/06 X 2l</v>
      </c>
      <c r="H566" s="5" cm="1">
        <f t="array" ref="H566">INDEX('Linha 03'!$C$4:$ZZ$1000,B566,C566)</f>
        <v>0</v>
      </c>
    </row>
    <row r="567" spans="1:8" x14ac:dyDescent="0.25">
      <c r="A567">
        <v>565</v>
      </c>
      <c r="B567">
        <f t="shared" si="16"/>
        <v>14</v>
      </c>
      <c r="C567">
        <f t="shared" si="17"/>
        <v>32</v>
      </c>
      <c r="D567" cm="1">
        <f t="array" ref="D567">INDEX('Linha 03'!$A$4:$A$1000,B567)</f>
        <v>20050016</v>
      </c>
      <c r="E567" t="str" cm="1">
        <f t="array" ref="E567">INDEX('Linha 03'!$B$4:$B$1000,B567)</f>
        <v>Desinfetante Aquafast Marine Cx/06 X 2l</v>
      </c>
      <c r="F567" cm="1">
        <f t="array" ref="F567">INDEX('Linha 03'!$C$3:$ZZ$3,C567)</f>
        <v>20200006</v>
      </c>
      <c r="G567" t="str" cm="1">
        <f t="array" ref="G567">INDEX('Linha 03'!$C$2:$ZZ$2,C567)</f>
        <v>Lava Roupas Aquafast Glicerina Cx/06 X 2l</v>
      </c>
      <c r="H567" s="5" cm="1">
        <f t="array" ref="H567">INDEX('Linha 03'!$C$4:$ZZ$1000,B567,C567)</f>
        <v>0</v>
      </c>
    </row>
    <row r="568" spans="1:8" x14ac:dyDescent="0.25">
      <c r="A568">
        <v>566</v>
      </c>
      <c r="B568">
        <f t="shared" si="16"/>
        <v>14</v>
      </c>
      <c r="C568">
        <f t="shared" si="17"/>
        <v>33</v>
      </c>
      <c r="D568" cm="1">
        <f t="array" ref="D568">INDEX('Linha 03'!$A$4:$A$1000,B568)</f>
        <v>20050016</v>
      </c>
      <c r="E568" t="str" cm="1">
        <f t="array" ref="E568">INDEX('Linha 03'!$B$4:$B$1000,B568)</f>
        <v>Desinfetante Aquafast Marine Cx/06 X 2l</v>
      </c>
      <c r="F568" cm="1">
        <f t="array" ref="F568">INDEX('Linha 03'!$C$3:$ZZ$3,C568)</f>
        <v>20200015</v>
      </c>
      <c r="G568" t="str" cm="1">
        <f t="array" ref="G568">INDEX('Linha 03'!$C$2:$ZZ$2,C568)</f>
        <v>Lava Roup. Aquafast Multiacao Cx/12 X 1l</v>
      </c>
      <c r="H568" s="5" cm="1">
        <f t="array" ref="H568">INDEX('Linha 03'!$C$4:$ZZ$1000,B568,C568)</f>
        <v>0</v>
      </c>
    </row>
    <row r="569" spans="1:8" x14ac:dyDescent="0.25">
      <c r="A569">
        <v>567</v>
      </c>
      <c r="B569">
        <f t="shared" si="16"/>
        <v>14</v>
      </c>
      <c r="C569">
        <f t="shared" si="17"/>
        <v>34</v>
      </c>
      <c r="D569" cm="1">
        <f t="array" ref="D569">INDEX('Linha 03'!$A$4:$A$1000,B569)</f>
        <v>20050016</v>
      </c>
      <c r="E569" t="str" cm="1">
        <f t="array" ref="E569">INDEX('Linha 03'!$B$4:$B$1000,B569)</f>
        <v>Desinfetante Aquafast Marine Cx/06 X 2l</v>
      </c>
      <c r="F569" cm="1">
        <f t="array" ref="F569">INDEX('Linha 03'!$C$3:$ZZ$3,C569)</f>
        <v>20200036</v>
      </c>
      <c r="G569" t="str" cm="1">
        <f t="array" ref="G569">INDEX('Linha 03'!$C$2:$ZZ$2,C569)</f>
        <v>Lava Roupas Aquafast Ternura Cx/06 X 2l</v>
      </c>
      <c r="H569" s="5" cm="1">
        <f t="array" ref="H569">INDEX('Linha 03'!$C$4:$ZZ$1000,B569,C569)</f>
        <v>0</v>
      </c>
    </row>
    <row r="570" spans="1:8" x14ac:dyDescent="0.25">
      <c r="A570">
        <v>568</v>
      </c>
      <c r="B570">
        <f t="shared" si="16"/>
        <v>14</v>
      </c>
      <c r="C570">
        <f t="shared" si="17"/>
        <v>35</v>
      </c>
      <c r="D570" cm="1">
        <f t="array" ref="D570">INDEX('Linha 03'!$A$4:$A$1000,B570)</f>
        <v>20050016</v>
      </c>
      <c r="E570" t="str" cm="1">
        <f t="array" ref="E570">INDEX('Linha 03'!$B$4:$B$1000,B570)</f>
        <v>Desinfetante Aquafast Marine Cx/06 X 2l</v>
      </c>
      <c r="F570" cm="1">
        <f t="array" ref="F570">INDEX('Linha 03'!$C$3:$ZZ$3,C570)</f>
        <v>20200063</v>
      </c>
      <c r="G570" t="str" cm="1">
        <f t="array" ref="G570">INDEX('Linha 03'!$C$2:$ZZ$2,C570)</f>
        <v>Lava Roup. Aquafast Tradicional Cx/12 X 1l</v>
      </c>
      <c r="H570" s="5" cm="1">
        <f t="array" ref="H570">INDEX('Linha 03'!$C$4:$ZZ$1000,B570,C570)</f>
        <v>0</v>
      </c>
    </row>
    <row r="571" spans="1:8" x14ac:dyDescent="0.25">
      <c r="A571">
        <v>569</v>
      </c>
      <c r="B571">
        <f t="shared" si="16"/>
        <v>14</v>
      </c>
      <c r="C571">
        <f t="shared" si="17"/>
        <v>36</v>
      </c>
      <c r="D571" cm="1">
        <f t="array" ref="D571">INDEX('Linha 03'!$A$4:$A$1000,B571)</f>
        <v>20050016</v>
      </c>
      <c r="E571" t="str" cm="1">
        <f t="array" ref="E571">INDEX('Linha 03'!$B$4:$B$1000,B571)</f>
        <v>Desinfetante Aquafast Marine Cx/06 X 2l</v>
      </c>
      <c r="F571" cm="1">
        <f t="array" ref="F571">INDEX('Linha 03'!$C$3:$ZZ$3,C571)</f>
        <v>20200064</v>
      </c>
      <c r="G571" t="str" cm="1">
        <f t="array" ref="G571">INDEX('Linha 03'!$C$2:$ZZ$2,C571)</f>
        <v>Lava Roup. Aquafast Flores B. E Baunilha Cx/12 X 1l</v>
      </c>
      <c r="H571" s="5" cm="1">
        <f t="array" ref="H571">INDEX('Linha 03'!$C$4:$ZZ$1000,B571,C571)</f>
        <v>0</v>
      </c>
    </row>
    <row r="572" spans="1:8" x14ac:dyDescent="0.25">
      <c r="A572">
        <v>570</v>
      </c>
      <c r="B572">
        <f t="shared" si="16"/>
        <v>14</v>
      </c>
      <c r="C572">
        <f t="shared" si="17"/>
        <v>37</v>
      </c>
      <c r="D572" cm="1">
        <f t="array" ref="D572">INDEX('Linha 03'!$A$4:$A$1000,B572)</f>
        <v>20050016</v>
      </c>
      <c r="E572" t="str" cm="1">
        <f t="array" ref="E572">INDEX('Linha 03'!$B$4:$B$1000,B572)</f>
        <v>Desinfetante Aquafast Marine Cx/06 X 2l</v>
      </c>
      <c r="F572" cm="1">
        <f t="array" ref="F572">INDEX('Linha 03'!$C$3:$ZZ$3,C572)</f>
        <v>20200065</v>
      </c>
      <c r="G572" t="str" cm="1">
        <f t="array" ref="G572">INDEX('Linha 03'!$C$2:$ZZ$2,C572)</f>
        <v>Lava Roupas Aquafast Flores B. E Baunilha Cx/06 X 2l</v>
      </c>
      <c r="H572" s="5" cm="1">
        <f t="array" ref="H572">INDEX('Linha 03'!$C$4:$ZZ$1000,B572,C572)</f>
        <v>0</v>
      </c>
    </row>
    <row r="573" spans="1:8" x14ac:dyDescent="0.25">
      <c r="A573">
        <v>571</v>
      </c>
      <c r="B573">
        <f t="shared" si="16"/>
        <v>14</v>
      </c>
      <c r="C573">
        <f t="shared" si="17"/>
        <v>38</v>
      </c>
      <c r="D573" cm="1">
        <f t="array" ref="D573">INDEX('Linha 03'!$A$4:$A$1000,B573)</f>
        <v>20050016</v>
      </c>
      <c r="E573" t="str" cm="1">
        <f t="array" ref="E573">INDEX('Linha 03'!$B$4:$B$1000,B573)</f>
        <v>Desinfetante Aquafast Marine Cx/06 X 2l</v>
      </c>
      <c r="F573" cm="1">
        <f t="array" ref="F573">INDEX('Linha 03'!$C$3:$ZZ$3,C573)</f>
        <v>20200072</v>
      </c>
      <c r="G573" t="str" cm="1">
        <f t="array" ref="G573">INDEX('Linha 03'!$C$2:$ZZ$2,C573)</f>
        <v>Lava Roupas Aquafast Lavagem Rapida Total Clean Cx/12 X 1l</v>
      </c>
      <c r="H573" s="5" cm="1">
        <f t="array" ref="H573">INDEX('Linha 03'!$C$4:$ZZ$1000,B573,C573)</f>
        <v>0</v>
      </c>
    </row>
    <row r="574" spans="1:8" x14ac:dyDescent="0.25">
      <c r="A574">
        <v>572</v>
      </c>
      <c r="B574">
        <f t="shared" si="16"/>
        <v>14</v>
      </c>
      <c r="C574">
        <f t="shared" si="17"/>
        <v>39</v>
      </c>
      <c r="D574" cm="1">
        <f t="array" ref="D574">INDEX('Linha 03'!$A$4:$A$1000,B574)</f>
        <v>20050016</v>
      </c>
      <c r="E574" t="str" cm="1">
        <f t="array" ref="E574">INDEX('Linha 03'!$B$4:$B$1000,B574)</f>
        <v>Desinfetante Aquafast Marine Cx/06 X 2l</v>
      </c>
      <c r="F574" cm="1">
        <f t="array" ref="F574">INDEX('Linha 03'!$C$3:$ZZ$3,C574)</f>
        <v>20200074</v>
      </c>
      <c r="G574" t="str" cm="1">
        <f t="array" ref="G574">INDEX('Linha 03'!$C$2:$ZZ$2,C574)</f>
        <v>Lava Roupas Aquafast Lavagem Rapida Fresh Clean Cx/12 X 1l</v>
      </c>
      <c r="H574" s="5" cm="1">
        <f t="array" ref="H574">INDEX('Linha 03'!$C$4:$ZZ$1000,B574,C574)</f>
        <v>0</v>
      </c>
    </row>
    <row r="575" spans="1:8" x14ac:dyDescent="0.25">
      <c r="A575">
        <v>573</v>
      </c>
      <c r="B575">
        <f t="shared" si="16"/>
        <v>14</v>
      </c>
      <c r="C575">
        <f t="shared" si="17"/>
        <v>40</v>
      </c>
      <c r="D575" cm="1">
        <f t="array" ref="D575">INDEX('Linha 03'!$A$4:$A$1000,B575)</f>
        <v>20050016</v>
      </c>
      <c r="E575" t="str" cm="1">
        <f t="array" ref="E575">INDEX('Linha 03'!$B$4:$B$1000,B575)</f>
        <v>Desinfetante Aquafast Marine Cx/06 X 2l</v>
      </c>
      <c r="F575" cm="1">
        <f t="array" ref="F575">INDEX('Linha 03'!$C$3:$ZZ$3,C575)</f>
        <v>20250005</v>
      </c>
      <c r="G575" t="str" cm="1">
        <f t="array" ref="G575">INDEX('Linha 03'!$C$2:$ZZ$2,C575)</f>
        <v>Neutralizador De Odores Aquafast Floral Cx/06 X 2l</v>
      </c>
      <c r="H575" s="5" cm="1">
        <f t="array" ref="H575">INDEX('Linha 03'!$C$4:$ZZ$1000,B575,C575)</f>
        <v>0</v>
      </c>
    </row>
    <row r="576" spans="1:8" x14ac:dyDescent="0.25">
      <c r="A576">
        <v>574</v>
      </c>
      <c r="B576">
        <f t="shared" si="16"/>
        <v>14</v>
      </c>
      <c r="C576">
        <f t="shared" si="17"/>
        <v>41</v>
      </c>
      <c r="D576" cm="1">
        <f t="array" ref="D576">INDEX('Linha 03'!$A$4:$A$1000,B576)</f>
        <v>20050016</v>
      </c>
      <c r="E576" t="str" cm="1">
        <f t="array" ref="E576">INDEX('Linha 03'!$B$4:$B$1000,B576)</f>
        <v>Desinfetante Aquafast Marine Cx/06 X 2l</v>
      </c>
      <c r="F576" cm="1">
        <f t="array" ref="F576">INDEX('Linha 03'!$C$3:$ZZ$3,C576)</f>
        <v>20250007</v>
      </c>
      <c r="G576" t="str" cm="1">
        <f t="array" ref="G576">INDEX('Linha 03'!$C$2:$ZZ$2,C576)</f>
        <v>Neutralizador De Odores Aquafast Marine Cx/06 2l</v>
      </c>
      <c r="H576" s="5" cm="1">
        <f t="array" ref="H576">INDEX('Linha 03'!$C$4:$ZZ$1000,B576,C576)</f>
        <v>0</v>
      </c>
    </row>
    <row r="577" spans="1:8" x14ac:dyDescent="0.25">
      <c r="A577">
        <v>575</v>
      </c>
      <c r="B577">
        <f t="shared" si="16"/>
        <v>15</v>
      </c>
      <c r="C577">
        <f t="shared" si="17"/>
        <v>1</v>
      </c>
      <c r="D577" cm="1">
        <f t="array" ref="D577">INDEX('Linha 03'!$A$4:$A$1000,B577)</f>
        <v>20050031</v>
      </c>
      <c r="E577" t="str" cm="1">
        <f t="array" ref="E577">INDEX('Linha 03'!$B$4:$B$1000,B577)</f>
        <v>Desinfetante Ito Lavanda Cx/06 X 2l</v>
      </c>
      <c r="F577" cm="1">
        <f t="array" ref="F577">INDEX('Linha 03'!$C$3:$ZZ$3,C577)</f>
        <v>20040006</v>
      </c>
      <c r="G577" t="str" cm="1">
        <f t="array" ref="G577">INDEX('Linha 03'!$C$2:$ZZ$2,C577)</f>
        <v>Amaciante Aquafast Azul Fresc. Manha Cx/06 X 2l</v>
      </c>
      <c r="H577" s="5" cm="1">
        <f t="array" ref="H577">INDEX('Linha 03'!$C$4:$ZZ$1000,B577,C577)</f>
        <v>0</v>
      </c>
    </row>
    <row r="578" spans="1:8" x14ac:dyDescent="0.25">
      <c r="A578">
        <v>576</v>
      </c>
      <c r="B578">
        <f t="shared" si="16"/>
        <v>15</v>
      </c>
      <c r="C578">
        <f t="shared" si="17"/>
        <v>2</v>
      </c>
      <c r="D578" cm="1">
        <f t="array" ref="D578">INDEX('Linha 03'!$A$4:$A$1000,B578)</f>
        <v>20050031</v>
      </c>
      <c r="E578" t="str" cm="1">
        <f t="array" ref="E578">INDEX('Linha 03'!$B$4:$B$1000,B578)</f>
        <v>Desinfetante Ito Lavanda Cx/06 X 2l</v>
      </c>
      <c r="F578" cm="1">
        <f t="array" ref="F578">INDEX('Linha 03'!$C$3:$ZZ$3,C578)</f>
        <v>20040008</v>
      </c>
      <c r="G578" t="str" cm="1">
        <f t="array" ref="G578">INDEX('Linha 03'!$C$2:$ZZ$2,C578)</f>
        <v>Amaciante Aquafast Rosa Jard. Florid Cx/06 X 2l</v>
      </c>
      <c r="H578" s="5" cm="1">
        <f t="array" ref="H578">INDEX('Linha 03'!$C$4:$ZZ$1000,B578,C578)</f>
        <v>0</v>
      </c>
    </row>
    <row r="579" spans="1:8" x14ac:dyDescent="0.25">
      <c r="A579">
        <v>577</v>
      </c>
      <c r="B579">
        <f t="shared" si="16"/>
        <v>15</v>
      </c>
      <c r="C579">
        <f t="shared" si="17"/>
        <v>3</v>
      </c>
      <c r="D579" cm="1">
        <f t="array" ref="D579">INDEX('Linha 03'!$A$4:$A$1000,B579)</f>
        <v>20050031</v>
      </c>
      <c r="E579" t="str" cm="1">
        <f t="array" ref="E579">INDEX('Linha 03'!$B$4:$B$1000,B579)</f>
        <v>Desinfetante Ito Lavanda Cx/06 X 2l</v>
      </c>
      <c r="F579" cm="1">
        <f t="array" ref="F579">INDEX('Linha 03'!$C$3:$ZZ$3,C579)</f>
        <v>20040009</v>
      </c>
      <c r="G579" t="str" cm="1">
        <f t="array" ref="G579">INDEX('Linha 03'!$C$2:$ZZ$2,C579)</f>
        <v>Amaciante Aquafast Branco Pura Caric. Cx/06 X 2l</v>
      </c>
      <c r="H579" s="5" cm="1">
        <f t="array" ref="H579">INDEX('Linha 03'!$C$4:$ZZ$1000,B579,C579)</f>
        <v>0</v>
      </c>
    </row>
    <row r="580" spans="1:8" x14ac:dyDescent="0.25">
      <c r="A580">
        <v>578</v>
      </c>
      <c r="B580">
        <f t="shared" ref="B580:B643" si="18">INT((A580-1)/$B$1)+1</f>
        <v>15</v>
      </c>
      <c r="C580">
        <f t="shared" ref="C580:C643" si="19">MOD(A580-1,$B$1)+1</f>
        <v>4</v>
      </c>
      <c r="D580" cm="1">
        <f t="array" ref="D580">INDEX('Linha 03'!$A$4:$A$1000,B580)</f>
        <v>20050031</v>
      </c>
      <c r="E580" t="str" cm="1">
        <f t="array" ref="E580">INDEX('Linha 03'!$B$4:$B$1000,B580)</f>
        <v>Desinfetante Ito Lavanda Cx/06 X 2l</v>
      </c>
      <c r="F580" cm="1">
        <f t="array" ref="F580">INDEX('Linha 03'!$C$3:$ZZ$3,C580)</f>
        <v>20040026</v>
      </c>
      <c r="G580" t="str" cm="1">
        <f t="array" ref="G580">INDEX('Linha 03'!$C$2:$ZZ$2,C580)</f>
        <v>Amaciante Ito Azul Cx/06 X 2l</v>
      </c>
      <c r="H580" s="5" cm="1">
        <f t="array" ref="H580">INDEX('Linha 03'!$C$4:$ZZ$1000,B580,C580)</f>
        <v>0</v>
      </c>
    </row>
    <row r="581" spans="1:8" x14ac:dyDescent="0.25">
      <c r="A581">
        <v>579</v>
      </c>
      <c r="B581">
        <f t="shared" si="18"/>
        <v>15</v>
      </c>
      <c r="C581">
        <f t="shared" si="19"/>
        <v>5</v>
      </c>
      <c r="D581" cm="1">
        <f t="array" ref="D581">INDEX('Linha 03'!$A$4:$A$1000,B581)</f>
        <v>20050031</v>
      </c>
      <c r="E581" t="str" cm="1">
        <f t="array" ref="E581">INDEX('Linha 03'!$B$4:$B$1000,B581)</f>
        <v>Desinfetante Ito Lavanda Cx/06 X 2l</v>
      </c>
      <c r="F581" cm="1">
        <f t="array" ref="F581">INDEX('Linha 03'!$C$3:$ZZ$3,C581)</f>
        <v>20040028</v>
      </c>
      <c r="G581" t="str" cm="1">
        <f t="array" ref="G581">INDEX('Linha 03'!$C$2:$ZZ$2,C581)</f>
        <v>Amaciante Ito Rosa Cx/06 X 2l</v>
      </c>
      <c r="H581" s="5" cm="1">
        <f t="array" ref="H581">INDEX('Linha 03'!$C$4:$ZZ$1000,B581,C581)</f>
        <v>0</v>
      </c>
    </row>
    <row r="582" spans="1:8" x14ac:dyDescent="0.25">
      <c r="A582">
        <v>580</v>
      </c>
      <c r="B582">
        <f t="shared" si="18"/>
        <v>15</v>
      </c>
      <c r="C582">
        <f t="shared" si="19"/>
        <v>6</v>
      </c>
      <c r="D582" cm="1">
        <f t="array" ref="D582">INDEX('Linha 03'!$A$4:$A$1000,B582)</f>
        <v>20050031</v>
      </c>
      <c r="E582" t="str" cm="1">
        <f t="array" ref="E582">INDEX('Linha 03'!$B$4:$B$1000,B582)</f>
        <v>Desinfetante Ito Lavanda Cx/06 X 2l</v>
      </c>
      <c r="F582" cm="1">
        <f t="array" ref="F582">INDEX('Linha 03'!$C$3:$ZZ$3,C582)</f>
        <v>20040029</v>
      </c>
      <c r="G582" t="str" cm="1">
        <f t="array" ref="G582">INDEX('Linha 03'!$C$2:$ZZ$2,C582)</f>
        <v>Amaciante Ito Branco Cx/06 X 2l</v>
      </c>
      <c r="H582" s="5" cm="1">
        <f t="array" ref="H582">INDEX('Linha 03'!$C$4:$ZZ$1000,B582,C582)</f>
        <v>0</v>
      </c>
    </row>
    <row r="583" spans="1:8" x14ac:dyDescent="0.25">
      <c r="A583">
        <v>581</v>
      </c>
      <c r="B583">
        <f t="shared" si="18"/>
        <v>15</v>
      </c>
      <c r="C583">
        <f t="shared" si="19"/>
        <v>7</v>
      </c>
      <c r="D583" cm="1">
        <f t="array" ref="D583">INDEX('Linha 03'!$A$4:$A$1000,B583)</f>
        <v>20050031</v>
      </c>
      <c r="E583" t="str" cm="1">
        <f t="array" ref="E583">INDEX('Linha 03'!$B$4:$B$1000,B583)</f>
        <v>Desinfetante Ito Lavanda Cx/06 X 2l</v>
      </c>
      <c r="F583" cm="1">
        <f t="array" ref="F583">INDEX('Linha 03'!$C$3:$ZZ$3,C583)</f>
        <v>20040055</v>
      </c>
      <c r="G583" t="str" cm="1">
        <f t="array" ref="G583">INDEX('Linha 03'!$C$2:$ZZ$2,C583)</f>
        <v>Amaciante Myata Azul Cx/06 X 2l</v>
      </c>
      <c r="H583" s="5" cm="1">
        <f t="array" ref="H583">INDEX('Linha 03'!$C$4:$ZZ$1000,B583,C583)</f>
        <v>0</v>
      </c>
    </row>
    <row r="584" spans="1:8" x14ac:dyDescent="0.25">
      <c r="A584">
        <v>582</v>
      </c>
      <c r="B584">
        <f t="shared" si="18"/>
        <v>15</v>
      </c>
      <c r="C584">
        <f t="shared" si="19"/>
        <v>8</v>
      </c>
      <c r="D584" cm="1">
        <f t="array" ref="D584">INDEX('Linha 03'!$A$4:$A$1000,B584)</f>
        <v>20050031</v>
      </c>
      <c r="E584" t="str" cm="1">
        <f t="array" ref="E584">INDEX('Linha 03'!$B$4:$B$1000,B584)</f>
        <v>Desinfetante Ito Lavanda Cx/06 X 2l</v>
      </c>
      <c r="F584" cm="1">
        <f t="array" ref="F584">INDEX('Linha 03'!$C$3:$ZZ$3,C584)</f>
        <v>20040057</v>
      </c>
      <c r="G584" t="str" cm="1">
        <f t="array" ref="G584">INDEX('Linha 03'!$C$2:$ZZ$2,C584)</f>
        <v>Amaciante Myata Rosa Cx/06 X 2l</v>
      </c>
      <c r="H584" s="5" cm="1">
        <f t="array" ref="H584">INDEX('Linha 03'!$C$4:$ZZ$1000,B584,C584)</f>
        <v>0</v>
      </c>
    </row>
    <row r="585" spans="1:8" x14ac:dyDescent="0.25">
      <c r="A585">
        <v>583</v>
      </c>
      <c r="B585">
        <f t="shared" si="18"/>
        <v>15</v>
      </c>
      <c r="C585">
        <f t="shared" si="19"/>
        <v>9</v>
      </c>
      <c r="D585" cm="1">
        <f t="array" ref="D585">INDEX('Linha 03'!$A$4:$A$1000,B585)</f>
        <v>20050031</v>
      </c>
      <c r="E585" t="str" cm="1">
        <f t="array" ref="E585">INDEX('Linha 03'!$B$4:$B$1000,B585)</f>
        <v>Desinfetante Ito Lavanda Cx/06 X 2l</v>
      </c>
      <c r="F585" cm="1">
        <f t="array" ref="F585">INDEX('Linha 03'!$C$3:$ZZ$3,C585)</f>
        <v>20040084</v>
      </c>
      <c r="G585" t="str" cm="1">
        <f t="array" ref="G585">INDEX('Linha 03'!$C$2:$ZZ$2,C585)</f>
        <v>Amaciante Aquafast Vermelho Seducao Cx C/06 X 2l</v>
      </c>
      <c r="H585" s="5" cm="1">
        <f t="array" ref="H585">INDEX('Linha 03'!$C$4:$ZZ$1000,B585,C585)</f>
        <v>0</v>
      </c>
    </row>
    <row r="586" spans="1:8" x14ac:dyDescent="0.25">
      <c r="A586">
        <v>584</v>
      </c>
      <c r="B586">
        <f t="shared" si="18"/>
        <v>15</v>
      </c>
      <c r="C586">
        <f t="shared" si="19"/>
        <v>10</v>
      </c>
      <c r="D586" cm="1">
        <f t="array" ref="D586">INDEX('Linha 03'!$A$4:$A$1000,B586)</f>
        <v>20050031</v>
      </c>
      <c r="E586" t="str" cm="1">
        <f t="array" ref="E586">INDEX('Linha 03'!$B$4:$B$1000,B586)</f>
        <v>Desinfetante Ito Lavanda Cx/06 X 2l</v>
      </c>
      <c r="F586" cm="1">
        <f t="array" ref="F586">INDEX('Linha 03'!$C$3:$ZZ$3,C586)</f>
        <v>20040089</v>
      </c>
      <c r="G586" t="str" cm="1">
        <f t="array" ref="G586">INDEX('Linha 03'!$C$2:$ZZ$2,C586)</f>
        <v>Amaciante Aquafast Roxo Magia Cx/06 X 2l</v>
      </c>
      <c r="H586" s="5" cm="1">
        <f t="array" ref="H586">INDEX('Linha 03'!$C$4:$ZZ$1000,B586,C586)</f>
        <v>0</v>
      </c>
    </row>
    <row r="587" spans="1:8" x14ac:dyDescent="0.25">
      <c r="A587">
        <v>585</v>
      </c>
      <c r="B587">
        <f t="shared" si="18"/>
        <v>15</v>
      </c>
      <c r="C587">
        <f t="shared" si="19"/>
        <v>11</v>
      </c>
      <c r="D587" cm="1">
        <f t="array" ref="D587">INDEX('Linha 03'!$A$4:$A$1000,B587)</f>
        <v>20050031</v>
      </c>
      <c r="E587" t="str" cm="1">
        <f t="array" ref="E587">INDEX('Linha 03'!$B$4:$B$1000,B587)</f>
        <v>Desinfetante Ito Lavanda Cx/06 X 2l</v>
      </c>
      <c r="F587" cm="1">
        <f t="array" ref="F587">INDEX('Linha 03'!$C$3:$ZZ$3,C587)</f>
        <v>20040094</v>
      </c>
      <c r="G587" t="str" cm="1">
        <f t="array" ref="G587">INDEX('Linha 03'!$C$2:$ZZ$2,C587)</f>
        <v>Amaciante Aquafast Energia Cx/06 X 2l</v>
      </c>
      <c r="H587" s="5" cm="1">
        <f t="array" ref="H587">INDEX('Linha 03'!$C$4:$ZZ$1000,B587,C587)</f>
        <v>0</v>
      </c>
    </row>
    <row r="588" spans="1:8" x14ac:dyDescent="0.25">
      <c r="A588">
        <v>586</v>
      </c>
      <c r="B588">
        <f t="shared" si="18"/>
        <v>15</v>
      </c>
      <c r="C588">
        <f t="shared" si="19"/>
        <v>12</v>
      </c>
      <c r="D588" cm="1">
        <f t="array" ref="D588">INDEX('Linha 03'!$A$4:$A$1000,B588)</f>
        <v>20050031</v>
      </c>
      <c r="E588" t="str" cm="1">
        <f t="array" ref="E588">INDEX('Linha 03'!$B$4:$B$1000,B588)</f>
        <v>Desinfetante Ito Lavanda Cx/06 X 2l</v>
      </c>
      <c r="F588" cm="1">
        <f t="array" ref="F588">INDEX('Linha 03'!$C$3:$ZZ$3,C588)</f>
        <v>20050010</v>
      </c>
      <c r="G588" t="str" cm="1">
        <f t="array" ref="G588">INDEX('Linha 03'!$C$2:$ZZ$2,C588)</f>
        <v>Desinfetante Aquafast Campos Lavanda Cx/06 X 2l</v>
      </c>
      <c r="H588" s="5" cm="1">
        <f t="array" ref="H588">INDEX('Linha 03'!$C$4:$ZZ$1000,B588,C588)</f>
        <v>0</v>
      </c>
    </row>
    <row r="589" spans="1:8" x14ac:dyDescent="0.25">
      <c r="A589">
        <v>587</v>
      </c>
      <c r="B589">
        <f t="shared" si="18"/>
        <v>15</v>
      </c>
      <c r="C589">
        <f t="shared" si="19"/>
        <v>13</v>
      </c>
      <c r="D589" cm="1">
        <f t="array" ref="D589">INDEX('Linha 03'!$A$4:$A$1000,B589)</f>
        <v>20050031</v>
      </c>
      <c r="E589" t="str" cm="1">
        <f t="array" ref="E589">INDEX('Linha 03'!$B$4:$B$1000,B589)</f>
        <v>Desinfetante Ito Lavanda Cx/06 X 2l</v>
      </c>
      <c r="F589" cm="1">
        <f t="array" ref="F589">INDEX('Linha 03'!$C$3:$ZZ$3,C589)</f>
        <v>20050011</v>
      </c>
      <c r="G589" t="str" cm="1">
        <f t="array" ref="G589">INDEX('Linha 03'!$C$2:$ZZ$2,C589)</f>
        <v>Desinfetante Aquafast Jardim Florido Cx/06 X 2l</v>
      </c>
      <c r="H589" s="5" cm="1">
        <f t="array" ref="H589">INDEX('Linha 03'!$C$4:$ZZ$1000,B589,C589)</f>
        <v>0</v>
      </c>
    </row>
    <row r="590" spans="1:8" x14ac:dyDescent="0.25">
      <c r="A590">
        <v>588</v>
      </c>
      <c r="B590">
        <f t="shared" si="18"/>
        <v>15</v>
      </c>
      <c r="C590">
        <f t="shared" si="19"/>
        <v>14</v>
      </c>
      <c r="D590" cm="1">
        <f t="array" ref="D590">INDEX('Linha 03'!$A$4:$A$1000,B590)</f>
        <v>20050031</v>
      </c>
      <c r="E590" t="str" cm="1">
        <f t="array" ref="E590">INDEX('Linha 03'!$B$4:$B$1000,B590)</f>
        <v>Desinfetante Ito Lavanda Cx/06 X 2l</v>
      </c>
      <c r="F590" cm="1">
        <f t="array" ref="F590">INDEX('Linha 03'!$C$3:$ZZ$3,C590)</f>
        <v>20050016</v>
      </c>
      <c r="G590" t="str" cm="1">
        <f t="array" ref="G590">INDEX('Linha 03'!$C$2:$ZZ$2,C590)</f>
        <v>Desinfetante Aquafast Marine Cx/06 X 2l</v>
      </c>
      <c r="H590" s="5" cm="1">
        <f t="array" ref="H590">INDEX('Linha 03'!$C$4:$ZZ$1000,B590,C590)</f>
        <v>0</v>
      </c>
    </row>
    <row r="591" spans="1:8" x14ac:dyDescent="0.25">
      <c r="A591">
        <v>589</v>
      </c>
      <c r="B591">
        <f t="shared" si="18"/>
        <v>15</v>
      </c>
      <c r="C591">
        <f t="shared" si="19"/>
        <v>15</v>
      </c>
      <c r="D591" cm="1">
        <f t="array" ref="D591">INDEX('Linha 03'!$A$4:$A$1000,B591)</f>
        <v>20050031</v>
      </c>
      <c r="E591" t="str" cm="1">
        <f t="array" ref="E591">INDEX('Linha 03'!$B$4:$B$1000,B591)</f>
        <v>Desinfetante Ito Lavanda Cx/06 X 2l</v>
      </c>
      <c r="F591" cm="1">
        <f t="array" ref="F591">INDEX('Linha 03'!$C$3:$ZZ$3,C591)</f>
        <v>20050031</v>
      </c>
      <c r="G591" t="str" cm="1">
        <f t="array" ref="G591">INDEX('Linha 03'!$C$2:$ZZ$2,C591)</f>
        <v>Desinfetante Ito Lavanda Cx/06 X 2l</v>
      </c>
      <c r="H591" s="5" cm="1">
        <f t="array" ref="H591">INDEX('Linha 03'!$C$4:$ZZ$1000,B591,C591)</f>
        <v>0</v>
      </c>
    </row>
    <row r="592" spans="1:8" x14ac:dyDescent="0.25">
      <c r="A592">
        <v>590</v>
      </c>
      <c r="B592">
        <f t="shared" si="18"/>
        <v>15</v>
      </c>
      <c r="C592">
        <f t="shared" si="19"/>
        <v>16</v>
      </c>
      <c r="D592" cm="1">
        <f t="array" ref="D592">INDEX('Linha 03'!$A$4:$A$1000,B592)</f>
        <v>20050031</v>
      </c>
      <c r="E592" t="str" cm="1">
        <f t="array" ref="E592">INDEX('Linha 03'!$B$4:$B$1000,B592)</f>
        <v>Desinfetante Ito Lavanda Cx/06 X 2l</v>
      </c>
      <c r="F592" cm="1">
        <f t="array" ref="F592">INDEX('Linha 03'!$C$3:$ZZ$3,C592)</f>
        <v>20050032</v>
      </c>
      <c r="G592" t="str" cm="1">
        <f t="array" ref="G592">INDEX('Linha 03'!$C$2:$ZZ$2,C592)</f>
        <v>Desinfetante Ito Floral Cx/06 X 2l</v>
      </c>
      <c r="H592" s="5" cm="1">
        <f t="array" ref="H592">INDEX('Linha 03'!$C$4:$ZZ$1000,B592,C592)</f>
        <v>0</v>
      </c>
    </row>
    <row r="593" spans="1:8" x14ac:dyDescent="0.25">
      <c r="A593">
        <v>591</v>
      </c>
      <c r="B593">
        <f t="shared" si="18"/>
        <v>15</v>
      </c>
      <c r="C593">
        <f t="shared" si="19"/>
        <v>17</v>
      </c>
      <c r="D593" cm="1">
        <f t="array" ref="D593">INDEX('Linha 03'!$A$4:$A$1000,B593)</f>
        <v>20050031</v>
      </c>
      <c r="E593" t="str" cm="1">
        <f t="array" ref="E593">INDEX('Linha 03'!$B$4:$B$1000,B593)</f>
        <v>Desinfetante Ito Lavanda Cx/06 X 2l</v>
      </c>
      <c r="F593" cm="1">
        <f t="array" ref="F593">INDEX('Linha 03'!$C$3:$ZZ$3,C593)</f>
        <v>20050034</v>
      </c>
      <c r="G593" t="str" cm="1">
        <f t="array" ref="G593">INDEX('Linha 03'!$C$2:$ZZ$2,C593)</f>
        <v>Desinfetante Ito Eucalipto Cx/06 X 2l</v>
      </c>
      <c r="H593" s="5" cm="1">
        <f t="array" ref="H593">INDEX('Linha 03'!$C$4:$ZZ$1000,B593,C593)</f>
        <v>0</v>
      </c>
    </row>
    <row r="594" spans="1:8" x14ac:dyDescent="0.25">
      <c r="A594">
        <v>592</v>
      </c>
      <c r="B594">
        <f t="shared" si="18"/>
        <v>15</v>
      </c>
      <c r="C594">
        <f t="shared" si="19"/>
        <v>18</v>
      </c>
      <c r="D594" cm="1">
        <f t="array" ref="D594">INDEX('Linha 03'!$A$4:$A$1000,B594)</f>
        <v>20050031</v>
      </c>
      <c r="E594" t="str" cm="1">
        <f t="array" ref="E594">INDEX('Linha 03'!$B$4:$B$1000,B594)</f>
        <v>Desinfetante Ito Lavanda Cx/06 X 2l</v>
      </c>
      <c r="F594" cm="1">
        <f t="array" ref="F594">INDEX('Linha 03'!$C$3:$ZZ$3,C594)</f>
        <v>20050077</v>
      </c>
      <c r="G594" t="str" cm="1">
        <f t="array" ref="G594">INDEX('Linha 03'!$C$2:$ZZ$2,C594)</f>
        <v>Desinfetante Myata Lavanda Cx/06 X 2l</v>
      </c>
      <c r="H594" s="5" cm="1">
        <f t="array" ref="H594">INDEX('Linha 03'!$C$4:$ZZ$1000,B594,C594)</f>
        <v>0</v>
      </c>
    </row>
    <row r="595" spans="1:8" x14ac:dyDescent="0.25">
      <c r="A595">
        <v>593</v>
      </c>
      <c r="B595">
        <f t="shared" si="18"/>
        <v>15</v>
      </c>
      <c r="C595">
        <f t="shared" si="19"/>
        <v>19</v>
      </c>
      <c r="D595" cm="1">
        <f t="array" ref="D595">INDEX('Linha 03'!$A$4:$A$1000,B595)</f>
        <v>20050031</v>
      </c>
      <c r="E595" t="str" cm="1">
        <f t="array" ref="E595">INDEX('Linha 03'!$B$4:$B$1000,B595)</f>
        <v>Desinfetante Ito Lavanda Cx/06 X 2l</v>
      </c>
      <c r="F595" cm="1">
        <f t="array" ref="F595">INDEX('Linha 03'!$C$3:$ZZ$3,C595)</f>
        <v>20050078</v>
      </c>
      <c r="G595" t="str" cm="1">
        <f t="array" ref="G595">INDEX('Linha 03'!$C$2:$ZZ$2,C595)</f>
        <v>Desinfetante Myata Floral Cx/06 X 2l</v>
      </c>
      <c r="H595" s="5" cm="1">
        <f t="array" ref="H595">INDEX('Linha 03'!$C$4:$ZZ$1000,B595,C595)</f>
        <v>0</v>
      </c>
    </row>
    <row r="596" spans="1:8" x14ac:dyDescent="0.25">
      <c r="A596">
        <v>594</v>
      </c>
      <c r="B596">
        <f t="shared" si="18"/>
        <v>15</v>
      </c>
      <c r="C596">
        <f t="shared" si="19"/>
        <v>20</v>
      </c>
      <c r="D596" cm="1">
        <f t="array" ref="D596">INDEX('Linha 03'!$A$4:$A$1000,B596)</f>
        <v>20050031</v>
      </c>
      <c r="E596" t="str" cm="1">
        <f t="array" ref="E596">INDEX('Linha 03'!$B$4:$B$1000,B596)</f>
        <v>Desinfetante Ito Lavanda Cx/06 X 2l</v>
      </c>
      <c r="F596" cm="1">
        <f t="array" ref="F596">INDEX('Linha 03'!$C$3:$ZZ$3,C596)</f>
        <v>20050115</v>
      </c>
      <c r="G596" t="str" cm="1">
        <f t="array" ref="G596">INDEX('Linha 03'!$C$2:$ZZ$2,C596)</f>
        <v>Desinfetante Aquafast Paixao Cx/06 X 2l</v>
      </c>
      <c r="H596" s="5" cm="1">
        <f t="array" ref="H596">INDEX('Linha 03'!$C$4:$ZZ$1000,B596,C596)</f>
        <v>0</v>
      </c>
    </row>
    <row r="597" spans="1:8" x14ac:dyDescent="0.25">
      <c r="A597">
        <v>595</v>
      </c>
      <c r="B597">
        <f t="shared" si="18"/>
        <v>15</v>
      </c>
      <c r="C597">
        <f t="shared" si="19"/>
        <v>21</v>
      </c>
      <c r="D597" cm="1">
        <f t="array" ref="D597">INDEX('Linha 03'!$A$4:$A$1000,B597)</f>
        <v>20050031</v>
      </c>
      <c r="E597" t="str" cm="1">
        <f t="array" ref="E597">INDEX('Linha 03'!$B$4:$B$1000,B597)</f>
        <v>Desinfetante Ito Lavanda Cx/06 X 2l</v>
      </c>
      <c r="F597" cm="1">
        <f t="array" ref="F597">INDEX('Linha 03'!$C$3:$ZZ$3,C597)</f>
        <v>20050117</v>
      </c>
      <c r="G597" t="str" cm="1">
        <f t="array" ref="G597">INDEX('Linha 03'!$C$2:$ZZ$2,C597)</f>
        <v>Desinfetante Aquafast Harmonia Natural Cx/06 X 2l</v>
      </c>
      <c r="H597" s="5" cm="1">
        <f t="array" ref="H597">INDEX('Linha 03'!$C$4:$ZZ$1000,B597,C597)</f>
        <v>0</v>
      </c>
    </row>
    <row r="598" spans="1:8" x14ac:dyDescent="0.25">
      <c r="A598">
        <v>596</v>
      </c>
      <c r="B598">
        <f t="shared" si="18"/>
        <v>15</v>
      </c>
      <c r="C598">
        <f t="shared" si="19"/>
        <v>22</v>
      </c>
      <c r="D598" cm="1">
        <f t="array" ref="D598">INDEX('Linha 03'!$A$4:$A$1000,B598)</f>
        <v>20050031</v>
      </c>
      <c r="E598" t="str" cm="1">
        <f t="array" ref="E598">INDEX('Linha 03'!$B$4:$B$1000,B598)</f>
        <v>Desinfetante Ito Lavanda Cx/06 X 2l</v>
      </c>
      <c r="F598" cm="1">
        <f t="array" ref="F598">INDEX('Linha 03'!$C$3:$ZZ$3,C598)</f>
        <v>20050123</v>
      </c>
      <c r="G598" t="str" cm="1">
        <f t="array" ref="G598">INDEX('Linha 03'!$C$2:$ZZ$2,C598)</f>
        <v>Desinfetante Ito Harmonia Natural Cx/06 X 2l</v>
      </c>
      <c r="H598" s="5" cm="1">
        <f t="array" ref="H598">INDEX('Linha 03'!$C$4:$ZZ$1000,B598,C598)</f>
        <v>0</v>
      </c>
    </row>
    <row r="599" spans="1:8" x14ac:dyDescent="0.25">
      <c r="A599">
        <v>597</v>
      </c>
      <c r="B599">
        <f t="shared" si="18"/>
        <v>15</v>
      </c>
      <c r="C599">
        <f t="shared" si="19"/>
        <v>23</v>
      </c>
      <c r="D599" cm="1">
        <f t="array" ref="D599">INDEX('Linha 03'!$A$4:$A$1000,B599)</f>
        <v>20050031</v>
      </c>
      <c r="E599" t="str" cm="1">
        <f t="array" ref="E599">INDEX('Linha 03'!$B$4:$B$1000,B599)</f>
        <v>Desinfetante Ito Lavanda Cx/06 X 2l</v>
      </c>
      <c r="F599" cm="1">
        <f t="array" ref="F599">INDEX('Linha 03'!$C$3:$ZZ$3,C599)</f>
        <v>20050124</v>
      </c>
      <c r="G599" t="str" cm="1">
        <f t="array" ref="G599">INDEX('Linha 03'!$C$2:$ZZ$2,C599)</f>
        <v>Desinfetante Myata Harmonia Natural Cx/06 X 2l</v>
      </c>
      <c r="H599" s="5" cm="1">
        <f t="array" ref="H599">INDEX('Linha 03'!$C$4:$ZZ$1000,B599,C599)</f>
        <v>0</v>
      </c>
    </row>
    <row r="600" spans="1:8" x14ac:dyDescent="0.25">
      <c r="A600">
        <v>598</v>
      </c>
      <c r="B600">
        <f t="shared" si="18"/>
        <v>15</v>
      </c>
      <c r="C600">
        <f t="shared" si="19"/>
        <v>24</v>
      </c>
      <c r="D600" cm="1">
        <f t="array" ref="D600">INDEX('Linha 03'!$A$4:$A$1000,B600)</f>
        <v>20050031</v>
      </c>
      <c r="E600" t="str" cm="1">
        <f t="array" ref="E600">INDEX('Linha 03'!$B$4:$B$1000,B600)</f>
        <v>Desinfetante Ito Lavanda Cx/06 X 2l</v>
      </c>
      <c r="F600" cm="1">
        <f t="array" ref="F600">INDEX('Linha 03'!$C$3:$ZZ$3,C600)</f>
        <v>20050142</v>
      </c>
      <c r="G600" t="str" cm="1">
        <f t="array" ref="G600">INDEX('Linha 03'!$C$2:$ZZ$2,C600)</f>
        <v>Desinfetante Ito Marine Cx/06 X 2l</v>
      </c>
      <c r="H600" s="5" cm="1">
        <f t="array" ref="H600">INDEX('Linha 03'!$C$4:$ZZ$1000,B600,C600)</f>
        <v>0</v>
      </c>
    </row>
    <row r="601" spans="1:8" x14ac:dyDescent="0.25">
      <c r="A601">
        <v>599</v>
      </c>
      <c r="B601">
        <f t="shared" si="18"/>
        <v>15</v>
      </c>
      <c r="C601">
        <f t="shared" si="19"/>
        <v>25</v>
      </c>
      <c r="D601" cm="1">
        <f t="array" ref="D601">INDEX('Linha 03'!$A$4:$A$1000,B601)</f>
        <v>20050031</v>
      </c>
      <c r="E601" t="str" cm="1">
        <f t="array" ref="E601">INDEX('Linha 03'!$B$4:$B$1000,B601)</f>
        <v>Desinfetante Ito Lavanda Cx/06 X 2l</v>
      </c>
      <c r="F601" cm="1">
        <f t="array" ref="F601">INDEX('Linha 03'!$C$3:$ZZ$3,C601)</f>
        <v>20050159</v>
      </c>
      <c r="G601" t="str" cm="1">
        <f t="array" ref="G601">INDEX('Linha 03'!$C$2:$ZZ$2,C601)</f>
        <v>Desinfetante Aquafast Cha Branco Cx/06 X 2l</v>
      </c>
      <c r="H601" s="5" cm="1">
        <f t="array" ref="H601">INDEX('Linha 03'!$C$4:$ZZ$1000,B601,C601)</f>
        <v>1.38888888888889E-2</v>
      </c>
    </row>
    <row r="602" spans="1:8" x14ac:dyDescent="0.25">
      <c r="A602">
        <v>600</v>
      </c>
      <c r="B602">
        <f t="shared" si="18"/>
        <v>15</v>
      </c>
      <c r="C602">
        <f t="shared" si="19"/>
        <v>26</v>
      </c>
      <c r="D602" cm="1">
        <f t="array" ref="D602">INDEX('Linha 03'!$A$4:$A$1000,B602)</f>
        <v>20050031</v>
      </c>
      <c r="E602" t="str" cm="1">
        <f t="array" ref="E602">INDEX('Linha 03'!$B$4:$B$1000,B602)</f>
        <v>Desinfetante Ito Lavanda Cx/06 X 2l</v>
      </c>
      <c r="F602" cm="1">
        <f t="array" ref="F602">INDEX('Linha 03'!$C$3:$ZZ$3,C602)</f>
        <v>20060007</v>
      </c>
      <c r="G602" t="str" cm="1">
        <f t="array" ref="G602">INDEX('Linha 03'!$C$2:$ZZ$2,C602)</f>
        <v>Limp Perf Aquafast Magia Seducao Cx/06 X 2l (Promoc)</v>
      </c>
      <c r="H602" s="5" cm="1">
        <f t="array" ref="H602">INDEX('Linha 03'!$C$4:$ZZ$1000,B602,C602)</f>
        <v>0</v>
      </c>
    </row>
    <row r="603" spans="1:8" x14ac:dyDescent="0.25">
      <c r="A603">
        <v>601</v>
      </c>
      <c r="B603">
        <f t="shared" si="18"/>
        <v>15</v>
      </c>
      <c r="C603">
        <f t="shared" si="19"/>
        <v>27</v>
      </c>
      <c r="D603" cm="1">
        <f t="array" ref="D603">INDEX('Linha 03'!$A$4:$A$1000,B603)</f>
        <v>20050031</v>
      </c>
      <c r="E603" t="str" cm="1">
        <f t="array" ref="E603">INDEX('Linha 03'!$B$4:$B$1000,B603)</f>
        <v>Desinfetante Ito Lavanda Cx/06 X 2l</v>
      </c>
      <c r="F603" cm="1">
        <f t="array" ref="F603">INDEX('Linha 03'!$C$3:$ZZ$3,C603)</f>
        <v>20060009</v>
      </c>
      <c r="G603" t="str" cm="1">
        <f t="array" ref="G603">INDEX('Linha 03'!$C$2:$ZZ$2,C603)</f>
        <v>Limp Perf Aquafast Frescor Da Manha Cx/06 X 2l (Promoc)</v>
      </c>
      <c r="H603" s="5" cm="1">
        <f t="array" ref="H603">INDEX('Linha 03'!$C$4:$ZZ$1000,B603,C603)</f>
        <v>0</v>
      </c>
    </row>
    <row r="604" spans="1:8" x14ac:dyDescent="0.25">
      <c r="A604">
        <v>602</v>
      </c>
      <c r="B604">
        <f t="shared" si="18"/>
        <v>15</v>
      </c>
      <c r="C604">
        <f t="shared" si="19"/>
        <v>28</v>
      </c>
      <c r="D604" cm="1">
        <f t="array" ref="D604">INDEX('Linha 03'!$A$4:$A$1000,B604)</f>
        <v>20050031</v>
      </c>
      <c r="E604" t="str" cm="1">
        <f t="array" ref="E604">INDEX('Linha 03'!$B$4:$B$1000,B604)</f>
        <v>Desinfetante Ito Lavanda Cx/06 X 2l</v>
      </c>
      <c r="F604" cm="1">
        <f t="array" ref="F604">INDEX('Linha 03'!$C$3:$ZZ$3,C604)</f>
        <v>20060017</v>
      </c>
      <c r="G604" t="str" cm="1">
        <f t="array" ref="G604">INDEX('Linha 03'!$C$2:$ZZ$2,C604)</f>
        <v>Limp Perf Aquafast Doce Romance Cx/06 X 2l (Promoc)</v>
      </c>
      <c r="H604" s="5" cm="1">
        <f t="array" ref="H604">INDEX('Linha 03'!$C$4:$ZZ$1000,B604,C604)</f>
        <v>0</v>
      </c>
    </row>
    <row r="605" spans="1:8" x14ac:dyDescent="0.25">
      <c r="A605">
        <v>603</v>
      </c>
      <c r="B605">
        <f t="shared" si="18"/>
        <v>15</v>
      </c>
      <c r="C605">
        <f t="shared" si="19"/>
        <v>29</v>
      </c>
      <c r="D605" cm="1">
        <f t="array" ref="D605">INDEX('Linha 03'!$A$4:$A$1000,B605)</f>
        <v>20050031</v>
      </c>
      <c r="E605" t="str" cm="1">
        <f t="array" ref="E605">INDEX('Linha 03'!$B$4:$B$1000,B605)</f>
        <v>Desinfetante Ito Lavanda Cx/06 X 2l</v>
      </c>
      <c r="F605" cm="1">
        <f t="array" ref="F605">INDEX('Linha 03'!$C$3:$ZZ$3,C605)</f>
        <v>20060028</v>
      </c>
      <c r="G605" t="str" cm="1">
        <f t="array" ref="G605">INDEX('Linha 03'!$C$2:$ZZ$2,C605)</f>
        <v>Limp Perf Aquafast Essencia Natural Cx06 X 2l</v>
      </c>
      <c r="H605" s="5" cm="1">
        <f t="array" ref="H605">INDEX('Linha 03'!$C$4:$ZZ$1000,B605,C605)</f>
        <v>0</v>
      </c>
    </row>
    <row r="606" spans="1:8" x14ac:dyDescent="0.25">
      <c r="A606">
        <v>604</v>
      </c>
      <c r="B606">
        <f t="shared" si="18"/>
        <v>15</v>
      </c>
      <c r="C606">
        <f t="shared" si="19"/>
        <v>30</v>
      </c>
      <c r="D606" cm="1">
        <f t="array" ref="D606">INDEX('Linha 03'!$A$4:$A$1000,B606)</f>
        <v>20050031</v>
      </c>
      <c r="E606" t="str" cm="1">
        <f t="array" ref="E606">INDEX('Linha 03'!$B$4:$B$1000,B606)</f>
        <v>Desinfetante Ito Lavanda Cx/06 X 2l</v>
      </c>
      <c r="F606" cm="1">
        <f t="array" ref="F606">INDEX('Linha 03'!$C$3:$ZZ$3,C606)</f>
        <v>20200003</v>
      </c>
      <c r="G606" t="str" cm="1">
        <f t="array" ref="G606">INDEX('Linha 03'!$C$2:$ZZ$2,C606)</f>
        <v>Lava Roup. Aquafast Baby Cx/12 X 1l</v>
      </c>
      <c r="H606" s="5" cm="1">
        <f t="array" ref="H606">INDEX('Linha 03'!$C$4:$ZZ$1000,B606,C606)</f>
        <v>0</v>
      </c>
    </row>
    <row r="607" spans="1:8" x14ac:dyDescent="0.25">
      <c r="A607">
        <v>605</v>
      </c>
      <c r="B607">
        <f t="shared" si="18"/>
        <v>15</v>
      </c>
      <c r="C607">
        <f t="shared" si="19"/>
        <v>31</v>
      </c>
      <c r="D607" cm="1">
        <f t="array" ref="D607">INDEX('Linha 03'!$A$4:$A$1000,B607)</f>
        <v>20050031</v>
      </c>
      <c r="E607" t="str" cm="1">
        <f t="array" ref="E607">INDEX('Linha 03'!$B$4:$B$1000,B607)</f>
        <v>Desinfetante Ito Lavanda Cx/06 X 2l</v>
      </c>
      <c r="F607" cm="1">
        <f t="array" ref="F607">INDEX('Linha 03'!$C$3:$ZZ$3,C607)</f>
        <v>20200005</v>
      </c>
      <c r="G607" t="str" cm="1">
        <f t="array" ref="G607">INDEX('Linha 03'!$C$2:$ZZ$2,C607)</f>
        <v>Lava Roupas Aquafast Multi Acao Cx/06 X 2l</v>
      </c>
      <c r="H607" s="5" cm="1">
        <f t="array" ref="H607">INDEX('Linha 03'!$C$4:$ZZ$1000,B607,C607)</f>
        <v>0</v>
      </c>
    </row>
    <row r="608" spans="1:8" x14ac:dyDescent="0.25">
      <c r="A608">
        <v>606</v>
      </c>
      <c r="B608">
        <f t="shared" si="18"/>
        <v>15</v>
      </c>
      <c r="C608">
        <f t="shared" si="19"/>
        <v>32</v>
      </c>
      <c r="D608" cm="1">
        <f t="array" ref="D608">INDEX('Linha 03'!$A$4:$A$1000,B608)</f>
        <v>20050031</v>
      </c>
      <c r="E608" t="str" cm="1">
        <f t="array" ref="E608">INDEX('Linha 03'!$B$4:$B$1000,B608)</f>
        <v>Desinfetante Ito Lavanda Cx/06 X 2l</v>
      </c>
      <c r="F608" cm="1">
        <f t="array" ref="F608">INDEX('Linha 03'!$C$3:$ZZ$3,C608)</f>
        <v>20200006</v>
      </c>
      <c r="G608" t="str" cm="1">
        <f t="array" ref="G608">INDEX('Linha 03'!$C$2:$ZZ$2,C608)</f>
        <v>Lava Roupas Aquafast Glicerina Cx/06 X 2l</v>
      </c>
      <c r="H608" s="5" cm="1">
        <f t="array" ref="H608">INDEX('Linha 03'!$C$4:$ZZ$1000,B608,C608)</f>
        <v>0</v>
      </c>
    </row>
    <row r="609" spans="1:8" x14ac:dyDescent="0.25">
      <c r="A609">
        <v>607</v>
      </c>
      <c r="B609">
        <f t="shared" si="18"/>
        <v>15</v>
      </c>
      <c r="C609">
        <f t="shared" si="19"/>
        <v>33</v>
      </c>
      <c r="D609" cm="1">
        <f t="array" ref="D609">INDEX('Linha 03'!$A$4:$A$1000,B609)</f>
        <v>20050031</v>
      </c>
      <c r="E609" t="str" cm="1">
        <f t="array" ref="E609">INDEX('Linha 03'!$B$4:$B$1000,B609)</f>
        <v>Desinfetante Ito Lavanda Cx/06 X 2l</v>
      </c>
      <c r="F609" cm="1">
        <f t="array" ref="F609">INDEX('Linha 03'!$C$3:$ZZ$3,C609)</f>
        <v>20200015</v>
      </c>
      <c r="G609" t="str" cm="1">
        <f t="array" ref="G609">INDEX('Linha 03'!$C$2:$ZZ$2,C609)</f>
        <v>Lava Roup. Aquafast Multiacao Cx/12 X 1l</v>
      </c>
      <c r="H609" s="5" cm="1">
        <f t="array" ref="H609">INDEX('Linha 03'!$C$4:$ZZ$1000,B609,C609)</f>
        <v>0</v>
      </c>
    </row>
    <row r="610" spans="1:8" x14ac:dyDescent="0.25">
      <c r="A610">
        <v>608</v>
      </c>
      <c r="B610">
        <f t="shared" si="18"/>
        <v>15</v>
      </c>
      <c r="C610">
        <f t="shared" si="19"/>
        <v>34</v>
      </c>
      <c r="D610" cm="1">
        <f t="array" ref="D610">INDEX('Linha 03'!$A$4:$A$1000,B610)</f>
        <v>20050031</v>
      </c>
      <c r="E610" t="str" cm="1">
        <f t="array" ref="E610">INDEX('Linha 03'!$B$4:$B$1000,B610)</f>
        <v>Desinfetante Ito Lavanda Cx/06 X 2l</v>
      </c>
      <c r="F610" cm="1">
        <f t="array" ref="F610">INDEX('Linha 03'!$C$3:$ZZ$3,C610)</f>
        <v>20200036</v>
      </c>
      <c r="G610" t="str" cm="1">
        <f t="array" ref="G610">INDEX('Linha 03'!$C$2:$ZZ$2,C610)</f>
        <v>Lava Roupas Aquafast Ternura Cx/06 X 2l</v>
      </c>
      <c r="H610" s="5" cm="1">
        <f t="array" ref="H610">INDEX('Linha 03'!$C$4:$ZZ$1000,B610,C610)</f>
        <v>0</v>
      </c>
    </row>
    <row r="611" spans="1:8" x14ac:dyDescent="0.25">
      <c r="A611">
        <v>609</v>
      </c>
      <c r="B611">
        <f t="shared" si="18"/>
        <v>15</v>
      </c>
      <c r="C611">
        <f t="shared" si="19"/>
        <v>35</v>
      </c>
      <c r="D611" cm="1">
        <f t="array" ref="D611">INDEX('Linha 03'!$A$4:$A$1000,B611)</f>
        <v>20050031</v>
      </c>
      <c r="E611" t="str" cm="1">
        <f t="array" ref="E611">INDEX('Linha 03'!$B$4:$B$1000,B611)</f>
        <v>Desinfetante Ito Lavanda Cx/06 X 2l</v>
      </c>
      <c r="F611" cm="1">
        <f t="array" ref="F611">INDEX('Linha 03'!$C$3:$ZZ$3,C611)</f>
        <v>20200063</v>
      </c>
      <c r="G611" t="str" cm="1">
        <f t="array" ref="G611">INDEX('Linha 03'!$C$2:$ZZ$2,C611)</f>
        <v>Lava Roup. Aquafast Tradicional Cx/12 X 1l</v>
      </c>
      <c r="H611" s="5" cm="1">
        <f t="array" ref="H611">INDEX('Linha 03'!$C$4:$ZZ$1000,B611,C611)</f>
        <v>0</v>
      </c>
    </row>
    <row r="612" spans="1:8" x14ac:dyDescent="0.25">
      <c r="A612">
        <v>610</v>
      </c>
      <c r="B612">
        <f t="shared" si="18"/>
        <v>15</v>
      </c>
      <c r="C612">
        <f t="shared" si="19"/>
        <v>36</v>
      </c>
      <c r="D612" cm="1">
        <f t="array" ref="D612">INDEX('Linha 03'!$A$4:$A$1000,B612)</f>
        <v>20050031</v>
      </c>
      <c r="E612" t="str" cm="1">
        <f t="array" ref="E612">INDEX('Linha 03'!$B$4:$B$1000,B612)</f>
        <v>Desinfetante Ito Lavanda Cx/06 X 2l</v>
      </c>
      <c r="F612" cm="1">
        <f t="array" ref="F612">INDEX('Linha 03'!$C$3:$ZZ$3,C612)</f>
        <v>20200064</v>
      </c>
      <c r="G612" t="str" cm="1">
        <f t="array" ref="G612">INDEX('Linha 03'!$C$2:$ZZ$2,C612)</f>
        <v>Lava Roup. Aquafast Flores B. E Baunilha Cx/12 X 1l</v>
      </c>
      <c r="H612" s="5" cm="1">
        <f t="array" ref="H612">INDEX('Linha 03'!$C$4:$ZZ$1000,B612,C612)</f>
        <v>0</v>
      </c>
    </row>
    <row r="613" spans="1:8" x14ac:dyDescent="0.25">
      <c r="A613">
        <v>611</v>
      </c>
      <c r="B613">
        <f t="shared" si="18"/>
        <v>15</v>
      </c>
      <c r="C613">
        <f t="shared" si="19"/>
        <v>37</v>
      </c>
      <c r="D613" cm="1">
        <f t="array" ref="D613">INDEX('Linha 03'!$A$4:$A$1000,B613)</f>
        <v>20050031</v>
      </c>
      <c r="E613" t="str" cm="1">
        <f t="array" ref="E613">INDEX('Linha 03'!$B$4:$B$1000,B613)</f>
        <v>Desinfetante Ito Lavanda Cx/06 X 2l</v>
      </c>
      <c r="F613" cm="1">
        <f t="array" ref="F613">INDEX('Linha 03'!$C$3:$ZZ$3,C613)</f>
        <v>20200065</v>
      </c>
      <c r="G613" t="str" cm="1">
        <f t="array" ref="G613">INDEX('Linha 03'!$C$2:$ZZ$2,C613)</f>
        <v>Lava Roupas Aquafast Flores B. E Baunilha Cx/06 X 2l</v>
      </c>
      <c r="H613" s="5" cm="1">
        <f t="array" ref="H613">INDEX('Linha 03'!$C$4:$ZZ$1000,B613,C613)</f>
        <v>0</v>
      </c>
    </row>
    <row r="614" spans="1:8" x14ac:dyDescent="0.25">
      <c r="A614">
        <v>612</v>
      </c>
      <c r="B614">
        <f t="shared" si="18"/>
        <v>15</v>
      </c>
      <c r="C614">
        <f t="shared" si="19"/>
        <v>38</v>
      </c>
      <c r="D614" cm="1">
        <f t="array" ref="D614">INDEX('Linha 03'!$A$4:$A$1000,B614)</f>
        <v>20050031</v>
      </c>
      <c r="E614" t="str" cm="1">
        <f t="array" ref="E614">INDEX('Linha 03'!$B$4:$B$1000,B614)</f>
        <v>Desinfetante Ito Lavanda Cx/06 X 2l</v>
      </c>
      <c r="F614" cm="1">
        <f t="array" ref="F614">INDEX('Linha 03'!$C$3:$ZZ$3,C614)</f>
        <v>20200072</v>
      </c>
      <c r="G614" t="str" cm="1">
        <f t="array" ref="G614">INDEX('Linha 03'!$C$2:$ZZ$2,C614)</f>
        <v>Lava Roupas Aquafast Lavagem Rapida Total Clean Cx/12 X 1l</v>
      </c>
      <c r="H614" s="5" cm="1">
        <f t="array" ref="H614">INDEX('Linha 03'!$C$4:$ZZ$1000,B614,C614)</f>
        <v>0</v>
      </c>
    </row>
    <row r="615" spans="1:8" x14ac:dyDescent="0.25">
      <c r="A615">
        <v>613</v>
      </c>
      <c r="B615">
        <f t="shared" si="18"/>
        <v>15</v>
      </c>
      <c r="C615">
        <f t="shared" si="19"/>
        <v>39</v>
      </c>
      <c r="D615" cm="1">
        <f t="array" ref="D615">INDEX('Linha 03'!$A$4:$A$1000,B615)</f>
        <v>20050031</v>
      </c>
      <c r="E615" t="str" cm="1">
        <f t="array" ref="E615">INDEX('Linha 03'!$B$4:$B$1000,B615)</f>
        <v>Desinfetante Ito Lavanda Cx/06 X 2l</v>
      </c>
      <c r="F615" cm="1">
        <f t="array" ref="F615">INDEX('Linha 03'!$C$3:$ZZ$3,C615)</f>
        <v>20200074</v>
      </c>
      <c r="G615" t="str" cm="1">
        <f t="array" ref="G615">INDEX('Linha 03'!$C$2:$ZZ$2,C615)</f>
        <v>Lava Roupas Aquafast Lavagem Rapida Fresh Clean Cx/12 X 1l</v>
      </c>
      <c r="H615" s="5" cm="1">
        <f t="array" ref="H615">INDEX('Linha 03'!$C$4:$ZZ$1000,B615,C615)</f>
        <v>0</v>
      </c>
    </row>
    <row r="616" spans="1:8" x14ac:dyDescent="0.25">
      <c r="A616">
        <v>614</v>
      </c>
      <c r="B616">
        <f t="shared" si="18"/>
        <v>15</v>
      </c>
      <c r="C616">
        <f t="shared" si="19"/>
        <v>40</v>
      </c>
      <c r="D616" cm="1">
        <f t="array" ref="D616">INDEX('Linha 03'!$A$4:$A$1000,B616)</f>
        <v>20050031</v>
      </c>
      <c r="E616" t="str" cm="1">
        <f t="array" ref="E616">INDEX('Linha 03'!$B$4:$B$1000,B616)</f>
        <v>Desinfetante Ito Lavanda Cx/06 X 2l</v>
      </c>
      <c r="F616" cm="1">
        <f t="array" ref="F616">INDEX('Linha 03'!$C$3:$ZZ$3,C616)</f>
        <v>20250005</v>
      </c>
      <c r="G616" t="str" cm="1">
        <f t="array" ref="G616">INDEX('Linha 03'!$C$2:$ZZ$2,C616)</f>
        <v>Neutralizador De Odores Aquafast Floral Cx/06 X 2l</v>
      </c>
      <c r="H616" s="5" cm="1">
        <f t="array" ref="H616">INDEX('Linha 03'!$C$4:$ZZ$1000,B616,C616)</f>
        <v>0</v>
      </c>
    </row>
    <row r="617" spans="1:8" x14ac:dyDescent="0.25">
      <c r="A617">
        <v>615</v>
      </c>
      <c r="B617">
        <f t="shared" si="18"/>
        <v>15</v>
      </c>
      <c r="C617">
        <f t="shared" si="19"/>
        <v>41</v>
      </c>
      <c r="D617" cm="1">
        <f t="array" ref="D617">INDEX('Linha 03'!$A$4:$A$1000,B617)</f>
        <v>20050031</v>
      </c>
      <c r="E617" t="str" cm="1">
        <f t="array" ref="E617">INDEX('Linha 03'!$B$4:$B$1000,B617)</f>
        <v>Desinfetante Ito Lavanda Cx/06 X 2l</v>
      </c>
      <c r="F617" cm="1">
        <f t="array" ref="F617">INDEX('Linha 03'!$C$3:$ZZ$3,C617)</f>
        <v>20250007</v>
      </c>
      <c r="G617" t="str" cm="1">
        <f t="array" ref="G617">INDEX('Linha 03'!$C$2:$ZZ$2,C617)</f>
        <v>Neutralizador De Odores Aquafast Marine Cx/06 2l</v>
      </c>
      <c r="H617" s="5" cm="1">
        <f t="array" ref="H617">INDEX('Linha 03'!$C$4:$ZZ$1000,B617,C617)</f>
        <v>0</v>
      </c>
    </row>
    <row r="618" spans="1:8" x14ac:dyDescent="0.25">
      <c r="A618">
        <v>616</v>
      </c>
      <c r="B618">
        <f t="shared" si="18"/>
        <v>16</v>
      </c>
      <c r="C618">
        <f t="shared" si="19"/>
        <v>1</v>
      </c>
      <c r="D618" cm="1">
        <f t="array" ref="D618">INDEX('Linha 03'!$A$4:$A$1000,B618)</f>
        <v>20050032</v>
      </c>
      <c r="E618" t="str" cm="1">
        <f t="array" ref="E618">INDEX('Linha 03'!$B$4:$B$1000,B618)</f>
        <v>Desinfetante Ito Floral Cx/06 X 2l</v>
      </c>
      <c r="F618" cm="1">
        <f t="array" ref="F618">INDEX('Linha 03'!$C$3:$ZZ$3,C618)</f>
        <v>20040006</v>
      </c>
      <c r="G618" t="str" cm="1">
        <f t="array" ref="G618">INDEX('Linha 03'!$C$2:$ZZ$2,C618)</f>
        <v>Amaciante Aquafast Azul Fresc. Manha Cx/06 X 2l</v>
      </c>
      <c r="H618" s="5" cm="1">
        <f t="array" ref="H618">INDEX('Linha 03'!$C$4:$ZZ$1000,B618,C618)</f>
        <v>0</v>
      </c>
    </row>
    <row r="619" spans="1:8" x14ac:dyDescent="0.25">
      <c r="A619">
        <v>617</v>
      </c>
      <c r="B619">
        <f t="shared" si="18"/>
        <v>16</v>
      </c>
      <c r="C619">
        <f t="shared" si="19"/>
        <v>2</v>
      </c>
      <c r="D619" cm="1">
        <f t="array" ref="D619">INDEX('Linha 03'!$A$4:$A$1000,B619)</f>
        <v>20050032</v>
      </c>
      <c r="E619" t="str" cm="1">
        <f t="array" ref="E619">INDEX('Linha 03'!$B$4:$B$1000,B619)</f>
        <v>Desinfetante Ito Floral Cx/06 X 2l</v>
      </c>
      <c r="F619" cm="1">
        <f t="array" ref="F619">INDEX('Linha 03'!$C$3:$ZZ$3,C619)</f>
        <v>20040008</v>
      </c>
      <c r="G619" t="str" cm="1">
        <f t="array" ref="G619">INDEX('Linha 03'!$C$2:$ZZ$2,C619)</f>
        <v>Amaciante Aquafast Rosa Jard. Florid Cx/06 X 2l</v>
      </c>
      <c r="H619" s="5" cm="1">
        <f t="array" ref="H619">INDEX('Linha 03'!$C$4:$ZZ$1000,B619,C619)</f>
        <v>0</v>
      </c>
    </row>
    <row r="620" spans="1:8" x14ac:dyDescent="0.25">
      <c r="A620">
        <v>618</v>
      </c>
      <c r="B620">
        <f t="shared" si="18"/>
        <v>16</v>
      </c>
      <c r="C620">
        <f t="shared" si="19"/>
        <v>3</v>
      </c>
      <c r="D620" cm="1">
        <f t="array" ref="D620">INDEX('Linha 03'!$A$4:$A$1000,B620)</f>
        <v>20050032</v>
      </c>
      <c r="E620" t="str" cm="1">
        <f t="array" ref="E620">INDEX('Linha 03'!$B$4:$B$1000,B620)</f>
        <v>Desinfetante Ito Floral Cx/06 X 2l</v>
      </c>
      <c r="F620" cm="1">
        <f t="array" ref="F620">INDEX('Linha 03'!$C$3:$ZZ$3,C620)</f>
        <v>20040009</v>
      </c>
      <c r="G620" t="str" cm="1">
        <f t="array" ref="G620">INDEX('Linha 03'!$C$2:$ZZ$2,C620)</f>
        <v>Amaciante Aquafast Branco Pura Caric. Cx/06 X 2l</v>
      </c>
      <c r="H620" s="5" cm="1">
        <f t="array" ref="H620">INDEX('Linha 03'!$C$4:$ZZ$1000,B620,C620)</f>
        <v>0</v>
      </c>
    </row>
    <row r="621" spans="1:8" x14ac:dyDescent="0.25">
      <c r="A621">
        <v>619</v>
      </c>
      <c r="B621">
        <f t="shared" si="18"/>
        <v>16</v>
      </c>
      <c r="C621">
        <f t="shared" si="19"/>
        <v>4</v>
      </c>
      <c r="D621" cm="1">
        <f t="array" ref="D621">INDEX('Linha 03'!$A$4:$A$1000,B621)</f>
        <v>20050032</v>
      </c>
      <c r="E621" t="str" cm="1">
        <f t="array" ref="E621">INDEX('Linha 03'!$B$4:$B$1000,B621)</f>
        <v>Desinfetante Ito Floral Cx/06 X 2l</v>
      </c>
      <c r="F621" cm="1">
        <f t="array" ref="F621">INDEX('Linha 03'!$C$3:$ZZ$3,C621)</f>
        <v>20040026</v>
      </c>
      <c r="G621" t="str" cm="1">
        <f t="array" ref="G621">INDEX('Linha 03'!$C$2:$ZZ$2,C621)</f>
        <v>Amaciante Ito Azul Cx/06 X 2l</v>
      </c>
      <c r="H621" s="5" cm="1">
        <f t="array" ref="H621">INDEX('Linha 03'!$C$4:$ZZ$1000,B621,C621)</f>
        <v>0</v>
      </c>
    </row>
    <row r="622" spans="1:8" x14ac:dyDescent="0.25">
      <c r="A622">
        <v>620</v>
      </c>
      <c r="B622">
        <f t="shared" si="18"/>
        <v>16</v>
      </c>
      <c r="C622">
        <f t="shared" si="19"/>
        <v>5</v>
      </c>
      <c r="D622" cm="1">
        <f t="array" ref="D622">INDEX('Linha 03'!$A$4:$A$1000,B622)</f>
        <v>20050032</v>
      </c>
      <c r="E622" t="str" cm="1">
        <f t="array" ref="E622">INDEX('Linha 03'!$B$4:$B$1000,B622)</f>
        <v>Desinfetante Ito Floral Cx/06 X 2l</v>
      </c>
      <c r="F622" cm="1">
        <f t="array" ref="F622">INDEX('Linha 03'!$C$3:$ZZ$3,C622)</f>
        <v>20040028</v>
      </c>
      <c r="G622" t="str" cm="1">
        <f t="array" ref="G622">INDEX('Linha 03'!$C$2:$ZZ$2,C622)</f>
        <v>Amaciante Ito Rosa Cx/06 X 2l</v>
      </c>
      <c r="H622" s="5" cm="1">
        <f t="array" ref="H622">INDEX('Linha 03'!$C$4:$ZZ$1000,B622,C622)</f>
        <v>0</v>
      </c>
    </row>
    <row r="623" spans="1:8" x14ac:dyDescent="0.25">
      <c r="A623">
        <v>621</v>
      </c>
      <c r="B623">
        <f t="shared" si="18"/>
        <v>16</v>
      </c>
      <c r="C623">
        <f t="shared" si="19"/>
        <v>6</v>
      </c>
      <c r="D623" cm="1">
        <f t="array" ref="D623">INDEX('Linha 03'!$A$4:$A$1000,B623)</f>
        <v>20050032</v>
      </c>
      <c r="E623" t="str" cm="1">
        <f t="array" ref="E623">INDEX('Linha 03'!$B$4:$B$1000,B623)</f>
        <v>Desinfetante Ito Floral Cx/06 X 2l</v>
      </c>
      <c r="F623" cm="1">
        <f t="array" ref="F623">INDEX('Linha 03'!$C$3:$ZZ$3,C623)</f>
        <v>20040029</v>
      </c>
      <c r="G623" t="str" cm="1">
        <f t="array" ref="G623">INDEX('Linha 03'!$C$2:$ZZ$2,C623)</f>
        <v>Amaciante Ito Branco Cx/06 X 2l</v>
      </c>
      <c r="H623" s="5" cm="1">
        <f t="array" ref="H623">INDEX('Linha 03'!$C$4:$ZZ$1000,B623,C623)</f>
        <v>0</v>
      </c>
    </row>
    <row r="624" spans="1:8" x14ac:dyDescent="0.25">
      <c r="A624">
        <v>622</v>
      </c>
      <c r="B624">
        <f t="shared" si="18"/>
        <v>16</v>
      </c>
      <c r="C624">
        <f t="shared" si="19"/>
        <v>7</v>
      </c>
      <c r="D624" cm="1">
        <f t="array" ref="D624">INDEX('Linha 03'!$A$4:$A$1000,B624)</f>
        <v>20050032</v>
      </c>
      <c r="E624" t="str" cm="1">
        <f t="array" ref="E624">INDEX('Linha 03'!$B$4:$B$1000,B624)</f>
        <v>Desinfetante Ito Floral Cx/06 X 2l</v>
      </c>
      <c r="F624" cm="1">
        <f t="array" ref="F624">INDEX('Linha 03'!$C$3:$ZZ$3,C624)</f>
        <v>20040055</v>
      </c>
      <c r="G624" t="str" cm="1">
        <f t="array" ref="G624">INDEX('Linha 03'!$C$2:$ZZ$2,C624)</f>
        <v>Amaciante Myata Azul Cx/06 X 2l</v>
      </c>
      <c r="H624" s="5" cm="1">
        <f t="array" ref="H624">INDEX('Linha 03'!$C$4:$ZZ$1000,B624,C624)</f>
        <v>0</v>
      </c>
    </row>
    <row r="625" spans="1:8" x14ac:dyDescent="0.25">
      <c r="A625">
        <v>623</v>
      </c>
      <c r="B625">
        <f t="shared" si="18"/>
        <v>16</v>
      </c>
      <c r="C625">
        <f t="shared" si="19"/>
        <v>8</v>
      </c>
      <c r="D625" cm="1">
        <f t="array" ref="D625">INDEX('Linha 03'!$A$4:$A$1000,B625)</f>
        <v>20050032</v>
      </c>
      <c r="E625" t="str" cm="1">
        <f t="array" ref="E625">INDEX('Linha 03'!$B$4:$B$1000,B625)</f>
        <v>Desinfetante Ito Floral Cx/06 X 2l</v>
      </c>
      <c r="F625" cm="1">
        <f t="array" ref="F625">INDEX('Linha 03'!$C$3:$ZZ$3,C625)</f>
        <v>20040057</v>
      </c>
      <c r="G625" t="str" cm="1">
        <f t="array" ref="G625">INDEX('Linha 03'!$C$2:$ZZ$2,C625)</f>
        <v>Amaciante Myata Rosa Cx/06 X 2l</v>
      </c>
      <c r="H625" s="5" cm="1">
        <f t="array" ref="H625">INDEX('Linha 03'!$C$4:$ZZ$1000,B625,C625)</f>
        <v>0</v>
      </c>
    </row>
    <row r="626" spans="1:8" x14ac:dyDescent="0.25">
      <c r="A626">
        <v>624</v>
      </c>
      <c r="B626">
        <f t="shared" si="18"/>
        <v>16</v>
      </c>
      <c r="C626">
        <f t="shared" si="19"/>
        <v>9</v>
      </c>
      <c r="D626" cm="1">
        <f t="array" ref="D626">INDEX('Linha 03'!$A$4:$A$1000,B626)</f>
        <v>20050032</v>
      </c>
      <c r="E626" t="str" cm="1">
        <f t="array" ref="E626">INDEX('Linha 03'!$B$4:$B$1000,B626)</f>
        <v>Desinfetante Ito Floral Cx/06 X 2l</v>
      </c>
      <c r="F626" cm="1">
        <f t="array" ref="F626">INDEX('Linha 03'!$C$3:$ZZ$3,C626)</f>
        <v>20040084</v>
      </c>
      <c r="G626" t="str" cm="1">
        <f t="array" ref="G626">INDEX('Linha 03'!$C$2:$ZZ$2,C626)</f>
        <v>Amaciante Aquafast Vermelho Seducao Cx C/06 X 2l</v>
      </c>
      <c r="H626" s="5" cm="1">
        <f t="array" ref="H626">INDEX('Linha 03'!$C$4:$ZZ$1000,B626,C626)</f>
        <v>0</v>
      </c>
    </row>
    <row r="627" spans="1:8" x14ac:dyDescent="0.25">
      <c r="A627">
        <v>625</v>
      </c>
      <c r="B627">
        <f t="shared" si="18"/>
        <v>16</v>
      </c>
      <c r="C627">
        <f t="shared" si="19"/>
        <v>10</v>
      </c>
      <c r="D627" cm="1">
        <f t="array" ref="D627">INDEX('Linha 03'!$A$4:$A$1000,B627)</f>
        <v>20050032</v>
      </c>
      <c r="E627" t="str" cm="1">
        <f t="array" ref="E627">INDEX('Linha 03'!$B$4:$B$1000,B627)</f>
        <v>Desinfetante Ito Floral Cx/06 X 2l</v>
      </c>
      <c r="F627" cm="1">
        <f t="array" ref="F627">INDEX('Linha 03'!$C$3:$ZZ$3,C627)</f>
        <v>20040089</v>
      </c>
      <c r="G627" t="str" cm="1">
        <f t="array" ref="G627">INDEX('Linha 03'!$C$2:$ZZ$2,C627)</f>
        <v>Amaciante Aquafast Roxo Magia Cx/06 X 2l</v>
      </c>
      <c r="H627" s="5" cm="1">
        <f t="array" ref="H627">INDEX('Linha 03'!$C$4:$ZZ$1000,B627,C627)</f>
        <v>0</v>
      </c>
    </row>
    <row r="628" spans="1:8" x14ac:dyDescent="0.25">
      <c r="A628">
        <v>626</v>
      </c>
      <c r="B628">
        <f t="shared" si="18"/>
        <v>16</v>
      </c>
      <c r="C628">
        <f t="shared" si="19"/>
        <v>11</v>
      </c>
      <c r="D628" cm="1">
        <f t="array" ref="D628">INDEX('Linha 03'!$A$4:$A$1000,B628)</f>
        <v>20050032</v>
      </c>
      <c r="E628" t="str" cm="1">
        <f t="array" ref="E628">INDEX('Linha 03'!$B$4:$B$1000,B628)</f>
        <v>Desinfetante Ito Floral Cx/06 X 2l</v>
      </c>
      <c r="F628" cm="1">
        <f t="array" ref="F628">INDEX('Linha 03'!$C$3:$ZZ$3,C628)</f>
        <v>20040094</v>
      </c>
      <c r="G628" t="str" cm="1">
        <f t="array" ref="G628">INDEX('Linha 03'!$C$2:$ZZ$2,C628)</f>
        <v>Amaciante Aquafast Energia Cx/06 X 2l</v>
      </c>
      <c r="H628" s="5" cm="1">
        <f t="array" ref="H628">INDEX('Linha 03'!$C$4:$ZZ$1000,B628,C628)</f>
        <v>0</v>
      </c>
    </row>
    <row r="629" spans="1:8" x14ac:dyDescent="0.25">
      <c r="A629">
        <v>627</v>
      </c>
      <c r="B629">
        <f t="shared" si="18"/>
        <v>16</v>
      </c>
      <c r="C629">
        <f t="shared" si="19"/>
        <v>12</v>
      </c>
      <c r="D629" cm="1">
        <f t="array" ref="D629">INDEX('Linha 03'!$A$4:$A$1000,B629)</f>
        <v>20050032</v>
      </c>
      <c r="E629" t="str" cm="1">
        <f t="array" ref="E629">INDEX('Linha 03'!$B$4:$B$1000,B629)</f>
        <v>Desinfetante Ito Floral Cx/06 X 2l</v>
      </c>
      <c r="F629" cm="1">
        <f t="array" ref="F629">INDEX('Linha 03'!$C$3:$ZZ$3,C629)</f>
        <v>20050010</v>
      </c>
      <c r="G629" t="str" cm="1">
        <f t="array" ref="G629">INDEX('Linha 03'!$C$2:$ZZ$2,C629)</f>
        <v>Desinfetante Aquafast Campos Lavanda Cx/06 X 2l</v>
      </c>
      <c r="H629" s="5" cm="1">
        <f t="array" ref="H629">INDEX('Linha 03'!$C$4:$ZZ$1000,B629,C629)</f>
        <v>0</v>
      </c>
    </row>
    <row r="630" spans="1:8" x14ac:dyDescent="0.25">
      <c r="A630">
        <v>628</v>
      </c>
      <c r="B630">
        <f t="shared" si="18"/>
        <v>16</v>
      </c>
      <c r="C630">
        <f t="shared" si="19"/>
        <v>13</v>
      </c>
      <c r="D630" cm="1">
        <f t="array" ref="D630">INDEX('Linha 03'!$A$4:$A$1000,B630)</f>
        <v>20050032</v>
      </c>
      <c r="E630" t="str" cm="1">
        <f t="array" ref="E630">INDEX('Linha 03'!$B$4:$B$1000,B630)</f>
        <v>Desinfetante Ito Floral Cx/06 X 2l</v>
      </c>
      <c r="F630" cm="1">
        <f t="array" ref="F630">INDEX('Linha 03'!$C$3:$ZZ$3,C630)</f>
        <v>20050011</v>
      </c>
      <c r="G630" t="str" cm="1">
        <f t="array" ref="G630">INDEX('Linha 03'!$C$2:$ZZ$2,C630)</f>
        <v>Desinfetante Aquafast Jardim Florido Cx/06 X 2l</v>
      </c>
      <c r="H630" s="5" cm="1">
        <f t="array" ref="H630">INDEX('Linha 03'!$C$4:$ZZ$1000,B630,C630)</f>
        <v>0</v>
      </c>
    </row>
    <row r="631" spans="1:8" x14ac:dyDescent="0.25">
      <c r="A631">
        <v>629</v>
      </c>
      <c r="B631">
        <f t="shared" si="18"/>
        <v>16</v>
      </c>
      <c r="C631">
        <f t="shared" si="19"/>
        <v>14</v>
      </c>
      <c r="D631" cm="1">
        <f t="array" ref="D631">INDEX('Linha 03'!$A$4:$A$1000,B631)</f>
        <v>20050032</v>
      </c>
      <c r="E631" t="str" cm="1">
        <f t="array" ref="E631">INDEX('Linha 03'!$B$4:$B$1000,B631)</f>
        <v>Desinfetante Ito Floral Cx/06 X 2l</v>
      </c>
      <c r="F631" cm="1">
        <f t="array" ref="F631">INDEX('Linha 03'!$C$3:$ZZ$3,C631)</f>
        <v>20050016</v>
      </c>
      <c r="G631" t="str" cm="1">
        <f t="array" ref="G631">INDEX('Linha 03'!$C$2:$ZZ$2,C631)</f>
        <v>Desinfetante Aquafast Marine Cx/06 X 2l</v>
      </c>
      <c r="H631" s="5" cm="1">
        <f t="array" ref="H631">INDEX('Linha 03'!$C$4:$ZZ$1000,B631,C631)</f>
        <v>0</v>
      </c>
    </row>
    <row r="632" spans="1:8" x14ac:dyDescent="0.25">
      <c r="A632">
        <v>630</v>
      </c>
      <c r="B632">
        <f t="shared" si="18"/>
        <v>16</v>
      </c>
      <c r="C632">
        <f t="shared" si="19"/>
        <v>15</v>
      </c>
      <c r="D632" cm="1">
        <f t="array" ref="D632">INDEX('Linha 03'!$A$4:$A$1000,B632)</f>
        <v>20050032</v>
      </c>
      <c r="E632" t="str" cm="1">
        <f t="array" ref="E632">INDEX('Linha 03'!$B$4:$B$1000,B632)</f>
        <v>Desinfetante Ito Floral Cx/06 X 2l</v>
      </c>
      <c r="F632" cm="1">
        <f t="array" ref="F632">INDEX('Linha 03'!$C$3:$ZZ$3,C632)</f>
        <v>20050031</v>
      </c>
      <c r="G632" t="str" cm="1">
        <f t="array" ref="G632">INDEX('Linha 03'!$C$2:$ZZ$2,C632)</f>
        <v>Desinfetante Ito Lavanda Cx/06 X 2l</v>
      </c>
      <c r="H632" s="5" cm="1">
        <f t="array" ref="H632">INDEX('Linha 03'!$C$4:$ZZ$1000,B632,C632)</f>
        <v>0</v>
      </c>
    </row>
    <row r="633" spans="1:8" x14ac:dyDescent="0.25">
      <c r="A633">
        <v>631</v>
      </c>
      <c r="B633">
        <f t="shared" si="18"/>
        <v>16</v>
      </c>
      <c r="C633">
        <f t="shared" si="19"/>
        <v>16</v>
      </c>
      <c r="D633" cm="1">
        <f t="array" ref="D633">INDEX('Linha 03'!$A$4:$A$1000,B633)</f>
        <v>20050032</v>
      </c>
      <c r="E633" t="str" cm="1">
        <f t="array" ref="E633">INDEX('Linha 03'!$B$4:$B$1000,B633)</f>
        <v>Desinfetante Ito Floral Cx/06 X 2l</v>
      </c>
      <c r="F633" cm="1">
        <f t="array" ref="F633">INDEX('Linha 03'!$C$3:$ZZ$3,C633)</f>
        <v>20050032</v>
      </c>
      <c r="G633" t="str" cm="1">
        <f t="array" ref="G633">INDEX('Linha 03'!$C$2:$ZZ$2,C633)</f>
        <v>Desinfetante Ito Floral Cx/06 X 2l</v>
      </c>
      <c r="H633" s="5" cm="1">
        <f t="array" ref="H633">INDEX('Linha 03'!$C$4:$ZZ$1000,B633,C633)</f>
        <v>0</v>
      </c>
    </row>
    <row r="634" spans="1:8" x14ac:dyDescent="0.25">
      <c r="A634">
        <v>632</v>
      </c>
      <c r="B634">
        <f t="shared" si="18"/>
        <v>16</v>
      </c>
      <c r="C634">
        <f t="shared" si="19"/>
        <v>17</v>
      </c>
      <c r="D634" cm="1">
        <f t="array" ref="D634">INDEX('Linha 03'!$A$4:$A$1000,B634)</f>
        <v>20050032</v>
      </c>
      <c r="E634" t="str" cm="1">
        <f t="array" ref="E634">INDEX('Linha 03'!$B$4:$B$1000,B634)</f>
        <v>Desinfetante Ito Floral Cx/06 X 2l</v>
      </c>
      <c r="F634" cm="1">
        <f t="array" ref="F634">INDEX('Linha 03'!$C$3:$ZZ$3,C634)</f>
        <v>20050034</v>
      </c>
      <c r="G634" t="str" cm="1">
        <f t="array" ref="G634">INDEX('Linha 03'!$C$2:$ZZ$2,C634)</f>
        <v>Desinfetante Ito Eucalipto Cx/06 X 2l</v>
      </c>
      <c r="H634" s="5" cm="1">
        <f t="array" ref="H634">INDEX('Linha 03'!$C$4:$ZZ$1000,B634,C634)</f>
        <v>0</v>
      </c>
    </row>
    <row r="635" spans="1:8" x14ac:dyDescent="0.25">
      <c r="A635">
        <v>633</v>
      </c>
      <c r="B635">
        <f t="shared" si="18"/>
        <v>16</v>
      </c>
      <c r="C635">
        <f t="shared" si="19"/>
        <v>18</v>
      </c>
      <c r="D635" cm="1">
        <f t="array" ref="D635">INDEX('Linha 03'!$A$4:$A$1000,B635)</f>
        <v>20050032</v>
      </c>
      <c r="E635" t="str" cm="1">
        <f t="array" ref="E635">INDEX('Linha 03'!$B$4:$B$1000,B635)</f>
        <v>Desinfetante Ito Floral Cx/06 X 2l</v>
      </c>
      <c r="F635" cm="1">
        <f t="array" ref="F635">INDEX('Linha 03'!$C$3:$ZZ$3,C635)</f>
        <v>20050077</v>
      </c>
      <c r="G635" t="str" cm="1">
        <f t="array" ref="G635">INDEX('Linha 03'!$C$2:$ZZ$2,C635)</f>
        <v>Desinfetante Myata Lavanda Cx/06 X 2l</v>
      </c>
      <c r="H635" s="5" cm="1">
        <f t="array" ref="H635">INDEX('Linha 03'!$C$4:$ZZ$1000,B635,C635)</f>
        <v>0</v>
      </c>
    </row>
    <row r="636" spans="1:8" x14ac:dyDescent="0.25">
      <c r="A636">
        <v>634</v>
      </c>
      <c r="B636">
        <f t="shared" si="18"/>
        <v>16</v>
      </c>
      <c r="C636">
        <f t="shared" si="19"/>
        <v>19</v>
      </c>
      <c r="D636" cm="1">
        <f t="array" ref="D636">INDEX('Linha 03'!$A$4:$A$1000,B636)</f>
        <v>20050032</v>
      </c>
      <c r="E636" t="str" cm="1">
        <f t="array" ref="E636">INDEX('Linha 03'!$B$4:$B$1000,B636)</f>
        <v>Desinfetante Ito Floral Cx/06 X 2l</v>
      </c>
      <c r="F636" cm="1">
        <f t="array" ref="F636">INDEX('Linha 03'!$C$3:$ZZ$3,C636)</f>
        <v>20050078</v>
      </c>
      <c r="G636" t="str" cm="1">
        <f t="array" ref="G636">INDEX('Linha 03'!$C$2:$ZZ$2,C636)</f>
        <v>Desinfetante Myata Floral Cx/06 X 2l</v>
      </c>
      <c r="H636" s="5" cm="1">
        <f t="array" ref="H636">INDEX('Linha 03'!$C$4:$ZZ$1000,B636,C636)</f>
        <v>0</v>
      </c>
    </row>
    <row r="637" spans="1:8" x14ac:dyDescent="0.25">
      <c r="A637">
        <v>635</v>
      </c>
      <c r="B637">
        <f t="shared" si="18"/>
        <v>16</v>
      </c>
      <c r="C637">
        <f t="shared" si="19"/>
        <v>20</v>
      </c>
      <c r="D637" cm="1">
        <f t="array" ref="D637">INDEX('Linha 03'!$A$4:$A$1000,B637)</f>
        <v>20050032</v>
      </c>
      <c r="E637" t="str" cm="1">
        <f t="array" ref="E637">INDEX('Linha 03'!$B$4:$B$1000,B637)</f>
        <v>Desinfetante Ito Floral Cx/06 X 2l</v>
      </c>
      <c r="F637" cm="1">
        <f t="array" ref="F637">INDEX('Linha 03'!$C$3:$ZZ$3,C637)</f>
        <v>20050115</v>
      </c>
      <c r="G637" t="str" cm="1">
        <f t="array" ref="G637">INDEX('Linha 03'!$C$2:$ZZ$2,C637)</f>
        <v>Desinfetante Aquafast Paixao Cx/06 X 2l</v>
      </c>
      <c r="H637" s="5" cm="1">
        <f t="array" ref="H637">INDEX('Linha 03'!$C$4:$ZZ$1000,B637,C637)</f>
        <v>0</v>
      </c>
    </row>
    <row r="638" spans="1:8" x14ac:dyDescent="0.25">
      <c r="A638">
        <v>636</v>
      </c>
      <c r="B638">
        <f t="shared" si="18"/>
        <v>16</v>
      </c>
      <c r="C638">
        <f t="shared" si="19"/>
        <v>21</v>
      </c>
      <c r="D638" cm="1">
        <f t="array" ref="D638">INDEX('Linha 03'!$A$4:$A$1000,B638)</f>
        <v>20050032</v>
      </c>
      <c r="E638" t="str" cm="1">
        <f t="array" ref="E638">INDEX('Linha 03'!$B$4:$B$1000,B638)</f>
        <v>Desinfetante Ito Floral Cx/06 X 2l</v>
      </c>
      <c r="F638" cm="1">
        <f t="array" ref="F638">INDEX('Linha 03'!$C$3:$ZZ$3,C638)</f>
        <v>20050117</v>
      </c>
      <c r="G638" t="str" cm="1">
        <f t="array" ref="G638">INDEX('Linha 03'!$C$2:$ZZ$2,C638)</f>
        <v>Desinfetante Aquafast Harmonia Natural Cx/06 X 2l</v>
      </c>
      <c r="H638" s="5" cm="1">
        <f t="array" ref="H638">INDEX('Linha 03'!$C$4:$ZZ$1000,B638,C638)</f>
        <v>0</v>
      </c>
    </row>
    <row r="639" spans="1:8" x14ac:dyDescent="0.25">
      <c r="A639">
        <v>637</v>
      </c>
      <c r="B639">
        <f t="shared" si="18"/>
        <v>16</v>
      </c>
      <c r="C639">
        <f t="shared" si="19"/>
        <v>22</v>
      </c>
      <c r="D639" cm="1">
        <f t="array" ref="D639">INDEX('Linha 03'!$A$4:$A$1000,B639)</f>
        <v>20050032</v>
      </c>
      <c r="E639" t="str" cm="1">
        <f t="array" ref="E639">INDEX('Linha 03'!$B$4:$B$1000,B639)</f>
        <v>Desinfetante Ito Floral Cx/06 X 2l</v>
      </c>
      <c r="F639" cm="1">
        <f t="array" ref="F639">INDEX('Linha 03'!$C$3:$ZZ$3,C639)</f>
        <v>20050123</v>
      </c>
      <c r="G639" t="str" cm="1">
        <f t="array" ref="G639">INDEX('Linha 03'!$C$2:$ZZ$2,C639)</f>
        <v>Desinfetante Ito Harmonia Natural Cx/06 X 2l</v>
      </c>
      <c r="H639" s="5" cm="1">
        <f t="array" ref="H639">INDEX('Linha 03'!$C$4:$ZZ$1000,B639,C639)</f>
        <v>0</v>
      </c>
    </row>
    <row r="640" spans="1:8" x14ac:dyDescent="0.25">
      <c r="A640">
        <v>638</v>
      </c>
      <c r="B640">
        <f t="shared" si="18"/>
        <v>16</v>
      </c>
      <c r="C640">
        <f t="shared" si="19"/>
        <v>23</v>
      </c>
      <c r="D640" cm="1">
        <f t="array" ref="D640">INDEX('Linha 03'!$A$4:$A$1000,B640)</f>
        <v>20050032</v>
      </c>
      <c r="E640" t="str" cm="1">
        <f t="array" ref="E640">INDEX('Linha 03'!$B$4:$B$1000,B640)</f>
        <v>Desinfetante Ito Floral Cx/06 X 2l</v>
      </c>
      <c r="F640" cm="1">
        <f t="array" ref="F640">INDEX('Linha 03'!$C$3:$ZZ$3,C640)</f>
        <v>20050124</v>
      </c>
      <c r="G640" t="str" cm="1">
        <f t="array" ref="G640">INDEX('Linha 03'!$C$2:$ZZ$2,C640)</f>
        <v>Desinfetante Myata Harmonia Natural Cx/06 X 2l</v>
      </c>
      <c r="H640" s="5" cm="1">
        <f t="array" ref="H640">INDEX('Linha 03'!$C$4:$ZZ$1000,B640,C640)</f>
        <v>0</v>
      </c>
    </row>
    <row r="641" spans="1:8" x14ac:dyDescent="0.25">
      <c r="A641">
        <v>639</v>
      </c>
      <c r="B641">
        <f t="shared" si="18"/>
        <v>16</v>
      </c>
      <c r="C641">
        <f t="shared" si="19"/>
        <v>24</v>
      </c>
      <c r="D641" cm="1">
        <f t="array" ref="D641">INDEX('Linha 03'!$A$4:$A$1000,B641)</f>
        <v>20050032</v>
      </c>
      <c r="E641" t="str" cm="1">
        <f t="array" ref="E641">INDEX('Linha 03'!$B$4:$B$1000,B641)</f>
        <v>Desinfetante Ito Floral Cx/06 X 2l</v>
      </c>
      <c r="F641" cm="1">
        <f t="array" ref="F641">INDEX('Linha 03'!$C$3:$ZZ$3,C641)</f>
        <v>20050142</v>
      </c>
      <c r="G641" t="str" cm="1">
        <f t="array" ref="G641">INDEX('Linha 03'!$C$2:$ZZ$2,C641)</f>
        <v>Desinfetante Ito Marine Cx/06 X 2l</v>
      </c>
      <c r="H641" s="5" cm="1">
        <f t="array" ref="H641">INDEX('Linha 03'!$C$4:$ZZ$1000,B641,C641)</f>
        <v>0</v>
      </c>
    </row>
    <row r="642" spans="1:8" x14ac:dyDescent="0.25">
      <c r="A642">
        <v>640</v>
      </c>
      <c r="B642">
        <f t="shared" si="18"/>
        <v>16</v>
      </c>
      <c r="C642">
        <f t="shared" si="19"/>
        <v>25</v>
      </c>
      <c r="D642" cm="1">
        <f t="array" ref="D642">INDEX('Linha 03'!$A$4:$A$1000,B642)</f>
        <v>20050032</v>
      </c>
      <c r="E642" t="str" cm="1">
        <f t="array" ref="E642">INDEX('Linha 03'!$B$4:$B$1000,B642)</f>
        <v>Desinfetante Ito Floral Cx/06 X 2l</v>
      </c>
      <c r="F642" cm="1">
        <f t="array" ref="F642">INDEX('Linha 03'!$C$3:$ZZ$3,C642)</f>
        <v>20050159</v>
      </c>
      <c r="G642" t="str" cm="1">
        <f t="array" ref="G642">INDEX('Linha 03'!$C$2:$ZZ$2,C642)</f>
        <v>Desinfetante Aquafast Cha Branco Cx/06 X 2l</v>
      </c>
      <c r="H642" s="5" cm="1">
        <f t="array" ref="H642">INDEX('Linha 03'!$C$4:$ZZ$1000,B642,C642)</f>
        <v>1.38888888888889E-2</v>
      </c>
    </row>
    <row r="643" spans="1:8" x14ac:dyDescent="0.25">
      <c r="A643">
        <v>641</v>
      </c>
      <c r="B643">
        <f t="shared" si="18"/>
        <v>16</v>
      </c>
      <c r="C643">
        <f t="shared" si="19"/>
        <v>26</v>
      </c>
      <c r="D643" cm="1">
        <f t="array" ref="D643">INDEX('Linha 03'!$A$4:$A$1000,B643)</f>
        <v>20050032</v>
      </c>
      <c r="E643" t="str" cm="1">
        <f t="array" ref="E643">INDEX('Linha 03'!$B$4:$B$1000,B643)</f>
        <v>Desinfetante Ito Floral Cx/06 X 2l</v>
      </c>
      <c r="F643" cm="1">
        <f t="array" ref="F643">INDEX('Linha 03'!$C$3:$ZZ$3,C643)</f>
        <v>20060007</v>
      </c>
      <c r="G643" t="str" cm="1">
        <f t="array" ref="G643">INDEX('Linha 03'!$C$2:$ZZ$2,C643)</f>
        <v>Limp Perf Aquafast Magia Seducao Cx/06 X 2l (Promoc)</v>
      </c>
      <c r="H643" s="5" cm="1">
        <f t="array" ref="H643">INDEX('Linha 03'!$C$4:$ZZ$1000,B643,C643)</f>
        <v>0</v>
      </c>
    </row>
    <row r="644" spans="1:8" x14ac:dyDescent="0.25">
      <c r="A644">
        <v>642</v>
      </c>
      <c r="B644">
        <f t="shared" ref="B644:B707" si="20">INT((A644-1)/$B$1)+1</f>
        <v>16</v>
      </c>
      <c r="C644">
        <f t="shared" ref="C644:C707" si="21">MOD(A644-1,$B$1)+1</f>
        <v>27</v>
      </c>
      <c r="D644" cm="1">
        <f t="array" ref="D644">INDEX('Linha 03'!$A$4:$A$1000,B644)</f>
        <v>20050032</v>
      </c>
      <c r="E644" t="str" cm="1">
        <f t="array" ref="E644">INDEX('Linha 03'!$B$4:$B$1000,B644)</f>
        <v>Desinfetante Ito Floral Cx/06 X 2l</v>
      </c>
      <c r="F644" cm="1">
        <f t="array" ref="F644">INDEX('Linha 03'!$C$3:$ZZ$3,C644)</f>
        <v>20060009</v>
      </c>
      <c r="G644" t="str" cm="1">
        <f t="array" ref="G644">INDEX('Linha 03'!$C$2:$ZZ$2,C644)</f>
        <v>Limp Perf Aquafast Frescor Da Manha Cx/06 X 2l (Promoc)</v>
      </c>
      <c r="H644" s="5" cm="1">
        <f t="array" ref="H644">INDEX('Linha 03'!$C$4:$ZZ$1000,B644,C644)</f>
        <v>0</v>
      </c>
    </row>
    <row r="645" spans="1:8" x14ac:dyDescent="0.25">
      <c r="A645">
        <v>643</v>
      </c>
      <c r="B645">
        <f t="shared" si="20"/>
        <v>16</v>
      </c>
      <c r="C645">
        <f t="shared" si="21"/>
        <v>28</v>
      </c>
      <c r="D645" cm="1">
        <f t="array" ref="D645">INDEX('Linha 03'!$A$4:$A$1000,B645)</f>
        <v>20050032</v>
      </c>
      <c r="E645" t="str" cm="1">
        <f t="array" ref="E645">INDEX('Linha 03'!$B$4:$B$1000,B645)</f>
        <v>Desinfetante Ito Floral Cx/06 X 2l</v>
      </c>
      <c r="F645" cm="1">
        <f t="array" ref="F645">INDEX('Linha 03'!$C$3:$ZZ$3,C645)</f>
        <v>20060017</v>
      </c>
      <c r="G645" t="str" cm="1">
        <f t="array" ref="G645">INDEX('Linha 03'!$C$2:$ZZ$2,C645)</f>
        <v>Limp Perf Aquafast Doce Romance Cx/06 X 2l (Promoc)</v>
      </c>
      <c r="H645" s="5" cm="1">
        <f t="array" ref="H645">INDEX('Linha 03'!$C$4:$ZZ$1000,B645,C645)</f>
        <v>0</v>
      </c>
    </row>
    <row r="646" spans="1:8" x14ac:dyDescent="0.25">
      <c r="A646">
        <v>644</v>
      </c>
      <c r="B646">
        <f t="shared" si="20"/>
        <v>16</v>
      </c>
      <c r="C646">
        <f t="shared" si="21"/>
        <v>29</v>
      </c>
      <c r="D646" cm="1">
        <f t="array" ref="D646">INDEX('Linha 03'!$A$4:$A$1000,B646)</f>
        <v>20050032</v>
      </c>
      <c r="E646" t="str" cm="1">
        <f t="array" ref="E646">INDEX('Linha 03'!$B$4:$B$1000,B646)</f>
        <v>Desinfetante Ito Floral Cx/06 X 2l</v>
      </c>
      <c r="F646" cm="1">
        <f t="array" ref="F646">INDEX('Linha 03'!$C$3:$ZZ$3,C646)</f>
        <v>20060028</v>
      </c>
      <c r="G646" t="str" cm="1">
        <f t="array" ref="G646">INDEX('Linha 03'!$C$2:$ZZ$2,C646)</f>
        <v>Limp Perf Aquafast Essencia Natural Cx06 X 2l</v>
      </c>
      <c r="H646" s="5" cm="1">
        <f t="array" ref="H646">INDEX('Linha 03'!$C$4:$ZZ$1000,B646,C646)</f>
        <v>0</v>
      </c>
    </row>
    <row r="647" spans="1:8" x14ac:dyDescent="0.25">
      <c r="A647">
        <v>645</v>
      </c>
      <c r="B647">
        <f t="shared" si="20"/>
        <v>16</v>
      </c>
      <c r="C647">
        <f t="shared" si="21"/>
        <v>30</v>
      </c>
      <c r="D647" cm="1">
        <f t="array" ref="D647">INDEX('Linha 03'!$A$4:$A$1000,B647)</f>
        <v>20050032</v>
      </c>
      <c r="E647" t="str" cm="1">
        <f t="array" ref="E647">INDEX('Linha 03'!$B$4:$B$1000,B647)</f>
        <v>Desinfetante Ito Floral Cx/06 X 2l</v>
      </c>
      <c r="F647" cm="1">
        <f t="array" ref="F647">INDEX('Linha 03'!$C$3:$ZZ$3,C647)</f>
        <v>20200003</v>
      </c>
      <c r="G647" t="str" cm="1">
        <f t="array" ref="G647">INDEX('Linha 03'!$C$2:$ZZ$2,C647)</f>
        <v>Lava Roup. Aquafast Baby Cx/12 X 1l</v>
      </c>
      <c r="H647" s="5" cm="1">
        <f t="array" ref="H647">INDEX('Linha 03'!$C$4:$ZZ$1000,B647,C647)</f>
        <v>0</v>
      </c>
    </row>
    <row r="648" spans="1:8" x14ac:dyDescent="0.25">
      <c r="A648">
        <v>646</v>
      </c>
      <c r="B648">
        <f t="shared" si="20"/>
        <v>16</v>
      </c>
      <c r="C648">
        <f t="shared" si="21"/>
        <v>31</v>
      </c>
      <c r="D648" cm="1">
        <f t="array" ref="D648">INDEX('Linha 03'!$A$4:$A$1000,B648)</f>
        <v>20050032</v>
      </c>
      <c r="E648" t="str" cm="1">
        <f t="array" ref="E648">INDEX('Linha 03'!$B$4:$B$1000,B648)</f>
        <v>Desinfetante Ito Floral Cx/06 X 2l</v>
      </c>
      <c r="F648" cm="1">
        <f t="array" ref="F648">INDEX('Linha 03'!$C$3:$ZZ$3,C648)</f>
        <v>20200005</v>
      </c>
      <c r="G648" t="str" cm="1">
        <f t="array" ref="G648">INDEX('Linha 03'!$C$2:$ZZ$2,C648)</f>
        <v>Lava Roupas Aquafast Multi Acao Cx/06 X 2l</v>
      </c>
      <c r="H648" s="5" cm="1">
        <f t="array" ref="H648">INDEX('Linha 03'!$C$4:$ZZ$1000,B648,C648)</f>
        <v>0</v>
      </c>
    </row>
    <row r="649" spans="1:8" x14ac:dyDescent="0.25">
      <c r="A649">
        <v>647</v>
      </c>
      <c r="B649">
        <f t="shared" si="20"/>
        <v>16</v>
      </c>
      <c r="C649">
        <f t="shared" si="21"/>
        <v>32</v>
      </c>
      <c r="D649" cm="1">
        <f t="array" ref="D649">INDEX('Linha 03'!$A$4:$A$1000,B649)</f>
        <v>20050032</v>
      </c>
      <c r="E649" t="str" cm="1">
        <f t="array" ref="E649">INDEX('Linha 03'!$B$4:$B$1000,B649)</f>
        <v>Desinfetante Ito Floral Cx/06 X 2l</v>
      </c>
      <c r="F649" cm="1">
        <f t="array" ref="F649">INDEX('Linha 03'!$C$3:$ZZ$3,C649)</f>
        <v>20200006</v>
      </c>
      <c r="G649" t="str" cm="1">
        <f t="array" ref="G649">INDEX('Linha 03'!$C$2:$ZZ$2,C649)</f>
        <v>Lava Roupas Aquafast Glicerina Cx/06 X 2l</v>
      </c>
      <c r="H649" s="5" cm="1">
        <f t="array" ref="H649">INDEX('Linha 03'!$C$4:$ZZ$1000,B649,C649)</f>
        <v>0</v>
      </c>
    </row>
    <row r="650" spans="1:8" x14ac:dyDescent="0.25">
      <c r="A650">
        <v>648</v>
      </c>
      <c r="B650">
        <f t="shared" si="20"/>
        <v>16</v>
      </c>
      <c r="C650">
        <f t="shared" si="21"/>
        <v>33</v>
      </c>
      <c r="D650" cm="1">
        <f t="array" ref="D650">INDEX('Linha 03'!$A$4:$A$1000,B650)</f>
        <v>20050032</v>
      </c>
      <c r="E650" t="str" cm="1">
        <f t="array" ref="E650">INDEX('Linha 03'!$B$4:$B$1000,B650)</f>
        <v>Desinfetante Ito Floral Cx/06 X 2l</v>
      </c>
      <c r="F650" cm="1">
        <f t="array" ref="F650">INDEX('Linha 03'!$C$3:$ZZ$3,C650)</f>
        <v>20200015</v>
      </c>
      <c r="G650" t="str" cm="1">
        <f t="array" ref="G650">INDEX('Linha 03'!$C$2:$ZZ$2,C650)</f>
        <v>Lava Roup. Aquafast Multiacao Cx/12 X 1l</v>
      </c>
      <c r="H650" s="5" cm="1">
        <f t="array" ref="H650">INDEX('Linha 03'!$C$4:$ZZ$1000,B650,C650)</f>
        <v>0</v>
      </c>
    </row>
    <row r="651" spans="1:8" x14ac:dyDescent="0.25">
      <c r="A651">
        <v>649</v>
      </c>
      <c r="B651">
        <f t="shared" si="20"/>
        <v>16</v>
      </c>
      <c r="C651">
        <f t="shared" si="21"/>
        <v>34</v>
      </c>
      <c r="D651" cm="1">
        <f t="array" ref="D651">INDEX('Linha 03'!$A$4:$A$1000,B651)</f>
        <v>20050032</v>
      </c>
      <c r="E651" t="str" cm="1">
        <f t="array" ref="E651">INDEX('Linha 03'!$B$4:$B$1000,B651)</f>
        <v>Desinfetante Ito Floral Cx/06 X 2l</v>
      </c>
      <c r="F651" cm="1">
        <f t="array" ref="F651">INDEX('Linha 03'!$C$3:$ZZ$3,C651)</f>
        <v>20200036</v>
      </c>
      <c r="G651" t="str" cm="1">
        <f t="array" ref="G651">INDEX('Linha 03'!$C$2:$ZZ$2,C651)</f>
        <v>Lava Roupas Aquafast Ternura Cx/06 X 2l</v>
      </c>
      <c r="H651" s="5" cm="1">
        <f t="array" ref="H651">INDEX('Linha 03'!$C$4:$ZZ$1000,B651,C651)</f>
        <v>0</v>
      </c>
    </row>
    <row r="652" spans="1:8" x14ac:dyDescent="0.25">
      <c r="A652">
        <v>650</v>
      </c>
      <c r="B652">
        <f t="shared" si="20"/>
        <v>16</v>
      </c>
      <c r="C652">
        <f t="shared" si="21"/>
        <v>35</v>
      </c>
      <c r="D652" cm="1">
        <f t="array" ref="D652">INDEX('Linha 03'!$A$4:$A$1000,B652)</f>
        <v>20050032</v>
      </c>
      <c r="E652" t="str" cm="1">
        <f t="array" ref="E652">INDEX('Linha 03'!$B$4:$B$1000,B652)</f>
        <v>Desinfetante Ito Floral Cx/06 X 2l</v>
      </c>
      <c r="F652" cm="1">
        <f t="array" ref="F652">INDEX('Linha 03'!$C$3:$ZZ$3,C652)</f>
        <v>20200063</v>
      </c>
      <c r="G652" t="str" cm="1">
        <f t="array" ref="G652">INDEX('Linha 03'!$C$2:$ZZ$2,C652)</f>
        <v>Lava Roup. Aquafast Tradicional Cx/12 X 1l</v>
      </c>
      <c r="H652" s="5" cm="1">
        <f t="array" ref="H652">INDEX('Linha 03'!$C$4:$ZZ$1000,B652,C652)</f>
        <v>0</v>
      </c>
    </row>
    <row r="653" spans="1:8" x14ac:dyDescent="0.25">
      <c r="A653">
        <v>651</v>
      </c>
      <c r="B653">
        <f t="shared" si="20"/>
        <v>16</v>
      </c>
      <c r="C653">
        <f t="shared" si="21"/>
        <v>36</v>
      </c>
      <c r="D653" cm="1">
        <f t="array" ref="D653">INDEX('Linha 03'!$A$4:$A$1000,B653)</f>
        <v>20050032</v>
      </c>
      <c r="E653" t="str" cm="1">
        <f t="array" ref="E653">INDEX('Linha 03'!$B$4:$B$1000,B653)</f>
        <v>Desinfetante Ito Floral Cx/06 X 2l</v>
      </c>
      <c r="F653" cm="1">
        <f t="array" ref="F653">INDEX('Linha 03'!$C$3:$ZZ$3,C653)</f>
        <v>20200064</v>
      </c>
      <c r="G653" t="str" cm="1">
        <f t="array" ref="G653">INDEX('Linha 03'!$C$2:$ZZ$2,C653)</f>
        <v>Lava Roup. Aquafast Flores B. E Baunilha Cx/12 X 1l</v>
      </c>
      <c r="H653" s="5" cm="1">
        <f t="array" ref="H653">INDEX('Linha 03'!$C$4:$ZZ$1000,B653,C653)</f>
        <v>0</v>
      </c>
    </row>
    <row r="654" spans="1:8" x14ac:dyDescent="0.25">
      <c r="A654">
        <v>652</v>
      </c>
      <c r="B654">
        <f t="shared" si="20"/>
        <v>16</v>
      </c>
      <c r="C654">
        <f t="shared" si="21"/>
        <v>37</v>
      </c>
      <c r="D654" cm="1">
        <f t="array" ref="D654">INDEX('Linha 03'!$A$4:$A$1000,B654)</f>
        <v>20050032</v>
      </c>
      <c r="E654" t="str" cm="1">
        <f t="array" ref="E654">INDEX('Linha 03'!$B$4:$B$1000,B654)</f>
        <v>Desinfetante Ito Floral Cx/06 X 2l</v>
      </c>
      <c r="F654" cm="1">
        <f t="array" ref="F654">INDEX('Linha 03'!$C$3:$ZZ$3,C654)</f>
        <v>20200065</v>
      </c>
      <c r="G654" t="str" cm="1">
        <f t="array" ref="G654">INDEX('Linha 03'!$C$2:$ZZ$2,C654)</f>
        <v>Lava Roupas Aquafast Flores B. E Baunilha Cx/06 X 2l</v>
      </c>
      <c r="H654" s="5" cm="1">
        <f t="array" ref="H654">INDEX('Linha 03'!$C$4:$ZZ$1000,B654,C654)</f>
        <v>0</v>
      </c>
    </row>
    <row r="655" spans="1:8" x14ac:dyDescent="0.25">
      <c r="A655">
        <v>653</v>
      </c>
      <c r="B655">
        <f t="shared" si="20"/>
        <v>16</v>
      </c>
      <c r="C655">
        <f t="shared" si="21"/>
        <v>38</v>
      </c>
      <c r="D655" cm="1">
        <f t="array" ref="D655">INDEX('Linha 03'!$A$4:$A$1000,B655)</f>
        <v>20050032</v>
      </c>
      <c r="E655" t="str" cm="1">
        <f t="array" ref="E655">INDEX('Linha 03'!$B$4:$B$1000,B655)</f>
        <v>Desinfetante Ito Floral Cx/06 X 2l</v>
      </c>
      <c r="F655" cm="1">
        <f t="array" ref="F655">INDEX('Linha 03'!$C$3:$ZZ$3,C655)</f>
        <v>20200072</v>
      </c>
      <c r="G655" t="str" cm="1">
        <f t="array" ref="G655">INDEX('Linha 03'!$C$2:$ZZ$2,C655)</f>
        <v>Lava Roupas Aquafast Lavagem Rapida Total Clean Cx/12 X 1l</v>
      </c>
      <c r="H655" s="5" cm="1">
        <f t="array" ref="H655">INDEX('Linha 03'!$C$4:$ZZ$1000,B655,C655)</f>
        <v>0</v>
      </c>
    </row>
    <row r="656" spans="1:8" x14ac:dyDescent="0.25">
      <c r="A656">
        <v>654</v>
      </c>
      <c r="B656">
        <f t="shared" si="20"/>
        <v>16</v>
      </c>
      <c r="C656">
        <f t="shared" si="21"/>
        <v>39</v>
      </c>
      <c r="D656" cm="1">
        <f t="array" ref="D656">INDEX('Linha 03'!$A$4:$A$1000,B656)</f>
        <v>20050032</v>
      </c>
      <c r="E656" t="str" cm="1">
        <f t="array" ref="E656">INDEX('Linha 03'!$B$4:$B$1000,B656)</f>
        <v>Desinfetante Ito Floral Cx/06 X 2l</v>
      </c>
      <c r="F656" cm="1">
        <f t="array" ref="F656">INDEX('Linha 03'!$C$3:$ZZ$3,C656)</f>
        <v>20200074</v>
      </c>
      <c r="G656" t="str" cm="1">
        <f t="array" ref="G656">INDEX('Linha 03'!$C$2:$ZZ$2,C656)</f>
        <v>Lava Roupas Aquafast Lavagem Rapida Fresh Clean Cx/12 X 1l</v>
      </c>
      <c r="H656" s="5" cm="1">
        <f t="array" ref="H656">INDEX('Linha 03'!$C$4:$ZZ$1000,B656,C656)</f>
        <v>0</v>
      </c>
    </row>
    <row r="657" spans="1:8" x14ac:dyDescent="0.25">
      <c r="A657">
        <v>655</v>
      </c>
      <c r="B657">
        <f t="shared" si="20"/>
        <v>16</v>
      </c>
      <c r="C657">
        <f t="shared" si="21"/>
        <v>40</v>
      </c>
      <c r="D657" cm="1">
        <f t="array" ref="D657">INDEX('Linha 03'!$A$4:$A$1000,B657)</f>
        <v>20050032</v>
      </c>
      <c r="E657" t="str" cm="1">
        <f t="array" ref="E657">INDEX('Linha 03'!$B$4:$B$1000,B657)</f>
        <v>Desinfetante Ito Floral Cx/06 X 2l</v>
      </c>
      <c r="F657" cm="1">
        <f t="array" ref="F657">INDEX('Linha 03'!$C$3:$ZZ$3,C657)</f>
        <v>20250005</v>
      </c>
      <c r="G657" t="str" cm="1">
        <f t="array" ref="G657">INDEX('Linha 03'!$C$2:$ZZ$2,C657)</f>
        <v>Neutralizador De Odores Aquafast Floral Cx/06 X 2l</v>
      </c>
      <c r="H657" s="5" cm="1">
        <f t="array" ref="H657">INDEX('Linha 03'!$C$4:$ZZ$1000,B657,C657)</f>
        <v>0</v>
      </c>
    </row>
    <row r="658" spans="1:8" x14ac:dyDescent="0.25">
      <c r="A658">
        <v>656</v>
      </c>
      <c r="B658">
        <f t="shared" si="20"/>
        <v>16</v>
      </c>
      <c r="C658">
        <f t="shared" si="21"/>
        <v>41</v>
      </c>
      <c r="D658" cm="1">
        <f t="array" ref="D658">INDEX('Linha 03'!$A$4:$A$1000,B658)</f>
        <v>20050032</v>
      </c>
      <c r="E658" t="str" cm="1">
        <f t="array" ref="E658">INDEX('Linha 03'!$B$4:$B$1000,B658)</f>
        <v>Desinfetante Ito Floral Cx/06 X 2l</v>
      </c>
      <c r="F658" cm="1">
        <f t="array" ref="F658">INDEX('Linha 03'!$C$3:$ZZ$3,C658)</f>
        <v>20250007</v>
      </c>
      <c r="G658" t="str" cm="1">
        <f t="array" ref="G658">INDEX('Linha 03'!$C$2:$ZZ$2,C658)</f>
        <v>Neutralizador De Odores Aquafast Marine Cx/06 2l</v>
      </c>
      <c r="H658" s="5" cm="1">
        <f t="array" ref="H658">INDEX('Linha 03'!$C$4:$ZZ$1000,B658,C658)</f>
        <v>0</v>
      </c>
    </row>
    <row r="659" spans="1:8" x14ac:dyDescent="0.25">
      <c r="A659">
        <v>657</v>
      </c>
      <c r="B659">
        <f t="shared" si="20"/>
        <v>17</v>
      </c>
      <c r="C659">
        <f t="shared" si="21"/>
        <v>1</v>
      </c>
      <c r="D659" cm="1">
        <f t="array" ref="D659">INDEX('Linha 03'!$A$4:$A$1000,B659)</f>
        <v>20050034</v>
      </c>
      <c r="E659" t="str" cm="1">
        <f t="array" ref="E659">INDEX('Linha 03'!$B$4:$B$1000,B659)</f>
        <v>Desinfetante Ito Eucalipto Cx/06 X 2l</v>
      </c>
      <c r="F659" cm="1">
        <f t="array" ref="F659">INDEX('Linha 03'!$C$3:$ZZ$3,C659)</f>
        <v>20040006</v>
      </c>
      <c r="G659" t="str" cm="1">
        <f t="array" ref="G659">INDEX('Linha 03'!$C$2:$ZZ$2,C659)</f>
        <v>Amaciante Aquafast Azul Fresc. Manha Cx/06 X 2l</v>
      </c>
      <c r="H659" s="5" cm="1">
        <f t="array" ref="H659">INDEX('Linha 03'!$C$4:$ZZ$1000,B659,C659)</f>
        <v>0</v>
      </c>
    </row>
    <row r="660" spans="1:8" x14ac:dyDescent="0.25">
      <c r="A660">
        <v>658</v>
      </c>
      <c r="B660">
        <f t="shared" si="20"/>
        <v>17</v>
      </c>
      <c r="C660">
        <f t="shared" si="21"/>
        <v>2</v>
      </c>
      <c r="D660" cm="1">
        <f t="array" ref="D660">INDEX('Linha 03'!$A$4:$A$1000,B660)</f>
        <v>20050034</v>
      </c>
      <c r="E660" t="str" cm="1">
        <f t="array" ref="E660">INDEX('Linha 03'!$B$4:$B$1000,B660)</f>
        <v>Desinfetante Ito Eucalipto Cx/06 X 2l</v>
      </c>
      <c r="F660" cm="1">
        <f t="array" ref="F660">INDEX('Linha 03'!$C$3:$ZZ$3,C660)</f>
        <v>20040008</v>
      </c>
      <c r="G660" t="str" cm="1">
        <f t="array" ref="G660">INDEX('Linha 03'!$C$2:$ZZ$2,C660)</f>
        <v>Amaciante Aquafast Rosa Jard. Florid Cx/06 X 2l</v>
      </c>
      <c r="H660" s="5" cm="1">
        <f t="array" ref="H660">INDEX('Linha 03'!$C$4:$ZZ$1000,B660,C660)</f>
        <v>0</v>
      </c>
    </row>
    <row r="661" spans="1:8" x14ac:dyDescent="0.25">
      <c r="A661">
        <v>659</v>
      </c>
      <c r="B661">
        <f t="shared" si="20"/>
        <v>17</v>
      </c>
      <c r="C661">
        <f t="shared" si="21"/>
        <v>3</v>
      </c>
      <c r="D661" cm="1">
        <f t="array" ref="D661">INDEX('Linha 03'!$A$4:$A$1000,B661)</f>
        <v>20050034</v>
      </c>
      <c r="E661" t="str" cm="1">
        <f t="array" ref="E661">INDEX('Linha 03'!$B$4:$B$1000,B661)</f>
        <v>Desinfetante Ito Eucalipto Cx/06 X 2l</v>
      </c>
      <c r="F661" cm="1">
        <f t="array" ref="F661">INDEX('Linha 03'!$C$3:$ZZ$3,C661)</f>
        <v>20040009</v>
      </c>
      <c r="G661" t="str" cm="1">
        <f t="array" ref="G661">INDEX('Linha 03'!$C$2:$ZZ$2,C661)</f>
        <v>Amaciante Aquafast Branco Pura Caric. Cx/06 X 2l</v>
      </c>
      <c r="H661" s="5" cm="1">
        <f t="array" ref="H661">INDEX('Linha 03'!$C$4:$ZZ$1000,B661,C661)</f>
        <v>0</v>
      </c>
    </row>
    <row r="662" spans="1:8" x14ac:dyDescent="0.25">
      <c r="A662">
        <v>660</v>
      </c>
      <c r="B662">
        <f t="shared" si="20"/>
        <v>17</v>
      </c>
      <c r="C662">
        <f t="shared" si="21"/>
        <v>4</v>
      </c>
      <c r="D662" cm="1">
        <f t="array" ref="D662">INDEX('Linha 03'!$A$4:$A$1000,B662)</f>
        <v>20050034</v>
      </c>
      <c r="E662" t="str" cm="1">
        <f t="array" ref="E662">INDEX('Linha 03'!$B$4:$B$1000,B662)</f>
        <v>Desinfetante Ito Eucalipto Cx/06 X 2l</v>
      </c>
      <c r="F662" cm="1">
        <f t="array" ref="F662">INDEX('Linha 03'!$C$3:$ZZ$3,C662)</f>
        <v>20040026</v>
      </c>
      <c r="G662" t="str" cm="1">
        <f t="array" ref="G662">INDEX('Linha 03'!$C$2:$ZZ$2,C662)</f>
        <v>Amaciante Ito Azul Cx/06 X 2l</v>
      </c>
      <c r="H662" s="5" cm="1">
        <f t="array" ref="H662">INDEX('Linha 03'!$C$4:$ZZ$1000,B662,C662)</f>
        <v>0</v>
      </c>
    </row>
    <row r="663" spans="1:8" x14ac:dyDescent="0.25">
      <c r="A663">
        <v>661</v>
      </c>
      <c r="B663">
        <f t="shared" si="20"/>
        <v>17</v>
      </c>
      <c r="C663">
        <f t="shared" si="21"/>
        <v>5</v>
      </c>
      <c r="D663" cm="1">
        <f t="array" ref="D663">INDEX('Linha 03'!$A$4:$A$1000,B663)</f>
        <v>20050034</v>
      </c>
      <c r="E663" t="str" cm="1">
        <f t="array" ref="E663">INDEX('Linha 03'!$B$4:$B$1000,B663)</f>
        <v>Desinfetante Ito Eucalipto Cx/06 X 2l</v>
      </c>
      <c r="F663" cm="1">
        <f t="array" ref="F663">INDEX('Linha 03'!$C$3:$ZZ$3,C663)</f>
        <v>20040028</v>
      </c>
      <c r="G663" t="str" cm="1">
        <f t="array" ref="G663">INDEX('Linha 03'!$C$2:$ZZ$2,C663)</f>
        <v>Amaciante Ito Rosa Cx/06 X 2l</v>
      </c>
      <c r="H663" s="5" cm="1">
        <f t="array" ref="H663">INDEX('Linha 03'!$C$4:$ZZ$1000,B663,C663)</f>
        <v>0</v>
      </c>
    </row>
    <row r="664" spans="1:8" x14ac:dyDescent="0.25">
      <c r="A664">
        <v>662</v>
      </c>
      <c r="B664">
        <f t="shared" si="20"/>
        <v>17</v>
      </c>
      <c r="C664">
        <f t="shared" si="21"/>
        <v>6</v>
      </c>
      <c r="D664" cm="1">
        <f t="array" ref="D664">INDEX('Linha 03'!$A$4:$A$1000,B664)</f>
        <v>20050034</v>
      </c>
      <c r="E664" t="str" cm="1">
        <f t="array" ref="E664">INDEX('Linha 03'!$B$4:$B$1000,B664)</f>
        <v>Desinfetante Ito Eucalipto Cx/06 X 2l</v>
      </c>
      <c r="F664" cm="1">
        <f t="array" ref="F664">INDEX('Linha 03'!$C$3:$ZZ$3,C664)</f>
        <v>20040029</v>
      </c>
      <c r="G664" t="str" cm="1">
        <f t="array" ref="G664">INDEX('Linha 03'!$C$2:$ZZ$2,C664)</f>
        <v>Amaciante Ito Branco Cx/06 X 2l</v>
      </c>
      <c r="H664" s="5" cm="1">
        <f t="array" ref="H664">INDEX('Linha 03'!$C$4:$ZZ$1000,B664,C664)</f>
        <v>0</v>
      </c>
    </row>
    <row r="665" spans="1:8" x14ac:dyDescent="0.25">
      <c r="A665">
        <v>663</v>
      </c>
      <c r="B665">
        <f t="shared" si="20"/>
        <v>17</v>
      </c>
      <c r="C665">
        <f t="shared" si="21"/>
        <v>7</v>
      </c>
      <c r="D665" cm="1">
        <f t="array" ref="D665">INDEX('Linha 03'!$A$4:$A$1000,B665)</f>
        <v>20050034</v>
      </c>
      <c r="E665" t="str" cm="1">
        <f t="array" ref="E665">INDEX('Linha 03'!$B$4:$B$1000,B665)</f>
        <v>Desinfetante Ito Eucalipto Cx/06 X 2l</v>
      </c>
      <c r="F665" cm="1">
        <f t="array" ref="F665">INDEX('Linha 03'!$C$3:$ZZ$3,C665)</f>
        <v>20040055</v>
      </c>
      <c r="G665" t="str" cm="1">
        <f t="array" ref="G665">INDEX('Linha 03'!$C$2:$ZZ$2,C665)</f>
        <v>Amaciante Myata Azul Cx/06 X 2l</v>
      </c>
      <c r="H665" s="5" cm="1">
        <f t="array" ref="H665">INDEX('Linha 03'!$C$4:$ZZ$1000,B665,C665)</f>
        <v>0</v>
      </c>
    </row>
    <row r="666" spans="1:8" x14ac:dyDescent="0.25">
      <c r="A666">
        <v>664</v>
      </c>
      <c r="B666">
        <f t="shared" si="20"/>
        <v>17</v>
      </c>
      <c r="C666">
        <f t="shared" si="21"/>
        <v>8</v>
      </c>
      <c r="D666" cm="1">
        <f t="array" ref="D666">INDEX('Linha 03'!$A$4:$A$1000,B666)</f>
        <v>20050034</v>
      </c>
      <c r="E666" t="str" cm="1">
        <f t="array" ref="E666">INDEX('Linha 03'!$B$4:$B$1000,B666)</f>
        <v>Desinfetante Ito Eucalipto Cx/06 X 2l</v>
      </c>
      <c r="F666" cm="1">
        <f t="array" ref="F666">INDEX('Linha 03'!$C$3:$ZZ$3,C666)</f>
        <v>20040057</v>
      </c>
      <c r="G666" t="str" cm="1">
        <f t="array" ref="G666">INDEX('Linha 03'!$C$2:$ZZ$2,C666)</f>
        <v>Amaciante Myata Rosa Cx/06 X 2l</v>
      </c>
      <c r="H666" s="5" cm="1">
        <f t="array" ref="H666">INDEX('Linha 03'!$C$4:$ZZ$1000,B666,C666)</f>
        <v>0</v>
      </c>
    </row>
    <row r="667" spans="1:8" x14ac:dyDescent="0.25">
      <c r="A667">
        <v>665</v>
      </c>
      <c r="B667">
        <f t="shared" si="20"/>
        <v>17</v>
      </c>
      <c r="C667">
        <f t="shared" si="21"/>
        <v>9</v>
      </c>
      <c r="D667" cm="1">
        <f t="array" ref="D667">INDEX('Linha 03'!$A$4:$A$1000,B667)</f>
        <v>20050034</v>
      </c>
      <c r="E667" t="str" cm="1">
        <f t="array" ref="E667">INDEX('Linha 03'!$B$4:$B$1000,B667)</f>
        <v>Desinfetante Ito Eucalipto Cx/06 X 2l</v>
      </c>
      <c r="F667" cm="1">
        <f t="array" ref="F667">INDEX('Linha 03'!$C$3:$ZZ$3,C667)</f>
        <v>20040084</v>
      </c>
      <c r="G667" t="str" cm="1">
        <f t="array" ref="G667">INDEX('Linha 03'!$C$2:$ZZ$2,C667)</f>
        <v>Amaciante Aquafast Vermelho Seducao Cx C/06 X 2l</v>
      </c>
      <c r="H667" s="5" cm="1">
        <f t="array" ref="H667">INDEX('Linha 03'!$C$4:$ZZ$1000,B667,C667)</f>
        <v>0</v>
      </c>
    </row>
    <row r="668" spans="1:8" x14ac:dyDescent="0.25">
      <c r="A668">
        <v>666</v>
      </c>
      <c r="B668">
        <f t="shared" si="20"/>
        <v>17</v>
      </c>
      <c r="C668">
        <f t="shared" si="21"/>
        <v>10</v>
      </c>
      <c r="D668" cm="1">
        <f t="array" ref="D668">INDEX('Linha 03'!$A$4:$A$1000,B668)</f>
        <v>20050034</v>
      </c>
      <c r="E668" t="str" cm="1">
        <f t="array" ref="E668">INDEX('Linha 03'!$B$4:$B$1000,B668)</f>
        <v>Desinfetante Ito Eucalipto Cx/06 X 2l</v>
      </c>
      <c r="F668" cm="1">
        <f t="array" ref="F668">INDEX('Linha 03'!$C$3:$ZZ$3,C668)</f>
        <v>20040089</v>
      </c>
      <c r="G668" t="str" cm="1">
        <f t="array" ref="G668">INDEX('Linha 03'!$C$2:$ZZ$2,C668)</f>
        <v>Amaciante Aquafast Roxo Magia Cx/06 X 2l</v>
      </c>
      <c r="H668" s="5" cm="1">
        <f t="array" ref="H668">INDEX('Linha 03'!$C$4:$ZZ$1000,B668,C668)</f>
        <v>0</v>
      </c>
    </row>
    <row r="669" spans="1:8" x14ac:dyDescent="0.25">
      <c r="A669">
        <v>667</v>
      </c>
      <c r="B669">
        <f t="shared" si="20"/>
        <v>17</v>
      </c>
      <c r="C669">
        <f t="shared" si="21"/>
        <v>11</v>
      </c>
      <c r="D669" cm="1">
        <f t="array" ref="D669">INDEX('Linha 03'!$A$4:$A$1000,B669)</f>
        <v>20050034</v>
      </c>
      <c r="E669" t="str" cm="1">
        <f t="array" ref="E669">INDEX('Linha 03'!$B$4:$B$1000,B669)</f>
        <v>Desinfetante Ito Eucalipto Cx/06 X 2l</v>
      </c>
      <c r="F669" cm="1">
        <f t="array" ref="F669">INDEX('Linha 03'!$C$3:$ZZ$3,C669)</f>
        <v>20040094</v>
      </c>
      <c r="G669" t="str" cm="1">
        <f t="array" ref="G669">INDEX('Linha 03'!$C$2:$ZZ$2,C669)</f>
        <v>Amaciante Aquafast Energia Cx/06 X 2l</v>
      </c>
      <c r="H669" s="5" cm="1">
        <f t="array" ref="H669">INDEX('Linha 03'!$C$4:$ZZ$1000,B669,C669)</f>
        <v>0</v>
      </c>
    </row>
    <row r="670" spans="1:8" x14ac:dyDescent="0.25">
      <c r="A670">
        <v>668</v>
      </c>
      <c r="B670">
        <f t="shared" si="20"/>
        <v>17</v>
      </c>
      <c r="C670">
        <f t="shared" si="21"/>
        <v>12</v>
      </c>
      <c r="D670" cm="1">
        <f t="array" ref="D670">INDEX('Linha 03'!$A$4:$A$1000,B670)</f>
        <v>20050034</v>
      </c>
      <c r="E670" t="str" cm="1">
        <f t="array" ref="E670">INDEX('Linha 03'!$B$4:$B$1000,B670)</f>
        <v>Desinfetante Ito Eucalipto Cx/06 X 2l</v>
      </c>
      <c r="F670" cm="1">
        <f t="array" ref="F670">INDEX('Linha 03'!$C$3:$ZZ$3,C670)</f>
        <v>20050010</v>
      </c>
      <c r="G670" t="str" cm="1">
        <f t="array" ref="G670">INDEX('Linha 03'!$C$2:$ZZ$2,C670)</f>
        <v>Desinfetante Aquafast Campos Lavanda Cx/06 X 2l</v>
      </c>
      <c r="H670" s="5" cm="1">
        <f t="array" ref="H670">INDEX('Linha 03'!$C$4:$ZZ$1000,B670,C670)</f>
        <v>0</v>
      </c>
    </row>
    <row r="671" spans="1:8" x14ac:dyDescent="0.25">
      <c r="A671">
        <v>669</v>
      </c>
      <c r="B671">
        <f t="shared" si="20"/>
        <v>17</v>
      </c>
      <c r="C671">
        <f t="shared" si="21"/>
        <v>13</v>
      </c>
      <c r="D671" cm="1">
        <f t="array" ref="D671">INDEX('Linha 03'!$A$4:$A$1000,B671)</f>
        <v>20050034</v>
      </c>
      <c r="E671" t="str" cm="1">
        <f t="array" ref="E671">INDEX('Linha 03'!$B$4:$B$1000,B671)</f>
        <v>Desinfetante Ito Eucalipto Cx/06 X 2l</v>
      </c>
      <c r="F671" cm="1">
        <f t="array" ref="F671">INDEX('Linha 03'!$C$3:$ZZ$3,C671)</f>
        <v>20050011</v>
      </c>
      <c r="G671" t="str" cm="1">
        <f t="array" ref="G671">INDEX('Linha 03'!$C$2:$ZZ$2,C671)</f>
        <v>Desinfetante Aquafast Jardim Florido Cx/06 X 2l</v>
      </c>
      <c r="H671" s="5" cm="1">
        <f t="array" ref="H671">INDEX('Linha 03'!$C$4:$ZZ$1000,B671,C671)</f>
        <v>0</v>
      </c>
    </row>
    <row r="672" spans="1:8" x14ac:dyDescent="0.25">
      <c r="A672">
        <v>670</v>
      </c>
      <c r="B672">
        <f t="shared" si="20"/>
        <v>17</v>
      </c>
      <c r="C672">
        <f t="shared" si="21"/>
        <v>14</v>
      </c>
      <c r="D672" cm="1">
        <f t="array" ref="D672">INDEX('Linha 03'!$A$4:$A$1000,B672)</f>
        <v>20050034</v>
      </c>
      <c r="E672" t="str" cm="1">
        <f t="array" ref="E672">INDEX('Linha 03'!$B$4:$B$1000,B672)</f>
        <v>Desinfetante Ito Eucalipto Cx/06 X 2l</v>
      </c>
      <c r="F672" cm="1">
        <f t="array" ref="F672">INDEX('Linha 03'!$C$3:$ZZ$3,C672)</f>
        <v>20050016</v>
      </c>
      <c r="G672" t="str" cm="1">
        <f t="array" ref="G672">INDEX('Linha 03'!$C$2:$ZZ$2,C672)</f>
        <v>Desinfetante Aquafast Marine Cx/06 X 2l</v>
      </c>
      <c r="H672" s="5" cm="1">
        <f t="array" ref="H672">INDEX('Linha 03'!$C$4:$ZZ$1000,B672,C672)</f>
        <v>0</v>
      </c>
    </row>
    <row r="673" spans="1:8" x14ac:dyDescent="0.25">
      <c r="A673">
        <v>671</v>
      </c>
      <c r="B673">
        <f t="shared" si="20"/>
        <v>17</v>
      </c>
      <c r="C673">
        <f t="shared" si="21"/>
        <v>15</v>
      </c>
      <c r="D673" cm="1">
        <f t="array" ref="D673">INDEX('Linha 03'!$A$4:$A$1000,B673)</f>
        <v>20050034</v>
      </c>
      <c r="E673" t="str" cm="1">
        <f t="array" ref="E673">INDEX('Linha 03'!$B$4:$B$1000,B673)</f>
        <v>Desinfetante Ito Eucalipto Cx/06 X 2l</v>
      </c>
      <c r="F673" cm="1">
        <f t="array" ref="F673">INDEX('Linha 03'!$C$3:$ZZ$3,C673)</f>
        <v>20050031</v>
      </c>
      <c r="G673" t="str" cm="1">
        <f t="array" ref="G673">INDEX('Linha 03'!$C$2:$ZZ$2,C673)</f>
        <v>Desinfetante Ito Lavanda Cx/06 X 2l</v>
      </c>
      <c r="H673" s="5" cm="1">
        <f t="array" ref="H673">INDEX('Linha 03'!$C$4:$ZZ$1000,B673,C673)</f>
        <v>0</v>
      </c>
    </row>
    <row r="674" spans="1:8" x14ac:dyDescent="0.25">
      <c r="A674">
        <v>672</v>
      </c>
      <c r="B674">
        <f t="shared" si="20"/>
        <v>17</v>
      </c>
      <c r="C674">
        <f t="shared" si="21"/>
        <v>16</v>
      </c>
      <c r="D674" cm="1">
        <f t="array" ref="D674">INDEX('Linha 03'!$A$4:$A$1000,B674)</f>
        <v>20050034</v>
      </c>
      <c r="E674" t="str" cm="1">
        <f t="array" ref="E674">INDEX('Linha 03'!$B$4:$B$1000,B674)</f>
        <v>Desinfetante Ito Eucalipto Cx/06 X 2l</v>
      </c>
      <c r="F674" cm="1">
        <f t="array" ref="F674">INDEX('Linha 03'!$C$3:$ZZ$3,C674)</f>
        <v>20050032</v>
      </c>
      <c r="G674" t="str" cm="1">
        <f t="array" ref="G674">INDEX('Linha 03'!$C$2:$ZZ$2,C674)</f>
        <v>Desinfetante Ito Floral Cx/06 X 2l</v>
      </c>
      <c r="H674" s="5" cm="1">
        <f t="array" ref="H674">INDEX('Linha 03'!$C$4:$ZZ$1000,B674,C674)</f>
        <v>0</v>
      </c>
    </row>
    <row r="675" spans="1:8" x14ac:dyDescent="0.25">
      <c r="A675">
        <v>673</v>
      </c>
      <c r="B675">
        <f t="shared" si="20"/>
        <v>17</v>
      </c>
      <c r="C675">
        <f t="shared" si="21"/>
        <v>17</v>
      </c>
      <c r="D675" cm="1">
        <f t="array" ref="D675">INDEX('Linha 03'!$A$4:$A$1000,B675)</f>
        <v>20050034</v>
      </c>
      <c r="E675" t="str" cm="1">
        <f t="array" ref="E675">INDEX('Linha 03'!$B$4:$B$1000,B675)</f>
        <v>Desinfetante Ito Eucalipto Cx/06 X 2l</v>
      </c>
      <c r="F675" cm="1">
        <f t="array" ref="F675">INDEX('Linha 03'!$C$3:$ZZ$3,C675)</f>
        <v>20050034</v>
      </c>
      <c r="G675" t="str" cm="1">
        <f t="array" ref="G675">INDEX('Linha 03'!$C$2:$ZZ$2,C675)</f>
        <v>Desinfetante Ito Eucalipto Cx/06 X 2l</v>
      </c>
      <c r="H675" s="5" cm="1">
        <f t="array" ref="H675">INDEX('Linha 03'!$C$4:$ZZ$1000,B675,C675)</f>
        <v>0</v>
      </c>
    </row>
    <row r="676" spans="1:8" x14ac:dyDescent="0.25">
      <c r="A676">
        <v>674</v>
      </c>
      <c r="B676">
        <f t="shared" si="20"/>
        <v>17</v>
      </c>
      <c r="C676">
        <f t="shared" si="21"/>
        <v>18</v>
      </c>
      <c r="D676" cm="1">
        <f t="array" ref="D676">INDEX('Linha 03'!$A$4:$A$1000,B676)</f>
        <v>20050034</v>
      </c>
      <c r="E676" t="str" cm="1">
        <f t="array" ref="E676">INDEX('Linha 03'!$B$4:$B$1000,B676)</f>
        <v>Desinfetante Ito Eucalipto Cx/06 X 2l</v>
      </c>
      <c r="F676" cm="1">
        <f t="array" ref="F676">INDEX('Linha 03'!$C$3:$ZZ$3,C676)</f>
        <v>20050077</v>
      </c>
      <c r="G676" t="str" cm="1">
        <f t="array" ref="G676">INDEX('Linha 03'!$C$2:$ZZ$2,C676)</f>
        <v>Desinfetante Myata Lavanda Cx/06 X 2l</v>
      </c>
      <c r="H676" s="5" cm="1">
        <f t="array" ref="H676">INDEX('Linha 03'!$C$4:$ZZ$1000,B676,C676)</f>
        <v>0</v>
      </c>
    </row>
    <row r="677" spans="1:8" x14ac:dyDescent="0.25">
      <c r="A677">
        <v>675</v>
      </c>
      <c r="B677">
        <f t="shared" si="20"/>
        <v>17</v>
      </c>
      <c r="C677">
        <f t="shared" si="21"/>
        <v>19</v>
      </c>
      <c r="D677" cm="1">
        <f t="array" ref="D677">INDEX('Linha 03'!$A$4:$A$1000,B677)</f>
        <v>20050034</v>
      </c>
      <c r="E677" t="str" cm="1">
        <f t="array" ref="E677">INDEX('Linha 03'!$B$4:$B$1000,B677)</f>
        <v>Desinfetante Ito Eucalipto Cx/06 X 2l</v>
      </c>
      <c r="F677" cm="1">
        <f t="array" ref="F677">INDEX('Linha 03'!$C$3:$ZZ$3,C677)</f>
        <v>20050078</v>
      </c>
      <c r="G677" t="str" cm="1">
        <f t="array" ref="G677">INDEX('Linha 03'!$C$2:$ZZ$2,C677)</f>
        <v>Desinfetante Myata Floral Cx/06 X 2l</v>
      </c>
      <c r="H677" s="5" cm="1">
        <f t="array" ref="H677">INDEX('Linha 03'!$C$4:$ZZ$1000,B677,C677)</f>
        <v>0</v>
      </c>
    </row>
    <row r="678" spans="1:8" x14ac:dyDescent="0.25">
      <c r="A678">
        <v>676</v>
      </c>
      <c r="B678">
        <f t="shared" si="20"/>
        <v>17</v>
      </c>
      <c r="C678">
        <f t="shared" si="21"/>
        <v>20</v>
      </c>
      <c r="D678" cm="1">
        <f t="array" ref="D678">INDEX('Linha 03'!$A$4:$A$1000,B678)</f>
        <v>20050034</v>
      </c>
      <c r="E678" t="str" cm="1">
        <f t="array" ref="E678">INDEX('Linha 03'!$B$4:$B$1000,B678)</f>
        <v>Desinfetante Ito Eucalipto Cx/06 X 2l</v>
      </c>
      <c r="F678" cm="1">
        <f t="array" ref="F678">INDEX('Linha 03'!$C$3:$ZZ$3,C678)</f>
        <v>20050115</v>
      </c>
      <c r="G678" t="str" cm="1">
        <f t="array" ref="G678">INDEX('Linha 03'!$C$2:$ZZ$2,C678)</f>
        <v>Desinfetante Aquafast Paixao Cx/06 X 2l</v>
      </c>
      <c r="H678" s="5" cm="1">
        <f t="array" ref="H678">INDEX('Linha 03'!$C$4:$ZZ$1000,B678,C678)</f>
        <v>0</v>
      </c>
    </row>
    <row r="679" spans="1:8" x14ac:dyDescent="0.25">
      <c r="A679">
        <v>677</v>
      </c>
      <c r="B679">
        <f t="shared" si="20"/>
        <v>17</v>
      </c>
      <c r="C679">
        <f t="shared" si="21"/>
        <v>21</v>
      </c>
      <c r="D679" cm="1">
        <f t="array" ref="D679">INDEX('Linha 03'!$A$4:$A$1000,B679)</f>
        <v>20050034</v>
      </c>
      <c r="E679" t="str" cm="1">
        <f t="array" ref="E679">INDEX('Linha 03'!$B$4:$B$1000,B679)</f>
        <v>Desinfetante Ito Eucalipto Cx/06 X 2l</v>
      </c>
      <c r="F679" cm="1">
        <f t="array" ref="F679">INDEX('Linha 03'!$C$3:$ZZ$3,C679)</f>
        <v>20050117</v>
      </c>
      <c r="G679" t="str" cm="1">
        <f t="array" ref="G679">INDEX('Linha 03'!$C$2:$ZZ$2,C679)</f>
        <v>Desinfetante Aquafast Harmonia Natural Cx/06 X 2l</v>
      </c>
      <c r="H679" s="5" cm="1">
        <f t="array" ref="H679">INDEX('Linha 03'!$C$4:$ZZ$1000,B679,C679)</f>
        <v>0</v>
      </c>
    </row>
    <row r="680" spans="1:8" x14ac:dyDescent="0.25">
      <c r="A680">
        <v>678</v>
      </c>
      <c r="B680">
        <f t="shared" si="20"/>
        <v>17</v>
      </c>
      <c r="C680">
        <f t="shared" si="21"/>
        <v>22</v>
      </c>
      <c r="D680" cm="1">
        <f t="array" ref="D680">INDEX('Linha 03'!$A$4:$A$1000,B680)</f>
        <v>20050034</v>
      </c>
      <c r="E680" t="str" cm="1">
        <f t="array" ref="E680">INDEX('Linha 03'!$B$4:$B$1000,B680)</f>
        <v>Desinfetante Ito Eucalipto Cx/06 X 2l</v>
      </c>
      <c r="F680" cm="1">
        <f t="array" ref="F680">INDEX('Linha 03'!$C$3:$ZZ$3,C680)</f>
        <v>20050123</v>
      </c>
      <c r="G680" t="str" cm="1">
        <f t="array" ref="G680">INDEX('Linha 03'!$C$2:$ZZ$2,C680)</f>
        <v>Desinfetante Ito Harmonia Natural Cx/06 X 2l</v>
      </c>
      <c r="H680" s="5" cm="1">
        <f t="array" ref="H680">INDEX('Linha 03'!$C$4:$ZZ$1000,B680,C680)</f>
        <v>0</v>
      </c>
    </row>
    <row r="681" spans="1:8" x14ac:dyDescent="0.25">
      <c r="A681">
        <v>679</v>
      </c>
      <c r="B681">
        <f t="shared" si="20"/>
        <v>17</v>
      </c>
      <c r="C681">
        <f t="shared" si="21"/>
        <v>23</v>
      </c>
      <c r="D681" cm="1">
        <f t="array" ref="D681">INDEX('Linha 03'!$A$4:$A$1000,B681)</f>
        <v>20050034</v>
      </c>
      <c r="E681" t="str" cm="1">
        <f t="array" ref="E681">INDEX('Linha 03'!$B$4:$B$1000,B681)</f>
        <v>Desinfetante Ito Eucalipto Cx/06 X 2l</v>
      </c>
      <c r="F681" cm="1">
        <f t="array" ref="F681">INDEX('Linha 03'!$C$3:$ZZ$3,C681)</f>
        <v>20050124</v>
      </c>
      <c r="G681" t="str" cm="1">
        <f t="array" ref="G681">INDEX('Linha 03'!$C$2:$ZZ$2,C681)</f>
        <v>Desinfetante Myata Harmonia Natural Cx/06 X 2l</v>
      </c>
      <c r="H681" s="5" cm="1">
        <f t="array" ref="H681">INDEX('Linha 03'!$C$4:$ZZ$1000,B681,C681)</f>
        <v>0</v>
      </c>
    </row>
    <row r="682" spans="1:8" x14ac:dyDescent="0.25">
      <c r="A682">
        <v>680</v>
      </c>
      <c r="B682">
        <f t="shared" si="20"/>
        <v>17</v>
      </c>
      <c r="C682">
        <f t="shared" si="21"/>
        <v>24</v>
      </c>
      <c r="D682" cm="1">
        <f t="array" ref="D682">INDEX('Linha 03'!$A$4:$A$1000,B682)</f>
        <v>20050034</v>
      </c>
      <c r="E682" t="str" cm="1">
        <f t="array" ref="E682">INDEX('Linha 03'!$B$4:$B$1000,B682)</f>
        <v>Desinfetante Ito Eucalipto Cx/06 X 2l</v>
      </c>
      <c r="F682" cm="1">
        <f t="array" ref="F682">INDEX('Linha 03'!$C$3:$ZZ$3,C682)</f>
        <v>20050142</v>
      </c>
      <c r="G682" t="str" cm="1">
        <f t="array" ref="G682">INDEX('Linha 03'!$C$2:$ZZ$2,C682)</f>
        <v>Desinfetante Ito Marine Cx/06 X 2l</v>
      </c>
      <c r="H682" s="5" cm="1">
        <f t="array" ref="H682">INDEX('Linha 03'!$C$4:$ZZ$1000,B682,C682)</f>
        <v>0</v>
      </c>
    </row>
    <row r="683" spans="1:8" x14ac:dyDescent="0.25">
      <c r="A683">
        <v>681</v>
      </c>
      <c r="B683">
        <f t="shared" si="20"/>
        <v>17</v>
      </c>
      <c r="C683">
        <f t="shared" si="21"/>
        <v>25</v>
      </c>
      <c r="D683" cm="1">
        <f t="array" ref="D683">INDEX('Linha 03'!$A$4:$A$1000,B683)</f>
        <v>20050034</v>
      </c>
      <c r="E683" t="str" cm="1">
        <f t="array" ref="E683">INDEX('Linha 03'!$B$4:$B$1000,B683)</f>
        <v>Desinfetante Ito Eucalipto Cx/06 X 2l</v>
      </c>
      <c r="F683" cm="1">
        <f t="array" ref="F683">INDEX('Linha 03'!$C$3:$ZZ$3,C683)</f>
        <v>20050159</v>
      </c>
      <c r="G683" t="str" cm="1">
        <f t="array" ref="G683">INDEX('Linha 03'!$C$2:$ZZ$2,C683)</f>
        <v>Desinfetante Aquafast Cha Branco Cx/06 X 2l</v>
      </c>
      <c r="H683" s="5" cm="1">
        <f t="array" ref="H683">INDEX('Linha 03'!$C$4:$ZZ$1000,B683,C683)</f>
        <v>1.38888888888889E-2</v>
      </c>
    </row>
    <row r="684" spans="1:8" x14ac:dyDescent="0.25">
      <c r="A684">
        <v>682</v>
      </c>
      <c r="B684">
        <f t="shared" si="20"/>
        <v>17</v>
      </c>
      <c r="C684">
        <f t="shared" si="21"/>
        <v>26</v>
      </c>
      <c r="D684" cm="1">
        <f t="array" ref="D684">INDEX('Linha 03'!$A$4:$A$1000,B684)</f>
        <v>20050034</v>
      </c>
      <c r="E684" t="str" cm="1">
        <f t="array" ref="E684">INDEX('Linha 03'!$B$4:$B$1000,B684)</f>
        <v>Desinfetante Ito Eucalipto Cx/06 X 2l</v>
      </c>
      <c r="F684" cm="1">
        <f t="array" ref="F684">INDEX('Linha 03'!$C$3:$ZZ$3,C684)</f>
        <v>20060007</v>
      </c>
      <c r="G684" t="str" cm="1">
        <f t="array" ref="G684">INDEX('Linha 03'!$C$2:$ZZ$2,C684)</f>
        <v>Limp Perf Aquafast Magia Seducao Cx/06 X 2l (Promoc)</v>
      </c>
      <c r="H684" s="5" cm="1">
        <f t="array" ref="H684">INDEX('Linha 03'!$C$4:$ZZ$1000,B684,C684)</f>
        <v>0</v>
      </c>
    </row>
    <row r="685" spans="1:8" x14ac:dyDescent="0.25">
      <c r="A685">
        <v>683</v>
      </c>
      <c r="B685">
        <f t="shared" si="20"/>
        <v>17</v>
      </c>
      <c r="C685">
        <f t="shared" si="21"/>
        <v>27</v>
      </c>
      <c r="D685" cm="1">
        <f t="array" ref="D685">INDEX('Linha 03'!$A$4:$A$1000,B685)</f>
        <v>20050034</v>
      </c>
      <c r="E685" t="str" cm="1">
        <f t="array" ref="E685">INDEX('Linha 03'!$B$4:$B$1000,B685)</f>
        <v>Desinfetante Ito Eucalipto Cx/06 X 2l</v>
      </c>
      <c r="F685" cm="1">
        <f t="array" ref="F685">INDEX('Linha 03'!$C$3:$ZZ$3,C685)</f>
        <v>20060009</v>
      </c>
      <c r="G685" t="str" cm="1">
        <f t="array" ref="G685">INDEX('Linha 03'!$C$2:$ZZ$2,C685)</f>
        <v>Limp Perf Aquafast Frescor Da Manha Cx/06 X 2l (Promoc)</v>
      </c>
      <c r="H685" s="5" cm="1">
        <f t="array" ref="H685">INDEX('Linha 03'!$C$4:$ZZ$1000,B685,C685)</f>
        <v>0</v>
      </c>
    </row>
    <row r="686" spans="1:8" x14ac:dyDescent="0.25">
      <c r="A686">
        <v>684</v>
      </c>
      <c r="B686">
        <f t="shared" si="20"/>
        <v>17</v>
      </c>
      <c r="C686">
        <f t="shared" si="21"/>
        <v>28</v>
      </c>
      <c r="D686" cm="1">
        <f t="array" ref="D686">INDEX('Linha 03'!$A$4:$A$1000,B686)</f>
        <v>20050034</v>
      </c>
      <c r="E686" t="str" cm="1">
        <f t="array" ref="E686">INDEX('Linha 03'!$B$4:$B$1000,B686)</f>
        <v>Desinfetante Ito Eucalipto Cx/06 X 2l</v>
      </c>
      <c r="F686" cm="1">
        <f t="array" ref="F686">INDEX('Linha 03'!$C$3:$ZZ$3,C686)</f>
        <v>20060017</v>
      </c>
      <c r="G686" t="str" cm="1">
        <f t="array" ref="G686">INDEX('Linha 03'!$C$2:$ZZ$2,C686)</f>
        <v>Limp Perf Aquafast Doce Romance Cx/06 X 2l (Promoc)</v>
      </c>
      <c r="H686" s="5" cm="1">
        <f t="array" ref="H686">INDEX('Linha 03'!$C$4:$ZZ$1000,B686,C686)</f>
        <v>0</v>
      </c>
    </row>
    <row r="687" spans="1:8" x14ac:dyDescent="0.25">
      <c r="A687">
        <v>685</v>
      </c>
      <c r="B687">
        <f t="shared" si="20"/>
        <v>17</v>
      </c>
      <c r="C687">
        <f t="shared" si="21"/>
        <v>29</v>
      </c>
      <c r="D687" cm="1">
        <f t="array" ref="D687">INDEX('Linha 03'!$A$4:$A$1000,B687)</f>
        <v>20050034</v>
      </c>
      <c r="E687" t="str" cm="1">
        <f t="array" ref="E687">INDEX('Linha 03'!$B$4:$B$1000,B687)</f>
        <v>Desinfetante Ito Eucalipto Cx/06 X 2l</v>
      </c>
      <c r="F687" cm="1">
        <f t="array" ref="F687">INDEX('Linha 03'!$C$3:$ZZ$3,C687)</f>
        <v>20060028</v>
      </c>
      <c r="G687" t="str" cm="1">
        <f t="array" ref="G687">INDEX('Linha 03'!$C$2:$ZZ$2,C687)</f>
        <v>Limp Perf Aquafast Essencia Natural Cx06 X 2l</v>
      </c>
      <c r="H687" s="5" cm="1">
        <f t="array" ref="H687">INDEX('Linha 03'!$C$4:$ZZ$1000,B687,C687)</f>
        <v>0</v>
      </c>
    </row>
    <row r="688" spans="1:8" x14ac:dyDescent="0.25">
      <c r="A688">
        <v>686</v>
      </c>
      <c r="B688">
        <f t="shared" si="20"/>
        <v>17</v>
      </c>
      <c r="C688">
        <f t="shared" si="21"/>
        <v>30</v>
      </c>
      <c r="D688" cm="1">
        <f t="array" ref="D688">INDEX('Linha 03'!$A$4:$A$1000,B688)</f>
        <v>20050034</v>
      </c>
      <c r="E688" t="str" cm="1">
        <f t="array" ref="E688">INDEX('Linha 03'!$B$4:$B$1000,B688)</f>
        <v>Desinfetante Ito Eucalipto Cx/06 X 2l</v>
      </c>
      <c r="F688" cm="1">
        <f t="array" ref="F688">INDEX('Linha 03'!$C$3:$ZZ$3,C688)</f>
        <v>20200003</v>
      </c>
      <c r="G688" t="str" cm="1">
        <f t="array" ref="G688">INDEX('Linha 03'!$C$2:$ZZ$2,C688)</f>
        <v>Lava Roup. Aquafast Baby Cx/12 X 1l</v>
      </c>
      <c r="H688" s="5" cm="1">
        <f t="array" ref="H688">INDEX('Linha 03'!$C$4:$ZZ$1000,B688,C688)</f>
        <v>0</v>
      </c>
    </row>
    <row r="689" spans="1:8" x14ac:dyDescent="0.25">
      <c r="A689">
        <v>687</v>
      </c>
      <c r="B689">
        <f t="shared" si="20"/>
        <v>17</v>
      </c>
      <c r="C689">
        <f t="shared" si="21"/>
        <v>31</v>
      </c>
      <c r="D689" cm="1">
        <f t="array" ref="D689">INDEX('Linha 03'!$A$4:$A$1000,B689)</f>
        <v>20050034</v>
      </c>
      <c r="E689" t="str" cm="1">
        <f t="array" ref="E689">INDEX('Linha 03'!$B$4:$B$1000,B689)</f>
        <v>Desinfetante Ito Eucalipto Cx/06 X 2l</v>
      </c>
      <c r="F689" cm="1">
        <f t="array" ref="F689">INDEX('Linha 03'!$C$3:$ZZ$3,C689)</f>
        <v>20200005</v>
      </c>
      <c r="G689" t="str" cm="1">
        <f t="array" ref="G689">INDEX('Linha 03'!$C$2:$ZZ$2,C689)</f>
        <v>Lava Roupas Aquafast Multi Acao Cx/06 X 2l</v>
      </c>
      <c r="H689" s="5" cm="1">
        <f t="array" ref="H689">INDEX('Linha 03'!$C$4:$ZZ$1000,B689,C689)</f>
        <v>0</v>
      </c>
    </row>
    <row r="690" spans="1:8" x14ac:dyDescent="0.25">
      <c r="A690">
        <v>688</v>
      </c>
      <c r="B690">
        <f t="shared" si="20"/>
        <v>17</v>
      </c>
      <c r="C690">
        <f t="shared" si="21"/>
        <v>32</v>
      </c>
      <c r="D690" cm="1">
        <f t="array" ref="D690">INDEX('Linha 03'!$A$4:$A$1000,B690)</f>
        <v>20050034</v>
      </c>
      <c r="E690" t="str" cm="1">
        <f t="array" ref="E690">INDEX('Linha 03'!$B$4:$B$1000,B690)</f>
        <v>Desinfetante Ito Eucalipto Cx/06 X 2l</v>
      </c>
      <c r="F690" cm="1">
        <f t="array" ref="F690">INDEX('Linha 03'!$C$3:$ZZ$3,C690)</f>
        <v>20200006</v>
      </c>
      <c r="G690" t="str" cm="1">
        <f t="array" ref="G690">INDEX('Linha 03'!$C$2:$ZZ$2,C690)</f>
        <v>Lava Roupas Aquafast Glicerina Cx/06 X 2l</v>
      </c>
      <c r="H690" s="5" cm="1">
        <f t="array" ref="H690">INDEX('Linha 03'!$C$4:$ZZ$1000,B690,C690)</f>
        <v>0</v>
      </c>
    </row>
    <row r="691" spans="1:8" x14ac:dyDescent="0.25">
      <c r="A691">
        <v>689</v>
      </c>
      <c r="B691">
        <f t="shared" si="20"/>
        <v>17</v>
      </c>
      <c r="C691">
        <f t="shared" si="21"/>
        <v>33</v>
      </c>
      <c r="D691" cm="1">
        <f t="array" ref="D691">INDEX('Linha 03'!$A$4:$A$1000,B691)</f>
        <v>20050034</v>
      </c>
      <c r="E691" t="str" cm="1">
        <f t="array" ref="E691">INDEX('Linha 03'!$B$4:$B$1000,B691)</f>
        <v>Desinfetante Ito Eucalipto Cx/06 X 2l</v>
      </c>
      <c r="F691" cm="1">
        <f t="array" ref="F691">INDEX('Linha 03'!$C$3:$ZZ$3,C691)</f>
        <v>20200015</v>
      </c>
      <c r="G691" t="str" cm="1">
        <f t="array" ref="G691">INDEX('Linha 03'!$C$2:$ZZ$2,C691)</f>
        <v>Lava Roup. Aquafast Multiacao Cx/12 X 1l</v>
      </c>
      <c r="H691" s="5" cm="1">
        <f t="array" ref="H691">INDEX('Linha 03'!$C$4:$ZZ$1000,B691,C691)</f>
        <v>0</v>
      </c>
    </row>
    <row r="692" spans="1:8" x14ac:dyDescent="0.25">
      <c r="A692">
        <v>690</v>
      </c>
      <c r="B692">
        <f t="shared" si="20"/>
        <v>17</v>
      </c>
      <c r="C692">
        <f t="shared" si="21"/>
        <v>34</v>
      </c>
      <c r="D692" cm="1">
        <f t="array" ref="D692">INDEX('Linha 03'!$A$4:$A$1000,B692)</f>
        <v>20050034</v>
      </c>
      <c r="E692" t="str" cm="1">
        <f t="array" ref="E692">INDEX('Linha 03'!$B$4:$B$1000,B692)</f>
        <v>Desinfetante Ito Eucalipto Cx/06 X 2l</v>
      </c>
      <c r="F692" cm="1">
        <f t="array" ref="F692">INDEX('Linha 03'!$C$3:$ZZ$3,C692)</f>
        <v>20200036</v>
      </c>
      <c r="G692" t="str" cm="1">
        <f t="array" ref="G692">INDEX('Linha 03'!$C$2:$ZZ$2,C692)</f>
        <v>Lava Roupas Aquafast Ternura Cx/06 X 2l</v>
      </c>
      <c r="H692" s="5" cm="1">
        <f t="array" ref="H692">INDEX('Linha 03'!$C$4:$ZZ$1000,B692,C692)</f>
        <v>0</v>
      </c>
    </row>
    <row r="693" spans="1:8" x14ac:dyDescent="0.25">
      <c r="A693">
        <v>691</v>
      </c>
      <c r="B693">
        <f t="shared" si="20"/>
        <v>17</v>
      </c>
      <c r="C693">
        <f t="shared" si="21"/>
        <v>35</v>
      </c>
      <c r="D693" cm="1">
        <f t="array" ref="D693">INDEX('Linha 03'!$A$4:$A$1000,B693)</f>
        <v>20050034</v>
      </c>
      <c r="E693" t="str" cm="1">
        <f t="array" ref="E693">INDEX('Linha 03'!$B$4:$B$1000,B693)</f>
        <v>Desinfetante Ito Eucalipto Cx/06 X 2l</v>
      </c>
      <c r="F693" cm="1">
        <f t="array" ref="F693">INDEX('Linha 03'!$C$3:$ZZ$3,C693)</f>
        <v>20200063</v>
      </c>
      <c r="G693" t="str" cm="1">
        <f t="array" ref="G693">INDEX('Linha 03'!$C$2:$ZZ$2,C693)</f>
        <v>Lava Roup. Aquafast Tradicional Cx/12 X 1l</v>
      </c>
      <c r="H693" s="5" cm="1">
        <f t="array" ref="H693">INDEX('Linha 03'!$C$4:$ZZ$1000,B693,C693)</f>
        <v>0</v>
      </c>
    </row>
    <row r="694" spans="1:8" x14ac:dyDescent="0.25">
      <c r="A694">
        <v>692</v>
      </c>
      <c r="B694">
        <f t="shared" si="20"/>
        <v>17</v>
      </c>
      <c r="C694">
        <f t="shared" si="21"/>
        <v>36</v>
      </c>
      <c r="D694" cm="1">
        <f t="array" ref="D694">INDEX('Linha 03'!$A$4:$A$1000,B694)</f>
        <v>20050034</v>
      </c>
      <c r="E694" t="str" cm="1">
        <f t="array" ref="E694">INDEX('Linha 03'!$B$4:$B$1000,B694)</f>
        <v>Desinfetante Ito Eucalipto Cx/06 X 2l</v>
      </c>
      <c r="F694" cm="1">
        <f t="array" ref="F694">INDEX('Linha 03'!$C$3:$ZZ$3,C694)</f>
        <v>20200064</v>
      </c>
      <c r="G694" t="str" cm="1">
        <f t="array" ref="G694">INDEX('Linha 03'!$C$2:$ZZ$2,C694)</f>
        <v>Lava Roup. Aquafast Flores B. E Baunilha Cx/12 X 1l</v>
      </c>
      <c r="H694" s="5" cm="1">
        <f t="array" ref="H694">INDEX('Linha 03'!$C$4:$ZZ$1000,B694,C694)</f>
        <v>0</v>
      </c>
    </row>
    <row r="695" spans="1:8" x14ac:dyDescent="0.25">
      <c r="A695">
        <v>693</v>
      </c>
      <c r="B695">
        <f t="shared" si="20"/>
        <v>17</v>
      </c>
      <c r="C695">
        <f t="shared" si="21"/>
        <v>37</v>
      </c>
      <c r="D695" cm="1">
        <f t="array" ref="D695">INDEX('Linha 03'!$A$4:$A$1000,B695)</f>
        <v>20050034</v>
      </c>
      <c r="E695" t="str" cm="1">
        <f t="array" ref="E695">INDEX('Linha 03'!$B$4:$B$1000,B695)</f>
        <v>Desinfetante Ito Eucalipto Cx/06 X 2l</v>
      </c>
      <c r="F695" cm="1">
        <f t="array" ref="F695">INDEX('Linha 03'!$C$3:$ZZ$3,C695)</f>
        <v>20200065</v>
      </c>
      <c r="G695" t="str" cm="1">
        <f t="array" ref="G695">INDEX('Linha 03'!$C$2:$ZZ$2,C695)</f>
        <v>Lava Roupas Aquafast Flores B. E Baunilha Cx/06 X 2l</v>
      </c>
      <c r="H695" s="5" cm="1">
        <f t="array" ref="H695">INDEX('Linha 03'!$C$4:$ZZ$1000,B695,C695)</f>
        <v>0</v>
      </c>
    </row>
    <row r="696" spans="1:8" x14ac:dyDescent="0.25">
      <c r="A696">
        <v>694</v>
      </c>
      <c r="B696">
        <f t="shared" si="20"/>
        <v>17</v>
      </c>
      <c r="C696">
        <f t="shared" si="21"/>
        <v>38</v>
      </c>
      <c r="D696" cm="1">
        <f t="array" ref="D696">INDEX('Linha 03'!$A$4:$A$1000,B696)</f>
        <v>20050034</v>
      </c>
      <c r="E696" t="str" cm="1">
        <f t="array" ref="E696">INDEX('Linha 03'!$B$4:$B$1000,B696)</f>
        <v>Desinfetante Ito Eucalipto Cx/06 X 2l</v>
      </c>
      <c r="F696" cm="1">
        <f t="array" ref="F696">INDEX('Linha 03'!$C$3:$ZZ$3,C696)</f>
        <v>20200072</v>
      </c>
      <c r="G696" t="str" cm="1">
        <f t="array" ref="G696">INDEX('Linha 03'!$C$2:$ZZ$2,C696)</f>
        <v>Lava Roupas Aquafast Lavagem Rapida Total Clean Cx/12 X 1l</v>
      </c>
      <c r="H696" s="5" cm="1">
        <f t="array" ref="H696">INDEX('Linha 03'!$C$4:$ZZ$1000,B696,C696)</f>
        <v>0</v>
      </c>
    </row>
    <row r="697" spans="1:8" x14ac:dyDescent="0.25">
      <c r="A697">
        <v>695</v>
      </c>
      <c r="B697">
        <f t="shared" si="20"/>
        <v>17</v>
      </c>
      <c r="C697">
        <f t="shared" si="21"/>
        <v>39</v>
      </c>
      <c r="D697" cm="1">
        <f t="array" ref="D697">INDEX('Linha 03'!$A$4:$A$1000,B697)</f>
        <v>20050034</v>
      </c>
      <c r="E697" t="str" cm="1">
        <f t="array" ref="E697">INDEX('Linha 03'!$B$4:$B$1000,B697)</f>
        <v>Desinfetante Ito Eucalipto Cx/06 X 2l</v>
      </c>
      <c r="F697" cm="1">
        <f t="array" ref="F697">INDEX('Linha 03'!$C$3:$ZZ$3,C697)</f>
        <v>20200074</v>
      </c>
      <c r="G697" t="str" cm="1">
        <f t="array" ref="G697">INDEX('Linha 03'!$C$2:$ZZ$2,C697)</f>
        <v>Lava Roupas Aquafast Lavagem Rapida Fresh Clean Cx/12 X 1l</v>
      </c>
      <c r="H697" s="5" cm="1">
        <f t="array" ref="H697">INDEX('Linha 03'!$C$4:$ZZ$1000,B697,C697)</f>
        <v>0</v>
      </c>
    </row>
    <row r="698" spans="1:8" x14ac:dyDescent="0.25">
      <c r="A698">
        <v>696</v>
      </c>
      <c r="B698">
        <f t="shared" si="20"/>
        <v>17</v>
      </c>
      <c r="C698">
        <f t="shared" si="21"/>
        <v>40</v>
      </c>
      <c r="D698" cm="1">
        <f t="array" ref="D698">INDEX('Linha 03'!$A$4:$A$1000,B698)</f>
        <v>20050034</v>
      </c>
      <c r="E698" t="str" cm="1">
        <f t="array" ref="E698">INDEX('Linha 03'!$B$4:$B$1000,B698)</f>
        <v>Desinfetante Ito Eucalipto Cx/06 X 2l</v>
      </c>
      <c r="F698" cm="1">
        <f t="array" ref="F698">INDEX('Linha 03'!$C$3:$ZZ$3,C698)</f>
        <v>20250005</v>
      </c>
      <c r="G698" t="str" cm="1">
        <f t="array" ref="G698">INDEX('Linha 03'!$C$2:$ZZ$2,C698)</f>
        <v>Neutralizador De Odores Aquafast Floral Cx/06 X 2l</v>
      </c>
      <c r="H698" s="5" cm="1">
        <f t="array" ref="H698">INDEX('Linha 03'!$C$4:$ZZ$1000,B698,C698)</f>
        <v>0</v>
      </c>
    </row>
    <row r="699" spans="1:8" x14ac:dyDescent="0.25">
      <c r="A699">
        <v>697</v>
      </c>
      <c r="B699">
        <f t="shared" si="20"/>
        <v>17</v>
      </c>
      <c r="C699">
        <f t="shared" si="21"/>
        <v>41</v>
      </c>
      <c r="D699" cm="1">
        <f t="array" ref="D699">INDEX('Linha 03'!$A$4:$A$1000,B699)</f>
        <v>20050034</v>
      </c>
      <c r="E699" t="str" cm="1">
        <f t="array" ref="E699">INDEX('Linha 03'!$B$4:$B$1000,B699)</f>
        <v>Desinfetante Ito Eucalipto Cx/06 X 2l</v>
      </c>
      <c r="F699" cm="1">
        <f t="array" ref="F699">INDEX('Linha 03'!$C$3:$ZZ$3,C699)</f>
        <v>20250007</v>
      </c>
      <c r="G699" t="str" cm="1">
        <f t="array" ref="G699">INDEX('Linha 03'!$C$2:$ZZ$2,C699)</f>
        <v>Neutralizador De Odores Aquafast Marine Cx/06 2l</v>
      </c>
      <c r="H699" s="5" cm="1">
        <f t="array" ref="H699">INDEX('Linha 03'!$C$4:$ZZ$1000,B699,C699)</f>
        <v>0</v>
      </c>
    </row>
    <row r="700" spans="1:8" x14ac:dyDescent="0.25">
      <c r="A700">
        <v>698</v>
      </c>
      <c r="B700">
        <f t="shared" si="20"/>
        <v>18</v>
      </c>
      <c r="C700">
        <f t="shared" si="21"/>
        <v>1</v>
      </c>
      <c r="D700" cm="1">
        <f t="array" ref="D700">INDEX('Linha 03'!$A$4:$A$1000,B700)</f>
        <v>20050077</v>
      </c>
      <c r="E700" t="str" cm="1">
        <f t="array" ref="E700">INDEX('Linha 03'!$B$4:$B$1000,B700)</f>
        <v>Desinfetante Myata Lavanda Cx/06 X 2l</v>
      </c>
      <c r="F700" cm="1">
        <f t="array" ref="F700">INDEX('Linha 03'!$C$3:$ZZ$3,C700)</f>
        <v>20040006</v>
      </c>
      <c r="G700" t="str" cm="1">
        <f t="array" ref="G700">INDEX('Linha 03'!$C$2:$ZZ$2,C700)</f>
        <v>Amaciante Aquafast Azul Fresc. Manha Cx/06 X 2l</v>
      </c>
      <c r="H700" s="5" cm="1">
        <f t="array" ref="H700">INDEX('Linha 03'!$C$4:$ZZ$1000,B700,C700)</f>
        <v>0</v>
      </c>
    </row>
    <row r="701" spans="1:8" x14ac:dyDescent="0.25">
      <c r="A701">
        <v>699</v>
      </c>
      <c r="B701">
        <f t="shared" si="20"/>
        <v>18</v>
      </c>
      <c r="C701">
        <f t="shared" si="21"/>
        <v>2</v>
      </c>
      <c r="D701" cm="1">
        <f t="array" ref="D701">INDEX('Linha 03'!$A$4:$A$1000,B701)</f>
        <v>20050077</v>
      </c>
      <c r="E701" t="str" cm="1">
        <f t="array" ref="E701">INDEX('Linha 03'!$B$4:$B$1000,B701)</f>
        <v>Desinfetante Myata Lavanda Cx/06 X 2l</v>
      </c>
      <c r="F701" cm="1">
        <f t="array" ref="F701">INDEX('Linha 03'!$C$3:$ZZ$3,C701)</f>
        <v>20040008</v>
      </c>
      <c r="G701" t="str" cm="1">
        <f t="array" ref="G701">INDEX('Linha 03'!$C$2:$ZZ$2,C701)</f>
        <v>Amaciante Aquafast Rosa Jard. Florid Cx/06 X 2l</v>
      </c>
      <c r="H701" s="5" cm="1">
        <f t="array" ref="H701">INDEX('Linha 03'!$C$4:$ZZ$1000,B701,C701)</f>
        <v>0</v>
      </c>
    </row>
    <row r="702" spans="1:8" x14ac:dyDescent="0.25">
      <c r="A702">
        <v>700</v>
      </c>
      <c r="B702">
        <f t="shared" si="20"/>
        <v>18</v>
      </c>
      <c r="C702">
        <f t="shared" si="21"/>
        <v>3</v>
      </c>
      <c r="D702" cm="1">
        <f t="array" ref="D702">INDEX('Linha 03'!$A$4:$A$1000,B702)</f>
        <v>20050077</v>
      </c>
      <c r="E702" t="str" cm="1">
        <f t="array" ref="E702">INDEX('Linha 03'!$B$4:$B$1000,B702)</f>
        <v>Desinfetante Myata Lavanda Cx/06 X 2l</v>
      </c>
      <c r="F702" cm="1">
        <f t="array" ref="F702">INDEX('Linha 03'!$C$3:$ZZ$3,C702)</f>
        <v>20040009</v>
      </c>
      <c r="G702" t="str" cm="1">
        <f t="array" ref="G702">INDEX('Linha 03'!$C$2:$ZZ$2,C702)</f>
        <v>Amaciante Aquafast Branco Pura Caric. Cx/06 X 2l</v>
      </c>
      <c r="H702" s="5" cm="1">
        <f t="array" ref="H702">INDEX('Linha 03'!$C$4:$ZZ$1000,B702,C702)</f>
        <v>0</v>
      </c>
    </row>
    <row r="703" spans="1:8" x14ac:dyDescent="0.25">
      <c r="A703">
        <v>701</v>
      </c>
      <c r="B703">
        <f t="shared" si="20"/>
        <v>18</v>
      </c>
      <c r="C703">
        <f t="shared" si="21"/>
        <v>4</v>
      </c>
      <c r="D703" cm="1">
        <f t="array" ref="D703">INDEX('Linha 03'!$A$4:$A$1000,B703)</f>
        <v>20050077</v>
      </c>
      <c r="E703" t="str" cm="1">
        <f t="array" ref="E703">INDEX('Linha 03'!$B$4:$B$1000,B703)</f>
        <v>Desinfetante Myata Lavanda Cx/06 X 2l</v>
      </c>
      <c r="F703" cm="1">
        <f t="array" ref="F703">INDEX('Linha 03'!$C$3:$ZZ$3,C703)</f>
        <v>20040026</v>
      </c>
      <c r="G703" t="str" cm="1">
        <f t="array" ref="G703">INDEX('Linha 03'!$C$2:$ZZ$2,C703)</f>
        <v>Amaciante Ito Azul Cx/06 X 2l</v>
      </c>
      <c r="H703" s="5" cm="1">
        <f t="array" ref="H703">INDEX('Linha 03'!$C$4:$ZZ$1000,B703,C703)</f>
        <v>0</v>
      </c>
    </row>
    <row r="704" spans="1:8" x14ac:dyDescent="0.25">
      <c r="A704">
        <v>702</v>
      </c>
      <c r="B704">
        <f t="shared" si="20"/>
        <v>18</v>
      </c>
      <c r="C704">
        <f t="shared" si="21"/>
        <v>5</v>
      </c>
      <c r="D704" cm="1">
        <f t="array" ref="D704">INDEX('Linha 03'!$A$4:$A$1000,B704)</f>
        <v>20050077</v>
      </c>
      <c r="E704" t="str" cm="1">
        <f t="array" ref="E704">INDEX('Linha 03'!$B$4:$B$1000,B704)</f>
        <v>Desinfetante Myata Lavanda Cx/06 X 2l</v>
      </c>
      <c r="F704" cm="1">
        <f t="array" ref="F704">INDEX('Linha 03'!$C$3:$ZZ$3,C704)</f>
        <v>20040028</v>
      </c>
      <c r="G704" t="str" cm="1">
        <f t="array" ref="G704">INDEX('Linha 03'!$C$2:$ZZ$2,C704)</f>
        <v>Amaciante Ito Rosa Cx/06 X 2l</v>
      </c>
      <c r="H704" s="5" cm="1">
        <f t="array" ref="H704">INDEX('Linha 03'!$C$4:$ZZ$1000,B704,C704)</f>
        <v>0</v>
      </c>
    </row>
    <row r="705" spans="1:8" x14ac:dyDescent="0.25">
      <c r="A705">
        <v>703</v>
      </c>
      <c r="B705">
        <f t="shared" si="20"/>
        <v>18</v>
      </c>
      <c r="C705">
        <f t="shared" si="21"/>
        <v>6</v>
      </c>
      <c r="D705" cm="1">
        <f t="array" ref="D705">INDEX('Linha 03'!$A$4:$A$1000,B705)</f>
        <v>20050077</v>
      </c>
      <c r="E705" t="str" cm="1">
        <f t="array" ref="E705">INDEX('Linha 03'!$B$4:$B$1000,B705)</f>
        <v>Desinfetante Myata Lavanda Cx/06 X 2l</v>
      </c>
      <c r="F705" cm="1">
        <f t="array" ref="F705">INDEX('Linha 03'!$C$3:$ZZ$3,C705)</f>
        <v>20040029</v>
      </c>
      <c r="G705" t="str" cm="1">
        <f t="array" ref="G705">INDEX('Linha 03'!$C$2:$ZZ$2,C705)</f>
        <v>Amaciante Ito Branco Cx/06 X 2l</v>
      </c>
      <c r="H705" s="5" cm="1">
        <f t="array" ref="H705">INDEX('Linha 03'!$C$4:$ZZ$1000,B705,C705)</f>
        <v>0</v>
      </c>
    </row>
    <row r="706" spans="1:8" x14ac:dyDescent="0.25">
      <c r="A706">
        <v>704</v>
      </c>
      <c r="B706">
        <f t="shared" si="20"/>
        <v>18</v>
      </c>
      <c r="C706">
        <f t="shared" si="21"/>
        <v>7</v>
      </c>
      <c r="D706" cm="1">
        <f t="array" ref="D706">INDEX('Linha 03'!$A$4:$A$1000,B706)</f>
        <v>20050077</v>
      </c>
      <c r="E706" t="str" cm="1">
        <f t="array" ref="E706">INDEX('Linha 03'!$B$4:$B$1000,B706)</f>
        <v>Desinfetante Myata Lavanda Cx/06 X 2l</v>
      </c>
      <c r="F706" cm="1">
        <f t="array" ref="F706">INDEX('Linha 03'!$C$3:$ZZ$3,C706)</f>
        <v>20040055</v>
      </c>
      <c r="G706" t="str" cm="1">
        <f t="array" ref="G706">INDEX('Linha 03'!$C$2:$ZZ$2,C706)</f>
        <v>Amaciante Myata Azul Cx/06 X 2l</v>
      </c>
      <c r="H706" s="5" cm="1">
        <f t="array" ref="H706">INDEX('Linha 03'!$C$4:$ZZ$1000,B706,C706)</f>
        <v>0</v>
      </c>
    </row>
    <row r="707" spans="1:8" x14ac:dyDescent="0.25">
      <c r="A707">
        <v>705</v>
      </c>
      <c r="B707">
        <f t="shared" si="20"/>
        <v>18</v>
      </c>
      <c r="C707">
        <f t="shared" si="21"/>
        <v>8</v>
      </c>
      <c r="D707" cm="1">
        <f t="array" ref="D707">INDEX('Linha 03'!$A$4:$A$1000,B707)</f>
        <v>20050077</v>
      </c>
      <c r="E707" t="str" cm="1">
        <f t="array" ref="E707">INDEX('Linha 03'!$B$4:$B$1000,B707)</f>
        <v>Desinfetante Myata Lavanda Cx/06 X 2l</v>
      </c>
      <c r="F707" cm="1">
        <f t="array" ref="F707">INDEX('Linha 03'!$C$3:$ZZ$3,C707)</f>
        <v>20040057</v>
      </c>
      <c r="G707" t="str" cm="1">
        <f t="array" ref="G707">INDEX('Linha 03'!$C$2:$ZZ$2,C707)</f>
        <v>Amaciante Myata Rosa Cx/06 X 2l</v>
      </c>
      <c r="H707" s="5" cm="1">
        <f t="array" ref="H707">INDEX('Linha 03'!$C$4:$ZZ$1000,B707,C707)</f>
        <v>0</v>
      </c>
    </row>
    <row r="708" spans="1:8" x14ac:dyDescent="0.25">
      <c r="A708">
        <v>706</v>
      </c>
      <c r="B708">
        <f t="shared" ref="B708:B771" si="22">INT((A708-1)/$B$1)+1</f>
        <v>18</v>
      </c>
      <c r="C708">
        <f t="shared" ref="C708:C771" si="23">MOD(A708-1,$B$1)+1</f>
        <v>9</v>
      </c>
      <c r="D708" cm="1">
        <f t="array" ref="D708">INDEX('Linha 03'!$A$4:$A$1000,B708)</f>
        <v>20050077</v>
      </c>
      <c r="E708" t="str" cm="1">
        <f t="array" ref="E708">INDEX('Linha 03'!$B$4:$B$1000,B708)</f>
        <v>Desinfetante Myata Lavanda Cx/06 X 2l</v>
      </c>
      <c r="F708" cm="1">
        <f t="array" ref="F708">INDEX('Linha 03'!$C$3:$ZZ$3,C708)</f>
        <v>20040084</v>
      </c>
      <c r="G708" t="str" cm="1">
        <f t="array" ref="G708">INDEX('Linha 03'!$C$2:$ZZ$2,C708)</f>
        <v>Amaciante Aquafast Vermelho Seducao Cx C/06 X 2l</v>
      </c>
      <c r="H708" s="5" cm="1">
        <f t="array" ref="H708">INDEX('Linha 03'!$C$4:$ZZ$1000,B708,C708)</f>
        <v>0</v>
      </c>
    </row>
    <row r="709" spans="1:8" x14ac:dyDescent="0.25">
      <c r="A709">
        <v>707</v>
      </c>
      <c r="B709">
        <f t="shared" si="22"/>
        <v>18</v>
      </c>
      <c r="C709">
        <f t="shared" si="23"/>
        <v>10</v>
      </c>
      <c r="D709" cm="1">
        <f t="array" ref="D709">INDEX('Linha 03'!$A$4:$A$1000,B709)</f>
        <v>20050077</v>
      </c>
      <c r="E709" t="str" cm="1">
        <f t="array" ref="E709">INDEX('Linha 03'!$B$4:$B$1000,B709)</f>
        <v>Desinfetante Myata Lavanda Cx/06 X 2l</v>
      </c>
      <c r="F709" cm="1">
        <f t="array" ref="F709">INDEX('Linha 03'!$C$3:$ZZ$3,C709)</f>
        <v>20040089</v>
      </c>
      <c r="G709" t="str" cm="1">
        <f t="array" ref="G709">INDEX('Linha 03'!$C$2:$ZZ$2,C709)</f>
        <v>Amaciante Aquafast Roxo Magia Cx/06 X 2l</v>
      </c>
      <c r="H709" s="5" cm="1">
        <f t="array" ref="H709">INDEX('Linha 03'!$C$4:$ZZ$1000,B709,C709)</f>
        <v>0</v>
      </c>
    </row>
    <row r="710" spans="1:8" x14ac:dyDescent="0.25">
      <c r="A710">
        <v>708</v>
      </c>
      <c r="B710">
        <f t="shared" si="22"/>
        <v>18</v>
      </c>
      <c r="C710">
        <f t="shared" si="23"/>
        <v>11</v>
      </c>
      <c r="D710" cm="1">
        <f t="array" ref="D710">INDEX('Linha 03'!$A$4:$A$1000,B710)</f>
        <v>20050077</v>
      </c>
      <c r="E710" t="str" cm="1">
        <f t="array" ref="E710">INDEX('Linha 03'!$B$4:$B$1000,B710)</f>
        <v>Desinfetante Myata Lavanda Cx/06 X 2l</v>
      </c>
      <c r="F710" cm="1">
        <f t="array" ref="F710">INDEX('Linha 03'!$C$3:$ZZ$3,C710)</f>
        <v>20040094</v>
      </c>
      <c r="G710" t="str" cm="1">
        <f t="array" ref="G710">INDEX('Linha 03'!$C$2:$ZZ$2,C710)</f>
        <v>Amaciante Aquafast Energia Cx/06 X 2l</v>
      </c>
      <c r="H710" s="5" cm="1">
        <f t="array" ref="H710">INDEX('Linha 03'!$C$4:$ZZ$1000,B710,C710)</f>
        <v>0</v>
      </c>
    </row>
    <row r="711" spans="1:8" x14ac:dyDescent="0.25">
      <c r="A711">
        <v>709</v>
      </c>
      <c r="B711">
        <f t="shared" si="22"/>
        <v>18</v>
      </c>
      <c r="C711">
        <f t="shared" si="23"/>
        <v>12</v>
      </c>
      <c r="D711" cm="1">
        <f t="array" ref="D711">INDEX('Linha 03'!$A$4:$A$1000,B711)</f>
        <v>20050077</v>
      </c>
      <c r="E711" t="str" cm="1">
        <f t="array" ref="E711">INDEX('Linha 03'!$B$4:$B$1000,B711)</f>
        <v>Desinfetante Myata Lavanda Cx/06 X 2l</v>
      </c>
      <c r="F711" cm="1">
        <f t="array" ref="F711">INDEX('Linha 03'!$C$3:$ZZ$3,C711)</f>
        <v>20050010</v>
      </c>
      <c r="G711" t="str" cm="1">
        <f t="array" ref="G711">INDEX('Linha 03'!$C$2:$ZZ$2,C711)</f>
        <v>Desinfetante Aquafast Campos Lavanda Cx/06 X 2l</v>
      </c>
      <c r="H711" s="5" cm="1">
        <f t="array" ref="H711">INDEX('Linha 03'!$C$4:$ZZ$1000,B711,C711)</f>
        <v>0</v>
      </c>
    </row>
    <row r="712" spans="1:8" x14ac:dyDescent="0.25">
      <c r="A712">
        <v>710</v>
      </c>
      <c r="B712">
        <f t="shared" si="22"/>
        <v>18</v>
      </c>
      <c r="C712">
        <f t="shared" si="23"/>
        <v>13</v>
      </c>
      <c r="D712" cm="1">
        <f t="array" ref="D712">INDEX('Linha 03'!$A$4:$A$1000,B712)</f>
        <v>20050077</v>
      </c>
      <c r="E712" t="str" cm="1">
        <f t="array" ref="E712">INDEX('Linha 03'!$B$4:$B$1000,B712)</f>
        <v>Desinfetante Myata Lavanda Cx/06 X 2l</v>
      </c>
      <c r="F712" cm="1">
        <f t="array" ref="F712">INDEX('Linha 03'!$C$3:$ZZ$3,C712)</f>
        <v>20050011</v>
      </c>
      <c r="G712" t="str" cm="1">
        <f t="array" ref="G712">INDEX('Linha 03'!$C$2:$ZZ$2,C712)</f>
        <v>Desinfetante Aquafast Jardim Florido Cx/06 X 2l</v>
      </c>
      <c r="H712" s="5" cm="1">
        <f t="array" ref="H712">INDEX('Linha 03'!$C$4:$ZZ$1000,B712,C712)</f>
        <v>0</v>
      </c>
    </row>
    <row r="713" spans="1:8" x14ac:dyDescent="0.25">
      <c r="A713">
        <v>711</v>
      </c>
      <c r="B713">
        <f t="shared" si="22"/>
        <v>18</v>
      </c>
      <c r="C713">
        <f t="shared" si="23"/>
        <v>14</v>
      </c>
      <c r="D713" cm="1">
        <f t="array" ref="D713">INDEX('Linha 03'!$A$4:$A$1000,B713)</f>
        <v>20050077</v>
      </c>
      <c r="E713" t="str" cm="1">
        <f t="array" ref="E713">INDEX('Linha 03'!$B$4:$B$1000,B713)</f>
        <v>Desinfetante Myata Lavanda Cx/06 X 2l</v>
      </c>
      <c r="F713" cm="1">
        <f t="array" ref="F713">INDEX('Linha 03'!$C$3:$ZZ$3,C713)</f>
        <v>20050016</v>
      </c>
      <c r="G713" t="str" cm="1">
        <f t="array" ref="G713">INDEX('Linha 03'!$C$2:$ZZ$2,C713)</f>
        <v>Desinfetante Aquafast Marine Cx/06 X 2l</v>
      </c>
      <c r="H713" s="5" cm="1">
        <f t="array" ref="H713">INDEX('Linha 03'!$C$4:$ZZ$1000,B713,C713)</f>
        <v>0</v>
      </c>
    </row>
    <row r="714" spans="1:8" x14ac:dyDescent="0.25">
      <c r="A714">
        <v>712</v>
      </c>
      <c r="B714">
        <f t="shared" si="22"/>
        <v>18</v>
      </c>
      <c r="C714">
        <f t="shared" si="23"/>
        <v>15</v>
      </c>
      <c r="D714" cm="1">
        <f t="array" ref="D714">INDEX('Linha 03'!$A$4:$A$1000,B714)</f>
        <v>20050077</v>
      </c>
      <c r="E714" t="str" cm="1">
        <f t="array" ref="E714">INDEX('Linha 03'!$B$4:$B$1000,B714)</f>
        <v>Desinfetante Myata Lavanda Cx/06 X 2l</v>
      </c>
      <c r="F714" cm="1">
        <f t="array" ref="F714">INDEX('Linha 03'!$C$3:$ZZ$3,C714)</f>
        <v>20050031</v>
      </c>
      <c r="G714" t="str" cm="1">
        <f t="array" ref="G714">INDEX('Linha 03'!$C$2:$ZZ$2,C714)</f>
        <v>Desinfetante Ito Lavanda Cx/06 X 2l</v>
      </c>
      <c r="H714" s="5" cm="1">
        <f t="array" ref="H714">INDEX('Linha 03'!$C$4:$ZZ$1000,B714,C714)</f>
        <v>0</v>
      </c>
    </row>
    <row r="715" spans="1:8" x14ac:dyDescent="0.25">
      <c r="A715">
        <v>713</v>
      </c>
      <c r="B715">
        <f t="shared" si="22"/>
        <v>18</v>
      </c>
      <c r="C715">
        <f t="shared" si="23"/>
        <v>16</v>
      </c>
      <c r="D715" cm="1">
        <f t="array" ref="D715">INDEX('Linha 03'!$A$4:$A$1000,B715)</f>
        <v>20050077</v>
      </c>
      <c r="E715" t="str" cm="1">
        <f t="array" ref="E715">INDEX('Linha 03'!$B$4:$B$1000,B715)</f>
        <v>Desinfetante Myata Lavanda Cx/06 X 2l</v>
      </c>
      <c r="F715" cm="1">
        <f t="array" ref="F715">INDEX('Linha 03'!$C$3:$ZZ$3,C715)</f>
        <v>20050032</v>
      </c>
      <c r="G715" t="str" cm="1">
        <f t="array" ref="G715">INDEX('Linha 03'!$C$2:$ZZ$2,C715)</f>
        <v>Desinfetante Ito Floral Cx/06 X 2l</v>
      </c>
      <c r="H715" s="5" cm="1">
        <f t="array" ref="H715">INDEX('Linha 03'!$C$4:$ZZ$1000,B715,C715)</f>
        <v>0</v>
      </c>
    </row>
    <row r="716" spans="1:8" x14ac:dyDescent="0.25">
      <c r="A716">
        <v>714</v>
      </c>
      <c r="B716">
        <f t="shared" si="22"/>
        <v>18</v>
      </c>
      <c r="C716">
        <f t="shared" si="23"/>
        <v>17</v>
      </c>
      <c r="D716" cm="1">
        <f t="array" ref="D716">INDEX('Linha 03'!$A$4:$A$1000,B716)</f>
        <v>20050077</v>
      </c>
      <c r="E716" t="str" cm="1">
        <f t="array" ref="E716">INDEX('Linha 03'!$B$4:$B$1000,B716)</f>
        <v>Desinfetante Myata Lavanda Cx/06 X 2l</v>
      </c>
      <c r="F716" cm="1">
        <f t="array" ref="F716">INDEX('Linha 03'!$C$3:$ZZ$3,C716)</f>
        <v>20050034</v>
      </c>
      <c r="G716" t="str" cm="1">
        <f t="array" ref="G716">INDEX('Linha 03'!$C$2:$ZZ$2,C716)</f>
        <v>Desinfetante Ito Eucalipto Cx/06 X 2l</v>
      </c>
      <c r="H716" s="5" cm="1">
        <f t="array" ref="H716">INDEX('Linha 03'!$C$4:$ZZ$1000,B716,C716)</f>
        <v>0</v>
      </c>
    </row>
    <row r="717" spans="1:8" x14ac:dyDescent="0.25">
      <c r="A717">
        <v>715</v>
      </c>
      <c r="B717">
        <f t="shared" si="22"/>
        <v>18</v>
      </c>
      <c r="C717">
        <f t="shared" si="23"/>
        <v>18</v>
      </c>
      <c r="D717" cm="1">
        <f t="array" ref="D717">INDEX('Linha 03'!$A$4:$A$1000,B717)</f>
        <v>20050077</v>
      </c>
      <c r="E717" t="str" cm="1">
        <f t="array" ref="E717">INDEX('Linha 03'!$B$4:$B$1000,B717)</f>
        <v>Desinfetante Myata Lavanda Cx/06 X 2l</v>
      </c>
      <c r="F717" cm="1">
        <f t="array" ref="F717">INDEX('Linha 03'!$C$3:$ZZ$3,C717)</f>
        <v>20050077</v>
      </c>
      <c r="G717" t="str" cm="1">
        <f t="array" ref="G717">INDEX('Linha 03'!$C$2:$ZZ$2,C717)</f>
        <v>Desinfetante Myata Lavanda Cx/06 X 2l</v>
      </c>
      <c r="H717" s="5" cm="1">
        <f t="array" ref="H717">INDEX('Linha 03'!$C$4:$ZZ$1000,B717,C717)</f>
        <v>0</v>
      </c>
    </row>
    <row r="718" spans="1:8" x14ac:dyDescent="0.25">
      <c r="A718">
        <v>716</v>
      </c>
      <c r="B718">
        <f t="shared" si="22"/>
        <v>18</v>
      </c>
      <c r="C718">
        <f t="shared" si="23"/>
        <v>19</v>
      </c>
      <c r="D718" cm="1">
        <f t="array" ref="D718">INDEX('Linha 03'!$A$4:$A$1000,B718)</f>
        <v>20050077</v>
      </c>
      <c r="E718" t="str" cm="1">
        <f t="array" ref="E718">INDEX('Linha 03'!$B$4:$B$1000,B718)</f>
        <v>Desinfetante Myata Lavanda Cx/06 X 2l</v>
      </c>
      <c r="F718" cm="1">
        <f t="array" ref="F718">INDEX('Linha 03'!$C$3:$ZZ$3,C718)</f>
        <v>20050078</v>
      </c>
      <c r="G718" t="str" cm="1">
        <f t="array" ref="G718">INDEX('Linha 03'!$C$2:$ZZ$2,C718)</f>
        <v>Desinfetante Myata Floral Cx/06 X 2l</v>
      </c>
      <c r="H718" s="5" cm="1">
        <f t="array" ref="H718">INDEX('Linha 03'!$C$4:$ZZ$1000,B718,C718)</f>
        <v>0</v>
      </c>
    </row>
    <row r="719" spans="1:8" x14ac:dyDescent="0.25">
      <c r="A719">
        <v>717</v>
      </c>
      <c r="B719">
        <f t="shared" si="22"/>
        <v>18</v>
      </c>
      <c r="C719">
        <f t="shared" si="23"/>
        <v>20</v>
      </c>
      <c r="D719" cm="1">
        <f t="array" ref="D719">INDEX('Linha 03'!$A$4:$A$1000,B719)</f>
        <v>20050077</v>
      </c>
      <c r="E719" t="str" cm="1">
        <f t="array" ref="E719">INDEX('Linha 03'!$B$4:$B$1000,B719)</f>
        <v>Desinfetante Myata Lavanda Cx/06 X 2l</v>
      </c>
      <c r="F719" cm="1">
        <f t="array" ref="F719">INDEX('Linha 03'!$C$3:$ZZ$3,C719)</f>
        <v>20050115</v>
      </c>
      <c r="G719" t="str" cm="1">
        <f t="array" ref="G719">INDEX('Linha 03'!$C$2:$ZZ$2,C719)</f>
        <v>Desinfetante Aquafast Paixao Cx/06 X 2l</v>
      </c>
      <c r="H719" s="5" cm="1">
        <f t="array" ref="H719">INDEX('Linha 03'!$C$4:$ZZ$1000,B719,C719)</f>
        <v>0</v>
      </c>
    </row>
    <row r="720" spans="1:8" x14ac:dyDescent="0.25">
      <c r="A720">
        <v>718</v>
      </c>
      <c r="B720">
        <f t="shared" si="22"/>
        <v>18</v>
      </c>
      <c r="C720">
        <f t="shared" si="23"/>
        <v>21</v>
      </c>
      <c r="D720" cm="1">
        <f t="array" ref="D720">INDEX('Linha 03'!$A$4:$A$1000,B720)</f>
        <v>20050077</v>
      </c>
      <c r="E720" t="str" cm="1">
        <f t="array" ref="E720">INDEX('Linha 03'!$B$4:$B$1000,B720)</f>
        <v>Desinfetante Myata Lavanda Cx/06 X 2l</v>
      </c>
      <c r="F720" cm="1">
        <f t="array" ref="F720">INDEX('Linha 03'!$C$3:$ZZ$3,C720)</f>
        <v>20050117</v>
      </c>
      <c r="G720" t="str" cm="1">
        <f t="array" ref="G720">INDEX('Linha 03'!$C$2:$ZZ$2,C720)</f>
        <v>Desinfetante Aquafast Harmonia Natural Cx/06 X 2l</v>
      </c>
      <c r="H720" s="5" cm="1">
        <f t="array" ref="H720">INDEX('Linha 03'!$C$4:$ZZ$1000,B720,C720)</f>
        <v>0</v>
      </c>
    </row>
    <row r="721" spans="1:8" x14ac:dyDescent="0.25">
      <c r="A721">
        <v>719</v>
      </c>
      <c r="B721">
        <f t="shared" si="22"/>
        <v>18</v>
      </c>
      <c r="C721">
        <f t="shared" si="23"/>
        <v>22</v>
      </c>
      <c r="D721" cm="1">
        <f t="array" ref="D721">INDEX('Linha 03'!$A$4:$A$1000,B721)</f>
        <v>20050077</v>
      </c>
      <c r="E721" t="str" cm="1">
        <f t="array" ref="E721">INDEX('Linha 03'!$B$4:$B$1000,B721)</f>
        <v>Desinfetante Myata Lavanda Cx/06 X 2l</v>
      </c>
      <c r="F721" cm="1">
        <f t="array" ref="F721">INDEX('Linha 03'!$C$3:$ZZ$3,C721)</f>
        <v>20050123</v>
      </c>
      <c r="G721" t="str" cm="1">
        <f t="array" ref="G721">INDEX('Linha 03'!$C$2:$ZZ$2,C721)</f>
        <v>Desinfetante Ito Harmonia Natural Cx/06 X 2l</v>
      </c>
      <c r="H721" s="5" cm="1">
        <f t="array" ref="H721">INDEX('Linha 03'!$C$4:$ZZ$1000,B721,C721)</f>
        <v>0</v>
      </c>
    </row>
    <row r="722" spans="1:8" x14ac:dyDescent="0.25">
      <c r="A722">
        <v>720</v>
      </c>
      <c r="B722">
        <f t="shared" si="22"/>
        <v>18</v>
      </c>
      <c r="C722">
        <f t="shared" si="23"/>
        <v>23</v>
      </c>
      <c r="D722" cm="1">
        <f t="array" ref="D722">INDEX('Linha 03'!$A$4:$A$1000,B722)</f>
        <v>20050077</v>
      </c>
      <c r="E722" t="str" cm="1">
        <f t="array" ref="E722">INDEX('Linha 03'!$B$4:$B$1000,B722)</f>
        <v>Desinfetante Myata Lavanda Cx/06 X 2l</v>
      </c>
      <c r="F722" cm="1">
        <f t="array" ref="F722">INDEX('Linha 03'!$C$3:$ZZ$3,C722)</f>
        <v>20050124</v>
      </c>
      <c r="G722" t="str" cm="1">
        <f t="array" ref="G722">INDEX('Linha 03'!$C$2:$ZZ$2,C722)</f>
        <v>Desinfetante Myata Harmonia Natural Cx/06 X 2l</v>
      </c>
      <c r="H722" s="5" cm="1">
        <f t="array" ref="H722">INDEX('Linha 03'!$C$4:$ZZ$1000,B722,C722)</f>
        <v>0</v>
      </c>
    </row>
    <row r="723" spans="1:8" x14ac:dyDescent="0.25">
      <c r="A723">
        <v>721</v>
      </c>
      <c r="B723">
        <f t="shared" si="22"/>
        <v>18</v>
      </c>
      <c r="C723">
        <f t="shared" si="23"/>
        <v>24</v>
      </c>
      <c r="D723" cm="1">
        <f t="array" ref="D723">INDEX('Linha 03'!$A$4:$A$1000,B723)</f>
        <v>20050077</v>
      </c>
      <c r="E723" t="str" cm="1">
        <f t="array" ref="E723">INDEX('Linha 03'!$B$4:$B$1000,B723)</f>
        <v>Desinfetante Myata Lavanda Cx/06 X 2l</v>
      </c>
      <c r="F723" cm="1">
        <f t="array" ref="F723">INDEX('Linha 03'!$C$3:$ZZ$3,C723)</f>
        <v>20050142</v>
      </c>
      <c r="G723" t="str" cm="1">
        <f t="array" ref="G723">INDEX('Linha 03'!$C$2:$ZZ$2,C723)</f>
        <v>Desinfetante Ito Marine Cx/06 X 2l</v>
      </c>
      <c r="H723" s="5" cm="1">
        <f t="array" ref="H723">INDEX('Linha 03'!$C$4:$ZZ$1000,B723,C723)</f>
        <v>0</v>
      </c>
    </row>
    <row r="724" spans="1:8" x14ac:dyDescent="0.25">
      <c r="A724">
        <v>722</v>
      </c>
      <c r="B724">
        <f t="shared" si="22"/>
        <v>18</v>
      </c>
      <c r="C724">
        <f t="shared" si="23"/>
        <v>25</v>
      </c>
      <c r="D724" cm="1">
        <f t="array" ref="D724">INDEX('Linha 03'!$A$4:$A$1000,B724)</f>
        <v>20050077</v>
      </c>
      <c r="E724" t="str" cm="1">
        <f t="array" ref="E724">INDEX('Linha 03'!$B$4:$B$1000,B724)</f>
        <v>Desinfetante Myata Lavanda Cx/06 X 2l</v>
      </c>
      <c r="F724" cm="1">
        <f t="array" ref="F724">INDEX('Linha 03'!$C$3:$ZZ$3,C724)</f>
        <v>20050159</v>
      </c>
      <c r="G724" t="str" cm="1">
        <f t="array" ref="G724">INDEX('Linha 03'!$C$2:$ZZ$2,C724)</f>
        <v>Desinfetante Aquafast Cha Branco Cx/06 X 2l</v>
      </c>
      <c r="H724" s="5" cm="1">
        <f t="array" ref="H724">INDEX('Linha 03'!$C$4:$ZZ$1000,B724,C724)</f>
        <v>1.38888888888889E-2</v>
      </c>
    </row>
    <row r="725" spans="1:8" x14ac:dyDescent="0.25">
      <c r="A725">
        <v>723</v>
      </c>
      <c r="B725">
        <f t="shared" si="22"/>
        <v>18</v>
      </c>
      <c r="C725">
        <f t="shared" si="23"/>
        <v>26</v>
      </c>
      <c r="D725" cm="1">
        <f t="array" ref="D725">INDEX('Linha 03'!$A$4:$A$1000,B725)</f>
        <v>20050077</v>
      </c>
      <c r="E725" t="str" cm="1">
        <f t="array" ref="E725">INDEX('Linha 03'!$B$4:$B$1000,B725)</f>
        <v>Desinfetante Myata Lavanda Cx/06 X 2l</v>
      </c>
      <c r="F725" cm="1">
        <f t="array" ref="F725">INDEX('Linha 03'!$C$3:$ZZ$3,C725)</f>
        <v>20060007</v>
      </c>
      <c r="G725" t="str" cm="1">
        <f t="array" ref="G725">INDEX('Linha 03'!$C$2:$ZZ$2,C725)</f>
        <v>Limp Perf Aquafast Magia Seducao Cx/06 X 2l (Promoc)</v>
      </c>
      <c r="H725" s="5" cm="1">
        <f t="array" ref="H725">INDEX('Linha 03'!$C$4:$ZZ$1000,B725,C725)</f>
        <v>0</v>
      </c>
    </row>
    <row r="726" spans="1:8" x14ac:dyDescent="0.25">
      <c r="A726">
        <v>724</v>
      </c>
      <c r="B726">
        <f t="shared" si="22"/>
        <v>18</v>
      </c>
      <c r="C726">
        <f t="shared" si="23"/>
        <v>27</v>
      </c>
      <c r="D726" cm="1">
        <f t="array" ref="D726">INDEX('Linha 03'!$A$4:$A$1000,B726)</f>
        <v>20050077</v>
      </c>
      <c r="E726" t="str" cm="1">
        <f t="array" ref="E726">INDEX('Linha 03'!$B$4:$B$1000,B726)</f>
        <v>Desinfetante Myata Lavanda Cx/06 X 2l</v>
      </c>
      <c r="F726" cm="1">
        <f t="array" ref="F726">INDEX('Linha 03'!$C$3:$ZZ$3,C726)</f>
        <v>20060009</v>
      </c>
      <c r="G726" t="str" cm="1">
        <f t="array" ref="G726">INDEX('Linha 03'!$C$2:$ZZ$2,C726)</f>
        <v>Limp Perf Aquafast Frescor Da Manha Cx/06 X 2l (Promoc)</v>
      </c>
      <c r="H726" s="5" cm="1">
        <f t="array" ref="H726">INDEX('Linha 03'!$C$4:$ZZ$1000,B726,C726)</f>
        <v>0</v>
      </c>
    </row>
    <row r="727" spans="1:8" x14ac:dyDescent="0.25">
      <c r="A727">
        <v>725</v>
      </c>
      <c r="B727">
        <f t="shared" si="22"/>
        <v>18</v>
      </c>
      <c r="C727">
        <f t="shared" si="23"/>
        <v>28</v>
      </c>
      <c r="D727" cm="1">
        <f t="array" ref="D727">INDEX('Linha 03'!$A$4:$A$1000,B727)</f>
        <v>20050077</v>
      </c>
      <c r="E727" t="str" cm="1">
        <f t="array" ref="E727">INDEX('Linha 03'!$B$4:$B$1000,B727)</f>
        <v>Desinfetante Myata Lavanda Cx/06 X 2l</v>
      </c>
      <c r="F727" cm="1">
        <f t="array" ref="F727">INDEX('Linha 03'!$C$3:$ZZ$3,C727)</f>
        <v>20060017</v>
      </c>
      <c r="G727" t="str" cm="1">
        <f t="array" ref="G727">INDEX('Linha 03'!$C$2:$ZZ$2,C727)</f>
        <v>Limp Perf Aquafast Doce Romance Cx/06 X 2l (Promoc)</v>
      </c>
      <c r="H727" s="5" cm="1">
        <f t="array" ref="H727">INDEX('Linha 03'!$C$4:$ZZ$1000,B727,C727)</f>
        <v>0</v>
      </c>
    </row>
    <row r="728" spans="1:8" x14ac:dyDescent="0.25">
      <c r="A728">
        <v>726</v>
      </c>
      <c r="B728">
        <f t="shared" si="22"/>
        <v>18</v>
      </c>
      <c r="C728">
        <f t="shared" si="23"/>
        <v>29</v>
      </c>
      <c r="D728" cm="1">
        <f t="array" ref="D728">INDEX('Linha 03'!$A$4:$A$1000,B728)</f>
        <v>20050077</v>
      </c>
      <c r="E728" t="str" cm="1">
        <f t="array" ref="E728">INDEX('Linha 03'!$B$4:$B$1000,B728)</f>
        <v>Desinfetante Myata Lavanda Cx/06 X 2l</v>
      </c>
      <c r="F728" cm="1">
        <f t="array" ref="F728">INDEX('Linha 03'!$C$3:$ZZ$3,C728)</f>
        <v>20060028</v>
      </c>
      <c r="G728" t="str" cm="1">
        <f t="array" ref="G728">INDEX('Linha 03'!$C$2:$ZZ$2,C728)</f>
        <v>Limp Perf Aquafast Essencia Natural Cx06 X 2l</v>
      </c>
      <c r="H728" s="5" cm="1">
        <f t="array" ref="H728">INDEX('Linha 03'!$C$4:$ZZ$1000,B728,C728)</f>
        <v>0</v>
      </c>
    </row>
    <row r="729" spans="1:8" x14ac:dyDescent="0.25">
      <c r="A729">
        <v>727</v>
      </c>
      <c r="B729">
        <f t="shared" si="22"/>
        <v>18</v>
      </c>
      <c r="C729">
        <f t="shared" si="23"/>
        <v>30</v>
      </c>
      <c r="D729" cm="1">
        <f t="array" ref="D729">INDEX('Linha 03'!$A$4:$A$1000,B729)</f>
        <v>20050077</v>
      </c>
      <c r="E729" t="str" cm="1">
        <f t="array" ref="E729">INDEX('Linha 03'!$B$4:$B$1000,B729)</f>
        <v>Desinfetante Myata Lavanda Cx/06 X 2l</v>
      </c>
      <c r="F729" cm="1">
        <f t="array" ref="F729">INDEX('Linha 03'!$C$3:$ZZ$3,C729)</f>
        <v>20200003</v>
      </c>
      <c r="G729" t="str" cm="1">
        <f t="array" ref="G729">INDEX('Linha 03'!$C$2:$ZZ$2,C729)</f>
        <v>Lava Roup. Aquafast Baby Cx/12 X 1l</v>
      </c>
      <c r="H729" s="5" cm="1">
        <f t="array" ref="H729">INDEX('Linha 03'!$C$4:$ZZ$1000,B729,C729)</f>
        <v>0</v>
      </c>
    </row>
    <row r="730" spans="1:8" x14ac:dyDescent="0.25">
      <c r="A730">
        <v>728</v>
      </c>
      <c r="B730">
        <f t="shared" si="22"/>
        <v>18</v>
      </c>
      <c r="C730">
        <f t="shared" si="23"/>
        <v>31</v>
      </c>
      <c r="D730" cm="1">
        <f t="array" ref="D730">INDEX('Linha 03'!$A$4:$A$1000,B730)</f>
        <v>20050077</v>
      </c>
      <c r="E730" t="str" cm="1">
        <f t="array" ref="E730">INDEX('Linha 03'!$B$4:$B$1000,B730)</f>
        <v>Desinfetante Myata Lavanda Cx/06 X 2l</v>
      </c>
      <c r="F730" cm="1">
        <f t="array" ref="F730">INDEX('Linha 03'!$C$3:$ZZ$3,C730)</f>
        <v>20200005</v>
      </c>
      <c r="G730" t="str" cm="1">
        <f t="array" ref="G730">INDEX('Linha 03'!$C$2:$ZZ$2,C730)</f>
        <v>Lava Roupas Aquafast Multi Acao Cx/06 X 2l</v>
      </c>
      <c r="H730" s="5" cm="1">
        <f t="array" ref="H730">INDEX('Linha 03'!$C$4:$ZZ$1000,B730,C730)</f>
        <v>0</v>
      </c>
    </row>
    <row r="731" spans="1:8" x14ac:dyDescent="0.25">
      <c r="A731">
        <v>729</v>
      </c>
      <c r="B731">
        <f t="shared" si="22"/>
        <v>18</v>
      </c>
      <c r="C731">
        <f t="shared" si="23"/>
        <v>32</v>
      </c>
      <c r="D731" cm="1">
        <f t="array" ref="D731">INDEX('Linha 03'!$A$4:$A$1000,B731)</f>
        <v>20050077</v>
      </c>
      <c r="E731" t="str" cm="1">
        <f t="array" ref="E731">INDEX('Linha 03'!$B$4:$B$1000,B731)</f>
        <v>Desinfetante Myata Lavanda Cx/06 X 2l</v>
      </c>
      <c r="F731" cm="1">
        <f t="array" ref="F731">INDEX('Linha 03'!$C$3:$ZZ$3,C731)</f>
        <v>20200006</v>
      </c>
      <c r="G731" t="str" cm="1">
        <f t="array" ref="G731">INDEX('Linha 03'!$C$2:$ZZ$2,C731)</f>
        <v>Lava Roupas Aquafast Glicerina Cx/06 X 2l</v>
      </c>
      <c r="H731" s="5" cm="1">
        <f t="array" ref="H731">INDEX('Linha 03'!$C$4:$ZZ$1000,B731,C731)</f>
        <v>0</v>
      </c>
    </row>
    <row r="732" spans="1:8" x14ac:dyDescent="0.25">
      <c r="A732">
        <v>730</v>
      </c>
      <c r="B732">
        <f t="shared" si="22"/>
        <v>18</v>
      </c>
      <c r="C732">
        <f t="shared" si="23"/>
        <v>33</v>
      </c>
      <c r="D732" cm="1">
        <f t="array" ref="D732">INDEX('Linha 03'!$A$4:$A$1000,B732)</f>
        <v>20050077</v>
      </c>
      <c r="E732" t="str" cm="1">
        <f t="array" ref="E732">INDEX('Linha 03'!$B$4:$B$1000,B732)</f>
        <v>Desinfetante Myata Lavanda Cx/06 X 2l</v>
      </c>
      <c r="F732" cm="1">
        <f t="array" ref="F732">INDEX('Linha 03'!$C$3:$ZZ$3,C732)</f>
        <v>20200015</v>
      </c>
      <c r="G732" t="str" cm="1">
        <f t="array" ref="G732">INDEX('Linha 03'!$C$2:$ZZ$2,C732)</f>
        <v>Lava Roup. Aquafast Multiacao Cx/12 X 1l</v>
      </c>
      <c r="H732" s="5" cm="1">
        <f t="array" ref="H732">INDEX('Linha 03'!$C$4:$ZZ$1000,B732,C732)</f>
        <v>0</v>
      </c>
    </row>
    <row r="733" spans="1:8" x14ac:dyDescent="0.25">
      <c r="A733">
        <v>731</v>
      </c>
      <c r="B733">
        <f t="shared" si="22"/>
        <v>18</v>
      </c>
      <c r="C733">
        <f t="shared" si="23"/>
        <v>34</v>
      </c>
      <c r="D733" cm="1">
        <f t="array" ref="D733">INDEX('Linha 03'!$A$4:$A$1000,B733)</f>
        <v>20050077</v>
      </c>
      <c r="E733" t="str" cm="1">
        <f t="array" ref="E733">INDEX('Linha 03'!$B$4:$B$1000,B733)</f>
        <v>Desinfetante Myata Lavanda Cx/06 X 2l</v>
      </c>
      <c r="F733" cm="1">
        <f t="array" ref="F733">INDEX('Linha 03'!$C$3:$ZZ$3,C733)</f>
        <v>20200036</v>
      </c>
      <c r="G733" t="str" cm="1">
        <f t="array" ref="G733">INDEX('Linha 03'!$C$2:$ZZ$2,C733)</f>
        <v>Lava Roupas Aquafast Ternura Cx/06 X 2l</v>
      </c>
      <c r="H733" s="5" cm="1">
        <f t="array" ref="H733">INDEX('Linha 03'!$C$4:$ZZ$1000,B733,C733)</f>
        <v>0</v>
      </c>
    </row>
    <row r="734" spans="1:8" x14ac:dyDescent="0.25">
      <c r="A734">
        <v>732</v>
      </c>
      <c r="B734">
        <f t="shared" si="22"/>
        <v>18</v>
      </c>
      <c r="C734">
        <f t="shared" si="23"/>
        <v>35</v>
      </c>
      <c r="D734" cm="1">
        <f t="array" ref="D734">INDEX('Linha 03'!$A$4:$A$1000,B734)</f>
        <v>20050077</v>
      </c>
      <c r="E734" t="str" cm="1">
        <f t="array" ref="E734">INDEX('Linha 03'!$B$4:$B$1000,B734)</f>
        <v>Desinfetante Myata Lavanda Cx/06 X 2l</v>
      </c>
      <c r="F734" cm="1">
        <f t="array" ref="F734">INDEX('Linha 03'!$C$3:$ZZ$3,C734)</f>
        <v>20200063</v>
      </c>
      <c r="G734" t="str" cm="1">
        <f t="array" ref="G734">INDEX('Linha 03'!$C$2:$ZZ$2,C734)</f>
        <v>Lava Roup. Aquafast Tradicional Cx/12 X 1l</v>
      </c>
      <c r="H734" s="5" cm="1">
        <f t="array" ref="H734">INDEX('Linha 03'!$C$4:$ZZ$1000,B734,C734)</f>
        <v>0</v>
      </c>
    </row>
    <row r="735" spans="1:8" x14ac:dyDescent="0.25">
      <c r="A735">
        <v>733</v>
      </c>
      <c r="B735">
        <f t="shared" si="22"/>
        <v>18</v>
      </c>
      <c r="C735">
        <f t="shared" si="23"/>
        <v>36</v>
      </c>
      <c r="D735" cm="1">
        <f t="array" ref="D735">INDEX('Linha 03'!$A$4:$A$1000,B735)</f>
        <v>20050077</v>
      </c>
      <c r="E735" t="str" cm="1">
        <f t="array" ref="E735">INDEX('Linha 03'!$B$4:$B$1000,B735)</f>
        <v>Desinfetante Myata Lavanda Cx/06 X 2l</v>
      </c>
      <c r="F735" cm="1">
        <f t="array" ref="F735">INDEX('Linha 03'!$C$3:$ZZ$3,C735)</f>
        <v>20200064</v>
      </c>
      <c r="G735" t="str" cm="1">
        <f t="array" ref="G735">INDEX('Linha 03'!$C$2:$ZZ$2,C735)</f>
        <v>Lava Roup. Aquafast Flores B. E Baunilha Cx/12 X 1l</v>
      </c>
      <c r="H735" s="5" cm="1">
        <f t="array" ref="H735">INDEX('Linha 03'!$C$4:$ZZ$1000,B735,C735)</f>
        <v>0</v>
      </c>
    </row>
    <row r="736" spans="1:8" x14ac:dyDescent="0.25">
      <c r="A736">
        <v>734</v>
      </c>
      <c r="B736">
        <f t="shared" si="22"/>
        <v>18</v>
      </c>
      <c r="C736">
        <f t="shared" si="23"/>
        <v>37</v>
      </c>
      <c r="D736" cm="1">
        <f t="array" ref="D736">INDEX('Linha 03'!$A$4:$A$1000,B736)</f>
        <v>20050077</v>
      </c>
      <c r="E736" t="str" cm="1">
        <f t="array" ref="E736">INDEX('Linha 03'!$B$4:$B$1000,B736)</f>
        <v>Desinfetante Myata Lavanda Cx/06 X 2l</v>
      </c>
      <c r="F736" cm="1">
        <f t="array" ref="F736">INDEX('Linha 03'!$C$3:$ZZ$3,C736)</f>
        <v>20200065</v>
      </c>
      <c r="G736" t="str" cm="1">
        <f t="array" ref="G736">INDEX('Linha 03'!$C$2:$ZZ$2,C736)</f>
        <v>Lava Roupas Aquafast Flores B. E Baunilha Cx/06 X 2l</v>
      </c>
      <c r="H736" s="5" cm="1">
        <f t="array" ref="H736">INDEX('Linha 03'!$C$4:$ZZ$1000,B736,C736)</f>
        <v>0</v>
      </c>
    </row>
    <row r="737" spans="1:8" x14ac:dyDescent="0.25">
      <c r="A737">
        <v>735</v>
      </c>
      <c r="B737">
        <f t="shared" si="22"/>
        <v>18</v>
      </c>
      <c r="C737">
        <f t="shared" si="23"/>
        <v>38</v>
      </c>
      <c r="D737" cm="1">
        <f t="array" ref="D737">INDEX('Linha 03'!$A$4:$A$1000,B737)</f>
        <v>20050077</v>
      </c>
      <c r="E737" t="str" cm="1">
        <f t="array" ref="E737">INDEX('Linha 03'!$B$4:$B$1000,B737)</f>
        <v>Desinfetante Myata Lavanda Cx/06 X 2l</v>
      </c>
      <c r="F737" cm="1">
        <f t="array" ref="F737">INDEX('Linha 03'!$C$3:$ZZ$3,C737)</f>
        <v>20200072</v>
      </c>
      <c r="G737" t="str" cm="1">
        <f t="array" ref="G737">INDEX('Linha 03'!$C$2:$ZZ$2,C737)</f>
        <v>Lava Roupas Aquafast Lavagem Rapida Total Clean Cx/12 X 1l</v>
      </c>
      <c r="H737" s="5" cm="1">
        <f t="array" ref="H737">INDEX('Linha 03'!$C$4:$ZZ$1000,B737,C737)</f>
        <v>0</v>
      </c>
    </row>
    <row r="738" spans="1:8" x14ac:dyDescent="0.25">
      <c r="A738">
        <v>736</v>
      </c>
      <c r="B738">
        <f t="shared" si="22"/>
        <v>18</v>
      </c>
      <c r="C738">
        <f t="shared" si="23"/>
        <v>39</v>
      </c>
      <c r="D738" cm="1">
        <f t="array" ref="D738">INDEX('Linha 03'!$A$4:$A$1000,B738)</f>
        <v>20050077</v>
      </c>
      <c r="E738" t="str" cm="1">
        <f t="array" ref="E738">INDEX('Linha 03'!$B$4:$B$1000,B738)</f>
        <v>Desinfetante Myata Lavanda Cx/06 X 2l</v>
      </c>
      <c r="F738" cm="1">
        <f t="array" ref="F738">INDEX('Linha 03'!$C$3:$ZZ$3,C738)</f>
        <v>20200074</v>
      </c>
      <c r="G738" t="str" cm="1">
        <f t="array" ref="G738">INDEX('Linha 03'!$C$2:$ZZ$2,C738)</f>
        <v>Lava Roupas Aquafast Lavagem Rapida Fresh Clean Cx/12 X 1l</v>
      </c>
      <c r="H738" s="5" cm="1">
        <f t="array" ref="H738">INDEX('Linha 03'!$C$4:$ZZ$1000,B738,C738)</f>
        <v>0</v>
      </c>
    </row>
    <row r="739" spans="1:8" x14ac:dyDescent="0.25">
      <c r="A739">
        <v>737</v>
      </c>
      <c r="B739">
        <f t="shared" si="22"/>
        <v>18</v>
      </c>
      <c r="C739">
        <f t="shared" si="23"/>
        <v>40</v>
      </c>
      <c r="D739" cm="1">
        <f t="array" ref="D739">INDEX('Linha 03'!$A$4:$A$1000,B739)</f>
        <v>20050077</v>
      </c>
      <c r="E739" t="str" cm="1">
        <f t="array" ref="E739">INDEX('Linha 03'!$B$4:$B$1000,B739)</f>
        <v>Desinfetante Myata Lavanda Cx/06 X 2l</v>
      </c>
      <c r="F739" cm="1">
        <f t="array" ref="F739">INDEX('Linha 03'!$C$3:$ZZ$3,C739)</f>
        <v>20250005</v>
      </c>
      <c r="G739" t="str" cm="1">
        <f t="array" ref="G739">INDEX('Linha 03'!$C$2:$ZZ$2,C739)</f>
        <v>Neutralizador De Odores Aquafast Floral Cx/06 X 2l</v>
      </c>
      <c r="H739" s="5" cm="1">
        <f t="array" ref="H739">INDEX('Linha 03'!$C$4:$ZZ$1000,B739,C739)</f>
        <v>0</v>
      </c>
    </row>
    <row r="740" spans="1:8" x14ac:dyDescent="0.25">
      <c r="A740">
        <v>738</v>
      </c>
      <c r="B740">
        <f t="shared" si="22"/>
        <v>18</v>
      </c>
      <c r="C740">
        <f t="shared" si="23"/>
        <v>41</v>
      </c>
      <c r="D740" cm="1">
        <f t="array" ref="D740">INDEX('Linha 03'!$A$4:$A$1000,B740)</f>
        <v>20050077</v>
      </c>
      <c r="E740" t="str" cm="1">
        <f t="array" ref="E740">INDEX('Linha 03'!$B$4:$B$1000,B740)</f>
        <v>Desinfetante Myata Lavanda Cx/06 X 2l</v>
      </c>
      <c r="F740" cm="1">
        <f t="array" ref="F740">INDEX('Linha 03'!$C$3:$ZZ$3,C740)</f>
        <v>20250007</v>
      </c>
      <c r="G740" t="str" cm="1">
        <f t="array" ref="G740">INDEX('Linha 03'!$C$2:$ZZ$2,C740)</f>
        <v>Neutralizador De Odores Aquafast Marine Cx/06 2l</v>
      </c>
      <c r="H740" s="5" cm="1">
        <f t="array" ref="H740">INDEX('Linha 03'!$C$4:$ZZ$1000,B740,C740)</f>
        <v>0</v>
      </c>
    </row>
    <row r="741" spans="1:8" x14ac:dyDescent="0.25">
      <c r="A741">
        <v>739</v>
      </c>
      <c r="B741">
        <f t="shared" si="22"/>
        <v>19</v>
      </c>
      <c r="C741">
        <f t="shared" si="23"/>
        <v>1</v>
      </c>
      <c r="D741" cm="1">
        <f t="array" ref="D741">INDEX('Linha 03'!$A$4:$A$1000,B741)</f>
        <v>20050078</v>
      </c>
      <c r="E741" t="str" cm="1">
        <f t="array" ref="E741">INDEX('Linha 03'!$B$4:$B$1000,B741)</f>
        <v>Desinfetante Myata Floral Cx/06 X 2l</v>
      </c>
      <c r="F741" cm="1">
        <f t="array" ref="F741">INDEX('Linha 03'!$C$3:$ZZ$3,C741)</f>
        <v>20040006</v>
      </c>
      <c r="G741" t="str" cm="1">
        <f t="array" ref="G741">INDEX('Linha 03'!$C$2:$ZZ$2,C741)</f>
        <v>Amaciante Aquafast Azul Fresc. Manha Cx/06 X 2l</v>
      </c>
      <c r="H741" s="5" cm="1">
        <f t="array" ref="H741">INDEX('Linha 03'!$C$4:$ZZ$1000,B741,C741)</f>
        <v>0</v>
      </c>
    </row>
    <row r="742" spans="1:8" x14ac:dyDescent="0.25">
      <c r="A742">
        <v>740</v>
      </c>
      <c r="B742">
        <f t="shared" si="22"/>
        <v>19</v>
      </c>
      <c r="C742">
        <f t="shared" si="23"/>
        <v>2</v>
      </c>
      <c r="D742" cm="1">
        <f t="array" ref="D742">INDEX('Linha 03'!$A$4:$A$1000,B742)</f>
        <v>20050078</v>
      </c>
      <c r="E742" t="str" cm="1">
        <f t="array" ref="E742">INDEX('Linha 03'!$B$4:$B$1000,B742)</f>
        <v>Desinfetante Myata Floral Cx/06 X 2l</v>
      </c>
      <c r="F742" cm="1">
        <f t="array" ref="F742">INDEX('Linha 03'!$C$3:$ZZ$3,C742)</f>
        <v>20040008</v>
      </c>
      <c r="G742" t="str" cm="1">
        <f t="array" ref="G742">INDEX('Linha 03'!$C$2:$ZZ$2,C742)</f>
        <v>Amaciante Aquafast Rosa Jard. Florid Cx/06 X 2l</v>
      </c>
      <c r="H742" s="5" cm="1">
        <f t="array" ref="H742">INDEX('Linha 03'!$C$4:$ZZ$1000,B742,C742)</f>
        <v>0</v>
      </c>
    </row>
    <row r="743" spans="1:8" x14ac:dyDescent="0.25">
      <c r="A743">
        <v>741</v>
      </c>
      <c r="B743">
        <f t="shared" si="22"/>
        <v>19</v>
      </c>
      <c r="C743">
        <f t="shared" si="23"/>
        <v>3</v>
      </c>
      <c r="D743" cm="1">
        <f t="array" ref="D743">INDEX('Linha 03'!$A$4:$A$1000,B743)</f>
        <v>20050078</v>
      </c>
      <c r="E743" t="str" cm="1">
        <f t="array" ref="E743">INDEX('Linha 03'!$B$4:$B$1000,B743)</f>
        <v>Desinfetante Myata Floral Cx/06 X 2l</v>
      </c>
      <c r="F743" cm="1">
        <f t="array" ref="F743">INDEX('Linha 03'!$C$3:$ZZ$3,C743)</f>
        <v>20040009</v>
      </c>
      <c r="G743" t="str" cm="1">
        <f t="array" ref="G743">INDEX('Linha 03'!$C$2:$ZZ$2,C743)</f>
        <v>Amaciante Aquafast Branco Pura Caric. Cx/06 X 2l</v>
      </c>
      <c r="H743" s="5" cm="1">
        <f t="array" ref="H743">INDEX('Linha 03'!$C$4:$ZZ$1000,B743,C743)</f>
        <v>0</v>
      </c>
    </row>
    <row r="744" spans="1:8" x14ac:dyDescent="0.25">
      <c r="A744">
        <v>742</v>
      </c>
      <c r="B744">
        <f t="shared" si="22"/>
        <v>19</v>
      </c>
      <c r="C744">
        <f t="shared" si="23"/>
        <v>4</v>
      </c>
      <c r="D744" cm="1">
        <f t="array" ref="D744">INDEX('Linha 03'!$A$4:$A$1000,B744)</f>
        <v>20050078</v>
      </c>
      <c r="E744" t="str" cm="1">
        <f t="array" ref="E744">INDEX('Linha 03'!$B$4:$B$1000,B744)</f>
        <v>Desinfetante Myata Floral Cx/06 X 2l</v>
      </c>
      <c r="F744" cm="1">
        <f t="array" ref="F744">INDEX('Linha 03'!$C$3:$ZZ$3,C744)</f>
        <v>20040026</v>
      </c>
      <c r="G744" t="str" cm="1">
        <f t="array" ref="G744">INDEX('Linha 03'!$C$2:$ZZ$2,C744)</f>
        <v>Amaciante Ito Azul Cx/06 X 2l</v>
      </c>
      <c r="H744" s="5" cm="1">
        <f t="array" ref="H744">INDEX('Linha 03'!$C$4:$ZZ$1000,B744,C744)</f>
        <v>0</v>
      </c>
    </row>
    <row r="745" spans="1:8" x14ac:dyDescent="0.25">
      <c r="A745">
        <v>743</v>
      </c>
      <c r="B745">
        <f t="shared" si="22"/>
        <v>19</v>
      </c>
      <c r="C745">
        <f t="shared" si="23"/>
        <v>5</v>
      </c>
      <c r="D745" cm="1">
        <f t="array" ref="D745">INDEX('Linha 03'!$A$4:$A$1000,B745)</f>
        <v>20050078</v>
      </c>
      <c r="E745" t="str" cm="1">
        <f t="array" ref="E745">INDEX('Linha 03'!$B$4:$B$1000,B745)</f>
        <v>Desinfetante Myata Floral Cx/06 X 2l</v>
      </c>
      <c r="F745" cm="1">
        <f t="array" ref="F745">INDEX('Linha 03'!$C$3:$ZZ$3,C745)</f>
        <v>20040028</v>
      </c>
      <c r="G745" t="str" cm="1">
        <f t="array" ref="G745">INDEX('Linha 03'!$C$2:$ZZ$2,C745)</f>
        <v>Amaciante Ito Rosa Cx/06 X 2l</v>
      </c>
      <c r="H745" s="5" cm="1">
        <f t="array" ref="H745">INDEX('Linha 03'!$C$4:$ZZ$1000,B745,C745)</f>
        <v>0</v>
      </c>
    </row>
    <row r="746" spans="1:8" x14ac:dyDescent="0.25">
      <c r="A746">
        <v>744</v>
      </c>
      <c r="B746">
        <f t="shared" si="22"/>
        <v>19</v>
      </c>
      <c r="C746">
        <f t="shared" si="23"/>
        <v>6</v>
      </c>
      <c r="D746" cm="1">
        <f t="array" ref="D746">INDEX('Linha 03'!$A$4:$A$1000,B746)</f>
        <v>20050078</v>
      </c>
      <c r="E746" t="str" cm="1">
        <f t="array" ref="E746">INDEX('Linha 03'!$B$4:$B$1000,B746)</f>
        <v>Desinfetante Myata Floral Cx/06 X 2l</v>
      </c>
      <c r="F746" cm="1">
        <f t="array" ref="F746">INDEX('Linha 03'!$C$3:$ZZ$3,C746)</f>
        <v>20040029</v>
      </c>
      <c r="G746" t="str" cm="1">
        <f t="array" ref="G746">INDEX('Linha 03'!$C$2:$ZZ$2,C746)</f>
        <v>Amaciante Ito Branco Cx/06 X 2l</v>
      </c>
      <c r="H746" s="5" cm="1">
        <f t="array" ref="H746">INDEX('Linha 03'!$C$4:$ZZ$1000,B746,C746)</f>
        <v>0</v>
      </c>
    </row>
    <row r="747" spans="1:8" x14ac:dyDescent="0.25">
      <c r="A747">
        <v>745</v>
      </c>
      <c r="B747">
        <f t="shared" si="22"/>
        <v>19</v>
      </c>
      <c r="C747">
        <f t="shared" si="23"/>
        <v>7</v>
      </c>
      <c r="D747" cm="1">
        <f t="array" ref="D747">INDEX('Linha 03'!$A$4:$A$1000,B747)</f>
        <v>20050078</v>
      </c>
      <c r="E747" t="str" cm="1">
        <f t="array" ref="E747">INDEX('Linha 03'!$B$4:$B$1000,B747)</f>
        <v>Desinfetante Myata Floral Cx/06 X 2l</v>
      </c>
      <c r="F747" cm="1">
        <f t="array" ref="F747">INDEX('Linha 03'!$C$3:$ZZ$3,C747)</f>
        <v>20040055</v>
      </c>
      <c r="G747" t="str" cm="1">
        <f t="array" ref="G747">INDEX('Linha 03'!$C$2:$ZZ$2,C747)</f>
        <v>Amaciante Myata Azul Cx/06 X 2l</v>
      </c>
      <c r="H747" s="5" cm="1">
        <f t="array" ref="H747">INDEX('Linha 03'!$C$4:$ZZ$1000,B747,C747)</f>
        <v>0</v>
      </c>
    </row>
    <row r="748" spans="1:8" x14ac:dyDescent="0.25">
      <c r="A748">
        <v>746</v>
      </c>
      <c r="B748">
        <f t="shared" si="22"/>
        <v>19</v>
      </c>
      <c r="C748">
        <f t="shared" si="23"/>
        <v>8</v>
      </c>
      <c r="D748" cm="1">
        <f t="array" ref="D748">INDEX('Linha 03'!$A$4:$A$1000,B748)</f>
        <v>20050078</v>
      </c>
      <c r="E748" t="str" cm="1">
        <f t="array" ref="E748">INDEX('Linha 03'!$B$4:$B$1000,B748)</f>
        <v>Desinfetante Myata Floral Cx/06 X 2l</v>
      </c>
      <c r="F748" cm="1">
        <f t="array" ref="F748">INDEX('Linha 03'!$C$3:$ZZ$3,C748)</f>
        <v>20040057</v>
      </c>
      <c r="G748" t="str" cm="1">
        <f t="array" ref="G748">INDEX('Linha 03'!$C$2:$ZZ$2,C748)</f>
        <v>Amaciante Myata Rosa Cx/06 X 2l</v>
      </c>
      <c r="H748" s="5" cm="1">
        <f t="array" ref="H748">INDEX('Linha 03'!$C$4:$ZZ$1000,B748,C748)</f>
        <v>0</v>
      </c>
    </row>
    <row r="749" spans="1:8" x14ac:dyDescent="0.25">
      <c r="A749">
        <v>747</v>
      </c>
      <c r="B749">
        <f t="shared" si="22"/>
        <v>19</v>
      </c>
      <c r="C749">
        <f t="shared" si="23"/>
        <v>9</v>
      </c>
      <c r="D749" cm="1">
        <f t="array" ref="D749">INDEX('Linha 03'!$A$4:$A$1000,B749)</f>
        <v>20050078</v>
      </c>
      <c r="E749" t="str" cm="1">
        <f t="array" ref="E749">INDEX('Linha 03'!$B$4:$B$1000,B749)</f>
        <v>Desinfetante Myata Floral Cx/06 X 2l</v>
      </c>
      <c r="F749" cm="1">
        <f t="array" ref="F749">INDEX('Linha 03'!$C$3:$ZZ$3,C749)</f>
        <v>20040084</v>
      </c>
      <c r="G749" t="str" cm="1">
        <f t="array" ref="G749">INDEX('Linha 03'!$C$2:$ZZ$2,C749)</f>
        <v>Amaciante Aquafast Vermelho Seducao Cx C/06 X 2l</v>
      </c>
      <c r="H749" s="5" cm="1">
        <f t="array" ref="H749">INDEX('Linha 03'!$C$4:$ZZ$1000,B749,C749)</f>
        <v>0</v>
      </c>
    </row>
    <row r="750" spans="1:8" x14ac:dyDescent="0.25">
      <c r="A750">
        <v>748</v>
      </c>
      <c r="B750">
        <f t="shared" si="22"/>
        <v>19</v>
      </c>
      <c r="C750">
        <f t="shared" si="23"/>
        <v>10</v>
      </c>
      <c r="D750" cm="1">
        <f t="array" ref="D750">INDEX('Linha 03'!$A$4:$A$1000,B750)</f>
        <v>20050078</v>
      </c>
      <c r="E750" t="str" cm="1">
        <f t="array" ref="E750">INDEX('Linha 03'!$B$4:$B$1000,B750)</f>
        <v>Desinfetante Myata Floral Cx/06 X 2l</v>
      </c>
      <c r="F750" cm="1">
        <f t="array" ref="F750">INDEX('Linha 03'!$C$3:$ZZ$3,C750)</f>
        <v>20040089</v>
      </c>
      <c r="G750" t="str" cm="1">
        <f t="array" ref="G750">INDEX('Linha 03'!$C$2:$ZZ$2,C750)</f>
        <v>Amaciante Aquafast Roxo Magia Cx/06 X 2l</v>
      </c>
      <c r="H750" s="5" cm="1">
        <f t="array" ref="H750">INDEX('Linha 03'!$C$4:$ZZ$1000,B750,C750)</f>
        <v>0</v>
      </c>
    </row>
    <row r="751" spans="1:8" x14ac:dyDescent="0.25">
      <c r="A751">
        <v>749</v>
      </c>
      <c r="B751">
        <f t="shared" si="22"/>
        <v>19</v>
      </c>
      <c r="C751">
        <f t="shared" si="23"/>
        <v>11</v>
      </c>
      <c r="D751" cm="1">
        <f t="array" ref="D751">INDEX('Linha 03'!$A$4:$A$1000,B751)</f>
        <v>20050078</v>
      </c>
      <c r="E751" t="str" cm="1">
        <f t="array" ref="E751">INDEX('Linha 03'!$B$4:$B$1000,B751)</f>
        <v>Desinfetante Myata Floral Cx/06 X 2l</v>
      </c>
      <c r="F751" cm="1">
        <f t="array" ref="F751">INDEX('Linha 03'!$C$3:$ZZ$3,C751)</f>
        <v>20040094</v>
      </c>
      <c r="G751" t="str" cm="1">
        <f t="array" ref="G751">INDEX('Linha 03'!$C$2:$ZZ$2,C751)</f>
        <v>Amaciante Aquafast Energia Cx/06 X 2l</v>
      </c>
      <c r="H751" s="5" cm="1">
        <f t="array" ref="H751">INDEX('Linha 03'!$C$4:$ZZ$1000,B751,C751)</f>
        <v>0</v>
      </c>
    </row>
    <row r="752" spans="1:8" x14ac:dyDescent="0.25">
      <c r="A752">
        <v>750</v>
      </c>
      <c r="B752">
        <f t="shared" si="22"/>
        <v>19</v>
      </c>
      <c r="C752">
        <f t="shared" si="23"/>
        <v>12</v>
      </c>
      <c r="D752" cm="1">
        <f t="array" ref="D752">INDEX('Linha 03'!$A$4:$A$1000,B752)</f>
        <v>20050078</v>
      </c>
      <c r="E752" t="str" cm="1">
        <f t="array" ref="E752">INDEX('Linha 03'!$B$4:$B$1000,B752)</f>
        <v>Desinfetante Myata Floral Cx/06 X 2l</v>
      </c>
      <c r="F752" cm="1">
        <f t="array" ref="F752">INDEX('Linha 03'!$C$3:$ZZ$3,C752)</f>
        <v>20050010</v>
      </c>
      <c r="G752" t="str" cm="1">
        <f t="array" ref="G752">INDEX('Linha 03'!$C$2:$ZZ$2,C752)</f>
        <v>Desinfetante Aquafast Campos Lavanda Cx/06 X 2l</v>
      </c>
      <c r="H752" s="5" cm="1">
        <f t="array" ref="H752">INDEX('Linha 03'!$C$4:$ZZ$1000,B752,C752)</f>
        <v>0</v>
      </c>
    </row>
    <row r="753" spans="1:8" x14ac:dyDescent="0.25">
      <c r="A753">
        <v>751</v>
      </c>
      <c r="B753">
        <f t="shared" si="22"/>
        <v>19</v>
      </c>
      <c r="C753">
        <f t="shared" si="23"/>
        <v>13</v>
      </c>
      <c r="D753" cm="1">
        <f t="array" ref="D753">INDEX('Linha 03'!$A$4:$A$1000,B753)</f>
        <v>20050078</v>
      </c>
      <c r="E753" t="str" cm="1">
        <f t="array" ref="E753">INDEX('Linha 03'!$B$4:$B$1000,B753)</f>
        <v>Desinfetante Myata Floral Cx/06 X 2l</v>
      </c>
      <c r="F753" cm="1">
        <f t="array" ref="F753">INDEX('Linha 03'!$C$3:$ZZ$3,C753)</f>
        <v>20050011</v>
      </c>
      <c r="G753" t="str" cm="1">
        <f t="array" ref="G753">INDEX('Linha 03'!$C$2:$ZZ$2,C753)</f>
        <v>Desinfetante Aquafast Jardim Florido Cx/06 X 2l</v>
      </c>
      <c r="H753" s="5" cm="1">
        <f t="array" ref="H753">INDEX('Linha 03'!$C$4:$ZZ$1000,B753,C753)</f>
        <v>0</v>
      </c>
    </row>
    <row r="754" spans="1:8" x14ac:dyDescent="0.25">
      <c r="A754">
        <v>752</v>
      </c>
      <c r="B754">
        <f t="shared" si="22"/>
        <v>19</v>
      </c>
      <c r="C754">
        <f t="shared" si="23"/>
        <v>14</v>
      </c>
      <c r="D754" cm="1">
        <f t="array" ref="D754">INDEX('Linha 03'!$A$4:$A$1000,B754)</f>
        <v>20050078</v>
      </c>
      <c r="E754" t="str" cm="1">
        <f t="array" ref="E754">INDEX('Linha 03'!$B$4:$B$1000,B754)</f>
        <v>Desinfetante Myata Floral Cx/06 X 2l</v>
      </c>
      <c r="F754" cm="1">
        <f t="array" ref="F754">INDEX('Linha 03'!$C$3:$ZZ$3,C754)</f>
        <v>20050016</v>
      </c>
      <c r="G754" t="str" cm="1">
        <f t="array" ref="G754">INDEX('Linha 03'!$C$2:$ZZ$2,C754)</f>
        <v>Desinfetante Aquafast Marine Cx/06 X 2l</v>
      </c>
      <c r="H754" s="5" cm="1">
        <f t="array" ref="H754">INDEX('Linha 03'!$C$4:$ZZ$1000,B754,C754)</f>
        <v>0</v>
      </c>
    </row>
    <row r="755" spans="1:8" x14ac:dyDescent="0.25">
      <c r="A755">
        <v>753</v>
      </c>
      <c r="B755">
        <f t="shared" si="22"/>
        <v>19</v>
      </c>
      <c r="C755">
        <f t="shared" si="23"/>
        <v>15</v>
      </c>
      <c r="D755" cm="1">
        <f t="array" ref="D755">INDEX('Linha 03'!$A$4:$A$1000,B755)</f>
        <v>20050078</v>
      </c>
      <c r="E755" t="str" cm="1">
        <f t="array" ref="E755">INDEX('Linha 03'!$B$4:$B$1000,B755)</f>
        <v>Desinfetante Myata Floral Cx/06 X 2l</v>
      </c>
      <c r="F755" cm="1">
        <f t="array" ref="F755">INDEX('Linha 03'!$C$3:$ZZ$3,C755)</f>
        <v>20050031</v>
      </c>
      <c r="G755" t="str" cm="1">
        <f t="array" ref="G755">INDEX('Linha 03'!$C$2:$ZZ$2,C755)</f>
        <v>Desinfetante Ito Lavanda Cx/06 X 2l</v>
      </c>
      <c r="H755" s="5" cm="1">
        <f t="array" ref="H755">INDEX('Linha 03'!$C$4:$ZZ$1000,B755,C755)</f>
        <v>0</v>
      </c>
    </row>
    <row r="756" spans="1:8" x14ac:dyDescent="0.25">
      <c r="A756">
        <v>754</v>
      </c>
      <c r="B756">
        <f t="shared" si="22"/>
        <v>19</v>
      </c>
      <c r="C756">
        <f t="shared" si="23"/>
        <v>16</v>
      </c>
      <c r="D756" cm="1">
        <f t="array" ref="D756">INDEX('Linha 03'!$A$4:$A$1000,B756)</f>
        <v>20050078</v>
      </c>
      <c r="E756" t="str" cm="1">
        <f t="array" ref="E756">INDEX('Linha 03'!$B$4:$B$1000,B756)</f>
        <v>Desinfetante Myata Floral Cx/06 X 2l</v>
      </c>
      <c r="F756" cm="1">
        <f t="array" ref="F756">INDEX('Linha 03'!$C$3:$ZZ$3,C756)</f>
        <v>20050032</v>
      </c>
      <c r="G756" t="str" cm="1">
        <f t="array" ref="G756">INDEX('Linha 03'!$C$2:$ZZ$2,C756)</f>
        <v>Desinfetante Ito Floral Cx/06 X 2l</v>
      </c>
      <c r="H756" s="5" cm="1">
        <f t="array" ref="H756">INDEX('Linha 03'!$C$4:$ZZ$1000,B756,C756)</f>
        <v>0</v>
      </c>
    </row>
    <row r="757" spans="1:8" x14ac:dyDescent="0.25">
      <c r="A757">
        <v>755</v>
      </c>
      <c r="B757">
        <f t="shared" si="22"/>
        <v>19</v>
      </c>
      <c r="C757">
        <f t="shared" si="23"/>
        <v>17</v>
      </c>
      <c r="D757" cm="1">
        <f t="array" ref="D757">INDEX('Linha 03'!$A$4:$A$1000,B757)</f>
        <v>20050078</v>
      </c>
      <c r="E757" t="str" cm="1">
        <f t="array" ref="E757">INDEX('Linha 03'!$B$4:$B$1000,B757)</f>
        <v>Desinfetante Myata Floral Cx/06 X 2l</v>
      </c>
      <c r="F757" cm="1">
        <f t="array" ref="F757">INDEX('Linha 03'!$C$3:$ZZ$3,C757)</f>
        <v>20050034</v>
      </c>
      <c r="G757" t="str" cm="1">
        <f t="array" ref="G757">INDEX('Linha 03'!$C$2:$ZZ$2,C757)</f>
        <v>Desinfetante Ito Eucalipto Cx/06 X 2l</v>
      </c>
      <c r="H757" s="5" cm="1">
        <f t="array" ref="H757">INDEX('Linha 03'!$C$4:$ZZ$1000,B757,C757)</f>
        <v>0</v>
      </c>
    </row>
    <row r="758" spans="1:8" x14ac:dyDescent="0.25">
      <c r="A758">
        <v>756</v>
      </c>
      <c r="B758">
        <f t="shared" si="22"/>
        <v>19</v>
      </c>
      <c r="C758">
        <f t="shared" si="23"/>
        <v>18</v>
      </c>
      <c r="D758" cm="1">
        <f t="array" ref="D758">INDEX('Linha 03'!$A$4:$A$1000,B758)</f>
        <v>20050078</v>
      </c>
      <c r="E758" t="str" cm="1">
        <f t="array" ref="E758">INDEX('Linha 03'!$B$4:$B$1000,B758)</f>
        <v>Desinfetante Myata Floral Cx/06 X 2l</v>
      </c>
      <c r="F758" cm="1">
        <f t="array" ref="F758">INDEX('Linha 03'!$C$3:$ZZ$3,C758)</f>
        <v>20050077</v>
      </c>
      <c r="G758" t="str" cm="1">
        <f t="array" ref="G758">INDEX('Linha 03'!$C$2:$ZZ$2,C758)</f>
        <v>Desinfetante Myata Lavanda Cx/06 X 2l</v>
      </c>
      <c r="H758" s="5" cm="1">
        <f t="array" ref="H758">INDEX('Linha 03'!$C$4:$ZZ$1000,B758,C758)</f>
        <v>0</v>
      </c>
    </row>
    <row r="759" spans="1:8" x14ac:dyDescent="0.25">
      <c r="A759">
        <v>757</v>
      </c>
      <c r="B759">
        <f t="shared" si="22"/>
        <v>19</v>
      </c>
      <c r="C759">
        <f t="shared" si="23"/>
        <v>19</v>
      </c>
      <c r="D759" cm="1">
        <f t="array" ref="D759">INDEX('Linha 03'!$A$4:$A$1000,B759)</f>
        <v>20050078</v>
      </c>
      <c r="E759" t="str" cm="1">
        <f t="array" ref="E759">INDEX('Linha 03'!$B$4:$B$1000,B759)</f>
        <v>Desinfetante Myata Floral Cx/06 X 2l</v>
      </c>
      <c r="F759" cm="1">
        <f t="array" ref="F759">INDEX('Linha 03'!$C$3:$ZZ$3,C759)</f>
        <v>20050078</v>
      </c>
      <c r="G759" t="str" cm="1">
        <f t="array" ref="G759">INDEX('Linha 03'!$C$2:$ZZ$2,C759)</f>
        <v>Desinfetante Myata Floral Cx/06 X 2l</v>
      </c>
      <c r="H759" s="5" cm="1">
        <f t="array" ref="H759">INDEX('Linha 03'!$C$4:$ZZ$1000,B759,C759)</f>
        <v>0</v>
      </c>
    </row>
    <row r="760" spans="1:8" x14ac:dyDescent="0.25">
      <c r="A760">
        <v>758</v>
      </c>
      <c r="B760">
        <f t="shared" si="22"/>
        <v>19</v>
      </c>
      <c r="C760">
        <f t="shared" si="23"/>
        <v>20</v>
      </c>
      <c r="D760" cm="1">
        <f t="array" ref="D760">INDEX('Linha 03'!$A$4:$A$1000,B760)</f>
        <v>20050078</v>
      </c>
      <c r="E760" t="str" cm="1">
        <f t="array" ref="E760">INDEX('Linha 03'!$B$4:$B$1000,B760)</f>
        <v>Desinfetante Myata Floral Cx/06 X 2l</v>
      </c>
      <c r="F760" cm="1">
        <f t="array" ref="F760">INDEX('Linha 03'!$C$3:$ZZ$3,C760)</f>
        <v>20050115</v>
      </c>
      <c r="G760" t="str" cm="1">
        <f t="array" ref="G760">INDEX('Linha 03'!$C$2:$ZZ$2,C760)</f>
        <v>Desinfetante Aquafast Paixao Cx/06 X 2l</v>
      </c>
      <c r="H760" s="5" cm="1">
        <f t="array" ref="H760">INDEX('Linha 03'!$C$4:$ZZ$1000,B760,C760)</f>
        <v>0</v>
      </c>
    </row>
    <row r="761" spans="1:8" x14ac:dyDescent="0.25">
      <c r="A761">
        <v>759</v>
      </c>
      <c r="B761">
        <f t="shared" si="22"/>
        <v>19</v>
      </c>
      <c r="C761">
        <f t="shared" si="23"/>
        <v>21</v>
      </c>
      <c r="D761" cm="1">
        <f t="array" ref="D761">INDEX('Linha 03'!$A$4:$A$1000,B761)</f>
        <v>20050078</v>
      </c>
      <c r="E761" t="str" cm="1">
        <f t="array" ref="E761">INDEX('Linha 03'!$B$4:$B$1000,B761)</f>
        <v>Desinfetante Myata Floral Cx/06 X 2l</v>
      </c>
      <c r="F761" cm="1">
        <f t="array" ref="F761">INDEX('Linha 03'!$C$3:$ZZ$3,C761)</f>
        <v>20050117</v>
      </c>
      <c r="G761" t="str" cm="1">
        <f t="array" ref="G761">INDEX('Linha 03'!$C$2:$ZZ$2,C761)</f>
        <v>Desinfetante Aquafast Harmonia Natural Cx/06 X 2l</v>
      </c>
      <c r="H761" s="5" cm="1">
        <f t="array" ref="H761">INDEX('Linha 03'!$C$4:$ZZ$1000,B761,C761)</f>
        <v>0</v>
      </c>
    </row>
    <row r="762" spans="1:8" x14ac:dyDescent="0.25">
      <c r="A762">
        <v>760</v>
      </c>
      <c r="B762">
        <f t="shared" si="22"/>
        <v>19</v>
      </c>
      <c r="C762">
        <f t="shared" si="23"/>
        <v>22</v>
      </c>
      <c r="D762" cm="1">
        <f t="array" ref="D762">INDEX('Linha 03'!$A$4:$A$1000,B762)</f>
        <v>20050078</v>
      </c>
      <c r="E762" t="str" cm="1">
        <f t="array" ref="E762">INDEX('Linha 03'!$B$4:$B$1000,B762)</f>
        <v>Desinfetante Myata Floral Cx/06 X 2l</v>
      </c>
      <c r="F762" cm="1">
        <f t="array" ref="F762">INDEX('Linha 03'!$C$3:$ZZ$3,C762)</f>
        <v>20050123</v>
      </c>
      <c r="G762" t="str" cm="1">
        <f t="array" ref="G762">INDEX('Linha 03'!$C$2:$ZZ$2,C762)</f>
        <v>Desinfetante Ito Harmonia Natural Cx/06 X 2l</v>
      </c>
      <c r="H762" s="5" cm="1">
        <f t="array" ref="H762">INDEX('Linha 03'!$C$4:$ZZ$1000,B762,C762)</f>
        <v>0</v>
      </c>
    </row>
    <row r="763" spans="1:8" x14ac:dyDescent="0.25">
      <c r="A763">
        <v>761</v>
      </c>
      <c r="B763">
        <f t="shared" si="22"/>
        <v>19</v>
      </c>
      <c r="C763">
        <f t="shared" si="23"/>
        <v>23</v>
      </c>
      <c r="D763" cm="1">
        <f t="array" ref="D763">INDEX('Linha 03'!$A$4:$A$1000,B763)</f>
        <v>20050078</v>
      </c>
      <c r="E763" t="str" cm="1">
        <f t="array" ref="E763">INDEX('Linha 03'!$B$4:$B$1000,B763)</f>
        <v>Desinfetante Myata Floral Cx/06 X 2l</v>
      </c>
      <c r="F763" cm="1">
        <f t="array" ref="F763">INDEX('Linha 03'!$C$3:$ZZ$3,C763)</f>
        <v>20050124</v>
      </c>
      <c r="G763" t="str" cm="1">
        <f t="array" ref="G763">INDEX('Linha 03'!$C$2:$ZZ$2,C763)</f>
        <v>Desinfetante Myata Harmonia Natural Cx/06 X 2l</v>
      </c>
      <c r="H763" s="5" cm="1">
        <f t="array" ref="H763">INDEX('Linha 03'!$C$4:$ZZ$1000,B763,C763)</f>
        <v>0</v>
      </c>
    </row>
    <row r="764" spans="1:8" x14ac:dyDescent="0.25">
      <c r="A764">
        <v>762</v>
      </c>
      <c r="B764">
        <f t="shared" si="22"/>
        <v>19</v>
      </c>
      <c r="C764">
        <f t="shared" si="23"/>
        <v>24</v>
      </c>
      <c r="D764" cm="1">
        <f t="array" ref="D764">INDEX('Linha 03'!$A$4:$A$1000,B764)</f>
        <v>20050078</v>
      </c>
      <c r="E764" t="str" cm="1">
        <f t="array" ref="E764">INDEX('Linha 03'!$B$4:$B$1000,B764)</f>
        <v>Desinfetante Myata Floral Cx/06 X 2l</v>
      </c>
      <c r="F764" cm="1">
        <f t="array" ref="F764">INDEX('Linha 03'!$C$3:$ZZ$3,C764)</f>
        <v>20050142</v>
      </c>
      <c r="G764" t="str" cm="1">
        <f t="array" ref="G764">INDEX('Linha 03'!$C$2:$ZZ$2,C764)</f>
        <v>Desinfetante Ito Marine Cx/06 X 2l</v>
      </c>
      <c r="H764" s="5" cm="1">
        <f t="array" ref="H764">INDEX('Linha 03'!$C$4:$ZZ$1000,B764,C764)</f>
        <v>0</v>
      </c>
    </row>
    <row r="765" spans="1:8" x14ac:dyDescent="0.25">
      <c r="A765">
        <v>763</v>
      </c>
      <c r="B765">
        <f t="shared" si="22"/>
        <v>19</v>
      </c>
      <c r="C765">
        <f t="shared" si="23"/>
        <v>25</v>
      </c>
      <c r="D765" cm="1">
        <f t="array" ref="D765">INDEX('Linha 03'!$A$4:$A$1000,B765)</f>
        <v>20050078</v>
      </c>
      <c r="E765" t="str" cm="1">
        <f t="array" ref="E765">INDEX('Linha 03'!$B$4:$B$1000,B765)</f>
        <v>Desinfetante Myata Floral Cx/06 X 2l</v>
      </c>
      <c r="F765" cm="1">
        <f t="array" ref="F765">INDEX('Linha 03'!$C$3:$ZZ$3,C765)</f>
        <v>20050159</v>
      </c>
      <c r="G765" t="str" cm="1">
        <f t="array" ref="G765">INDEX('Linha 03'!$C$2:$ZZ$2,C765)</f>
        <v>Desinfetante Aquafast Cha Branco Cx/06 X 2l</v>
      </c>
      <c r="H765" s="5" cm="1">
        <f t="array" ref="H765">INDEX('Linha 03'!$C$4:$ZZ$1000,B765,C765)</f>
        <v>1.38888888888889E-2</v>
      </c>
    </row>
    <row r="766" spans="1:8" x14ac:dyDescent="0.25">
      <c r="A766">
        <v>764</v>
      </c>
      <c r="B766">
        <f t="shared" si="22"/>
        <v>19</v>
      </c>
      <c r="C766">
        <f t="shared" si="23"/>
        <v>26</v>
      </c>
      <c r="D766" cm="1">
        <f t="array" ref="D766">INDEX('Linha 03'!$A$4:$A$1000,B766)</f>
        <v>20050078</v>
      </c>
      <c r="E766" t="str" cm="1">
        <f t="array" ref="E766">INDEX('Linha 03'!$B$4:$B$1000,B766)</f>
        <v>Desinfetante Myata Floral Cx/06 X 2l</v>
      </c>
      <c r="F766" cm="1">
        <f t="array" ref="F766">INDEX('Linha 03'!$C$3:$ZZ$3,C766)</f>
        <v>20060007</v>
      </c>
      <c r="G766" t="str" cm="1">
        <f t="array" ref="G766">INDEX('Linha 03'!$C$2:$ZZ$2,C766)</f>
        <v>Limp Perf Aquafast Magia Seducao Cx/06 X 2l (Promoc)</v>
      </c>
      <c r="H766" s="5" cm="1">
        <f t="array" ref="H766">INDEX('Linha 03'!$C$4:$ZZ$1000,B766,C766)</f>
        <v>0</v>
      </c>
    </row>
    <row r="767" spans="1:8" x14ac:dyDescent="0.25">
      <c r="A767">
        <v>765</v>
      </c>
      <c r="B767">
        <f t="shared" si="22"/>
        <v>19</v>
      </c>
      <c r="C767">
        <f t="shared" si="23"/>
        <v>27</v>
      </c>
      <c r="D767" cm="1">
        <f t="array" ref="D767">INDEX('Linha 03'!$A$4:$A$1000,B767)</f>
        <v>20050078</v>
      </c>
      <c r="E767" t="str" cm="1">
        <f t="array" ref="E767">INDEX('Linha 03'!$B$4:$B$1000,B767)</f>
        <v>Desinfetante Myata Floral Cx/06 X 2l</v>
      </c>
      <c r="F767" cm="1">
        <f t="array" ref="F767">INDEX('Linha 03'!$C$3:$ZZ$3,C767)</f>
        <v>20060009</v>
      </c>
      <c r="G767" t="str" cm="1">
        <f t="array" ref="G767">INDEX('Linha 03'!$C$2:$ZZ$2,C767)</f>
        <v>Limp Perf Aquafast Frescor Da Manha Cx/06 X 2l (Promoc)</v>
      </c>
      <c r="H767" s="5" cm="1">
        <f t="array" ref="H767">INDEX('Linha 03'!$C$4:$ZZ$1000,B767,C767)</f>
        <v>0</v>
      </c>
    </row>
    <row r="768" spans="1:8" x14ac:dyDescent="0.25">
      <c r="A768">
        <v>766</v>
      </c>
      <c r="B768">
        <f t="shared" si="22"/>
        <v>19</v>
      </c>
      <c r="C768">
        <f t="shared" si="23"/>
        <v>28</v>
      </c>
      <c r="D768" cm="1">
        <f t="array" ref="D768">INDEX('Linha 03'!$A$4:$A$1000,B768)</f>
        <v>20050078</v>
      </c>
      <c r="E768" t="str" cm="1">
        <f t="array" ref="E768">INDEX('Linha 03'!$B$4:$B$1000,B768)</f>
        <v>Desinfetante Myata Floral Cx/06 X 2l</v>
      </c>
      <c r="F768" cm="1">
        <f t="array" ref="F768">INDEX('Linha 03'!$C$3:$ZZ$3,C768)</f>
        <v>20060017</v>
      </c>
      <c r="G768" t="str" cm="1">
        <f t="array" ref="G768">INDEX('Linha 03'!$C$2:$ZZ$2,C768)</f>
        <v>Limp Perf Aquafast Doce Romance Cx/06 X 2l (Promoc)</v>
      </c>
      <c r="H768" s="5" cm="1">
        <f t="array" ref="H768">INDEX('Linha 03'!$C$4:$ZZ$1000,B768,C768)</f>
        <v>0</v>
      </c>
    </row>
    <row r="769" spans="1:8" x14ac:dyDescent="0.25">
      <c r="A769">
        <v>767</v>
      </c>
      <c r="B769">
        <f t="shared" si="22"/>
        <v>19</v>
      </c>
      <c r="C769">
        <f t="shared" si="23"/>
        <v>29</v>
      </c>
      <c r="D769" cm="1">
        <f t="array" ref="D769">INDEX('Linha 03'!$A$4:$A$1000,B769)</f>
        <v>20050078</v>
      </c>
      <c r="E769" t="str" cm="1">
        <f t="array" ref="E769">INDEX('Linha 03'!$B$4:$B$1000,B769)</f>
        <v>Desinfetante Myata Floral Cx/06 X 2l</v>
      </c>
      <c r="F769" cm="1">
        <f t="array" ref="F769">INDEX('Linha 03'!$C$3:$ZZ$3,C769)</f>
        <v>20060028</v>
      </c>
      <c r="G769" t="str" cm="1">
        <f t="array" ref="G769">INDEX('Linha 03'!$C$2:$ZZ$2,C769)</f>
        <v>Limp Perf Aquafast Essencia Natural Cx06 X 2l</v>
      </c>
      <c r="H769" s="5" cm="1">
        <f t="array" ref="H769">INDEX('Linha 03'!$C$4:$ZZ$1000,B769,C769)</f>
        <v>0</v>
      </c>
    </row>
    <row r="770" spans="1:8" x14ac:dyDescent="0.25">
      <c r="A770">
        <v>768</v>
      </c>
      <c r="B770">
        <f t="shared" si="22"/>
        <v>19</v>
      </c>
      <c r="C770">
        <f t="shared" si="23"/>
        <v>30</v>
      </c>
      <c r="D770" cm="1">
        <f t="array" ref="D770">INDEX('Linha 03'!$A$4:$A$1000,B770)</f>
        <v>20050078</v>
      </c>
      <c r="E770" t="str" cm="1">
        <f t="array" ref="E770">INDEX('Linha 03'!$B$4:$B$1000,B770)</f>
        <v>Desinfetante Myata Floral Cx/06 X 2l</v>
      </c>
      <c r="F770" cm="1">
        <f t="array" ref="F770">INDEX('Linha 03'!$C$3:$ZZ$3,C770)</f>
        <v>20200003</v>
      </c>
      <c r="G770" t="str" cm="1">
        <f t="array" ref="G770">INDEX('Linha 03'!$C$2:$ZZ$2,C770)</f>
        <v>Lava Roup. Aquafast Baby Cx/12 X 1l</v>
      </c>
      <c r="H770" s="5" cm="1">
        <f t="array" ref="H770">INDEX('Linha 03'!$C$4:$ZZ$1000,B770,C770)</f>
        <v>0</v>
      </c>
    </row>
    <row r="771" spans="1:8" x14ac:dyDescent="0.25">
      <c r="A771">
        <v>769</v>
      </c>
      <c r="B771">
        <f t="shared" si="22"/>
        <v>19</v>
      </c>
      <c r="C771">
        <f t="shared" si="23"/>
        <v>31</v>
      </c>
      <c r="D771" cm="1">
        <f t="array" ref="D771">INDEX('Linha 03'!$A$4:$A$1000,B771)</f>
        <v>20050078</v>
      </c>
      <c r="E771" t="str" cm="1">
        <f t="array" ref="E771">INDEX('Linha 03'!$B$4:$B$1000,B771)</f>
        <v>Desinfetante Myata Floral Cx/06 X 2l</v>
      </c>
      <c r="F771" cm="1">
        <f t="array" ref="F771">INDEX('Linha 03'!$C$3:$ZZ$3,C771)</f>
        <v>20200005</v>
      </c>
      <c r="G771" t="str" cm="1">
        <f t="array" ref="G771">INDEX('Linha 03'!$C$2:$ZZ$2,C771)</f>
        <v>Lava Roupas Aquafast Multi Acao Cx/06 X 2l</v>
      </c>
      <c r="H771" s="5" cm="1">
        <f t="array" ref="H771">INDEX('Linha 03'!$C$4:$ZZ$1000,B771,C771)</f>
        <v>0</v>
      </c>
    </row>
    <row r="772" spans="1:8" x14ac:dyDescent="0.25">
      <c r="A772">
        <v>770</v>
      </c>
      <c r="B772">
        <f t="shared" ref="B772:B835" si="24">INT((A772-1)/$B$1)+1</f>
        <v>19</v>
      </c>
      <c r="C772">
        <f t="shared" ref="C772:C835" si="25">MOD(A772-1,$B$1)+1</f>
        <v>32</v>
      </c>
      <c r="D772" cm="1">
        <f t="array" ref="D772">INDEX('Linha 03'!$A$4:$A$1000,B772)</f>
        <v>20050078</v>
      </c>
      <c r="E772" t="str" cm="1">
        <f t="array" ref="E772">INDEX('Linha 03'!$B$4:$B$1000,B772)</f>
        <v>Desinfetante Myata Floral Cx/06 X 2l</v>
      </c>
      <c r="F772" cm="1">
        <f t="array" ref="F772">INDEX('Linha 03'!$C$3:$ZZ$3,C772)</f>
        <v>20200006</v>
      </c>
      <c r="G772" t="str" cm="1">
        <f t="array" ref="G772">INDEX('Linha 03'!$C$2:$ZZ$2,C772)</f>
        <v>Lava Roupas Aquafast Glicerina Cx/06 X 2l</v>
      </c>
      <c r="H772" s="5" cm="1">
        <f t="array" ref="H772">INDEX('Linha 03'!$C$4:$ZZ$1000,B772,C772)</f>
        <v>0</v>
      </c>
    </row>
    <row r="773" spans="1:8" x14ac:dyDescent="0.25">
      <c r="A773">
        <v>771</v>
      </c>
      <c r="B773">
        <f t="shared" si="24"/>
        <v>19</v>
      </c>
      <c r="C773">
        <f t="shared" si="25"/>
        <v>33</v>
      </c>
      <c r="D773" cm="1">
        <f t="array" ref="D773">INDEX('Linha 03'!$A$4:$A$1000,B773)</f>
        <v>20050078</v>
      </c>
      <c r="E773" t="str" cm="1">
        <f t="array" ref="E773">INDEX('Linha 03'!$B$4:$B$1000,B773)</f>
        <v>Desinfetante Myata Floral Cx/06 X 2l</v>
      </c>
      <c r="F773" cm="1">
        <f t="array" ref="F773">INDEX('Linha 03'!$C$3:$ZZ$3,C773)</f>
        <v>20200015</v>
      </c>
      <c r="G773" t="str" cm="1">
        <f t="array" ref="G773">INDEX('Linha 03'!$C$2:$ZZ$2,C773)</f>
        <v>Lava Roup. Aquafast Multiacao Cx/12 X 1l</v>
      </c>
      <c r="H773" s="5" cm="1">
        <f t="array" ref="H773">INDEX('Linha 03'!$C$4:$ZZ$1000,B773,C773)</f>
        <v>0</v>
      </c>
    </row>
    <row r="774" spans="1:8" x14ac:dyDescent="0.25">
      <c r="A774">
        <v>772</v>
      </c>
      <c r="B774">
        <f t="shared" si="24"/>
        <v>19</v>
      </c>
      <c r="C774">
        <f t="shared" si="25"/>
        <v>34</v>
      </c>
      <c r="D774" cm="1">
        <f t="array" ref="D774">INDEX('Linha 03'!$A$4:$A$1000,B774)</f>
        <v>20050078</v>
      </c>
      <c r="E774" t="str" cm="1">
        <f t="array" ref="E774">INDEX('Linha 03'!$B$4:$B$1000,B774)</f>
        <v>Desinfetante Myata Floral Cx/06 X 2l</v>
      </c>
      <c r="F774" cm="1">
        <f t="array" ref="F774">INDEX('Linha 03'!$C$3:$ZZ$3,C774)</f>
        <v>20200036</v>
      </c>
      <c r="G774" t="str" cm="1">
        <f t="array" ref="G774">INDEX('Linha 03'!$C$2:$ZZ$2,C774)</f>
        <v>Lava Roupas Aquafast Ternura Cx/06 X 2l</v>
      </c>
      <c r="H774" s="5" cm="1">
        <f t="array" ref="H774">INDEX('Linha 03'!$C$4:$ZZ$1000,B774,C774)</f>
        <v>0</v>
      </c>
    </row>
    <row r="775" spans="1:8" x14ac:dyDescent="0.25">
      <c r="A775">
        <v>773</v>
      </c>
      <c r="B775">
        <f t="shared" si="24"/>
        <v>19</v>
      </c>
      <c r="C775">
        <f t="shared" si="25"/>
        <v>35</v>
      </c>
      <c r="D775" cm="1">
        <f t="array" ref="D775">INDEX('Linha 03'!$A$4:$A$1000,B775)</f>
        <v>20050078</v>
      </c>
      <c r="E775" t="str" cm="1">
        <f t="array" ref="E775">INDEX('Linha 03'!$B$4:$B$1000,B775)</f>
        <v>Desinfetante Myata Floral Cx/06 X 2l</v>
      </c>
      <c r="F775" cm="1">
        <f t="array" ref="F775">INDEX('Linha 03'!$C$3:$ZZ$3,C775)</f>
        <v>20200063</v>
      </c>
      <c r="G775" t="str" cm="1">
        <f t="array" ref="G775">INDEX('Linha 03'!$C$2:$ZZ$2,C775)</f>
        <v>Lava Roup. Aquafast Tradicional Cx/12 X 1l</v>
      </c>
      <c r="H775" s="5" cm="1">
        <f t="array" ref="H775">INDEX('Linha 03'!$C$4:$ZZ$1000,B775,C775)</f>
        <v>0</v>
      </c>
    </row>
    <row r="776" spans="1:8" x14ac:dyDescent="0.25">
      <c r="A776">
        <v>774</v>
      </c>
      <c r="B776">
        <f t="shared" si="24"/>
        <v>19</v>
      </c>
      <c r="C776">
        <f t="shared" si="25"/>
        <v>36</v>
      </c>
      <c r="D776" cm="1">
        <f t="array" ref="D776">INDEX('Linha 03'!$A$4:$A$1000,B776)</f>
        <v>20050078</v>
      </c>
      <c r="E776" t="str" cm="1">
        <f t="array" ref="E776">INDEX('Linha 03'!$B$4:$B$1000,B776)</f>
        <v>Desinfetante Myata Floral Cx/06 X 2l</v>
      </c>
      <c r="F776" cm="1">
        <f t="array" ref="F776">INDEX('Linha 03'!$C$3:$ZZ$3,C776)</f>
        <v>20200064</v>
      </c>
      <c r="G776" t="str" cm="1">
        <f t="array" ref="G776">INDEX('Linha 03'!$C$2:$ZZ$2,C776)</f>
        <v>Lava Roup. Aquafast Flores B. E Baunilha Cx/12 X 1l</v>
      </c>
      <c r="H776" s="5" cm="1">
        <f t="array" ref="H776">INDEX('Linha 03'!$C$4:$ZZ$1000,B776,C776)</f>
        <v>0</v>
      </c>
    </row>
    <row r="777" spans="1:8" x14ac:dyDescent="0.25">
      <c r="A777">
        <v>775</v>
      </c>
      <c r="B777">
        <f t="shared" si="24"/>
        <v>19</v>
      </c>
      <c r="C777">
        <f t="shared" si="25"/>
        <v>37</v>
      </c>
      <c r="D777" cm="1">
        <f t="array" ref="D777">INDEX('Linha 03'!$A$4:$A$1000,B777)</f>
        <v>20050078</v>
      </c>
      <c r="E777" t="str" cm="1">
        <f t="array" ref="E777">INDEX('Linha 03'!$B$4:$B$1000,B777)</f>
        <v>Desinfetante Myata Floral Cx/06 X 2l</v>
      </c>
      <c r="F777" cm="1">
        <f t="array" ref="F777">INDEX('Linha 03'!$C$3:$ZZ$3,C777)</f>
        <v>20200065</v>
      </c>
      <c r="G777" t="str" cm="1">
        <f t="array" ref="G777">INDEX('Linha 03'!$C$2:$ZZ$2,C777)</f>
        <v>Lava Roupas Aquafast Flores B. E Baunilha Cx/06 X 2l</v>
      </c>
      <c r="H777" s="5" cm="1">
        <f t="array" ref="H777">INDEX('Linha 03'!$C$4:$ZZ$1000,B777,C777)</f>
        <v>0</v>
      </c>
    </row>
    <row r="778" spans="1:8" x14ac:dyDescent="0.25">
      <c r="A778">
        <v>776</v>
      </c>
      <c r="B778">
        <f t="shared" si="24"/>
        <v>19</v>
      </c>
      <c r="C778">
        <f t="shared" si="25"/>
        <v>38</v>
      </c>
      <c r="D778" cm="1">
        <f t="array" ref="D778">INDEX('Linha 03'!$A$4:$A$1000,B778)</f>
        <v>20050078</v>
      </c>
      <c r="E778" t="str" cm="1">
        <f t="array" ref="E778">INDEX('Linha 03'!$B$4:$B$1000,B778)</f>
        <v>Desinfetante Myata Floral Cx/06 X 2l</v>
      </c>
      <c r="F778" cm="1">
        <f t="array" ref="F778">INDEX('Linha 03'!$C$3:$ZZ$3,C778)</f>
        <v>20200072</v>
      </c>
      <c r="G778" t="str" cm="1">
        <f t="array" ref="G778">INDEX('Linha 03'!$C$2:$ZZ$2,C778)</f>
        <v>Lava Roupas Aquafast Lavagem Rapida Total Clean Cx/12 X 1l</v>
      </c>
      <c r="H778" s="5" cm="1">
        <f t="array" ref="H778">INDEX('Linha 03'!$C$4:$ZZ$1000,B778,C778)</f>
        <v>0</v>
      </c>
    </row>
    <row r="779" spans="1:8" x14ac:dyDescent="0.25">
      <c r="A779">
        <v>777</v>
      </c>
      <c r="B779">
        <f t="shared" si="24"/>
        <v>19</v>
      </c>
      <c r="C779">
        <f t="shared" si="25"/>
        <v>39</v>
      </c>
      <c r="D779" cm="1">
        <f t="array" ref="D779">INDEX('Linha 03'!$A$4:$A$1000,B779)</f>
        <v>20050078</v>
      </c>
      <c r="E779" t="str" cm="1">
        <f t="array" ref="E779">INDEX('Linha 03'!$B$4:$B$1000,B779)</f>
        <v>Desinfetante Myata Floral Cx/06 X 2l</v>
      </c>
      <c r="F779" cm="1">
        <f t="array" ref="F779">INDEX('Linha 03'!$C$3:$ZZ$3,C779)</f>
        <v>20200074</v>
      </c>
      <c r="G779" t="str" cm="1">
        <f t="array" ref="G779">INDEX('Linha 03'!$C$2:$ZZ$2,C779)</f>
        <v>Lava Roupas Aquafast Lavagem Rapida Fresh Clean Cx/12 X 1l</v>
      </c>
      <c r="H779" s="5" cm="1">
        <f t="array" ref="H779">INDEX('Linha 03'!$C$4:$ZZ$1000,B779,C779)</f>
        <v>0</v>
      </c>
    </row>
    <row r="780" spans="1:8" x14ac:dyDescent="0.25">
      <c r="A780">
        <v>778</v>
      </c>
      <c r="B780">
        <f t="shared" si="24"/>
        <v>19</v>
      </c>
      <c r="C780">
        <f t="shared" si="25"/>
        <v>40</v>
      </c>
      <c r="D780" cm="1">
        <f t="array" ref="D780">INDEX('Linha 03'!$A$4:$A$1000,B780)</f>
        <v>20050078</v>
      </c>
      <c r="E780" t="str" cm="1">
        <f t="array" ref="E780">INDEX('Linha 03'!$B$4:$B$1000,B780)</f>
        <v>Desinfetante Myata Floral Cx/06 X 2l</v>
      </c>
      <c r="F780" cm="1">
        <f t="array" ref="F780">INDEX('Linha 03'!$C$3:$ZZ$3,C780)</f>
        <v>20250005</v>
      </c>
      <c r="G780" t="str" cm="1">
        <f t="array" ref="G780">INDEX('Linha 03'!$C$2:$ZZ$2,C780)</f>
        <v>Neutralizador De Odores Aquafast Floral Cx/06 X 2l</v>
      </c>
      <c r="H780" s="5" cm="1">
        <f t="array" ref="H780">INDEX('Linha 03'!$C$4:$ZZ$1000,B780,C780)</f>
        <v>0</v>
      </c>
    </row>
    <row r="781" spans="1:8" x14ac:dyDescent="0.25">
      <c r="A781">
        <v>779</v>
      </c>
      <c r="B781">
        <f t="shared" si="24"/>
        <v>19</v>
      </c>
      <c r="C781">
        <f t="shared" si="25"/>
        <v>41</v>
      </c>
      <c r="D781" cm="1">
        <f t="array" ref="D781">INDEX('Linha 03'!$A$4:$A$1000,B781)</f>
        <v>20050078</v>
      </c>
      <c r="E781" t="str" cm="1">
        <f t="array" ref="E781">INDEX('Linha 03'!$B$4:$B$1000,B781)</f>
        <v>Desinfetante Myata Floral Cx/06 X 2l</v>
      </c>
      <c r="F781" cm="1">
        <f t="array" ref="F781">INDEX('Linha 03'!$C$3:$ZZ$3,C781)</f>
        <v>20250007</v>
      </c>
      <c r="G781" t="str" cm="1">
        <f t="array" ref="G781">INDEX('Linha 03'!$C$2:$ZZ$2,C781)</f>
        <v>Neutralizador De Odores Aquafast Marine Cx/06 2l</v>
      </c>
      <c r="H781" s="5" cm="1">
        <f t="array" ref="H781">INDEX('Linha 03'!$C$4:$ZZ$1000,B781,C781)</f>
        <v>0</v>
      </c>
    </row>
    <row r="782" spans="1:8" x14ac:dyDescent="0.25">
      <c r="A782">
        <v>780</v>
      </c>
      <c r="B782">
        <f t="shared" si="24"/>
        <v>20</v>
      </c>
      <c r="C782">
        <f t="shared" si="25"/>
        <v>1</v>
      </c>
      <c r="D782" cm="1">
        <f t="array" ref="D782">INDEX('Linha 03'!$A$4:$A$1000,B782)</f>
        <v>20050115</v>
      </c>
      <c r="E782" t="str" cm="1">
        <f t="array" ref="E782">INDEX('Linha 03'!$B$4:$B$1000,B782)</f>
        <v>Desinfetante Aquafast Paixao Cx/06 X 2l</v>
      </c>
      <c r="F782" cm="1">
        <f t="array" ref="F782">INDEX('Linha 03'!$C$3:$ZZ$3,C782)</f>
        <v>20040006</v>
      </c>
      <c r="G782" t="str" cm="1">
        <f t="array" ref="G782">INDEX('Linha 03'!$C$2:$ZZ$2,C782)</f>
        <v>Amaciante Aquafast Azul Fresc. Manha Cx/06 X 2l</v>
      </c>
      <c r="H782" s="5" cm="1">
        <f t="array" ref="H782">INDEX('Linha 03'!$C$4:$ZZ$1000,B782,C782)</f>
        <v>0</v>
      </c>
    </row>
    <row r="783" spans="1:8" x14ac:dyDescent="0.25">
      <c r="A783">
        <v>781</v>
      </c>
      <c r="B783">
        <f t="shared" si="24"/>
        <v>20</v>
      </c>
      <c r="C783">
        <f t="shared" si="25"/>
        <v>2</v>
      </c>
      <c r="D783" cm="1">
        <f t="array" ref="D783">INDEX('Linha 03'!$A$4:$A$1000,B783)</f>
        <v>20050115</v>
      </c>
      <c r="E783" t="str" cm="1">
        <f t="array" ref="E783">INDEX('Linha 03'!$B$4:$B$1000,B783)</f>
        <v>Desinfetante Aquafast Paixao Cx/06 X 2l</v>
      </c>
      <c r="F783" cm="1">
        <f t="array" ref="F783">INDEX('Linha 03'!$C$3:$ZZ$3,C783)</f>
        <v>20040008</v>
      </c>
      <c r="G783" t="str" cm="1">
        <f t="array" ref="G783">INDEX('Linha 03'!$C$2:$ZZ$2,C783)</f>
        <v>Amaciante Aquafast Rosa Jard. Florid Cx/06 X 2l</v>
      </c>
      <c r="H783" s="5" cm="1">
        <f t="array" ref="H783">INDEX('Linha 03'!$C$4:$ZZ$1000,B783,C783)</f>
        <v>0</v>
      </c>
    </row>
    <row r="784" spans="1:8" x14ac:dyDescent="0.25">
      <c r="A784">
        <v>782</v>
      </c>
      <c r="B784">
        <f t="shared" si="24"/>
        <v>20</v>
      </c>
      <c r="C784">
        <f t="shared" si="25"/>
        <v>3</v>
      </c>
      <c r="D784" cm="1">
        <f t="array" ref="D784">INDEX('Linha 03'!$A$4:$A$1000,B784)</f>
        <v>20050115</v>
      </c>
      <c r="E784" t="str" cm="1">
        <f t="array" ref="E784">INDEX('Linha 03'!$B$4:$B$1000,B784)</f>
        <v>Desinfetante Aquafast Paixao Cx/06 X 2l</v>
      </c>
      <c r="F784" cm="1">
        <f t="array" ref="F784">INDEX('Linha 03'!$C$3:$ZZ$3,C784)</f>
        <v>20040009</v>
      </c>
      <c r="G784" t="str" cm="1">
        <f t="array" ref="G784">INDEX('Linha 03'!$C$2:$ZZ$2,C784)</f>
        <v>Amaciante Aquafast Branco Pura Caric. Cx/06 X 2l</v>
      </c>
      <c r="H784" s="5" cm="1">
        <f t="array" ref="H784">INDEX('Linha 03'!$C$4:$ZZ$1000,B784,C784)</f>
        <v>0</v>
      </c>
    </row>
    <row r="785" spans="1:8" x14ac:dyDescent="0.25">
      <c r="A785">
        <v>783</v>
      </c>
      <c r="B785">
        <f t="shared" si="24"/>
        <v>20</v>
      </c>
      <c r="C785">
        <f t="shared" si="25"/>
        <v>4</v>
      </c>
      <c r="D785" cm="1">
        <f t="array" ref="D785">INDEX('Linha 03'!$A$4:$A$1000,B785)</f>
        <v>20050115</v>
      </c>
      <c r="E785" t="str" cm="1">
        <f t="array" ref="E785">INDEX('Linha 03'!$B$4:$B$1000,B785)</f>
        <v>Desinfetante Aquafast Paixao Cx/06 X 2l</v>
      </c>
      <c r="F785" cm="1">
        <f t="array" ref="F785">INDEX('Linha 03'!$C$3:$ZZ$3,C785)</f>
        <v>20040026</v>
      </c>
      <c r="G785" t="str" cm="1">
        <f t="array" ref="G785">INDEX('Linha 03'!$C$2:$ZZ$2,C785)</f>
        <v>Amaciante Ito Azul Cx/06 X 2l</v>
      </c>
      <c r="H785" s="5" cm="1">
        <f t="array" ref="H785">INDEX('Linha 03'!$C$4:$ZZ$1000,B785,C785)</f>
        <v>0</v>
      </c>
    </row>
    <row r="786" spans="1:8" x14ac:dyDescent="0.25">
      <c r="A786">
        <v>784</v>
      </c>
      <c r="B786">
        <f t="shared" si="24"/>
        <v>20</v>
      </c>
      <c r="C786">
        <f t="shared" si="25"/>
        <v>5</v>
      </c>
      <c r="D786" cm="1">
        <f t="array" ref="D786">INDEX('Linha 03'!$A$4:$A$1000,B786)</f>
        <v>20050115</v>
      </c>
      <c r="E786" t="str" cm="1">
        <f t="array" ref="E786">INDEX('Linha 03'!$B$4:$B$1000,B786)</f>
        <v>Desinfetante Aquafast Paixao Cx/06 X 2l</v>
      </c>
      <c r="F786" cm="1">
        <f t="array" ref="F786">INDEX('Linha 03'!$C$3:$ZZ$3,C786)</f>
        <v>20040028</v>
      </c>
      <c r="G786" t="str" cm="1">
        <f t="array" ref="G786">INDEX('Linha 03'!$C$2:$ZZ$2,C786)</f>
        <v>Amaciante Ito Rosa Cx/06 X 2l</v>
      </c>
      <c r="H786" s="5" cm="1">
        <f t="array" ref="H786">INDEX('Linha 03'!$C$4:$ZZ$1000,B786,C786)</f>
        <v>0</v>
      </c>
    </row>
    <row r="787" spans="1:8" x14ac:dyDescent="0.25">
      <c r="A787">
        <v>785</v>
      </c>
      <c r="B787">
        <f t="shared" si="24"/>
        <v>20</v>
      </c>
      <c r="C787">
        <f t="shared" si="25"/>
        <v>6</v>
      </c>
      <c r="D787" cm="1">
        <f t="array" ref="D787">INDEX('Linha 03'!$A$4:$A$1000,B787)</f>
        <v>20050115</v>
      </c>
      <c r="E787" t="str" cm="1">
        <f t="array" ref="E787">INDEX('Linha 03'!$B$4:$B$1000,B787)</f>
        <v>Desinfetante Aquafast Paixao Cx/06 X 2l</v>
      </c>
      <c r="F787" cm="1">
        <f t="array" ref="F787">INDEX('Linha 03'!$C$3:$ZZ$3,C787)</f>
        <v>20040029</v>
      </c>
      <c r="G787" t="str" cm="1">
        <f t="array" ref="G787">INDEX('Linha 03'!$C$2:$ZZ$2,C787)</f>
        <v>Amaciante Ito Branco Cx/06 X 2l</v>
      </c>
      <c r="H787" s="5" cm="1">
        <f t="array" ref="H787">INDEX('Linha 03'!$C$4:$ZZ$1000,B787,C787)</f>
        <v>0</v>
      </c>
    </row>
    <row r="788" spans="1:8" x14ac:dyDescent="0.25">
      <c r="A788">
        <v>786</v>
      </c>
      <c r="B788">
        <f t="shared" si="24"/>
        <v>20</v>
      </c>
      <c r="C788">
        <f t="shared" si="25"/>
        <v>7</v>
      </c>
      <c r="D788" cm="1">
        <f t="array" ref="D788">INDEX('Linha 03'!$A$4:$A$1000,B788)</f>
        <v>20050115</v>
      </c>
      <c r="E788" t="str" cm="1">
        <f t="array" ref="E788">INDEX('Linha 03'!$B$4:$B$1000,B788)</f>
        <v>Desinfetante Aquafast Paixao Cx/06 X 2l</v>
      </c>
      <c r="F788" cm="1">
        <f t="array" ref="F788">INDEX('Linha 03'!$C$3:$ZZ$3,C788)</f>
        <v>20040055</v>
      </c>
      <c r="G788" t="str" cm="1">
        <f t="array" ref="G788">INDEX('Linha 03'!$C$2:$ZZ$2,C788)</f>
        <v>Amaciante Myata Azul Cx/06 X 2l</v>
      </c>
      <c r="H788" s="5" cm="1">
        <f t="array" ref="H788">INDEX('Linha 03'!$C$4:$ZZ$1000,B788,C788)</f>
        <v>0</v>
      </c>
    </row>
    <row r="789" spans="1:8" x14ac:dyDescent="0.25">
      <c r="A789">
        <v>787</v>
      </c>
      <c r="B789">
        <f t="shared" si="24"/>
        <v>20</v>
      </c>
      <c r="C789">
        <f t="shared" si="25"/>
        <v>8</v>
      </c>
      <c r="D789" cm="1">
        <f t="array" ref="D789">INDEX('Linha 03'!$A$4:$A$1000,B789)</f>
        <v>20050115</v>
      </c>
      <c r="E789" t="str" cm="1">
        <f t="array" ref="E789">INDEX('Linha 03'!$B$4:$B$1000,B789)</f>
        <v>Desinfetante Aquafast Paixao Cx/06 X 2l</v>
      </c>
      <c r="F789" cm="1">
        <f t="array" ref="F789">INDEX('Linha 03'!$C$3:$ZZ$3,C789)</f>
        <v>20040057</v>
      </c>
      <c r="G789" t="str" cm="1">
        <f t="array" ref="G789">INDEX('Linha 03'!$C$2:$ZZ$2,C789)</f>
        <v>Amaciante Myata Rosa Cx/06 X 2l</v>
      </c>
      <c r="H789" s="5" cm="1">
        <f t="array" ref="H789">INDEX('Linha 03'!$C$4:$ZZ$1000,B789,C789)</f>
        <v>0</v>
      </c>
    </row>
    <row r="790" spans="1:8" x14ac:dyDescent="0.25">
      <c r="A790">
        <v>788</v>
      </c>
      <c r="B790">
        <f t="shared" si="24"/>
        <v>20</v>
      </c>
      <c r="C790">
        <f t="shared" si="25"/>
        <v>9</v>
      </c>
      <c r="D790" cm="1">
        <f t="array" ref="D790">INDEX('Linha 03'!$A$4:$A$1000,B790)</f>
        <v>20050115</v>
      </c>
      <c r="E790" t="str" cm="1">
        <f t="array" ref="E790">INDEX('Linha 03'!$B$4:$B$1000,B790)</f>
        <v>Desinfetante Aquafast Paixao Cx/06 X 2l</v>
      </c>
      <c r="F790" cm="1">
        <f t="array" ref="F790">INDEX('Linha 03'!$C$3:$ZZ$3,C790)</f>
        <v>20040084</v>
      </c>
      <c r="G790" t="str" cm="1">
        <f t="array" ref="G790">INDEX('Linha 03'!$C$2:$ZZ$2,C790)</f>
        <v>Amaciante Aquafast Vermelho Seducao Cx C/06 X 2l</v>
      </c>
      <c r="H790" s="5" cm="1">
        <f t="array" ref="H790">INDEX('Linha 03'!$C$4:$ZZ$1000,B790,C790)</f>
        <v>0</v>
      </c>
    </row>
    <row r="791" spans="1:8" x14ac:dyDescent="0.25">
      <c r="A791">
        <v>789</v>
      </c>
      <c r="B791">
        <f t="shared" si="24"/>
        <v>20</v>
      </c>
      <c r="C791">
        <f t="shared" si="25"/>
        <v>10</v>
      </c>
      <c r="D791" cm="1">
        <f t="array" ref="D791">INDEX('Linha 03'!$A$4:$A$1000,B791)</f>
        <v>20050115</v>
      </c>
      <c r="E791" t="str" cm="1">
        <f t="array" ref="E791">INDEX('Linha 03'!$B$4:$B$1000,B791)</f>
        <v>Desinfetante Aquafast Paixao Cx/06 X 2l</v>
      </c>
      <c r="F791" cm="1">
        <f t="array" ref="F791">INDEX('Linha 03'!$C$3:$ZZ$3,C791)</f>
        <v>20040089</v>
      </c>
      <c r="G791" t="str" cm="1">
        <f t="array" ref="G791">INDEX('Linha 03'!$C$2:$ZZ$2,C791)</f>
        <v>Amaciante Aquafast Roxo Magia Cx/06 X 2l</v>
      </c>
      <c r="H791" s="5" cm="1">
        <f t="array" ref="H791">INDEX('Linha 03'!$C$4:$ZZ$1000,B791,C791)</f>
        <v>0</v>
      </c>
    </row>
    <row r="792" spans="1:8" x14ac:dyDescent="0.25">
      <c r="A792">
        <v>790</v>
      </c>
      <c r="B792">
        <f t="shared" si="24"/>
        <v>20</v>
      </c>
      <c r="C792">
        <f t="shared" si="25"/>
        <v>11</v>
      </c>
      <c r="D792" cm="1">
        <f t="array" ref="D792">INDEX('Linha 03'!$A$4:$A$1000,B792)</f>
        <v>20050115</v>
      </c>
      <c r="E792" t="str" cm="1">
        <f t="array" ref="E792">INDEX('Linha 03'!$B$4:$B$1000,B792)</f>
        <v>Desinfetante Aquafast Paixao Cx/06 X 2l</v>
      </c>
      <c r="F792" cm="1">
        <f t="array" ref="F792">INDEX('Linha 03'!$C$3:$ZZ$3,C792)</f>
        <v>20040094</v>
      </c>
      <c r="G792" t="str" cm="1">
        <f t="array" ref="G792">INDEX('Linha 03'!$C$2:$ZZ$2,C792)</f>
        <v>Amaciante Aquafast Energia Cx/06 X 2l</v>
      </c>
      <c r="H792" s="5" cm="1">
        <f t="array" ref="H792">INDEX('Linha 03'!$C$4:$ZZ$1000,B792,C792)</f>
        <v>0</v>
      </c>
    </row>
    <row r="793" spans="1:8" x14ac:dyDescent="0.25">
      <c r="A793">
        <v>791</v>
      </c>
      <c r="B793">
        <f t="shared" si="24"/>
        <v>20</v>
      </c>
      <c r="C793">
        <f t="shared" si="25"/>
        <v>12</v>
      </c>
      <c r="D793" cm="1">
        <f t="array" ref="D793">INDEX('Linha 03'!$A$4:$A$1000,B793)</f>
        <v>20050115</v>
      </c>
      <c r="E793" t="str" cm="1">
        <f t="array" ref="E793">INDEX('Linha 03'!$B$4:$B$1000,B793)</f>
        <v>Desinfetante Aquafast Paixao Cx/06 X 2l</v>
      </c>
      <c r="F793" cm="1">
        <f t="array" ref="F793">INDEX('Linha 03'!$C$3:$ZZ$3,C793)</f>
        <v>20050010</v>
      </c>
      <c r="G793" t="str" cm="1">
        <f t="array" ref="G793">INDEX('Linha 03'!$C$2:$ZZ$2,C793)</f>
        <v>Desinfetante Aquafast Campos Lavanda Cx/06 X 2l</v>
      </c>
      <c r="H793" s="5" cm="1">
        <f t="array" ref="H793">INDEX('Linha 03'!$C$4:$ZZ$1000,B793,C793)</f>
        <v>0</v>
      </c>
    </row>
    <row r="794" spans="1:8" x14ac:dyDescent="0.25">
      <c r="A794">
        <v>792</v>
      </c>
      <c r="B794">
        <f t="shared" si="24"/>
        <v>20</v>
      </c>
      <c r="C794">
        <f t="shared" si="25"/>
        <v>13</v>
      </c>
      <c r="D794" cm="1">
        <f t="array" ref="D794">INDEX('Linha 03'!$A$4:$A$1000,B794)</f>
        <v>20050115</v>
      </c>
      <c r="E794" t="str" cm="1">
        <f t="array" ref="E794">INDEX('Linha 03'!$B$4:$B$1000,B794)</f>
        <v>Desinfetante Aquafast Paixao Cx/06 X 2l</v>
      </c>
      <c r="F794" cm="1">
        <f t="array" ref="F794">INDEX('Linha 03'!$C$3:$ZZ$3,C794)</f>
        <v>20050011</v>
      </c>
      <c r="G794" t="str" cm="1">
        <f t="array" ref="G794">INDEX('Linha 03'!$C$2:$ZZ$2,C794)</f>
        <v>Desinfetante Aquafast Jardim Florido Cx/06 X 2l</v>
      </c>
      <c r="H794" s="5" cm="1">
        <f t="array" ref="H794">INDEX('Linha 03'!$C$4:$ZZ$1000,B794,C794)</f>
        <v>0</v>
      </c>
    </row>
    <row r="795" spans="1:8" x14ac:dyDescent="0.25">
      <c r="A795">
        <v>793</v>
      </c>
      <c r="B795">
        <f t="shared" si="24"/>
        <v>20</v>
      </c>
      <c r="C795">
        <f t="shared" si="25"/>
        <v>14</v>
      </c>
      <c r="D795" cm="1">
        <f t="array" ref="D795">INDEX('Linha 03'!$A$4:$A$1000,B795)</f>
        <v>20050115</v>
      </c>
      <c r="E795" t="str" cm="1">
        <f t="array" ref="E795">INDEX('Linha 03'!$B$4:$B$1000,B795)</f>
        <v>Desinfetante Aquafast Paixao Cx/06 X 2l</v>
      </c>
      <c r="F795" cm="1">
        <f t="array" ref="F795">INDEX('Linha 03'!$C$3:$ZZ$3,C795)</f>
        <v>20050016</v>
      </c>
      <c r="G795" t="str" cm="1">
        <f t="array" ref="G795">INDEX('Linha 03'!$C$2:$ZZ$2,C795)</f>
        <v>Desinfetante Aquafast Marine Cx/06 X 2l</v>
      </c>
      <c r="H795" s="5" cm="1">
        <f t="array" ref="H795">INDEX('Linha 03'!$C$4:$ZZ$1000,B795,C795)</f>
        <v>0</v>
      </c>
    </row>
    <row r="796" spans="1:8" x14ac:dyDescent="0.25">
      <c r="A796">
        <v>794</v>
      </c>
      <c r="B796">
        <f t="shared" si="24"/>
        <v>20</v>
      </c>
      <c r="C796">
        <f t="shared" si="25"/>
        <v>15</v>
      </c>
      <c r="D796" cm="1">
        <f t="array" ref="D796">INDEX('Linha 03'!$A$4:$A$1000,B796)</f>
        <v>20050115</v>
      </c>
      <c r="E796" t="str" cm="1">
        <f t="array" ref="E796">INDEX('Linha 03'!$B$4:$B$1000,B796)</f>
        <v>Desinfetante Aquafast Paixao Cx/06 X 2l</v>
      </c>
      <c r="F796" cm="1">
        <f t="array" ref="F796">INDEX('Linha 03'!$C$3:$ZZ$3,C796)</f>
        <v>20050031</v>
      </c>
      <c r="G796" t="str" cm="1">
        <f t="array" ref="G796">INDEX('Linha 03'!$C$2:$ZZ$2,C796)</f>
        <v>Desinfetante Ito Lavanda Cx/06 X 2l</v>
      </c>
      <c r="H796" s="5" cm="1">
        <f t="array" ref="H796">INDEX('Linha 03'!$C$4:$ZZ$1000,B796,C796)</f>
        <v>0</v>
      </c>
    </row>
    <row r="797" spans="1:8" x14ac:dyDescent="0.25">
      <c r="A797">
        <v>795</v>
      </c>
      <c r="B797">
        <f t="shared" si="24"/>
        <v>20</v>
      </c>
      <c r="C797">
        <f t="shared" si="25"/>
        <v>16</v>
      </c>
      <c r="D797" cm="1">
        <f t="array" ref="D797">INDEX('Linha 03'!$A$4:$A$1000,B797)</f>
        <v>20050115</v>
      </c>
      <c r="E797" t="str" cm="1">
        <f t="array" ref="E797">INDEX('Linha 03'!$B$4:$B$1000,B797)</f>
        <v>Desinfetante Aquafast Paixao Cx/06 X 2l</v>
      </c>
      <c r="F797" cm="1">
        <f t="array" ref="F797">INDEX('Linha 03'!$C$3:$ZZ$3,C797)</f>
        <v>20050032</v>
      </c>
      <c r="G797" t="str" cm="1">
        <f t="array" ref="G797">INDEX('Linha 03'!$C$2:$ZZ$2,C797)</f>
        <v>Desinfetante Ito Floral Cx/06 X 2l</v>
      </c>
      <c r="H797" s="5" cm="1">
        <f t="array" ref="H797">INDEX('Linha 03'!$C$4:$ZZ$1000,B797,C797)</f>
        <v>0</v>
      </c>
    </row>
    <row r="798" spans="1:8" x14ac:dyDescent="0.25">
      <c r="A798">
        <v>796</v>
      </c>
      <c r="B798">
        <f t="shared" si="24"/>
        <v>20</v>
      </c>
      <c r="C798">
        <f t="shared" si="25"/>
        <v>17</v>
      </c>
      <c r="D798" cm="1">
        <f t="array" ref="D798">INDEX('Linha 03'!$A$4:$A$1000,B798)</f>
        <v>20050115</v>
      </c>
      <c r="E798" t="str" cm="1">
        <f t="array" ref="E798">INDEX('Linha 03'!$B$4:$B$1000,B798)</f>
        <v>Desinfetante Aquafast Paixao Cx/06 X 2l</v>
      </c>
      <c r="F798" cm="1">
        <f t="array" ref="F798">INDEX('Linha 03'!$C$3:$ZZ$3,C798)</f>
        <v>20050034</v>
      </c>
      <c r="G798" t="str" cm="1">
        <f t="array" ref="G798">INDEX('Linha 03'!$C$2:$ZZ$2,C798)</f>
        <v>Desinfetante Ito Eucalipto Cx/06 X 2l</v>
      </c>
      <c r="H798" s="5" cm="1">
        <f t="array" ref="H798">INDEX('Linha 03'!$C$4:$ZZ$1000,B798,C798)</f>
        <v>0</v>
      </c>
    </row>
    <row r="799" spans="1:8" x14ac:dyDescent="0.25">
      <c r="A799">
        <v>797</v>
      </c>
      <c r="B799">
        <f t="shared" si="24"/>
        <v>20</v>
      </c>
      <c r="C799">
        <f t="shared" si="25"/>
        <v>18</v>
      </c>
      <c r="D799" cm="1">
        <f t="array" ref="D799">INDEX('Linha 03'!$A$4:$A$1000,B799)</f>
        <v>20050115</v>
      </c>
      <c r="E799" t="str" cm="1">
        <f t="array" ref="E799">INDEX('Linha 03'!$B$4:$B$1000,B799)</f>
        <v>Desinfetante Aquafast Paixao Cx/06 X 2l</v>
      </c>
      <c r="F799" cm="1">
        <f t="array" ref="F799">INDEX('Linha 03'!$C$3:$ZZ$3,C799)</f>
        <v>20050077</v>
      </c>
      <c r="G799" t="str" cm="1">
        <f t="array" ref="G799">INDEX('Linha 03'!$C$2:$ZZ$2,C799)</f>
        <v>Desinfetante Myata Lavanda Cx/06 X 2l</v>
      </c>
      <c r="H799" s="5" cm="1">
        <f t="array" ref="H799">INDEX('Linha 03'!$C$4:$ZZ$1000,B799,C799)</f>
        <v>0</v>
      </c>
    </row>
    <row r="800" spans="1:8" x14ac:dyDescent="0.25">
      <c r="A800">
        <v>798</v>
      </c>
      <c r="B800">
        <f t="shared" si="24"/>
        <v>20</v>
      </c>
      <c r="C800">
        <f t="shared" si="25"/>
        <v>19</v>
      </c>
      <c r="D800" cm="1">
        <f t="array" ref="D800">INDEX('Linha 03'!$A$4:$A$1000,B800)</f>
        <v>20050115</v>
      </c>
      <c r="E800" t="str" cm="1">
        <f t="array" ref="E800">INDEX('Linha 03'!$B$4:$B$1000,B800)</f>
        <v>Desinfetante Aquafast Paixao Cx/06 X 2l</v>
      </c>
      <c r="F800" cm="1">
        <f t="array" ref="F800">INDEX('Linha 03'!$C$3:$ZZ$3,C800)</f>
        <v>20050078</v>
      </c>
      <c r="G800" t="str" cm="1">
        <f t="array" ref="G800">INDEX('Linha 03'!$C$2:$ZZ$2,C800)</f>
        <v>Desinfetante Myata Floral Cx/06 X 2l</v>
      </c>
      <c r="H800" s="5" cm="1">
        <f t="array" ref="H800">INDEX('Linha 03'!$C$4:$ZZ$1000,B800,C800)</f>
        <v>0</v>
      </c>
    </row>
    <row r="801" spans="1:8" x14ac:dyDescent="0.25">
      <c r="A801">
        <v>799</v>
      </c>
      <c r="B801">
        <f t="shared" si="24"/>
        <v>20</v>
      </c>
      <c r="C801">
        <f t="shared" si="25"/>
        <v>20</v>
      </c>
      <c r="D801" cm="1">
        <f t="array" ref="D801">INDEX('Linha 03'!$A$4:$A$1000,B801)</f>
        <v>20050115</v>
      </c>
      <c r="E801" t="str" cm="1">
        <f t="array" ref="E801">INDEX('Linha 03'!$B$4:$B$1000,B801)</f>
        <v>Desinfetante Aquafast Paixao Cx/06 X 2l</v>
      </c>
      <c r="F801" cm="1">
        <f t="array" ref="F801">INDEX('Linha 03'!$C$3:$ZZ$3,C801)</f>
        <v>20050115</v>
      </c>
      <c r="G801" t="str" cm="1">
        <f t="array" ref="G801">INDEX('Linha 03'!$C$2:$ZZ$2,C801)</f>
        <v>Desinfetante Aquafast Paixao Cx/06 X 2l</v>
      </c>
      <c r="H801" s="5" cm="1">
        <f t="array" ref="H801">INDEX('Linha 03'!$C$4:$ZZ$1000,B801,C801)</f>
        <v>0</v>
      </c>
    </row>
    <row r="802" spans="1:8" x14ac:dyDescent="0.25">
      <c r="A802">
        <v>800</v>
      </c>
      <c r="B802">
        <f t="shared" si="24"/>
        <v>20</v>
      </c>
      <c r="C802">
        <f t="shared" si="25"/>
        <v>21</v>
      </c>
      <c r="D802" cm="1">
        <f t="array" ref="D802">INDEX('Linha 03'!$A$4:$A$1000,B802)</f>
        <v>20050115</v>
      </c>
      <c r="E802" t="str" cm="1">
        <f t="array" ref="E802">INDEX('Linha 03'!$B$4:$B$1000,B802)</f>
        <v>Desinfetante Aquafast Paixao Cx/06 X 2l</v>
      </c>
      <c r="F802" cm="1">
        <f t="array" ref="F802">INDEX('Linha 03'!$C$3:$ZZ$3,C802)</f>
        <v>20050117</v>
      </c>
      <c r="G802" t="str" cm="1">
        <f t="array" ref="G802">INDEX('Linha 03'!$C$2:$ZZ$2,C802)</f>
        <v>Desinfetante Aquafast Harmonia Natural Cx/06 X 2l</v>
      </c>
      <c r="H802" s="5" cm="1">
        <f t="array" ref="H802">INDEX('Linha 03'!$C$4:$ZZ$1000,B802,C802)</f>
        <v>0</v>
      </c>
    </row>
    <row r="803" spans="1:8" x14ac:dyDescent="0.25">
      <c r="A803">
        <v>801</v>
      </c>
      <c r="B803">
        <f t="shared" si="24"/>
        <v>20</v>
      </c>
      <c r="C803">
        <f t="shared" si="25"/>
        <v>22</v>
      </c>
      <c r="D803" cm="1">
        <f t="array" ref="D803">INDEX('Linha 03'!$A$4:$A$1000,B803)</f>
        <v>20050115</v>
      </c>
      <c r="E803" t="str" cm="1">
        <f t="array" ref="E803">INDEX('Linha 03'!$B$4:$B$1000,B803)</f>
        <v>Desinfetante Aquafast Paixao Cx/06 X 2l</v>
      </c>
      <c r="F803" cm="1">
        <f t="array" ref="F803">INDEX('Linha 03'!$C$3:$ZZ$3,C803)</f>
        <v>20050123</v>
      </c>
      <c r="G803" t="str" cm="1">
        <f t="array" ref="G803">INDEX('Linha 03'!$C$2:$ZZ$2,C803)</f>
        <v>Desinfetante Ito Harmonia Natural Cx/06 X 2l</v>
      </c>
      <c r="H803" s="5" cm="1">
        <f t="array" ref="H803">INDEX('Linha 03'!$C$4:$ZZ$1000,B803,C803)</f>
        <v>0</v>
      </c>
    </row>
    <row r="804" spans="1:8" x14ac:dyDescent="0.25">
      <c r="A804">
        <v>802</v>
      </c>
      <c r="B804">
        <f t="shared" si="24"/>
        <v>20</v>
      </c>
      <c r="C804">
        <f t="shared" si="25"/>
        <v>23</v>
      </c>
      <c r="D804" cm="1">
        <f t="array" ref="D804">INDEX('Linha 03'!$A$4:$A$1000,B804)</f>
        <v>20050115</v>
      </c>
      <c r="E804" t="str" cm="1">
        <f t="array" ref="E804">INDEX('Linha 03'!$B$4:$B$1000,B804)</f>
        <v>Desinfetante Aquafast Paixao Cx/06 X 2l</v>
      </c>
      <c r="F804" cm="1">
        <f t="array" ref="F804">INDEX('Linha 03'!$C$3:$ZZ$3,C804)</f>
        <v>20050124</v>
      </c>
      <c r="G804" t="str" cm="1">
        <f t="array" ref="G804">INDEX('Linha 03'!$C$2:$ZZ$2,C804)</f>
        <v>Desinfetante Myata Harmonia Natural Cx/06 X 2l</v>
      </c>
      <c r="H804" s="5" cm="1">
        <f t="array" ref="H804">INDEX('Linha 03'!$C$4:$ZZ$1000,B804,C804)</f>
        <v>0</v>
      </c>
    </row>
    <row r="805" spans="1:8" x14ac:dyDescent="0.25">
      <c r="A805">
        <v>803</v>
      </c>
      <c r="B805">
        <f t="shared" si="24"/>
        <v>20</v>
      </c>
      <c r="C805">
        <f t="shared" si="25"/>
        <v>24</v>
      </c>
      <c r="D805" cm="1">
        <f t="array" ref="D805">INDEX('Linha 03'!$A$4:$A$1000,B805)</f>
        <v>20050115</v>
      </c>
      <c r="E805" t="str" cm="1">
        <f t="array" ref="E805">INDEX('Linha 03'!$B$4:$B$1000,B805)</f>
        <v>Desinfetante Aquafast Paixao Cx/06 X 2l</v>
      </c>
      <c r="F805" cm="1">
        <f t="array" ref="F805">INDEX('Linha 03'!$C$3:$ZZ$3,C805)</f>
        <v>20050142</v>
      </c>
      <c r="G805" t="str" cm="1">
        <f t="array" ref="G805">INDEX('Linha 03'!$C$2:$ZZ$2,C805)</f>
        <v>Desinfetante Ito Marine Cx/06 X 2l</v>
      </c>
      <c r="H805" s="5" cm="1">
        <f t="array" ref="H805">INDEX('Linha 03'!$C$4:$ZZ$1000,B805,C805)</f>
        <v>0</v>
      </c>
    </row>
    <row r="806" spans="1:8" x14ac:dyDescent="0.25">
      <c r="A806">
        <v>804</v>
      </c>
      <c r="B806">
        <f t="shared" si="24"/>
        <v>20</v>
      </c>
      <c r="C806">
        <f t="shared" si="25"/>
        <v>25</v>
      </c>
      <c r="D806" cm="1">
        <f t="array" ref="D806">INDEX('Linha 03'!$A$4:$A$1000,B806)</f>
        <v>20050115</v>
      </c>
      <c r="E806" t="str" cm="1">
        <f t="array" ref="E806">INDEX('Linha 03'!$B$4:$B$1000,B806)</f>
        <v>Desinfetante Aquafast Paixao Cx/06 X 2l</v>
      </c>
      <c r="F806" cm="1">
        <f t="array" ref="F806">INDEX('Linha 03'!$C$3:$ZZ$3,C806)</f>
        <v>20050159</v>
      </c>
      <c r="G806" t="str" cm="1">
        <f t="array" ref="G806">INDEX('Linha 03'!$C$2:$ZZ$2,C806)</f>
        <v>Desinfetante Aquafast Cha Branco Cx/06 X 2l</v>
      </c>
      <c r="H806" s="5" cm="1">
        <f t="array" ref="H806">INDEX('Linha 03'!$C$4:$ZZ$1000,B806,C806)</f>
        <v>1.38888888888889E-2</v>
      </c>
    </row>
    <row r="807" spans="1:8" x14ac:dyDescent="0.25">
      <c r="A807">
        <v>805</v>
      </c>
      <c r="B807">
        <f t="shared" si="24"/>
        <v>20</v>
      </c>
      <c r="C807">
        <f t="shared" si="25"/>
        <v>26</v>
      </c>
      <c r="D807" cm="1">
        <f t="array" ref="D807">INDEX('Linha 03'!$A$4:$A$1000,B807)</f>
        <v>20050115</v>
      </c>
      <c r="E807" t="str" cm="1">
        <f t="array" ref="E807">INDEX('Linha 03'!$B$4:$B$1000,B807)</f>
        <v>Desinfetante Aquafast Paixao Cx/06 X 2l</v>
      </c>
      <c r="F807" cm="1">
        <f t="array" ref="F807">INDEX('Linha 03'!$C$3:$ZZ$3,C807)</f>
        <v>20060007</v>
      </c>
      <c r="G807" t="str" cm="1">
        <f t="array" ref="G807">INDEX('Linha 03'!$C$2:$ZZ$2,C807)</f>
        <v>Limp Perf Aquafast Magia Seducao Cx/06 X 2l (Promoc)</v>
      </c>
      <c r="H807" s="5" cm="1">
        <f t="array" ref="H807">INDEX('Linha 03'!$C$4:$ZZ$1000,B807,C807)</f>
        <v>0</v>
      </c>
    </row>
    <row r="808" spans="1:8" x14ac:dyDescent="0.25">
      <c r="A808">
        <v>806</v>
      </c>
      <c r="B808">
        <f t="shared" si="24"/>
        <v>20</v>
      </c>
      <c r="C808">
        <f t="shared" si="25"/>
        <v>27</v>
      </c>
      <c r="D808" cm="1">
        <f t="array" ref="D808">INDEX('Linha 03'!$A$4:$A$1000,B808)</f>
        <v>20050115</v>
      </c>
      <c r="E808" t="str" cm="1">
        <f t="array" ref="E808">INDEX('Linha 03'!$B$4:$B$1000,B808)</f>
        <v>Desinfetante Aquafast Paixao Cx/06 X 2l</v>
      </c>
      <c r="F808" cm="1">
        <f t="array" ref="F808">INDEX('Linha 03'!$C$3:$ZZ$3,C808)</f>
        <v>20060009</v>
      </c>
      <c r="G808" t="str" cm="1">
        <f t="array" ref="G808">INDEX('Linha 03'!$C$2:$ZZ$2,C808)</f>
        <v>Limp Perf Aquafast Frescor Da Manha Cx/06 X 2l (Promoc)</v>
      </c>
      <c r="H808" s="5" cm="1">
        <f t="array" ref="H808">INDEX('Linha 03'!$C$4:$ZZ$1000,B808,C808)</f>
        <v>0</v>
      </c>
    </row>
    <row r="809" spans="1:8" x14ac:dyDescent="0.25">
      <c r="A809">
        <v>807</v>
      </c>
      <c r="B809">
        <f t="shared" si="24"/>
        <v>20</v>
      </c>
      <c r="C809">
        <f t="shared" si="25"/>
        <v>28</v>
      </c>
      <c r="D809" cm="1">
        <f t="array" ref="D809">INDEX('Linha 03'!$A$4:$A$1000,B809)</f>
        <v>20050115</v>
      </c>
      <c r="E809" t="str" cm="1">
        <f t="array" ref="E809">INDEX('Linha 03'!$B$4:$B$1000,B809)</f>
        <v>Desinfetante Aquafast Paixao Cx/06 X 2l</v>
      </c>
      <c r="F809" cm="1">
        <f t="array" ref="F809">INDEX('Linha 03'!$C$3:$ZZ$3,C809)</f>
        <v>20060017</v>
      </c>
      <c r="G809" t="str" cm="1">
        <f t="array" ref="G809">INDEX('Linha 03'!$C$2:$ZZ$2,C809)</f>
        <v>Limp Perf Aquafast Doce Romance Cx/06 X 2l (Promoc)</v>
      </c>
      <c r="H809" s="5" cm="1">
        <f t="array" ref="H809">INDEX('Linha 03'!$C$4:$ZZ$1000,B809,C809)</f>
        <v>0</v>
      </c>
    </row>
    <row r="810" spans="1:8" x14ac:dyDescent="0.25">
      <c r="A810">
        <v>808</v>
      </c>
      <c r="B810">
        <f t="shared" si="24"/>
        <v>20</v>
      </c>
      <c r="C810">
        <f t="shared" si="25"/>
        <v>29</v>
      </c>
      <c r="D810" cm="1">
        <f t="array" ref="D810">INDEX('Linha 03'!$A$4:$A$1000,B810)</f>
        <v>20050115</v>
      </c>
      <c r="E810" t="str" cm="1">
        <f t="array" ref="E810">INDEX('Linha 03'!$B$4:$B$1000,B810)</f>
        <v>Desinfetante Aquafast Paixao Cx/06 X 2l</v>
      </c>
      <c r="F810" cm="1">
        <f t="array" ref="F810">INDEX('Linha 03'!$C$3:$ZZ$3,C810)</f>
        <v>20060028</v>
      </c>
      <c r="G810" t="str" cm="1">
        <f t="array" ref="G810">INDEX('Linha 03'!$C$2:$ZZ$2,C810)</f>
        <v>Limp Perf Aquafast Essencia Natural Cx06 X 2l</v>
      </c>
      <c r="H810" s="5" cm="1">
        <f t="array" ref="H810">INDEX('Linha 03'!$C$4:$ZZ$1000,B810,C810)</f>
        <v>0</v>
      </c>
    </row>
    <row r="811" spans="1:8" x14ac:dyDescent="0.25">
      <c r="A811">
        <v>809</v>
      </c>
      <c r="B811">
        <f t="shared" si="24"/>
        <v>20</v>
      </c>
      <c r="C811">
        <f t="shared" si="25"/>
        <v>30</v>
      </c>
      <c r="D811" cm="1">
        <f t="array" ref="D811">INDEX('Linha 03'!$A$4:$A$1000,B811)</f>
        <v>20050115</v>
      </c>
      <c r="E811" t="str" cm="1">
        <f t="array" ref="E811">INDEX('Linha 03'!$B$4:$B$1000,B811)</f>
        <v>Desinfetante Aquafast Paixao Cx/06 X 2l</v>
      </c>
      <c r="F811" cm="1">
        <f t="array" ref="F811">INDEX('Linha 03'!$C$3:$ZZ$3,C811)</f>
        <v>20200003</v>
      </c>
      <c r="G811" t="str" cm="1">
        <f t="array" ref="G811">INDEX('Linha 03'!$C$2:$ZZ$2,C811)</f>
        <v>Lava Roup. Aquafast Baby Cx/12 X 1l</v>
      </c>
      <c r="H811" s="5" cm="1">
        <f t="array" ref="H811">INDEX('Linha 03'!$C$4:$ZZ$1000,B811,C811)</f>
        <v>0</v>
      </c>
    </row>
    <row r="812" spans="1:8" x14ac:dyDescent="0.25">
      <c r="A812">
        <v>810</v>
      </c>
      <c r="B812">
        <f t="shared" si="24"/>
        <v>20</v>
      </c>
      <c r="C812">
        <f t="shared" si="25"/>
        <v>31</v>
      </c>
      <c r="D812" cm="1">
        <f t="array" ref="D812">INDEX('Linha 03'!$A$4:$A$1000,B812)</f>
        <v>20050115</v>
      </c>
      <c r="E812" t="str" cm="1">
        <f t="array" ref="E812">INDEX('Linha 03'!$B$4:$B$1000,B812)</f>
        <v>Desinfetante Aquafast Paixao Cx/06 X 2l</v>
      </c>
      <c r="F812" cm="1">
        <f t="array" ref="F812">INDEX('Linha 03'!$C$3:$ZZ$3,C812)</f>
        <v>20200005</v>
      </c>
      <c r="G812" t="str" cm="1">
        <f t="array" ref="G812">INDEX('Linha 03'!$C$2:$ZZ$2,C812)</f>
        <v>Lava Roupas Aquafast Multi Acao Cx/06 X 2l</v>
      </c>
      <c r="H812" s="5" cm="1">
        <f t="array" ref="H812">INDEX('Linha 03'!$C$4:$ZZ$1000,B812,C812)</f>
        <v>0</v>
      </c>
    </row>
    <row r="813" spans="1:8" x14ac:dyDescent="0.25">
      <c r="A813">
        <v>811</v>
      </c>
      <c r="B813">
        <f t="shared" si="24"/>
        <v>20</v>
      </c>
      <c r="C813">
        <f t="shared" si="25"/>
        <v>32</v>
      </c>
      <c r="D813" cm="1">
        <f t="array" ref="D813">INDEX('Linha 03'!$A$4:$A$1000,B813)</f>
        <v>20050115</v>
      </c>
      <c r="E813" t="str" cm="1">
        <f t="array" ref="E813">INDEX('Linha 03'!$B$4:$B$1000,B813)</f>
        <v>Desinfetante Aquafast Paixao Cx/06 X 2l</v>
      </c>
      <c r="F813" cm="1">
        <f t="array" ref="F813">INDEX('Linha 03'!$C$3:$ZZ$3,C813)</f>
        <v>20200006</v>
      </c>
      <c r="G813" t="str" cm="1">
        <f t="array" ref="G813">INDEX('Linha 03'!$C$2:$ZZ$2,C813)</f>
        <v>Lava Roupas Aquafast Glicerina Cx/06 X 2l</v>
      </c>
      <c r="H813" s="5" cm="1">
        <f t="array" ref="H813">INDEX('Linha 03'!$C$4:$ZZ$1000,B813,C813)</f>
        <v>0</v>
      </c>
    </row>
    <row r="814" spans="1:8" x14ac:dyDescent="0.25">
      <c r="A814">
        <v>812</v>
      </c>
      <c r="B814">
        <f t="shared" si="24"/>
        <v>20</v>
      </c>
      <c r="C814">
        <f t="shared" si="25"/>
        <v>33</v>
      </c>
      <c r="D814" cm="1">
        <f t="array" ref="D814">INDEX('Linha 03'!$A$4:$A$1000,B814)</f>
        <v>20050115</v>
      </c>
      <c r="E814" t="str" cm="1">
        <f t="array" ref="E814">INDEX('Linha 03'!$B$4:$B$1000,B814)</f>
        <v>Desinfetante Aquafast Paixao Cx/06 X 2l</v>
      </c>
      <c r="F814" cm="1">
        <f t="array" ref="F814">INDEX('Linha 03'!$C$3:$ZZ$3,C814)</f>
        <v>20200015</v>
      </c>
      <c r="G814" t="str" cm="1">
        <f t="array" ref="G814">INDEX('Linha 03'!$C$2:$ZZ$2,C814)</f>
        <v>Lava Roup. Aquafast Multiacao Cx/12 X 1l</v>
      </c>
      <c r="H814" s="5" cm="1">
        <f t="array" ref="H814">INDEX('Linha 03'!$C$4:$ZZ$1000,B814,C814)</f>
        <v>0</v>
      </c>
    </row>
    <row r="815" spans="1:8" x14ac:dyDescent="0.25">
      <c r="A815">
        <v>813</v>
      </c>
      <c r="B815">
        <f t="shared" si="24"/>
        <v>20</v>
      </c>
      <c r="C815">
        <f t="shared" si="25"/>
        <v>34</v>
      </c>
      <c r="D815" cm="1">
        <f t="array" ref="D815">INDEX('Linha 03'!$A$4:$A$1000,B815)</f>
        <v>20050115</v>
      </c>
      <c r="E815" t="str" cm="1">
        <f t="array" ref="E815">INDEX('Linha 03'!$B$4:$B$1000,B815)</f>
        <v>Desinfetante Aquafast Paixao Cx/06 X 2l</v>
      </c>
      <c r="F815" cm="1">
        <f t="array" ref="F815">INDEX('Linha 03'!$C$3:$ZZ$3,C815)</f>
        <v>20200036</v>
      </c>
      <c r="G815" t="str" cm="1">
        <f t="array" ref="G815">INDEX('Linha 03'!$C$2:$ZZ$2,C815)</f>
        <v>Lava Roupas Aquafast Ternura Cx/06 X 2l</v>
      </c>
      <c r="H815" s="5" cm="1">
        <f t="array" ref="H815">INDEX('Linha 03'!$C$4:$ZZ$1000,B815,C815)</f>
        <v>0</v>
      </c>
    </row>
    <row r="816" spans="1:8" x14ac:dyDescent="0.25">
      <c r="A816">
        <v>814</v>
      </c>
      <c r="B816">
        <f t="shared" si="24"/>
        <v>20</v>
      </c>
      <c r="C816">
        <f t="shared" si="25"/>
        <v>35</v>
      </c>
      <c r="D816" cm="1">
        <f t="array" ref="D816">INDEX('Linha 03'!$A$4:$A$1000,B816)</f>
        <v>20050115</v>
      </c>
      <c r="E816" t="str" cm="1">
        <f t="array" ref="E816">INDEX('Linha 03'!$B$4:$B$1000,B816)</f>
        <v>Desinfetante Aquafast Paixao Cx/06 X 2l</v>
      </c>
      <c r="F816" cm="1">
        <f t="array" ref="F816">INDEX('Linha 03'!$C$3:$ZZ$3,C816)</f>
        <v>20200063</v>
      </c>
      <c r="G816" t="str" cm="1">
        <f t="array" ref="G816">INDEX('Linha 03'!$C$2:$ZZ$2,C816)</f>
        <v>Lava Roup. Aquafast Tradicional Cx/12 X 1l</v>
      </c>
      <c r="H816" s="5" cm="1">
        <f t="array" ref="H816">INDEX('Linha 03'!$C$4:$ZZ$1000,B816,C816)</f>
        <v>0</v>
      </c>
    </row>
    <row r="817" spans="1:8" x14ac:dyDescent="0.25">
      <c r="A817">
        <v>815</v>
      </c>
      <c r="B817">
        <f t="shared" si="24"/>
        <v>20</v>
      </c>
      <c r="C817">
        <f t="shared" si="25"/>
        <v>36</v>
      </c>
      <c r="D817" cm="1">
        <f t="array" ref="D817">INDEX('Linha 03'!$A$4:$A$1000,B817)</f>
        <v>20050115</v>
      </c>
      <c r="E817" t="str" cm="1">
        <f t="array" ref="E817">INDEX('Linha 03'!$B$4:$B$1000,B817)</f>
        <v>Desinfetante Aquafast Paixao Cx/06 X 2l</v>
      </c>
      <c r="F817" cm="1">
        <f t="array" ref="F817">INDEX('Linha 03'!$C$3:$ZZ$3,C817)</f>
        <v>20200064</v>
      </c>
      <c r="G817" t="str" cm="1">
        <f t="array" ref="G817">INDEX('Linha 03'!$C$2:$ZZ$2,C817)</f>
        <v>Lava Roup. Aquafast Flores B. E Baunilha Cx/12 X 1l</v>
      </c>
      <c r="H817" s="5" cm="1">
        <f t="array" ref="H817">INDEX('Linha 03'!$C$4:$ZZ$1000,B817,C817)</f>
        <v>0</v>
      </c>
    </row>
    <row r="818" spans="1:8" x14ac:dyDescent="0.25">
      <c r="A818">
        <v>816</v>
      </c>
      <c r="B818">
        <f t="shared" si="24"/>
        <v>20</v>
      </c>
      <c r="C818">
        <f t="shared" si="25"/>
        <v>37</v>
      </c>
      <c r="D818" cm="1">
        <f t="array" ref="D818">INDEX('Linha 03'!$A$4:$A$1000,B818)</f>
        <v>20050115</v>
      </c>
      <c r="E818" t="str" cm="1">
        <f t="array" ref="E818">INDEX('Linha 03'!$B$4:$B$1000,B818)</f>
        <v>Desinfetante Aquafast Paixao Cx/06 X 2l</v>
      </c>
      <c r="F818" cm="1">
        <f t="array" ref="F818">INDEX('Linha 03'!$C$3:$ZZ$3,C818)</f>
        <v>20200065</v>
      </c>
      <c r="G818" t="str" cm="1">
        <f t="array" ref="G818">INDEX('Linha 03'!$C$2:$ZZ$2,C818)</f>
        <v>Lava Roupas Aquafast Flores B. E Baunilha Cx/06 X 2l</v>
      </c>
      <c r="H818" s="5" cm="1">
        <f t="array" ref="H818">INDEX('Linha 03'!$C$4:$ZZ$1000,B818,C818)</f>
        <v>0</v>
      </c>
    </row>
    <row r="819" spans="1:8" x14ac:dyDescent="0.25">
      <c r="A819">
        <v>817</v>
      </c>
      <c r="B819">
        <f t="shared" si="24"/>
        <v>20</v>
      </c>
      <c r="C819">
        <f t="shared" si="25"/>
        <v>38</v>
      </c>
      <c r="D819" cm="1">
        <f t="array" ref="D819">INDEX('Linha 03'!$A$4:$A$1000,B819)</f>
        <v>20050115</v>
      </c>
      <c r="E819" t="str" cm="1">
        <f t="array" ref="E819">INDEX('Linha 03'!$B$4:$B$1000,B819)</f>
        <v>Desinfetante Aquafast Paixao Cx/06 X 2l</v>
      </c>
      <c r="F819" cm="1">
        <f t="array" ref="F819">INDEX('Linha 03'!$C$3:$ZZ$3,C819)</f>
        <v>20200072</v>
      </c>
      <c r="G819" t="str" cm="1">
        <f t="array" ref="G819">INDEX('Linha 03'!$C$2:$ZZ$2,C819)</f>
        <v>Lava Roupas Aquafast Lavagem Rapida Total Clean Cx/12 X 1l</v>
      </c>
      <c r="H819" s="5" cm="1">
        <f t="array" ref="H819">INDEX('Linha 03'!$C$4:$ZZ$1000,B819,C819)</f>
        <v>0</v>
      </c>
    </row>
    <row r="820" spans="1:8" x14ac:dyDescent="0.25">
      <c r="A820">
        <v>818</v>
      </c>
      <c r="B820">
        <f t="shared" si="24"/>
        <v>20</v>
      </c>
      <c r="C820">
        <f t="shared" si="25"/>
        <v>39</v>
      </c>
      <c r="D820" cm="1">
        <f t="array" ref="D820">INDEX('Linha 03'!$A$4:$A$1000,B820)</f>
        <v>20050115</v>
      </c>
      <c r="E820" t="str" cm="1">
        <f t="array" ref="E820">INDEX('Linha 03'!$B$4:$B$1000,B820)</f>
        <v>Desinfetante Aquafast Paixao Cx/06 X 2l</v>
      </c>
      <c r="F820" cm="1">
        <f t="array" ref="F820">INDEX('Linha 03'!$C$3:$ZZ$3,C820)</f>
        <v>20200074</v>
      </c>
      <c r="G820" t="str" cm="1">
        <f t="array" ref="G820">INDEX('Linha 03'!$C$2:$ZZ$2,C820)</f>
        <v>Lava Roupas Aquafast Lavagem Rapida Fresh Clean Cx/12 X 1l</v>
      </c>
      <c r="H820" s="5" cm="1">
        <f t="array" ref="H820">INDEX('Linha 03'!$C$4:$ZZ$1000,B820,C820)</f>
        <v>0</v>
      </c>
    </row>
    <row r="821" spans="1:8" x14ac:dyDescent="0.25">
      <c r="A821">
        <v>819</v>
      </c>
      <c r="B821">
        <f t="shared" si="24"/>
        <v>20</v>
      </c>
      <c r="C821">
        <f t="shared" si="25"/>
        <v>40</v>
      </c>
      <c r="D821" cm="1">
        <f t="array" ref="D821">INDEX('Linha 03'!$A$4:$A$1000,B821)</f>
        <v>20050115</v>
      </c>
      <c r="E821" t="str" cm="1">
        <f t="array" ref="E821">INDEX('Linha 03'!$B$4:$B$1000,B821)</f>
        <v>Desinfetante Aquafast Paixao Cx/06 X 2l</v>
      </c>
      <c r="F821" cm="1">
        <f t="array" ref="F821">INDEX('Linha 03'!$C$3:$ZZ$3,C821)</f>
        <v>20250005</v>
      </c>
      <c r="G821" t="str" cm="1">
        <f t="array" ref="G821">INDEX('Linha 03'!$C$2:$ZZ$2,C821)</f>
        <v>Neutralizador De Odores Aquafast Floral Cx/06 X 2l</v>
      </c>
      <c r="H821" s="5" cm="1">
        <f t="array" ref="H821">INDEX('Linha 03'!$C$4:$ZZ$1000,B821,C821)</f>
        <v>0</v>
      </c>
    </row>
    <row r="822" spans="1:8" x14ac:dyDescent="0.25">
      <c r="A822">
        <v>820</v>
      </c>
      <c r="B822">
        <f t="shared" si="24"/>
        <v>20</v>
      </c>
      <c r="C822">
        <f t="shared" si="25"/>
        <v>41</v>
      </c>
      <c r="D822" cm="1">
        <f t="array" ref="D822">INDEX('Linha 03'!$A$4:$A$1000,B822)</f>
        <v>20050115</v>
      </c>
      <c r="E822" t="str" cm="1">
        <f t="array" ref="E822">INDEX('Linha 03'!$B$4:$B$1000,B822)</f>
        <v>Desinfetante Aquafast Paixao Cx/06 X 2l</v>
      </c>
      <c r="F822" cm="1">
        <f t="array" ref="F822">INDEX('Linha 03'!$C$3:$ZZ$3,C822)</f>
        <v>20250007</v>
      </c>
      <c r="G822" t="str" cm="1">
        <f t="array" ref="G822">INDEX('Linha 03'!$C$2:$ZZ$2,C822)</f>
        <v>Neutralizador De Odores Aquafast Marine Cx/06 2l</v>
      </c>
      <c r="H822" s="5" cm="1">
        <f t="array" ref="H822">INDEX('Linha 03'!$C$4:$ZZ$1000,B822,C822)</f>
        <v>0</v>
      </c>
    </row>
    <row r="823" spans="1:8" x14ac:dyDescent="0.25">
      <c r="A823">
        <v>821</v>
      </c>
      <c r="B823">
        <f t="shared" si="24"/>
        <v>21</v>
      </c>
      <c r="C823">
        <f t="shared" si="25"/>
        <v>1</v>
      </c>
      <c r="D823" cm="1">
        <f t="array" ref="D823">INDEX('Linha 03'!$A$4:$A$1000,B823)</f>
        <v>20050117</v>
      </c>
      <c r="E823" t="str" cm="1">
        <f t="array" ref="E823">INDEX('Linha 03'!$B$4:$B$1000,B823)</f>
        <v>Desinfetante Aquafast Harmonia Natural Cx/06 X 2l</v>
      </c>
      <c r="F823" cm="1">
        <f t="array" ref="F823">INDEX('Linha 03'!$C$3:$ZZ$3,C823)</f>
        <v>20040006</v>
      </c>
      <c r="G823" t="str" cm="1">
        <f t="array" ref="G823">INDEX('Linha 03'!$C$2:$ZZ$2,C823)</f>
        <v>Amaciante Aquafast Azul Fresc. Manha Cx/06 X 2l</v>
      </c>
      <c r="H823" s="5" cm="1">
        <f t="array" ref="H823">INDEX('Linha 03'!$C$4:$ZZ$1000,B823,C823)</f>
        <v>0</v>
      </c>
    </row>
    <row r="824" spans="1:8" x14ac:dyDescent="0.25">
      <c r="A824">
        <v>822</v>
      </c>
      <c r="B824">
        <f t="shared" si="24"/>
        <v>21</v>
      </c>
      <c r="C824">
        <f t="shared" si="25"/>
        <v>2</v>
      </c>
      <c r="D824" cm="1">
        <f t="array" ref="D824">INDEX('Linha 03'!$A$4:$A$1000,B824)</f>
        <v>20050117</v>
      </c>
      <c r="E824" t="str" cm="1">
        <f t="array" ref="E824">INDEX('Linha 03'!$B$4:$B$1000,B824)</f>
        <v>Desinfetante Aquafast Harmonia Natural Cx/06 X 2l</v>
      </c>
      <c r="F824" cm="1">
        <f t="array" ref="F824">INDEX('Linha 03'!$C$3:$ZZ$3,C824)</f>
        <v>20040008</v>
      </c>
      <c r="G824" t="str" cm="1">
        <f t="array" ref="G824">INDEX('Linha 03'!$C$2:$ZZ$2,C824)</f>
        <v>Amaciante Aquafast Rosa Jard. Florid Cx/06 X 2l</v>
      </c>
      <c r="H824" s="5" cm="1">
        <f t="array" ref="H824">INDEX('Linha 03'!$C$4:$ZZ$1000,B824,C824)</f>
        <v>0</v>
      </c>
    </row>
    <row r="825" spans="1:8" x14ac:dyDescent="0.25">
      <c r="A825">
        <v>823</v>
      </c>
      <c r="B825">
        <f t="shared" si="24"/>
        <v>21</v>
      </c>
      <c r="C825">
        <f t="shared" si="25"/>
        <v>3</v>
      </c>
      <c r="D825" cm="1">
        <f t="array" ref="D825">INDEX('Linha 03'!$A$4:$A$1000,B825)</f>
        <v>20050117</v>
      </c>
      <c r="E825" t="str" cm="1">
        <f t="array" ref="E825">INDEX('Linha 03'!$B$4:$B$1000,B825)</f>
        <v>Desinfetante Aquafast Harmonia Natural Cx/06 X 2l</v>
      </c>
      <c r="F825" cm="1">
        <f t="array" ref="F825">INDEX('Linha 03'!$C$3:$ZZ$3,C825)</f>
        <v>20040009</v>
      </c>
      <c r="G825" t="str" cm="1">
        <f t="array" ref="G825">INDEX('Linha 03'!$C$2:$ZZ$2,C825)</f>
        <v>Amaciante Aquafast Branco Pura Caric. Cx/06 X 2l</v>
      </c>
      <c r="H825" s="5" cm="1">
        <f t="array" ref="H825">INDEX('Linha 03'!$C$4:$ZZ$1000,B825,C825)</f>
        <v>0</v>
      </c>
    </row>
    <row r="826" spans="1:8" x14ac:dyDescent="0.25">
      <c r="A826">
        <v>824</v>
      </c>
      <c r="B826">
        <f t="shared" si="24"/>
        <v>21</v>
      </c>
      <c r="C826">
        <f t="shared" si="25"/>
        <v>4</v>
      </c>
      <c r="D826" cm="1">
        <f t="array" ref="D826">INDEX('Linha 03'!$A$4:$A$1000,B826)</f>
        <v>20050117</v>
      </c>
      <c r="E826" t="str" cm="1">
        <f t="array" ref="E826">INDEX('Linha 03'!$B$4:$B$1000,B826)</f>
        <v>Desinfetante Aquafast Harmonia Natural Cx/06 X 2l</v>
      </c>
      <c r="F826" cm="1">
        <f t="array" ref="F826">INDEX('Linha 03'!$C$3:$ZZ$3,C826)</f>
        <v>20040026</v>
      </c>
      <c r="G826" t="str" cm="1">
        <f t="array" ref="G826">INDEX('Linha 03'!$C$2:$ZZ$2,C826)</f>
        <v>Amaciante Ito Azul Cx/06 X 2l</v>
      </c>
      <c r="H826" s="5" cm="1">
        <f t="array" ref="H826">INDEX('Linha 03'!$C$4:$ZZ$1000,B826,C826)</f>
        <v>0</v>
      </c>
    </row>
    <row r="827" spans="1:8" x14ac:dyDescent="0.25">
      <c r="A827">
        <v>825</v>
      </c>
      <c r="B827">
        <f t="shared" si="24"/>
        <v>21</v>
      </c>
      <c r="C827">
        <f t="shared" si="25"/>
        <v>5</v>
      </c>
      <c r="D827" cm="1">
        <f t="array" ref="D827">INDEX('Linha 03'!$A$4:$A$1000,B827)</f>
        <v>20050117</v>
      </c>
      <c r="E827" t="str" cm="1">
        <f t="array" ref="E827">INDEX('Linha 03'!$B$4:$B$1000,B827)</f>
        <v>Desinfetante Aquafast Harmonia Natural Cx/06 X 2l</v>
      </c>
      <c r="F827" cm="1">
        <f t="array" ref="F827">INDEX('Linha 03'!$C$3:$ZZ$3,C827)</f>
        <v>20040028</v>
      </c>
      <c r="G827" t="str" cm="1">
        <f t="array" ref="G827">INDEX('Linha 03'!$C$2:$ZZ$2,C827)</f>
        <v>Amaciante Ito Rosa Cx/06 X 2l</v>
      </c>
      <c r="H827" s="5" cm="1">
        <f t="array" ref="H827">INDEX('Linha 03'!$C$4:$ZZ$1000,B827,C827)</f>
        <v>0</v>
      </c>
    </row>
    <row r="828" spans="1:8" x14ac:dyDescent="0.25">
      <c r="A828">
        <v>826</v>
      </c>
      <c r="B828">
        <f t="shared" si="24"/>
        <v>21</v>
      </c>
      <c r="C828">
        <f t="shared" si="25"/>
        <v>6</v>
      </c>
      <c r="D828" cm="1">
        <f t="array" ref="D828">INDEX('Linha 03'!$A$4:$A$1000,B828)</f>
        <v>20050117</v>
      </c>
      <c r="E828" t="str" cm="1">
        <f t="array" ref="E828">INDEX('Linha 03'!$B$4:$B$1000,B828)</f>
        <v>Desinfetante Aquafast Harmonia Natural Cx/06 X 2l</v>
      </c>
      <c r="F828" cm="1">
        <f t="array" ref="F828">INDEX('Linha 03'!$C$3:$ZZ$3,C828)</f>
        <v>20040029</v>
      </c>
      <c r="G828" t="str" cm="1">
        <f t="array" ref="G828">INDEX('Linha 03'!$C$2:$ZZ$2,C828)</f>
        <v>Amaciante Ito Branco Cx/06 X 2l</v>
      </c>
      <c r="H828" s="5" cm="1">
        <f t="array" ref="H828">INDEX('Linha 03'!$C$4:$ZZ$1000,B828,C828)</f>
        <v>0</v>
      </c>
    </row>
    <row r="829" spans="1:8" x14ac:dyDescent="0.25">
      <c r="A829">
        <v>827</v>
      </c>
      <c r="B829">
        <f t="shared" si="24"/>
        <v>21</v>
      </c>
      <c r="C829">
        <f t="shared" si="25"/>
        <v>7</v>
      </c>
      <c r="D829" cm="1">
        <f t="array" ref="D829">INDEX('Linha 03'!$A$4:$A$1000,B829)</f>
        <v>20050117</v>
      </c>
      <c r="E829" t="str" cm="1">
        <f t="array" ref="E829">INDEX('Linha 03'!$B$4:$B$1000,B829)</f>
        <v>Desinfetante Aquafast Harmonia Natural Cx/06 X 2l</v>
      </c>
      <c r="F829" cm="1">
        <f t="array" ref="F829">INDEX('Linha 03'!$C$3:$ZZ$3,C829)</f>
        <v>20040055</v>
      </c>
      <c r="G829" t="str" cm="1">
        <f t="array" ref="G829">INDEX('Linha 03'!$C$2:$ZZ$2,C829)</f>
        <v>Amaciante Myata Azul Cx/06 X 2l</v>
      </c>
      <c r="H829" s="5" cm="1">
        <f t="array" ref="H829">INDEX('Linha 03'!$C$4:$ZZ$1000,B829,C829)</f>
        <v>0</v>
      </c>
    </row>
    <row r="830" spans="1:8" x14ac:dyDescent="0.25">
      <c r="A830">
        <v>828</v>
      </c>
      <c r="B830">
        <f t="shared" si="24"/>
        <v>21</v>
      </c>
      <c r="C830">
        <f t="shared" si="25"/>
        <v>8</v>
      </c>
      <c r="D830" cm="1">
        <f t="array" ref="D830">INDEX('Linha 03'!$A$4:$A$1000,B830)</f>
        <v>20050117</v>
      </c>
      <c r="E830" t="str" cm="1">
        <f t="array" ref="E830">INDEX('Linha 03'!$B$4:$B$1000,B830)</f>
        <v>Desinfetante Aquafast Harmonia Natural Cx/06 X 2l</v>
      </c>
      <c r="F830" cm="1">
        <f t="array" ref="F830">INDEX('Linha 03'!$C$3:$ZZ$3,C830)</f>
        <v>20040057</v>
      </c>
      <c r="G830" t="str" cm="1">
        <f t="array" ref="G830">INDEX('Linha 03'!$C$2:$ZZ$2,C830)</f>
        <v>Amaciante Myata Rosa Cx/06 X 2l</v>
      </c>
      <c r="H830" s="5" cm="1">
        <f t="array" ref="H830">INDEX('Linha 03'!$C$4:$ZZ$1000,B830,C830)</f>
        <v>0</v>
      </c>
    </row>
    <row r="831" spans="1:8" x14ac:dyDescent="0.25">
      <c r="A831">
        <v>829</v>
      </c>
      <c r="B831">
        <f t="shared" si="24"/>
        <v>21</v>
      </c>
      <c r="C831">
        <f t="shared" si="25"/>
        <v>9</v>
      </c>
      <c r="D831" cm="1">
        <f t="array" ref="D831">INDEX('Linha 03'!$A$4:$A$1000,B831)</f>
        <v>20050117</v>
      </c>
      <c r="E831" t="str" cm="1">
        <f t="array" ref="E831">INDEX('Linha 03'!$B$4:$B$1000,B831)</f>
        <v>Desinfetante Aquafast Harmonia Natural Cx/06 X 2l</v>
      </c>
      <c r="F831" cm="1">
        <f t="array" ref="F831">INDEX('Linha 03'!$C$3:$ZZ$3,C831)</f>
        <v>20040084</v>
      </c>
      <c r="G831" t="str" cm="1">
        <f t="array" ref="G831">INDEX('Linha 03'!$C$2:$ZZ$2,C831)</f>
        <v>Amaciante Aquafast Vermelho Seducao Cx C/06 X 2l</v>
      </c>
      <c r="H831" s="5" cm="1">
        <f t="array" ref="H831">INDEX('Linha 03'!$C$4:$ZZ$1000,B831,C831)</f>
        <v>0</v>
      </c>
    </row>
    <row r="832" spans="1:8" x14ac:dyDescent="0.25">
      <c r="A832">
        <v>830</v>
      </c>
      <c r="B832">
        <f t="shared" si="24"/>
        <v>21</v>
      </c>
      <c r="C832">
        <f t="shared" si="25"/>
        <v>10</v>
      </c>
      <c r="D832" cm="1">
        <f t="array" ref="D832">INDEX('Linha 03'!$A$4:$A$1000,B832)</f>
        <v>20050117</v>
      </c>
      <c r="E832" t="str" cm="1">
        <f t="array" ref="E832">INDEX('Linha 03'!$B$4:$B$1000,B832)</f>
        <v>Desinfetante Aquafast Harmonia Natural Cx/06 X 2l</v>
      </c>
      <c r="F832" cm="1">
        <f t="array" ref="F832">INDEX('Linha 03'!$C$3:$ZZ$3,C832)</f>
        <v>20040089</v>
      </c>
      <c r="G832" t="str" cm="1">
        <f t="array" ref="G832">INDEX('Linha 03'!$C$2:$ZZ$2,C832)</f>
        <v>Amaciante Aquafast Roxo Magia Cx/06 X 2l</v>
      </c>
      <c r="H832" s="5" cm="1">
        <f t="array" ref="H832">INDEX('Linha 03'!$C$4:$ZZ$1000,B832,C832)</f>
        <v>0</v>
      </c>
    </row>
    <row r="833" spans="1:8" x14ac:dyDescent="0.25">
      <c r="A833">
        <v>831</v>
      </c>
      <c r="B833">
        <f t="shared" si="24"/>
        <v>21</v>
      </c>
      <c r="C833">
        <f t="shared" si="25"/>
        <v>11</v>
      </c>
      <c r="D833" cm="1">
        <f t="array" ref="D833">INDEX('Linha 03'!$A$4:$A$1000,B833)</f>
        <v>20050117</v>
      </c>
      <c r="E833" t="str" cm="1">
        <f t="array" ref="E833">INDEX('Linha 03'!$B$4:$B$1000,B833)</f>
        <v>Desinfetante Aquafast Harmonia Natural Cx/06 X 2l</v>
      </c>
      <c r="F833" cm="1">
        <f t="array" ref="F833">INDEX('Linha 03'!$C$3:$ZZ$3,C833)</f>
        <v>20040094</v>
      </c>
      <c r="G833" t="str" cm="1">
        <f t="array" ref="G833">INDEX('Linha 03'!$C$2:$ZZ$2,C833)</f>
        <v>Amaciante Aquafast Energia Cx/06 X 2l</v>
      </c>
      <c r="H833" s="5" cm="1">
        <f t="array" ref="H833">INDEX('Linha 03'!$C$4:$ZZ$1000,B833,C833)</f>
        <v>0</v>
      </c>
    </row>
    <row r="834" spans="1:8" x14ac:dyDescent="0.25">
      <c r="A834">
        <v>832</v>
      </c>
      <c r="B834">
        <f t="shared" si="24"/>
        <v>21</v>
      </c>
      <c r="C834">
        <f t="shared" si="25"/>
        <v>12</v>
      </c>
      <c r="D834" cm="1">
        <f t="array" ref="D834">INDEX('Linha 03'!$A$4:$A$1000,B834)</f>
        <v>20050117</v>
      </c>
      <c r="E834" t="str" cm="1">
        <f t="array" ref="E834">INDEX('Linha 03'!$B$4:$B$1000,B834)</f>
        <v>Desinfetante Aquafast Harmonia Natural Cx/06 X 2l</v>
      </c>
      <c r="F834" cm="1">
        <f t="array" ref="F834">INDEX('Linha 03'!$C$3:$ZZ$3,C834)</f>
        <v>20050010</v>
      </c>
      <c r="G834" t="str" cm="1">
        <f t="array" ref="G834">INDEX('Linha 03'!$C$2:$ZZ$2,C834)</f>
        <v>Desinfetante Aquafast Campos Lavanda Cx/06 X 2l</v>
      </c>
      <c r="H834" s="5" cm="1">
        <f t="array" ref="H834">INDEX('Linha 03'!$C$4:$ZZ$1000,B834,C834)</f>
        <v>0</v>
      </c>
    </row>
    <row r="835" spans="1:8" x14ac:dyDescent="0.25">
      <c r="A835">
        <v>833</v>
      </c>
      <c r="B835">
        <f t="shared" si="24"/>
        <v>21</v>
      </c>
      <c r="C835">
        <f t="shared" si="25"/>
        <v>13</v>
      </c>
      <c r="D835" cm="1">
        <f t="array" ref="D835">INDEX('Linha 03'!$A$4:$A$1000,B835)</f>
        <v>20050117</v>
      </c>
      <c r="E835" t="str" cm="1">
        <f t="array" ref="E835">INDEX('Linha 03'!$B$4:$B$1000,B835)</f>
        <v>Desinfetante Aquafast Harmonia Natural Cx/06 X 2l</v>
      </c>
      <c r="F835" cm="1">
        <f t="array" ref="F835">INDEX('Linha 03'!$C$3:$ZZ$3,C835)</f>
        <v>20050011</v>
      </c>
      <c r="G835" t="str" cm="1">
        <f t="array" ref="G835">INDEX('Linha 03'!$C$2:$ZZ$2,C835)</f>
        <v>Desinfetante Aquafast Jardim Florido Cx/06 X 2l</v>
      </c>
      <c r="H835" s="5" cm="1">
        <f t="array" ref="H835">INDEX('Linha 03'!$C$4:$ZZ$1000,B835,C835)</f>
        <v>0</v>
      </c>
    </row>
    <row r="836" spans="1:8" x14ac:dyDescent="0.25">
      <c r="A836">
        <v>834</v>
      </c>
      <c r="B836">
        <f t="shared" ref="B836:B899" si="26">INT((A836-1)/$B$1)+1</f>
        <v>21</v>
      </c>
      <c r="C836">
        <f t="shared" ref="C836:C899" si="27">MOD(A836-1,$B$1)+1</f>
        <v>14</v>
      </c>
      <c r="D836" cm="1">
        <f t="array" ref="D836">INDEX('Linha 03'!$A$4:$A$1000,B836)</f>
        <v>20050117</v>
      </c>
      <c r="E836" t="str" cm="1">
        <f t="array" ref="E836">INDEX('Linha 03'!$B$4:$B$1000,B836)</f>
        <v>Desinfetante Aquafast Harmonia Natural Cx/06 X 2l</v>
      </c>
      <c r="F836" cm="1">
        <f t="array" ref="F836">INDEX('Linha 03'!$C$3:$ZZ$3,C836)</f>
        <v>20050016</v>
      </c>
      <c r="G836" t="str" cm="1">
        <f t="array" ref="G836">INDEX('Linha 03'!$C$2:$ZZ$2,C836)</f>
        <v>Desinfetante Aquafast Marine Cx/06 X 2l</v>
      </c>
      <c r="H836" s="5" cm="1">
        <f t="array" ref="H836">INDEX('Linha 03'!$C$4:$ZZ$1000,B836,C836)</f>
        <v>0</v>
      </c>
    </row>
    <row r="837" spans="1:8" x14ac:dyDescent="0.25">
      <c r="A837">
        <v>835</v>
      </c>
      <c r="B837">
        <f t="shared" si="26"/>
        <v>21</v>
      </c>
      <c r="C837">
        <f t="shared" si="27"/>
        <v>15</v>
      </c>
      <c r="D837" cm="1">
        <f t="array" ref="D837">INDEX('Linha 03'!$A$4:$A$1000,B837)</f>
        <v>20050117</v>
      </c>
      <c r="E837" t="str" cm="1">
        <f t="array" ref="E837">INDEX('Linha 03'!$B$4:$B$1000,B837)</f>
        <v>Desinfetante Aquafast Harmonia Natural Cx/06 X 2l</v>
      </c>
      <c r="F837" cm="1">
        <f t="array" ref="F837">INDEX('Linha 03'!$C$3:$ZZ$3,C837)</f>
        <v>20050031</v>
      </c>
      <c r="G837" t="str" cm="1">
        <f t="array" ref="G837">INDEX('Linha 03'!$C$2:$ZZ$2,C837)</f>
        <v>Desinfetante Ito Lavanda Cx/06 X 2l</v>
      </c>
      <c r="H837" s="5" cm="1">
        <f t="array" ref="H837">INDEX('Linha 03'!$C$4:$ZZ$1000,B837,C837)</f>
        <v>0</v>
      </c>
    </row>
    <row r="838" spans="1:8" x14ac:dyDescent="0.25">
      <c r="A838">
        <v>836</v>
      </c>
      <c r="B838">
        <f t="shared" si="26"/>
        <v>21</v>
      </c>
      <c r="C838">
        <f t="shared" si="27"/>
        <v>16</v>
      </c>
      <c r="D838" cm="1">
        <f t="array" ref="D838">INDEX('Linha 03'!$A$4:$A$1000,B838)</f>
        <v>20050117</v>
      </c>
      <c r="E838" t="str" cm="1">
        <f t="array" ref="E838">INDEX('Linha 03'!$B$4:$B$1000,B838)</f>
        <v>Desinfetante Aquafast Harmonia Natural Cx/06 X 2l</v>
      </c>
      <c r="F838" cm="1">
        <f t="array" ref="F838">INDEX('Linha 03'!$C$3:$ZZ$3,C838)</f>
        <v>20050032</v>
      </c>
      <c r="G838" t="str" cm="1">
        <f t="array" ref="G838">INDEX('Linha 03'!$C$2:$ZZ$2,C838)</f>
        <v>Desinfetante Ito Floral Cx/06 X 2l</v>
      </c>
      <c r="H838" s="5" cm="1">
        <f t="array" ref="H838">INDEX('Linha 03'!$C$4:$ZZ$1000,B838,C838)</f>
        <v>0</v>
      </c>
    </row>
    <row r="839" spans="1:8" x14ac:dyDescent="0.25">
      <c r="A839">
        <v>837</v>
      </c>
      <c r="B839">
        <f t="shared" si="26"/>
        <v>21</v>
      </c>
      <c r="C839">
        <f t="shared" si="27"/>
        <v>17</v>
      </c>
      <c r="D839" cm="1">
        <f t="array" ref="D839">INDEX('Linha 03'!$A$4:$A$1000,B839)</f>
        <v>20050117</v>
      </c>
      <c r="E839" t="str" cm="1">
        <f t="array" ref="E839">INDEX('Linha 03'!$B$4:$B$1000,B839)</f>
        <v>Desinfetante Aquafast Harmonia Natural Cx/06 X 2l</v>
      </c>
      <c r="F839" cm="1">
        <f t="array" ref="F839">INDEX('Linha 03'!$C$3:$ZZ$3,C839)</f>
        <v>20050034</v>
      </c>
      <c r="G839" t="str" cm="1">
        <f t="array" ref="G839">INDEX('Linha 03'!$C$2:$ZZ$2,C839)</f>
        <v>Desinfetante Ito Eucalipto Cx/06 X 2l</v>
      </c>
      <c r="H839" s="5" cm="1">
        <f t="array" ref="H839">INDEX('Linha 03'!$C$4:$ZZ$1000,B839,C839)</f>
        <v>0</v>
      </c>
    </row>
    <row r="840" spans="1:8" x14ac:dyDescent="0.25">
      <c r="A840">
        <v>838</v>
      </c>
      <c r="B840">
        <f t="shared" si="26"/>
        <v>21</v>
      </c>
      <c r="C840">
        <f t="shared" si="27"/>
        <v>18</v>
      </c>
      <c r="D840" cm="1">
        <f t="array" ref="D840">INDEX('Linha 03'!$A$4:$A$1000,B840)</f>
        <v>20050117</v>
      </c>
      <c r="E840" t="str" cm="1">
        <f t="array" ref="E840">INDEX('Linha 03'!$B$4:$B$1000,B840)</f>
        <v>Desinfetante Aquafast Harmonia Natural Cx/06 X 2l</v>
      </c>
      <c r="F840" cm="1">
        <f t="array" ref="F840">INDEX('Linha 03'!$C$3:$ZZ$3,C840)</f>
        <v>20050077</v>
      </c>
      <c r="G840" t="str" cm="1">
        <f t="array" ref="G840">INDEX('Linha 03'!$C$2:$ZZ$2,C840)</f>
        <v>Desinfetante Myata Lavanda Cx/06 X 2l</v>
      </c>
      <c r="H840" s="5" cm="1">
        <f t="array" ref="H840">INDEX('Linha 03'!$C$4:$ZZ$1000,B840,C840)</f>
        <v>0</v>
      </c>
    </row>
    <row r="841" spans="1:8" x14ac:dyDescent="0.25">
      <c r="A841">
        <v>839</v>
      </c>
      <c r="B841">
        <f t="shared" si="26"/>
        <v>21</v>
      </c>
      <c r="C841">
        <f t="shared" si="27"/>
        <v>19</v>
      </c>
      <c r="D841" cm="1">
        <f t="array" ref="D841">INDEX('Linha 03'!$A$4:$A$1000,B841)</f>
        <v>20050117</v>
      </c>
      <c r="E841" t="str" cm="1">
        <f t="array" ref="E841">INDEX('Linha 03'!$B$4:$B$1000,B841)</f>
        <v>Desinfetante Aquafast Harmonia Natural Cx/06 X 2l</v>
      </c>
      <c r="F841" cm="1">
        <f t="array" ref="F841">INDEX('Linha 03'!$C$3:$ZZ$3,C841)</f>
        <v>20050078</v>
      </c>
      <c r="G841" t="str" cm="1">
        <f t="array" ref="G841">INDEX('Linha 03'!$C$2:$ZZ$2,C841)</f>
        <v>Desinfetante Myata Floral Cx/06 X 2l</v>
      </c>
      <c r="H841" s="5" cm="1">
        <f t="array" ref="H841">INDEX('Linha 03'!$C$4:$ZZ$1000,B841,C841)</f>
        <v>0</v>
      </c>
    </row>
    <row r="842" spans="1:8" x14ac:dyDescent="0.25">
      <c r="A842">
        <v>840</v>
      </c>
      <c r="B842">
        <f t="shared" si="26"/>
        <v>21</v>
      </c>
      <c r="C842">
        <f t="shared" si="27"/>
        <v>20</v>
      </c>
      <c r="D842" cm="1">
        <f t="array" ref="D842">INDEX('Linha 03'!$A$4:$A$1000,B842)</f>
        <v>20050117</v>
      </c>
      <c r="E842" t="str" cm="1">
        <f t="array" ref="E842">INDEX('Linha 03'!$B$4:$B$1000,B842)</f>
        <v>Desinfetante Aquafast Harmonia Natural Cx/06 X 2l</v>
      </c>
      <c r="F842" cm="1">
        <f t="array" ref="F842">INDEX('Linha 03'!$C$3:$ZZ$3,C842)</f>
        <v>20050115</v>
      </c>
      <c r="G842" t="str" cm="1">
        <f t="array" ref="G842">INDEX('Linha 03'!$C$2:$ZZ$2,C842)</f>
        <v>Desinfetante Aquafast Paixao Cx/06 X 2l</v>
      </c>
      <c r="H842" s="5" cm="1">
        <f t="array" ref="H842">INDEX('Linha 03'!$C$4:$ZZ$1000,B842,C842)</f>
        <v>0</v>
      </c>
    </row>
    <row r="843" spans="1:8" x14ac:dyDescent="0.25">
      <c r="A843">
        <v>841</v>
      </c>
      <c r="B843">
        <f t="shared" si="26"/>
        <v>21</v>
      </c>
      <c r="C843">
        <f t="shared" si="27"/>
        <v>21</v>
      </c>
      <c r="D843" cm="1">
        <f t="array" ref="D843">INDEX('Linha 03'!$A$4:$A$1000,B843)</f>
        <v>20050117</v>
      </c>
      <c r="E843" t="str" cm="1">
        <f t="array" ref="E843">INDEX('Linha 03'!$B$4:$B$1000,B843)</f>
        <v>Desinfetante Aquafast Harmonia Natural Cx/06 X 2l</v>
      </c>
      <c r="F843" cm="1">
        <f t="array" ref="F843">INDEX('Linha 03'!$C$3:$ZZ$3,C843)</f>
        <v>20050117</v>
      </c>
      <c r="G843" t="str" cm="1">
        <f t="array" ref="G843">INDEX('Linha 03'!$C$2:$ZZ$2,C843)</f>
        <v>Desinfetante Aquafast Harmonia Natural Cx/06 X 2l</v>
      </c>
      <c r="H843" s="5" cm="1">
        <f t="array" ref="H843">INDEX('Linha 03'!$C$4:$ZZ$1000,B843,C843)</f>
        <v>0</v>
      </c>
    </row>
    <row r="844" spans="1:8" x14ac:dyDescent="0.25">
      <c r="A844">
        <v>842</v>
      </c>
      <c r="B844">
        <f t="shared" si="26"/>
        <v>21</v>
      </c>
      <c r="C844">
        <f t="shared" si="27"/>
        <v>22</v>
      </c>
      <c r="D844" cm="1">
        <f t="array" ref="D844">INDEX('Linha 03'!$A$4:$A$1000,B844)</f>
        <v>20050117</v>
      </c>
      <c r="E844" t="str" cm="1">
        <f t="array" ref="E844">INDEX('Linha 03'!$B$4:$B$1000,B844)</f>
        <v>Desinfetante Aquafast Harmonia Natural Cx/06 X 2l</v>
      </c>
      <c r="F844" cm="1">
        <f t="array" ref="F844">INDEX('Linha 03'!$C$3:$ZZ$3,C844)</f>
        <v>20050123</v>
      </c>
      <c r="G844" t="str" cm="1">
        <f t="array" ref="G844">INDEX('Linha 03'!$C$2:$ZZ$2,C844)</f>
        <v>Desinfetante Ito Harmonia Natural Cx/06 X 2l</v>
      </c>
      <c r="H844" s="5" cm="1">
        <f t="array" ref="H844">INDEX('Linha 03'!$C$4:$ZZ$1000,B844,C844)</f>
        <v>0</v>
      </c>
    </row>
    <row r="845" spans="1:8" x14ac:dyDescent="0.25">
      <c r="A845">
        <v>843</v>
      </c>
      <c r="B845">
        <f t="shared" si="26"/>
        <v>21</v>
      </c>
      <c r="C845">
        <f t="shared" si="27"/>
        <v>23</v>
      </c>
      <c r="D845" cm="1">
        <f t="array" ref="D845">INDEX('Linha 03'!$A$4:$A$1000,B845)</f>
        <v>20050117</v>
      </c>
      <c r="E845" t="str" cm="1">
        <f t="array" ref="E845">INDEX('Linha 03'!$B$4:$B$1000,B845)</f>
        <v>Desinfetante Aquafast Harmonia Natural Cx/06 X 2l</v>
      </c>
      <c r="F845" cm="1">
        <f t="array" ref="F845">INDEX('Linha 03'!$C$3:$ZZ$3,C845)</f>
        <v>20050124</v>
      </c>
      <c r="G845" t="str" cm="1">
        <f t="array" ref="G845">INDEX('Linha 03'!$C$2:$ZZ$2,C845)</f>
        <v>Desinfetante Myata Harmonia Natural Cx/06 X 2l</v>
      </c>
      <c r="H845" s="5" cm="1">
        <f t="array" ref="H845">INDEX('Linha 03'!$C$4:$ZZ$1000,B845,C845)</f>
        <v>0</v>
      </c>
    </row>
    <row r="846" spans="1:8" x14ac:dyDescent="0.25">
      <c r="A846">
        <v>844</v>
      </c>
      <c r="B846">
        <f t="shared" si="26"/>
        <v>21</v>
      </c>
      <c r="C846">
        <f t="shared" si="27"/>
        <v>24</v>
      </c>
      <c r="D846" cm="1">
        <f t="array" ref="D846">INDEX('Linha 03'!$A$4:$A$1000,B846)</f>
        <v>20050117</v>
      </c>
      <c r="E846" t="str" cm="1">
        <f t="array" ref="E846">INDEX('Linha 03'!$B$4:$B$1000,B846)</f>
        <v>Desinfetante Aquafast Harmonia Natural Cx/06 X 2l</v>
      </c>
      <c r="F846" cm="1">
        <f t="array" ref="F846">INDEX('Linha 03'!$C$3:$ZZ$3,C846)</f>
        <v>20050142</v>
      </c>
      <c r="G846" t="str" cm="1">
        <f t="array" ref="G846">INDEX('Linha 03'!$C$2:$ZZ$2,C846)</f>
        <v>Desinfetante Ito Marine Cx/06 X 2l</v>
      </c>
      <c r="H846" s="5" cm="1">
        <f t="array" ref="H846">INDEX('Linha 03'!$C$4:$ZZ$1000,B846,C846)</f>
        <v>0</v>
      </c>
    </row>
    <row r="847" spans="1:8" x14ac:dyDescent="0.25">
      <c r="A847">
        <v>845</v>
      </c>
      <c r="B847">
        <f t="shared" si="26"/>
        <v>21</v>
      </c>
      <c r="C847">
        <f t="shared" si="27"/>
        <v>25</v>
      </c>
      <c r="D847" cm="1">
        <f t="array" ref="D847">INDEX('Linha 03'!$A$4:$A$1000,B847)</f>
        <v>20050117</v>
      </c>
      <c r="E847" t="str" cm="1">
        <f t="array" ref="E847">INDEX('Linha 03'!$B$4:$B$1000,B847)</f>
        <v>Desinfetante Aquafast Harmonia Natural Cx/06 X 2l</v>
      </c>
      <c r="F847" cm="1">
        <f t="array" ref="F847">INDEX('Linha 03'!$C$3:$ZZ$3,C847)</f>
        <v>20050159</v>
      </c>
      <c r="G847" t="str" cm="1">
        <f t="array" ref="G847">INDEX('Linha 03'!$C$2:$ZZ$2,C847)</f>
        <v>Desinfetante Aquafast Cha Branco Cx/06 X 2l</v>
      </c>
      <c r="H847" s="5" cm="1">
        <f t="array" ref="H847">INDEX('Linha 03'!$C$4:$ZZ$1000,B847,C847)</f>
        <v>1.38888888888889E-2</v>
      </c>
    </row>
    <row r="848" spans="1:8" x14ac:dyDescent="0.25">
      <c r="A848">
        <v>846</v>
      </c>
      <c r="B848">
        <f t="shared" si="26"/>
        <v>21</v>
      </c>
      <c r="C848">
        <f t="shared" si="27"/>
        <v>26</v>
      </c>
      <c r="D848" cm="1">
        <f t="array" ref="D848">INDEX('Linha 03'!$A$4:$A$1000,B848)</f>
        <v>20050117</v>
      </c>
      <c r="E848" t="str" cm="1">
        <f t="array" ref="E848">INDEX('Linha 03'!$B$4:$B$1000,B848)</f>
        <v>Desinfetante Aquafast Harmonia Natural Cx/06 X 2l</v>
      </c>
      <c r="F848" cm="1">
        <f t="array" ref="F848">INDEX('Linha 03'!$C$3:$ZZ$3,C848)</f>
        <v>20060007</v>
      </c>
      <c r="G848" t="str" cm="1">
        <f t="array" ref="G848">INDEX('Linha 03'!$C$2:$ZZ$2,C848)</f>
        <v>Limp Perf Aquafast Magia Seducao Cx/06 X 2l (Promoc)</v>
      </c>
      <c r="H848" s="5" cm="1">
        <f t="array" ref="H848">INDEX('Linha 03'!$C$4:$ZZ$1000,B848,C848)</f>
        <v>0</v>
      </c>
    </row>
    <row r="849" spans="1:8" x14ac:dyDescent="0.25">
      <c r="A849">
        <v>847</v>
      </c>
      <c r="B849">
        <f t="shared" si="26"/>
        <v>21</v>
      </c>
      <c r="C849">
        <f t="shared" si="27"/>
        <v>27</v>
      </c>
      <c r="D849" cm="1">
        <f t="array" ref="D849">INDEX('Linha 03'!$A$4:$A$1000,B849)</f>
        <v>20050117</v>
      </c>
      <c r="E849" t="str" cm="1">
        <f t="array" ref="E849">INDEX('Linha 03'!$B$4:$B$1000,B849)</f>
        <v>Desinfetante Aquafast Harmonia Natural Cx/06 X 2l</v>
      </c>
      <c r="F849" cm="1">
        <f t="array" ref="F849">INDEX('Linha 03'!$C$3:$ZZ$3,C849)</f>
        <v>20060009</v>
      </c>
      <c r="G849" t="str" cm="1">
        <f t="array" ref="G849">INDEX('Linha 03'!$C$2:$ZZ$2,C849)</f>
        <v>Limp Perf Aquafast Frescor Da Manha Cx/06 X 2l (Promoc)</v>
      </c>
      <c r="H849" s="5" cm="1">
        <f t="array" ref="H849">INDEX('Linha 03'!$C$4:$ZZ$1000,B849,C849)</f>
        <v>0</v>
      </c>
    </row>
    <row r="850" spans="1:8" x14ac:dyDescent="0.25">
      <c r="A850">
        <v>848</v>
      </c>
      <c r="B850">
        <f t="shared" si="26"/>
        <v>21</v>
      </c>
      <c r="C850">
        <f t="shared" si="27"/>
        <v>28</v>
      </c>
      <c r="D850" cm="1">
        <f t="array" ref="D850">INDEX('Linha 03'!$A$4:$A$1000,B850)</f>
        <v>20050117</v>
      </c>
      <c r="E850" t="str" cm="1">
        <f t="array" ref="E850">INDEX('Linha 03'!$B$4:$B$1000,B850)</f>
        <v>Desinfetante Aquafast Harmonia Natural Cx/06 X 2l</v>
      </c>
      <c r="F850" cm="1">
        <f t="array" ref="F850">INDEX('Linha 03'!$C$3:$ZZ$3,C850)</f>
        <v>20060017</v>
      </c>
      <c r="G850" t="str" cm="1">
        <f t="array" ref="G850">INDEX('Linha 03'!$C$2:$ZZ$2,C850)</f>
        <v>Limp Perf Aquafast Doce Romance Cx/06 X 2l (Promoc)</v>
      </c>
      <c r="H850" s="5" cm="1">
        <f t="array" ref="H850">INDEX('Linha 03'!$C$4:$ZZ$1000,B850,C850)</f>
        <v>0</v>
      </c>
    </row>
    <row r="851" spans="1:8" x14ac:dyDescent="0.25">
      <c r="A851">
        <v>849</v>
      </c>
      <c r="B851">
        <f t="shared" si="26"/>
        <v>21</v>
      </c>
      <c r="C851">
        <f t="shared" si="27"/>
        <v>29</v>
      </c>
      <c r="D851" cm="1">
        <f t="array" ref="D851">INDEX('Linha 03'!$A$4:$A$1000,B851)</f>
        <v>20050117</v>
      </c>
      <c r="E851" t="str" cm="1">
        <f t="array" ref="E851">INDEX('Linha 03'!$B$4:$B$1000,B851)</f>
        <v>Desinfetante Aquafast Harmonia Natural Cx/06 X 2l</v>
      </c>
      <c r="F851" cm="1">
        <f t="array" ref="F851">INDEX('Linha 03'!$C$3:$ZZ$3,C851)</f>
        <v>20060028</v>
      </c>
      <c r="G851" t="str" cm="1">
        <f t="array" ref="G851">INDEX('Linha 03'!$C$2:$ZZ$2,C851)</f>
        <v>Limp Perf Aquafast Essencia Natural Cx06 X 2l</v>
      </c>
      <c r="H851" s="5" cm="1">
        <f t="array" ref="H851">INDEX('Linha 03'!$C$4:$ZZ$1000,B851,C851)</f>
        <v>0</v>
      </c>
    </row>
    <row r="852" spans="1:8" x14ac:dyDescent="0.25">
      <c r="A852">
        <v>850</v>
      </c>
      <c r="B852">
        <f t="shared" si="26"/>
        <v>21</v>
      </c>
      <c r="C852">
        <f t="shared" si="27"/>
        <v>30</v>
      </c>
      <c r="D852" cm="1">
        <f t="array" ref="D852">INDEX('Linha 03'!$A$4:$A$1000,B852)</f>
        <v>20050117</v>
      </c>
      <c r="E852" t="str" cm="1">
        <f t="array" ref="E852">INDEX('Linha 03'!$B$4:$B$1000,B852)</f>
        <v>Desinfetante Aquafast Harmonia Natural Cx/06 X 2l</v>
      </c>
      <c r="F852" cm="1">
        <f t="array" ref="F852">INDEX('Linha 03'!$C$3:$ZZ$3,C852)</f>
        <v>20200003</v>
      </c>
      <c r="G852" t="str" cm="1">
        <f t="array" ref="G852">INDEX('Linha 03'!$C$2:$ZZ$2,C852)</f>
        <v>Lava Roup. Aquafast Baby Cx/12 X 1l</v>
      </c>
      <c r="H852" s="5" cm="1">
        <f t="array" ref="H852">INDEX('Linha 03'!$C$4:$ZZ$1000,B852,C852)</f>
        <v>0</v>
      </c>
    </row>
    <row r="853" spans="1:8" x14ac:dyDescent="0.25">
      <c r="A853">
        <v>851</v>
      </c>
      <c r="B853">
        <f t="shared" si="26"/>
        <v>21</v>
      </c>
      <c r="C853">
        <f t="shared" si="27"/>
        <v>31</v>
      </c>
      <c r="D853" cm="1">
        <f t="array" ref="D853">INDEX('Linha 03'!$A$4:$A$1000,B853)</f>
        <v>20050117</v>
      </c>
      <c r="E853" t="str" cm="1">
        <f t="array" ref="E853">INDEX('Linha 03'!$B$4:$B$1000,B853)</f>
        <v>Desinfetante Aquafast Harmonia Natural Cx/06 X 2l</v>
      </c>
      <c r="F853" cm="1">
        <f t="array" ref="F853">INDEX('Linha 03'!$C$3:$ZZ$3,C853)</f>
        <v>20200005</v>
      </c>
      <c r="G853" t="str" cm="1">
        <f t="array" ref="G853">INDEX('Linha 03'!$C$2:$ZZ$2,C853)</f>
        <v>Lava Roupas Aquafast Multi Acao Cx/06 X 2l</v>
      </c>
      <c r="H853" s="5" cm="1">
        <f t="array" ref="H853">INDEX('Linha 03'!$C$4:$ZZ$1000,B853,C853)</f>
        <v>0</v>
      </c>
    </row>
    <row r="854" spans="1:8" x14ac:dyDescent="0.25">
      <c r="A854">
        <v>852</v>
      </c>
      <c r="B854">
        <f t="shared" si="26"/>
        <v>21</v>
      </c>
      <c r="C854">
        <f t="shared" si="27"/>
        <v>32</v>
      </c>
      <c r="D854" cm="1">
        <f t="array" ref="D854">INDEX('Linha 03'!$A$4:$A$1000,B854)</f>
        <v>20050117</v>
      </c>
      <c r="E854" t="str" cm="1">
        <f t="array" ref="E854">INDEX('Linha 03'!$B$4:$B$1000,B854)</f>
        <v>Desinfetante Aquafast Harmonia Natural Cx/06 X 2l</v>
      </c>
      <c r="F854" cm="1">
        <f t="array" ref="F854">INDEX('Linha 03'!$C$3:$ZZ$3,C854)</f>
        <v>20200006</v>
      </c>
      <c r="G854" t="str" cm="1">
        <f t="array" ref="G854">INDEX('Linha 03'!$C$2:$ZZ$2,C854)</f>
        <v>Lava Roupas Aquafast Glicerina Cx/06 X 2l</v>
      </c>
      <c r="H854" s="5" cm="1">
        <f t="array" ref="H854">INDEX('Linha 03'!$C$4:$ZZ$1000,B854,C854)</f>
        <v>0</v>
      </c>
    </row>
    <row r="855" spans="1:8" x14ac:dyDescent="0.25">
      <c r="A855">
        <v>853</v>
      </c>
      <c r="B855">
        <f t="shared" si="26"/>
        <v>21</v>
      </c>
      <c r="C855">
        <f t="shared" si="27"/>
        <v>33</v>
      </c>
      <c r="D855" cm="1">
        <f t="array" ref="D855">INDEX('Linha 03'!$A$4:$A$1000,B855)</f>
        <v>20050117</v>
      </c>
      <c r="E855" t="str" cm="1">
        <f t="array" ref="E855">INDEX('Linha 03'!$B$4:$B$1000,B855)</f>
        <v>Desinfetante Aquafast Harmonia Natural Cx/06 X 2l</v>
      </c>
      <c r="F855" cm="1">
        <f t="array" ref="F855">INDEX('Linha 03'!$C$3:$ZZ$3,C855)</f>
        <v>20200015</v>
      </c>
      <c r="G855" t="str" cm="1">
        <f t="array" ref="G855">INDEX('Linha 03'!$C$2:$ZZ$2,C855)</f>
        <v>Lava Roup. Aquafast Multiacao Cx/12 X 1l</v>
      </c>
      <c r="H855" s="5" cm="1">
        <f t="array" ref="H855">INDEX('Linha 03'!$C$4:$ZZ$1000,B855,C855)</f>
        <v>0</v>
      </c>
    </row>
    <row r="856" spans="1:8" x14ac:dyDescent="0.25">
      <c r="A856">
        <v>854</v>
      </c>
      <c r="B856">
        <f t="shared" si="26"/>
        <v>21</v>
      </c>
      <c r="C856">
        <f t="shared" si="27"/>
        <v>34</v>
      </c>
      <c r="D856" cm="1">
        <f t="array" ref="D856">INDEX('Linha 03'!$A$4:$A$1000,B856)</f>
        <v>20050117</v>
      </c>
      <c r="E856" t="str" cm="1">
        <f t="array" ref="E856">INDEX('Linha 03'!$B$4:$B$1000,B856)</f>
        <v>Desinfetante Aquafast Harmonia Natural Cx/06 X 2l</v>
      </c>
      <c r="F856" cm="1">
        <f t="array" ref="F856">INDEX('Linha 03'!$C$3:$ZZ$3,C856)</f>
        <v>20200036</v>
      </c>
      <c r="G856" t="str" cm="1">
        <f t="array" ref="G856">INDEX('Linha 03'!$C$2:$ZZ$2,C856)</f>
        <v>Lava Roupas Aquafast Ternura Cx/06 X 2l</v>
      </c>
      <c r="H856" s="5" cm="1">
        <f t="array" ref="H856">INDEX('Linha 03'!$C$4:$ZZ$1000,B856,C856)</f>
        <v>0</v>
      </c>
    </row>
    <row r="857" spans="1:8" x14ac:dyDescent="0.25">
      <c r="A857">
        <v>855</v>
      </c>
      <c r="B857">
        <f t="shared" si="26"/>
        <v>21</v>
      </c>
      <c r="C857">
        <f t="shared" si="27"/>
        <v>35</v>
      </c>
      <c r="D857" cm="1">
        <f t="array" ref="D857">INDEX('Linha 03'!$A$4:$A$1000,B857)</f>
        <v>20050117</v>
      </c>
      <c r="E857" t="str" cm="1">
        <f t="array" ref="E857">INDEX('Linha 03'!$B$4:$B$1000,B857)</f>
        <v>Desinfetante Aquafast Harmonia Natural Cx/06 X 2l</v>
      </c>
      <c r="F857" cm="1">
        <f t="array" ref="F857">INDEX('Linha 03'!$C$3:$ZZ$3,C857)</f>
        <v>20200063</v>
      </c>
      <c r="G857" t="str" cm="1">
        <f t="array" ref="G857">INDEX('Linha 03'!$C$2:$ZZ$2,C857)</f>
        <v>Lava Roup. Aquafast Tradicional Cx/12 X 1l</v>
      </c>
      <c r="H857" s="5" cm="1">
        <f t="array" ref="H857">INDEX('Linha 03'!$C$4:$ZZ$1000,B857,C857)</f>
        <v>0</v>
      </c>
    </row>
    <row r="858" spans="1:8" x14ac:dyDescent="0.25">
      <c r="A858">
        <v>856</v>
      </c>
      <c r="B858">
        <f t="shared" si="26"/>
        <v>21</v>
      </c>
      <c r="C858">
        <f t="shared" si="27"/>
        <v>36</v>
      </c>
      <c r="D858" cm="1">
        <f t="array" ref="D858">INDEX('Linha 03'!$A$4:$A$1000,B858)</f>
        <v>20050117</v>
      </c>
      <c r="E858" t="str" cm="1">
        <f t="array" ref="E858">INDEX('Linha 03'!$B$4:$B$1000,B858)</f>
        <v>Desinfetante Aquafast Harmonia Natural Cx/06 X 2l</v>
      </c>
      <c r="F858" cm="1">
        <f t="array" ref="F858">INDEX('Linha 03'!$C$3:$ZZ$3,C858)</f>
        <v>20200064</v>
      </c>
      <c r="G858" t="str" cm="1">
        <f t="array" ref="G858">INDEX('Linha 03'!$C$2:$ZZ$2,C858)</f>
        <v>Lava Roup. Aquafast Flores B. E Baunilha Cx/12 X 1l</v>
      </c>
      <c r="H858" s="5" cm="1">
        <f t="array" ref="H858">INDEX('Linha 03'!$C$4:$ZZ$1000,B858,C858)</f>
        <v>0</v>
      </c>
    </row>
    <row r="859" spans="1:8" x14ac:dyDescent="0.25">
      <c r="A859">
        <v>857</v>
      </c>
      <c r="B859">
        <f t="shared" si="26"/>
        <v>21</v>
      </c>
      <c r="C859">
        <f t="shared" si="27"/>
        <v>37</v>
      </c>
      <c r="D859" cm="1">
        <f t="array" ref="D859">INDEX('Linha 03'!$A$4:$A$1000,B859)</f>
        <v>20050117</v>
      </c>
      <c r="E859" t="str" cm="1">
        <f t="array" ref="E859">INDEX('Linha 03'!$B$4:$B$1000,B859)</f>
        <v>Desinfetante Aquafast Harmonia Natural Cx/06 X 2l</v>
      </c>
      <c r="F859" cm="1">
        <f t="array" ref="F859">INDEX('Linha 03'!$C$3:$ZZ$3,C859)</f>
        <v>20200065</v>
      </c>
      <c r="G859" t="str" cm="1">
        <f t="array" ref="G859">INDEX('Linha 03'!$C$2:$ZZ$2,C859)</f>
        <v>Lava Roupas Aquafast Flores B. E Baunilha Cx/06 X 2l</v>
      </c>
      <c r="H859" s="5" cm="1">
        <f t="array" ref="H859">INDEX('Linha 03'!$C$4:$ZZ$1000,B859,C859)</f>
        <v>0</v>
      </c>
    </row>
    <row r="860" spans="1:8" x14ac:dyDescent="0.25">
      <c r="A860">
        <v>858</v>
      </c>
      <c r="B860">
        <f t="shared" si="26"/>
        <v>21</v>
      </c>
      <c r="C860">
        <f t="shared" si="27"/>
        <v>38</v>
      </c>
      <c r="D860" cm="1">
        <f t="array" ref="D860">INDEX('Linha 03'!$A$4:$A$1000,B860)</f>
        <v>20050117</v>
      </c>
      <c r="E860" t="str" cm="1">
        <f t="array" ref="E860">INDEX('Linha 03'!$B$4:$B$1000,B860)</f>
        <v>Desinfetante Aquafast Harmonia Natural Cx/06 X 2l</v>
      </c>
      <c r="F860" cm="1">
        <f t="array" ref="F860">INDEX('Linha 03'!$C$3:$ZZ$3,C860)</f>
        <v>20200072</v>
      </c>
      <c r="G860" t="str" cm="1">
        <f t="array" ref="G860">INDEX('Linha 03'!$C$2:$ZZ$2,C860)</f>
        <v>Lava Roupas Aquafast Lavagem Rapida Total Clean Cx/12 X 1l</v>
      </c>
      <c r="H860" s="5" cm="1">
        <f t="array" ref="H860">INDEX('Linha 03'!$C$4:$ZZ$1000,B860,C860)</f>
        <v>0</v>
      </c>
    </row>
    <row r="861" spans="1:8" x14ac:dyDescent="0.25">
      <c r="A861">
        <v>859</v>
      </c>
      <c r="B861">
        <f t="shared" si="26"/>
        <v>21</v>
      </c>
      <c r="C861">
        <f t="shared" si="27"/>
        <v>39</v>
      </c>
      <c r="D861" cm="1">
        <f t="array" ref="D861">INDEX('Linha 03'!$A$4:$A$1000,B861)</f>
        <v>20050117</v>
      </c>
      <c r="E861" t="str" cm="1">
        <f t="array" ref="E861">INDEX('Linha 03'!$B$4:$B$1000,B861)</f>
        <v>Desinfetante Aquafast Harmonia Natural Cx/06 X 2l</v>
      </c>
      <c r="F861" cm="1">
        <f t="array" ref="F861">INDEX('Linha 03'!$C$3:$ZZ$3,C861)</f>
        <v>20200074</v>
      </c>
      <c r="G861" t="str" cm="1">
        <f t="array" ref="G861">INDEX('Linha 03'!$C$2:$ZZ$2,C861)</f>
        <v>Lava Roupas Aquafast Lavagem Rapida Fresh Clean Cx/12 X 1l</v>
      </c>
      <c r="H861" s="5" cm="1">
        <f t="array" ref="H861">INDEX('Linha 03'!$C$4:$ZZ$1000,B861,C861)</f>
        <v>0</v>
      </c>
    </row>
    <row r="862" spans="1:8" x14ac:dyDescent="0.25">
      <c r="A862">
        <v>860</v>
      </c>
      <c r="B862">
        <f t="shared" si="26"/>
        <v>21</v>
      </c>
      <c r="C862">
        <f t="shared" si="27"/>
        <v>40</v>
      </c>
      <c r="D862" cm="1">
        <f t="array" ref="D862">INDEX('Linha 03'!$A$4:$A$1000,B862)</f>
        <v>20050117</v>
      </c>
      <c r="E862" t="str" cm="1">
        <f t="array" ref="E862">INDEX('Linha 03'!$B$4:$B$1000,B862)</f>
        <v>Desinfetante Aquafast Harmonia Natural Cx/06 X 2l</v>
      </c>
      <c r="F862" cm="1">
        <f t="array" ref="F862">INDEX('Linha 03'!$C$3:$ZZ$3,C862)</f>
        <v>20250005</v>
      </c>
      <c r="G862" t="str" cm="1">
        <f t="array" ref="G862">INDEX('Linha 03'!$C$2:$ZZ$2,C862)</f>
        <v>Neutralizador De Odores Aquafast Floral Cx/06 X 2l</v>
      </c>
      <c r="H862" s="5" cm="1">
        <f t="array" ref="H862">INDEX('Linha 03'!$C$4:$ZZ$1000,B862,C862)</f>
        <v>0</v>
      </c>
    </row>
    <row r="863" spans="1:8" x14ac:dyDescent="0.25">
      <c r="A863">
        <v>861</v>
      </c>
      <c r="B863">
        <f t="shared" si="26"/>
        <v>21</v>
      </c>
      <c r="C863">
        <f t="shared" si="27"/>
        <v>41</v>
      </c>
      <c r="D863" cm="1">
        <f t="array" ref="D863">INDEX('Linha 03'!$A$4:$A$1000,B863)</f>
        <v>20050117</v>
      </c>
      <c r="E863" t="str" cm="1">
        <f t="array" ref="E863">INDEX('Linha 03'!$B$4:$B$1000,B863)</f>
        <v>Desinfetante Aquafast Harmonia Natural Cx/06 X 2l</v>
      </c>
      <c r="F863" cm="1">
        <f t="array" ref="F863">INDEX('Linha 03'!$C$3:$ZZ$3,C863)</f>
        <v>20250007</v>
      </c>
      <c r="G863" t="str" cm="1">
        <f t="array" ref="G863">INDEX('Linha 03'!$C$2:$ZZ$2,C863)</f>
        <v>Neutralizador De Odores Aquafast Marine Cx/06 2l</v>
      </c>
      <c r="H863" s="5" cm="1">
        <f t="array" ref="H863">INDEX('Linha 03'!$C$4:$ZZ$1000,B863,C863)</f>
        <v>0</v>
      </c>
    </row>
    <row r="864" spans="1:8" x14ac:dyDescent="0.25">
      <c r="A864">
        <v>862</v>
      </c>
      <c r="B864">
        <f t="shared" si="26"/>
        <v>22</v>
      </c>
      <c r="C864">
        <f t="shared" si="27"/>
        <v>1</v>
      </c>
      <c r="D864" cm="1">
        <f t="array" ref="D864">INDEX('Linha 03'!$A$4:$A$1000,B864)</f>
        <v>20050123</v>
      </c>
      <c r="E864" t="str" cm="1">
        <f t="array" ref="E864">INDEX('Linha 03'!$B$4:$B$1000,B864)</f>
        <v>Desinfetante Ito Harmonia Natural Cx/06 X 2l</v>
      </c>
      <c r="F864" cm="1">
        <f t="array" ref="F864">INDEX('Linha 03'!$C$3:$ZZ$3,C864)</f>
        <v>20040006</v>
      </c>
      <c r="G864" t="str" cm="1">
        <f t="array" ref="G864">INDEX('Linha 03'!$C$2:$ZZ$2,C864)</f>
        <v>Amaciante Aquafast Azul Fresc. Manha Cx/06 X 2l</v>
      </c>
      <c r="H864" s="5" cm="1">
        <f t="array" ref="H864">INDEX('Linha 03'!$C$4:$ZZ$1000,B864,C864)</f>
        <v>0</v>
      </c>
    </row>
    <row r="865" spans="1:8" x14ac:dyDescent="0.25">
      <c r="A865">
        <v>863</v>
      </c>
      <c r="B865">
        <f t="shared" si="26"/>
        <v>22</v>
      </c>
      <c r="C865">
        <f t="shared" si="27"/>
        <v>2</v>
      </c>
      <c r="D865" cm="1">
        <f t="array" ref="D865">INDEX('Linha 03'!$A$4:$A$1000,B865)</f>
        <v>20050123</v>
      </c>
      <c r="E865" t="str" cm="1">
        <f t="array" ref="E865">INDEX('Linha 03'!$B$4:$B$1000,B865)</f>
        <v>Desinfetante Ito Harmonia Natural Cx/06 X 2l</v>
      </c>
      <c r="F865" cm="1">
        <f t="array" ref="F865">INDEX('Linha 03'!$C$3:$ZZ$3,C865)</f>
        <v>20040008</v>
      </c>
      <c r="G865" t="str" cm="1">
        <f t="array" ref="G865">INDEX('Linha 03'!$C$2:$ZZ$2,C865)</f>
        <v>Amaciante Aquafast Rosa Jard. Florid Cx/06 X 2l</v>
      </c>
      <c r="H865" s="5" cm="1">
        <f t="array" ref="H865">INDEX('Linha 03'!$C$4:$ZZ$1000,B865,C865)</f>
        <v>0</v>
      </c>
    </row>
    <row r="866" spans="1:8" x14ac:dyDescent="0.25">
      <c r="A866">
        <v>864</v>
      </c>
      <c r="B866">
        <f t="shared" si="26"/>
        <v>22</v>
      </c>
      <c r="C866">
        <f t="shared" si="27"/>
        <v>3</v>
      </c>
      <c r="D866" cm="1">
        <f t="array" ref="D866">INDEX('Linha 03'!$A$4:$A$1000,B866)</f>
        <v>20050123</v>
      </c>
      <c r="E866" t="str" cm="1">
        <f t="array" ref="E866">INDEX('Linha 03'!$B$4:$B$1000,B866)</f>
        <v>Desinfetante Ito Harmonia Natural Cx/06 X 2l</v>
      </c>
      <c r="F866" cm="1">
        <f t="array" ref="F866">INDEX('Linha 03'!$C$3:$ZZ$3,C866)</f>
        <v>20040009</v>
      </c>
      <c r="G866" t="str" cm="1">
        <f t="array" ref="G866">INDEX('Linha 03'!$C$2:$ZZ$2,C866)</f>
        <v>Amaciante Aquafast Branco Pura Caric. Cx/06 X 2l</v>
      </c>
      <c r="H866" s="5" cm="1">
        <f t="array" ref="H866">INDEX('Linha 03'!$C$4:$ZZ$1000,B866,C866)</f>
        <v>0</v>
      </c>
    </row>
    <row r="867" spans="1:8" x14ac:dyDescent="0.25">
      <c r="A867">
        <v>865</v>
      </c>
      <c r="B867">
        <f t="shared" si="26"/>
        <v>22</v>
      </c>
      <c r="C867">
        <f t="shared" si="27"/>
        <v>4</v>
      </c>
      <c r="D867" cm="1">
        <f t="array" ref="D867">INDEX('Linha 03'!$A$4:$A$1000,B867)</f>
        <v>20050123</v>
      </c>
      <c r="E867" t="str" cm="1">
        <f t="array" ref="E867">INDEX('Linha 03'!$B$4:$B$1000,B867)</f>
        <v>Desinfetante Ito Harmonia Natural Cx/06 X 2l</v>
      </c>
      <c r="F867" cm="1">
        <f t="array" ref="F867">INDEX('Linha 03'!$C$3:$ZZ$3,C867)</f>
        <v>20040026</v>
      </c>
      <c r="G867" t="str" cm="1">
        <f t="array" ref="G867">INDEX('Linha 03'!$C$2:$ZZ$2,C867)</f>
        <v>Amaciante Ito Azul Cx/06 X 2l</v>
      </c>
      <c r="H867" s="5" cm="1">
        <f t="array" ref="H867">INDEX('Linha 03'!$C$4:$ZZ$1000,B867,C867)</f>
        <v>0</v>
      </c>
    </row>
    <row r="868" spans="1:8" x14ac:dyDescent="0.25">
      <c r="A868">
        <v>866</v>
      </c>
      <c r="B868">
        <f t="shared" si="26"/>
        <v>22</v>
      </c>
      <c r="C868">
        <f t="shared" si="27"/>
        <v>5</v>
      </c>
      <c r="D868" cm="1">
        <f t="array" ref="D868">INDEX('Linha 03'!$A$4:$A$1000,B868)</f>
        <v>20050123</v>
      </c>
      <c r="E868" t="str" cm="1">
        <f t="array" ref="E868">INDEX('Linha 03'!$B$4:$B$1000,B868)</f>
        <v>Desinfetante Ito Harmonia Natural Cx/06 X 2l</v>
      </c>
      <c r="F868" cm="1">
        <f t="array" ref="F868">INDEX('Linha 03'!$C$3:$ZZ$3,C868)</f>
        <v>20040028</v>
      </c>
      <c r="G868" t="str" cm="1">
        <f t="array" ref="G868">INDEX('Linha 03'!$C$2:$ZZ$2,C868)</f>
        <v>Amaciante Ito Rosa Cx/06 X 2l</v>
      </c>
      <c r="H868" s="5" cm="1">
        <f t="array" ref="H868">INDEX('Linha 03'!$C$4:$ZZ$1000,B868,C868)</f>
        <v>0</v>
      </c>
    </row>
    <row r="869" spans="1:8" x14ac:dyDescent="0.25">
      <c r="A869">
        <v>867</v>
      </c>
      <c r="B869">
        <f t="shared" si="26"/>
        <v>22</v>
      </c>
      <c r="C869">
        <f t="shared" si="27"/>
        <v>6</v>
      </c>
      <c r="D869" cm="1">
        <f t="array" ref="D869">INDEX('Linha 03'!$A$4:$A$1000,B869)</f>
        <v>20050123</v>
      </c>
      <c r="E869" t="str" cm="1">
        <f t="array" ref="E869">INDEX('Linha 03'!$B$4:$B$1000,B869)</f>
        <v>Desinfetante Ito Harmonia Natural Cx/06 X 2l</v>
      </c>
      <c r="F869" cm="1">
        <f t="array" ref="F869">INDEX('Linha 03'!$C$3:$ZZ$3,C869)</f>
        <v>20040029</v>
      </c>
      <c r="G869" t="str" cm="1">
        <f t="array" ref="G869">INDEX('Linha 03'!$C$2:$ZZ$2,C869)</f>
        <v>Amaciante Ito Branco Cx/06 X 2l</v>
      </c>
      <c r="H869" s="5" cm="1">
        <f t="array" ref="H869">INDEX('Linha 03'!$C$4:$ZZ$1000,B869,C869)</f>
        <v>0</v>
      </c>
    </row>
    <row r="870" spans="1:8" x14ac:dyDescent="0.25">
      <c r="A870">
        <v>868</v>
      </c>
      <c r="B870">
        <f t="shared" si="26"/>
        <v>22</v>
      </c>
      <c r="C870">
        <f t="shared" si="27"/>
        <v>7</v>
      </c>
      <c r="D870" cm="1">
        <f t="array" ref="D870">INDEX('Linha 03'!$A$4:$A$1000,B870)</f>
        <v>20050123</v>
      </c>
      <c r="E870" t="str" cm="1">
        <f t="array" ref="E870">INDEX('Linha 03'!$B$4:$B$1000,B870)</f>
        <v>Desinfetante Ito Harmonia Natural Cx/06 X 2l</v>
      </c>
      <c r="F870" cm="1">
        <f t="array" ref="F870">INDEX('Linha 03'!$C$3:$ZZ$3,C870)</f>
        <v>20040055</v>
      </c>
      <c r="G870" t="str" cm="1">
        <f t="array" ref="G870">INDEX('Linha 03'!$C$2:$ZZ$2,C870)</f>
        <v>Amaciante Myata Azul Cx/06 X 2l</v>
      </c>
      <c r="H870" s="5" cm="1">
        <f t="array" ref="H870">INDEX('Linha 03'!$C$4:$ZZ$1000,B870,C870)</f>
        <v>0</v>
      </c>
    </row>
    <row r="871" spans="1:8" x14ac:dyDescent="0.25">
      <c r="A871">
        <v>869</v>
      </c>
      <c r="B871">
        <f t="shared" si="26"/>
        <v>22</v>
      </c>
      <c r="C871">
        <f t="shared" si="27"/>
        <v>8</v>
      </c>
      <c r="D871" cm="1">
        <f t="array" ref="D871">INDEX('Linha 03'!$A$4:$A$1000,B871)</f>
        <v>20050123</v>
      </c>
      <c r="E871" t="str" cm="1">
        <f t="array" ref="E871">INDEX('Linha 03'!$B$4:$B$1000,B871)</f>
        <v>Desinfetante Ito Harmonia Natural Cx/06 X 2l</v>
      </c>
      <c r="F871" cm="1">
        <f t="array" ref="F871">INDEX('Linha 03'!$C$3:$ZZ$3,C871)</f>
        <v>20040057</v>
      </c>
      <c r="G871" t="str" cm="1">
        <f t="array" ref="G871">INDEX('Linha 03'!$C$2:$ZZ$2,C871)</f>
        <v>Amaciante Myata Rosa Cx/06 X 2l</v>
      </c>
      <c r="H871" s="5" cm="1">
        <f t="array" ref="H871">INDEX('Linha 03'!$C$4:$ZZ$1000,B871,C871)</f>
        <v>0</v>
      </c>
    </row>
    <row r="872" spans="1:8" x14ac:dyDescent="0.25">
      <c r="A872">
        <v>870</v>
      </c>
      <c r="B872">
        <f t="shared" si="26"/>
        <v>22</v>
      </c>
      <c r="C872">
        <f t="shared" si="27"/>
        <v>9</v>
      </c>
      <c r="D872" cm="1">
        <f t="array" ref="D872">INDEX('Linha 03'!$A$4:$A$1000,B872)</f>
        <v>20050123</v>
      </c>
      <c r="E872" t="str" cm="1">
        <f t="array" ref="E872">INDEX('Linha 03'!$B$4:$B$1000,B872)</f>
        <v>Desinfetante Ito Harmonia Natural Cx/06 X 2l</v>
      </c>
      <c r="F872" cm="1">
        <f t="array" ref="F872">INDEX('Linha 03'!$C$3:$ZZ$3,C872)</f>
        <v>20040084</v>
      </c>
      <c r="G872" t="str" cm="1">
        <f t="array" ref="G872">INDEX('Linha 03'!$C$2:$ZZ$2,C872)</f>
        <v>Amaciante Aquafast Vermelho Seducao Cx C/06 X 2l</v>
      </c>
      <c r="H872" s="5" cm="1">
        <f t="array" ref="H872">INDEX('Linha 03'!$C$4:$ZZ$1000,B872,C872)</f>
        <v>0</v>
      </c>
    </row>
    <row r="873" spans="1:8" x14ac:dyDescent="0.25">
      <c r="A873">
        <v>871</v>
      </c>
      <c r="B873">
        <f t="shared" si="26"/>
        <v>22</v>
      </c>
      <c r="C873">
        <f t="shared" si="27"/>
        <v>10</v>
      </c>
      <c r="D873" cm="1">
        <f t="array" ref="D873">INDEX('Linha 03'!$A$4:$A$1000,B873)</f>
        <v>20050123</v>
      </c>
      <c r="E873" t="str" cm="1">
        <f t="array" ref="E873">INDEX('Linha 03'!$B$4:$B$1000,B873)</f>
        <v>Desinfetante Ito Harmonia Natural Cx/06 X 2l</v>
      </c>
      <c r="F873" cm="1">
        <f t="array" ref="F873">INDEX('Linha 03'!$C$3:$ZZ$3,C873)</f>
        <v>20040089</v>
      </c>
      <c r="G873" t="str" cm="1">
        <f t="array" ref="G873">INDEX('Linha 03'!$C$2:$ZZ$2,C873)</f>
        <v>Amaciante Aquafast Roxo Magia Cx/06 X 2l</v>
      </c>
      <c r="H873" s="5" cm="1">
        <f t="array" ref="H873">INDEX('Linha 03'!$C$4:$ZZ$1000,B873,C873)</f>
        <v>0</v>
      </c>
    </row>
    <row r="874" spans="1:8" x14ac:dyDescent="0.25">
      <c r="A874">
        <v>872</v>
      </c>
      <c r="B874">
        <f t="shared" si="26"/>
        <v>22</v>
      </c>
      <c r="C874">
        <f t="shared" si="27"/>
        <v>11</v>
      </c>
      <c r="D874" cm="1">
        <f t="array" ref="D874">INDEX('Linha 03'!$A$4:$A$1000,B874)</f>
        <v>20050123</v>
      </c>
      <c r="E874" t="str" cm="1">
        <f t="array" ref="E874">INDEX('Linha 03'!$B$4:$B$1000,B874)</f>
        <v>Desinfetante Ito Harmonia Natural Cx/06 X 2l</v>
      </c>
      <c r="F874" cm="1">
        <f t="array" ref="F874">INDEX('Linha 03'!$C$3:$ZZ$3,C874)</f>
        <v>20040094</v>
      </c>
      <c r="G874" t="str" cm="1">
        <f t="array" ref="G874">INDEX('Linha 03'!$C$2:$ZZ$2,C874)</f>
        <v>Amaciante Aquafast Energia Cx/06 X 2l</v>
      </c>
      <c r="H874" s="5" cm="1">
        <f t="array" ref="H874">INDEX('Linha 03'!$C$4:$ZZ$1000,B874,C874)</f>
        <v>0</v>
      </c>
    </row>
    <row r="875" spans="1:8" x14ac:dyDescent="0.25">
      <c r="A875">
        <v>873</v>
      </c>
      <c r="B875">
        <f t="shared" si="26"/>
        <v>22</v>
      </c>
      <c r="C875">
        <f t="shared" si="27"/>
        <v>12</v>
      </c>
      <c r="D875" cm="1">
        <f t="array" ref="D875">INDEX('Linha 03'!$A$4:$A$1000,B875)</f>
        <v>20050123</v>
      </c>
      <c r="E875" t="str" cm="1">
        <f t="array" ref="E875">INDEX('Linha 03'!$B$4:$B$1000,B875)</f>
        <v>Desinfetante Ito Harmonia Natural Cx/06 X 2l</v>
      </c>
      <c r="F875" cm="1">
        <f t="array" ref="F875">INDEX('Linha 03'!$C$3:$ZZ$3,C875)</f>
        <v>20050010</v>
      </c>
      <c r="G875" t="str" cm="1">
        <f t="array" ref="G875">INDEX('Linha 03'!$C$2:$ZZ$2,C875)</f>
        <v>Desinfetante Aquafast Campos Lavanda Cx/06 X 2l</v>
      </c>
      <c r="H875" s="5" cm="1">
        <f t="array" ref="H875">INDEX('Linha 03'!$C$4:$ZZ$1000,B875,C875)</f>
        <v>0</v>
      </c>
    </row>
    <row r="876" spans="1:8" x14ac:dyDescent="0.25">
      <c r="A876">
        <v>874</v>
      </c>
      <c r="B876">
        <f t="shared" si="26"/>
        <v>22</v>
      </c>
      <c r="C876">
        <f t="shared" si="27"/>
        <v>13</v>
      </c>
      <c r="D876" cm="1">
        <f t="array" ref="D876">INDEX('Linha 03'!$A$4:$A$1000,B876)</f>
        <v>20050123</v>
      </c>
      <c r="E876" t="str" cm="1">
        <f t="array" ref="E876">INDEX('Linha 03'!$B$4:$B$1000,B876)</f>
        <v>Desinfetante Ito Harmonia Natural Cx/06 X 2l</v>
      </c>
      <c r="F876" cm="1">
        <f t="array" ref="F876">INDEX('Linha 03'!$C$3:$ZZ$3,C876)</f>
        <v>20050011</v>
      </c>
      <c r="G876" t="str" cm="1">
        <f t="array" ref="G876">INDEX('Linha 03'!$C$2:$ZZ$2,C876)</f>
        <v>Desinfetante Aquafast Jardim Florido Cx/06 X 2l</v>
      </c>
      <c r="H876" s="5" cm="1">
        <f t="array" ref="H876">INDEX('Linha 03'!$C$4:$ZZ$1000,B876,C876)</f>
        <v>0</v>
      </c>
    </row>
    <row r="877" spans="1:8" x14ac:dyDescent="0.25">
      <c r="A877">
        <v>875</v>
      </c>
      <c r="B877">
        <f t="shared" si="26"/>
        <v>22</v>
      </c>
      <c r="C877">
        <f t="shared" si="27"/>
        <v>14</v>
      </c>
      <c r="D877" cm="1">
        <f t="array" ref="D877">INDEX('Linha 03'!$A$4:$A$1000,B877)</f>
        <v>20050123</v>
      </c>
      <c r="E877" t="str" cm="1">
        <f t="array" ref="E877">INDEX('Linha 03'!$B$4:$B$1000,B877)</f>
        <v>Desinfetante Ito Harmonia Natural Cx/06 X 2l</v>
      </c>
      <c r="F877" cm="1">
        <f t="array" ref="F877">INDEX('Linha 03'!$C$3:$ZZ$3,C877)</f>
        <v>20050016</v>
      </c>
      <c r="G877" t="str" cm="1">
        <f t="array" ref="G877">INDEX('Linha 03'!$C$2:$ZZ$2,C877)</f>
        <v>Desinfetante Aquafast Marine Cx/06 X 2l</v>
      </c>
      <c r="H877" s="5" cm="1">
        <f t="array" ref="H877">INDEX('Linha 03'!$C$4:$ZZ$1000,B877,C877)</f>
        <v>0</v>
      </c>
    </row>
    <row r="878" spans="1:8" x14ac:dyDescent="0.25">
      <c r="A878">
        <v>876</v>
      </c>
      <c r="B878">
        <f t="shared" si="26"/>
        <v>22</v>
      </c>
      <c r="C878">
        <f t="shared" si="27"/>
        <v>15</v>
      </c>
      <c r="D878" cm="1">
        <f t="array" ref="D878">INDEX('Linha 03'!$A$4:$A$1000,B878)</f>
        <v>20050123</v>
      </c>
      <c r="E878" t="str" cm="1">
        <f t="array" ref="E878">INDEX('Linha 03'!$B$4:$B$1000,B878)</f>
        <v>Desinfetante Ito Harmonia Natural Cx/06 X 2l</v>
      </c>
      <c r="F878" cm="1">
        <f t="array" ref="F878">INDEX('Linha 03'!$C$3:$ZZ$3,C878)</f>
        <v>20050031</v>
      </c>
      <c r="G878" t="str" cm="1">
        <f t="array" ref="G878">INDEX('Linha 03'!$C$2:$ZZ$2,C878)</f>
        <v>Desinfetante Ito Lavanda Cx/06 X 2l</v>
      </c>
      <c r="H878" s="5" cm="1">
        <f t="array" ref="H878">INDEX('Linha 03'!$C$4:$ZZ$1000,B878,C878)</f>
        <v>0</v>
      </c>
    </row>
    <row r="879" spans="1:8" x14ac:dyDescent="0.25">
      <c r="A879">
        <v>877</v>
      </c>
      <c r="B879">
        <f t="shared" si="26"/>
        <v>22</v>
      </c>
      <c r="C879">
        <f t="shared" si="27"/>
        <v>16</v>
      </c>
      <c r="D879" cm="1">
        <f t="array" ref="D879">INDEX('Linha 03'!$A$4:$A$1000,B879)</f>
        <v>20050123</v>
      </c>
      <c r="E879" t="str" cm="1">
        <f t="array" ref="E879">INDEX('Linha 03'!$B$4:$B$1000,B879)</f>
        <v>Desinfetante Ito Harmonia Natural Cx/06 X 2l</v>
      </c>
      <c r="F879" cm="1">
        <f t="array" ref="F879">INDEX('Linha 03'!$C$3:$ZZ$3,C879)</f>
        <v>20050032</v>
      </c>
      <c r="G879" t="str" cm="1">
        <f t="array" ref="G879">INDEX('Linha 03'!$C$2:$ZZ$2,C879)</f>
        <v>Desinfetante Ito Floral Cx/06 X 2l</v>
      </c>
      <c r="H879" s="5" cm="1">
        <f t="array" ref="H879">INDEX('Linha 03'!$C$4:$ZZ$1000,B879,C879)</f>
        <v>0</v>
      </c>
    </row>
    <row r="880" spans="1:8" x14ac:dyDescent="0.25">
      <c r="A880">
        <v>878</v>
      </c>
      <c r="B880">
        <f t="shared" si="26"/>
        <v>22</v>
      </c>
      <c r="C880">
        <f t="shared" si="27"/>
        <v>17</v>
      </c>
      <c r="D880" cm="1">
        <f t="array" ref="D880">INDEX('Linha 03'!$A$4:$A$1000,B880)</f>
        <v>20050123</v>
      </c>
      <c r="E880" t="str" cm="1">
        <f t="array" ref="E880">INDEX('Linha 03'!$B$4:$B$1000,B880)</f>
        <v>Desinfetante Ito Harmonia Natural Cx/06 X 2l</v>
      </c>
      <c r="F880" cm="1">
        <f t="array" ref="F880">INDEX('Linha 03'!$C$3:$ZZ$3,C880)</f>
        <v>20050034</v>
      </c>
      <c r="G880" t="str" cm="1">
        <f t="array" ref="G880">INDEX('Linha 03'!$C$2:$ZZ$2,C880)</f>
        <v>Desinfetante Ito Eucalipto Cx/06 X 2l</v>
      </c>
      <c r="H880" s="5" cm="1">
        <f t="array" ref="H880">INDEX('Linha 03'!$C$4:$ZZ$1000,B880,C880)</f>
        <v>0</v>
      </c>
    </row>
    <row r="881" spans="1:8" x14ac:dyDescent="0.25">
      <c r="A881">
        <v>879</v>
      </c>
      <c r="B881">
        <f t="shared" si="26"/>
        <v>22</v>
      </c>
      <c r="C881">
        <f t="shared" si="27"/>
        <v>18</v>
      </c>
      <c r="D881" cm="1">
        <f t="array" ref="D881">INDEX('Linha 03'!$A$4:$A$1000,B881)</f>
        <v>20050123</v>
      </c>
      <c r="E881" t="str" cm="1">
        <f t="array" ref="E881">INDEX('Linha 03'!$B$4:$B$1000,B881)</f>
        <v>Desinfetante Ito Harmonia Natural Cx/06 X 2l</v>
      </c>
      <c r="F881" cm="1">
        <f t="array" ref="F881">INDEX('Linha 03'!$C$3:$ZZ$3,C881)</f>
        <v>20050077</v>
      </c>
      <c r="G881" t="str" cm="1">
        <f t="array" ref="G881">INDEX('Linha 03'!$C$2:$ZZ$2,C881)</f>
        <v>Desinfetante Myata Lavanda Cx/06 X 2l</v>
      </c>
      <c r="H881" s="5" cm="1">
        <f t="array" ref="H881">INDEX('Linha 03'!$C$4:$ZZ$1000,B881,C881)</f>
        <v>0</v>
      </c>
    </row>
    <row r="882" spans="1:8" x14ac:dyDescent="0.25">
      <c r="A882">
        <v>880</v>
      </c>
      <c r="B882">
        <f t="shared" si="26"/>
        <v>22</v>
      </c>
      <c r="C882">
        <f t="shared" si="27"/>
        <v>19</v>
      </c>
      <c r="D882" cm="1">
        <f t="array" ref="D882">INDEX('Linha 03'!$A$4:$A$1000,B882)</f>
        <v>20050123</v>
      </c>
      <c r="E882" t="str" cm="1">
        <f t="array" ref="E882">INDEX('Linha 03'!$B$4:$B$1000,B882)</f>
        <v>Desinfetante Ito Harmonia Natural Cx/06 X 2l</v>
      </c>
      <c r="F882" cm="1">
        <f t="array" ref="F882">INDEX('Linha 03'!$C$3:$ZZ$3,C882)</f>
        <v>20050078</v>
      </c>
      <c r="G882" t="str" cm="1">
        <f t="array" ref="G882">INDEX('Linha 03'!$C$2:$ZZ$2,C882)</f>
        <v>Desinfetante Myata Floral Cx/06 X 2l</v>
      </c>
      <c r="H882" s="5" cm="1">
        <f t="array" ref="H882">INDEX('Linha 03'!$C$4:$ZZ$1000,B882,C882)</f>
        <v>0</v>
      </c>
    </row>
    <row r="883" spans="1:8" x14ac:dyDescent="0.25">
      <c r="A883">
        <v>881</v>
      </c>
      <c r="B883">
        <f t="shared" si="26"/>
        <v>22</v>
      </c>
      <c r="C883">
        <f t="shared" si="27"/>
        <v>20</v>
      </c>
      <c r="D883" cm="1">
        <f t="array" ref="D883">INDEX('Linha 03'!$A$4:$A$1000,B883)</f>
        <v>20050123</v>
      </c>
      <c r="E883" t="str" cm="1">
        <f t="array" ref="E883">INDEX('Linha 03'!$B$4:$B$1000,B883)</f>
        <v>Desinfetante Ito Harmonia Natural Cx/06 X 2l</v>
      </c>
      <c r="F883" cm="1">
        <f t="array" ref="F883">INDEX('Linha 03'!$C$3:$ZZ$3,C883)</f>
        <v>20050115</v>
      </c>
      <c r="G883" t="str" cm="1">
        <f t="array" ref="G883">INDEX('Linha 03'!$C$2:$ZZ$2,C883)</f>
        <v>Desinfetante Aquafast Paixao Cx/06 X 2l</v>
      </c>
      <c r="H883" s="5" cm="1">
        <f t="array" ref="H883">INDEX('Linha 03'!$C$4:$ZZ$1000,B883,C883)</f>
        <v>0</v>
      </c>
    </row>
    <row r="884" spans="1:8" x14ac:dyDescent="0.25">
      <c r="A884">
        <v>882</v>
      </c>
      <c r="B884">
        <f t="shared" si="26"/>
        <v>22</v>
      </c>
      <c r="C884">
        <f t="shared" si="27"/>
        <v>21</v>
      </c>
      <c r="D884" cm="1">
        <f t="array" ref="D884">INDEX('Linha 03'!$A$4:$A$1000,B884)</f>
        <v>20050123</v>
      </c>
      <c r="E884" t="str" cm="1">
        <f t="array" ref="E884">INDEX('Linha 03'!$B$4:$B$1000,B884)</f>
        <v>Desinfetante Ito Harmonia Natural Cx/06 X 2l</v>
      </c>
      <c r="F884" cm="1">
        <f t="array" ref="F884">INDEX('Linha 03'!$C$3:$ZZ$3,C884)</f>
        <v>20050117</v>
      </c>
      <c r="G884" t="str" cm="1">
        <f t="array" ref="G884">INDEX('Linha 03'!$C$2:$ZZ$2,C884)</f>
        <v>Desinfetante Aquafast Harmonia Natural Cx/06 X 2l</v>
      </c>
      <c r="H884" s="5" cm="1">
        <f t="array" ref="H884">INDEX('Linha 03'!$C$4:$ZZ$1000,B884,C884)</f>
        <v>0</v>
      </c>
    </row>
    <row r="885" spans="1:8" x14ac:dyDescent="0.25">
      <c r="A885">
        <v>883</v>
      </c>
      <c r="B885">
        <f t="shared" si="26"/>
        <v>22</v>
      </c>
      <c r="C885">
        <f t="shared" si="27"/>
        <v>22</v>
      </c>
      <c r="D885" cm="1">
        <f t="array" ref="D885">INDEX('Linha 03'!$A$4:$A$1000,B885)</f>
        <v>20050123</v>
      </c>
      <c r="E885" t="str" cm="1">
        <f t="array" ref="E885">INDEX('Linha 03'!$B$4:$B$1000,B885)</f>
        <v>Desinfetante Ito Harmonia Natural Cx/06 X 2l</v>
      </c>
      <c r="F885" cm="1">
        <f t="array" ref="F885">INDEX('Linha 03'!$C$3:$ZZ$3,C885)</f>
        <v>20050123</v>
      </c>
      <c r="G885" t="str" cm="1">
        <f t="array" ref="G885">INDEX('Linha 03'!$C$2:$ZZ$2,C885)</f>
        <v>Desinfetante Ito Harmonia Natural Cx/06 X 2l</v>
      </c>
      <c r="H885" s="5" cm="1">
        <f t="array" ref="H885">INDEX('Linha 03'!$C$4:$ZZ$1000,B885,C885)</f>
        <v>0</v>
      </c>
    </row>
    <row r="886" spans="1:8" x14ac:dyDescent="0.25">
      <c r="A886">
        <v>884</v>
      </c>
      <c r="B886">
        <f t="shared" si="26"/>
        <v>22</v>
      </c>
      <c r="C886">
        <f t="shared" si="27"/>
        <v>23</v>
      </c>
      <c r="D886" cm="1">
        <f t="array" ref="D886">INDEX('Linha 03'!$A$4:$A$1000,B886)</f>
        <v>20050123</v>
      </c>
      <c r="E886" t="str" cm="1">
        <f t="array" ref="E886">INDEX('Linha 03'!$B$4:$B$1000,B886)</f>
        <v>Desinfetante Ito Harmonia Natural Cx/06 X 2l</v>
      </c>
      <c r="F886" cm="1">
        <f t="array" ref="F886">INDEX('Linha 03'!$C$3:$ZZ$3,C886)</f>
        <v>20050124</v>
      </c>
      <c r="G886" t="str" cm="1">
        <f t="array" ref="G886">INDEX('Linha 03'!$C$2:$ZZ$2,C886)</f>
        <v>Desinfetante Myata Harmonia Natural Cx/06 X 2l</v>
      </c>
      <c r="H886" s="5" cm="1">
        <f t="array" ref="H886">INDEX('Linha 03'!$C$4:$ZZ$1000,B886,C886)</f>
        <v>0</v>
      </c>
    </row>
    <row r="887" spans="1:8" x14ac:dyDescent="0.25">
      <c r="A887">
        <v>885</v>
      </c>
      <c r="B887">
        <f t="shared" si="26"/>
        <v>22</v>
      </c>
      <c r="C887">
        <f t="shared" si="27"/>
        <v>24</v>
      </c>
      <c r="D887" cm="1">
        <f t="array" ref="D887">INDEX('Linha 03'!$A$4:$A$1000,B887)</f>
        <v>20050123</v>
      </c>
      <c r="E887" t="str" cm="1">
        <f t="array" ref="E887">INDEX('Linha 03'!$B$4:$B$1000,B887)</f>
        <v>Desinfetante Ito Harmonia Natural Cx/06 X 2l</v>
      </c>
      <c r="F887" cm="1">
        <f t="array" ref="F887">INDEX('Linha 03'!$C$3:$ZZ$3,C887)</f>
        <v>20050142</v>
      </c>
      <c r="G887" t="str" cm="1">
        <f t="array" ref="G887">INDEX('Linha 03'!$C$2:$ZZ$2,C887)</f>
        <v>Desinfetante Ito Marine Cx/06 X 2l</v>
      </c>
      <c r="H887" s="5" cm="1">
        <f t="array" ref="H887">INDEX('Linha 03'!$C$4:$ZZ$1000,B887,C887)</f>
        <v>0</v>
      </c>
    </row>
    <row r="888" spans="1:8" x14ac:dyDescent="0.25">
      <c r="A888">
        <v>886</v>
      </c>
      <c r="B888">
        <f t="shared" si="26"/>
        <v>22</v>
      </c>
      <c r="C888">
        <f t="shared" si="27"/>
        <v>25</v>
      </c>
      <c r="D888" cm="1">
        <f t="array" ref="D888">INDEX('Linha 03'!$A$4:$A$1000,B888)</f>
        <v>20050123</v>
      </c>
      <c r="E888" t="str" cm="1">
        <f t="array" ref="E888">INDEX('Linha 03'!$B$4:$B$1000,B888)</f>
        <v>Desinfetante Ito Harmonia Natural Cx/06 X 2l</v>
      </c>
      <c r="F888" cm="1">
        <f t="array" ref="F888">INDEX('Linha 03'!$C$3:$ZZ$3,C888)</f>
        <v>20050159</v>
      </c>
      <c r="G888" t="str" cm="1">
        <f t="array" ref="G888">INDEX('Linha 03'!$C$2:$ZZ$2,C888)</f>
        <v>Desinfetante Aquafast Cha Branco Cx/06 X 2l</v>
      </c>
      <c r="H888" s="5" cm="1">
        <f t="array" ref="H888">INDEX('Linha 03'!$C$4:$ZZ$1000,B888,C888)</f>
        <v>1.38888888888889E-2</v>
      </c>
    </row>
    <row r="889" spans="1:8" x14ac:dyDescent="0.25">
      <c r="A889">
        <v>887</v>
      </c>
      <c r="B889">
        <f t="shared" si="26"/>
        <v>22</v>
      </c>
      <c r="C889">
        <f t="shared" si="27"/>
        <v>26</v>
      </c>
      <c r="D889" cm="1">
        <f t="array" ref="D889">INDEX('Linha 03'!$A$4:$A$1000,B889)</f>
        <v>20050123</v>
      </c>
      <c r="E889" t="str" cm="1">
        <f t="array" ref="E889">INDEX('Linha 03'!$B$4:$B$1000,B889)</f>
        <v>Desinfetante Ito Harmonia Natural Cx/06 X 2l</v>
      </c>
      <c r="F889" cm="1">
        <f t="array" ref="F889">INDEX('Linha 03'!$C$3:$ZZ$3,C889)</f>
        <v>20060007</v>
      </c>
      <c r="G889" t="str" cm="1">
        <f t="array" ref="G889">INDEX('Linha 03'!$C$2:$ZZ$2,C889)</f>
        <v>Limp Perf Aquafast Magia Seducao Cx/06 X 2l (Promoc)</v>
      </c>
      <c r="H889" s="5" cm="1">
        <f t="array" ref="H889">INDEX('Linha 03'!$C$4:$ZZ$1000,B889,C889)</f>
        <v>0</v>
      </c>
    </row>
    <row r="890" spans="1:8" x14ac:dyDescent="0.25">
      <c r="A890">
        <v>888</v>
      </c>
      <c r="B890">
        <f t="shared" si="26"/>
        <v>22</v>
      </c>
      <c r="C890">
        <f t="shared" si="27"/>
        <v>27</v>
      </c>
      <c r="D890" cm="1">
        <f t="array" ref="D890">INDEX('Linha 03'!$A$4:$A$1000,B890)</f>
        <v>20050123</v>
      </c>
      <c r="E890" t="str" cm="1">
        <f t="array" ref="E890">INDEX('Linha 03'!$B$4:$B$1000,B890)</f>
        <v>Desinfetante Ito Harmonia Natural Cx/06 X 2l</v>
      </c>
      <c r="F890" cm="1">
        <f t="array" ref="F890">INDEX('Linha 03'!$C$3:$ZZ$3,C890)</f>
        <v>20060009</v>
      </c>
      <c r="G890" t="str" cm="1">
        <f t="array" ref="G890">INDEX('Linha 03'!$C$2:$ZZ$2,C890)</f>
        <v>Limp Perf Aquafast Frescor Da Manha Cx/06 X 2l (Promoc)</v>
      </c>
      <c r="H890" s="5" cm="1">
        <f t="array" ref="H890">INDEX('Linha 03'!$C$4:$ZZ$1000,B890,C890)</f>
        <v>0</v>
      </c>
    </row>
    <row r="891" spans="1:8" x14ac:dyDescent="0.25">
      <c r="A891">
        <v>889</v>
      </c>
      <c r="B891">
        <f t="shared" si="26"/>
        <v>22</v>
      </c>
      <c r="C891">
        <f t="shared" si="27"/>
        <v>28</v>
      </c>
      <c r="D891" cm="1">
        <f t="array" ref="D891">INDEX('Linha 03'!$A$4:$A$1000,B891)</f>
        <v>20050123</v>
      </c>
      <c r="E891" t="str" cm="1">
        <f t="array" ref="E891">INDEX('Linha 03'!$B$4:$B$1000,B891)</f>
        <v>Desinfetante Ito Harmonia Natural Cx/06 X 2l</v>
      </c>
      <c r="F891" cm="1">
        <f t="array" ref="F891">INDEX('Linha 03'!$C$3:$ZZ$3,C891)</f>
        <v>20060017</v>
      </c>
      <c r="G891" t="str" cm="1">
        <f t="array" ref="G891">INDEX('Linha 03'!$C$2:$ZZ$2,C891)</f>
        <v>Limp Perf Aquafast Doce Romance Cx/06 X 2l (Promoc)</v>
      </c>
      <c r="H891" s="5" cm="1">
        <f t="array" ref="H891">INDEX('Linha 03'!$C$4:$ZZ$1000,B891,C891)</f>
        <v>0</v>
      </c>
    </row>
    <row r="892" spans="1:8" x14ac:dyDescent="0.25">
      <c r="A892">
        <v>890</v>
      </c>
      <c r="B892">
        <f t="shared" si="26"/>
        <v>22</v>
      </c>
      <c r="C892">
        <f t="shared" si="27"/>
        <v>29</v>
      </c>
      <c r="D892" cm="1">
        <f t="array" ref="D892">INDEX('Linha 03'!$A$4:$A$1000,B892)</f>
        <v>20050123</v>
      </c>
      <c r="E892" t="str" cm="1">
        <f t="array" ref="E892">INDEX('Linha 03'!$B$4:$B$1000,B892)</f>
        <v>Desinfetante Ito Harmonia Natural Cx/06 X 2l</v>
      </c>
      <c r="F892" cm="1">
        <f t="array" ref="F892">INDEX('Linha 03'!$C$3:$ZZ$3,C892)</f>
        <v>20060028</v>
      </c>
      <c r="G892" t="str" cm="1">
        <f t="array" ref="G892">INDEX('Linha 03'!$C$2:$ZZ$2,C892)</f>
        <v>Limp Perf Aquafast Essencia Natural Cx06 X 2l</v>
      </c>
      <c r="H892" s="5" cm="1">
        <f t="array" ref="H892">INDEX('Linha 03'!$C$4:$ZZ$1000,B892,C892)</f>
        <v>0</v>
      </c>
    </row>
    <row r="893" spans="1:8" x14ac:dyDescent="0.25">
      <c r="A893">
        <v>891</v>
      </c>
      <c r="B893">
        <f t="shared" si="26"/>
        <v>22</v>
      </c>
      <c r="C893">
        <f t="shared" si="27"/>
        <v>30</v>
      </c>
      <c r="D893" cm="1">
        <f t="array" ref="D893">INDEX('Linha 03'!$A$4:$A$1000,B893)</f>
        <v>20050123</v>
      </c>
      <c r="E893" t="str" cm="1">
        <f t="array" ref="E893">INDEX('Linha 03'!$B$4:$B$1000,B893)</f>
        <v>Desinfetante Ito Harmonia Natural Cx/06 X 2l</v>
      </c>
      <c r="F893" cm="1">
        <f t="array" ref="F893">INDEX('Linha 03'!$C$3:$ZZ$3,C893)</f>
        <v>20200003</v>
      </c>
      <c r="G893" t="str" cm="1">
        <f t="array" ref="G893">INDEX('Linha 03'!$C$2:$ZZ$2,C893)</f>
        <v>Lava Roup. Aquafast Baby Cx/12 X 1l</v>
      </c>
      <c r="H893" s="5" cm="1">
        <f t="array" ref="H893">INDEX('Linha 03'!$C$4:$ZZ$1000,B893,C893)</f>
        <v>0</v>
      </c>
    </row>
    <row r="894" spans="1:8" x14ac:dyDescent="0.25">
      <c r="A894">
        <v>892</v>
      </c>
      <c r="B894">
        <f t="shared" si="26"/>
        <v>22</v>
      </c>
      <c r="C894">
        <f t="shared" si="27"/>
        <v>31</v>
      </c>
      <c r="D894" cm="1">
        <f t="array" ref="D894">INDEX('Linha 03'!$A$4:$A$1000,B894)</f>
        <v>20050123</v>
      </c>
      <c r="E894" t="str" cm="1">
        <f t="array" ref="E894">INDEX('Linha 03'!$B$4:$B$1000,B894)</f>
        <v>Desinfetante Ito Harmonia Natural Cx/06 X 2l</v>
      </c>
      <c r="F894" cm="1">
        <f t="array" ref="F894">INDEX('Linha 03'!$C$3:$ZZ$3,C894)</f>
        <v>20200005</v>
      </c>
      <c r="G894" t="str" cm="1">
        <f t="array" ref="G894">INDEX('Linha 03'!$C$2:$ZZ$2,C894)</f>
        <v>Lava Roupas Aquafast Multi Acao Cx/06 X 2l</v>
      </c>
      <c r="H894" s="5" cm="1">
        <f t="array" ref="H894">INDEX('Linha 03'!$C$4:$ZZ$1000,B894,C894)</f>
        <v>0</v>
      </c>
    </row>
    <row r="895" spans="1:8" x14ac:dyDescent="0.25">
      <c r="A895">
        <v>893</v>
      </c>
      <c r="B895">
        <f t="shared" si="26"/>
        <v>22</v>
      </c>
      <c r="C895">
        <f t="shared" si="27"/>
        <v>32</v>
      </c>
      <c r="D895" cm="1">
        <f t="array" ref="D895">INDEX('Linha 03'!$A$4:$A$1000,B895)</f>
        <v>20050123</v>
      </c>
      <c r="E895" t="str" cm="1">
        <f t="array" ref="E895">INDEX('Linha 03'!$B$4:$B$1000,B895)</f>
        <v>Desinfetante Ito Harmonia Natural Cx/06 X 2l</v>
      </c>
      <c r="F895" cm="1">
        <f t="array" ref="F895">INDEX('Linha 03'!$C$3:$ZZ$3,C895)</f>
        <v>20200006</v>
      </c>
      <c r="G895" t="str" cm="1">
        <f t="array" ref="G895">INDEX('Linha 03'!$C$2:$ZZ$2,C895)</f>
        <v>Lava Roupas Aquafast Glicerina Cx/06 X 2l</v>
      </c>
      <c r="H895" s="5" cm="1">
        <f t="array" ref="H895">INDEX('Linha 03'!$C$4:$ZZ$1000,B895,C895)</f>
        <v>0</v>
      </c>
    </row>
    <row r="896" spans="1:8" x14ac:dyDescent="0.25">
      <c r="A896">
        <v>894</v>
      </c>
      <c r="B896">
        <f t="shared" si="26"/>
        <v>22</v>
      </c>
      <c r="C896">
        <f t="shared" si="27"/>
        <v>33</v>
      </c>
      <c r="D896" cm="1">
        <f t="array" ref="D896">INDEX('Linha 03'!$A$4:$A$1000,B896)</f>
        <v>20050123</v>
      </c>
      <c r="E896" t="str" cm="1">
        <f t="array" ref="E896">INDEX('Linha 03'!$B$4:$B$1000,B896)</f>
        <v>Desinfetante Ito Harmonia Natural Cx/06 X 2l</v>
      </c>
      <c r="F896" cm="1">
        <f t="array" ref="F896">INDEX('Linha 03'!$C$3:$ZZ$3,C896)</f>
        <v>20200015</v>
      </c>
      <c r="G896" t="str" cm="1">
        <f t="array" ref="G896">INDEX('Linha 03'!$C$2:$ZZ$2,C896)</f>
        <v>Lava Roup. Aquafast Multiacao Cx/12 X 1l</v>
      </c>
      <c r="H896" s="5" cm="1">
        <f t="array" ref="H896">INDEX('Linha 03'!$C$4:$ZZ$1000,B896,C896)</f>
        <v>0</v>
      </c>
    </row>
    <row r="897" spans="1:8" x14ac:dyDescent="0.25">
      <c r="A897">
        <v>895</v>
      </c>
      <c r="B897">
        <f t="shared" si="26"/>
        <v>22</v>
      </c>
      <c r="C897">
        <f t="shared" si="27"/>
        <v>34</v>
      </c>
      <c r="D897" cm="1">
        <f t="array" ref="D897">INDEX('Linha 03'!$A$4:$A$1000,B897)</f>
        <v>20050123</v>
      </c>
      <c r="E897" t="str" cm="1">
        <f t="array" ref="E897">INDEX('Linha 03'!$B$4:$B$1000,B897)</f>
        <v>Desinfetante Ito Harmonia Natural Cx/06 X 2l</v>
      </c>
      <c r="F897" cm="1">
        <f t="array" ref="F897">INDEX('Linha 03'!$C$3:$ZZ$3,C897)</f>
        <v>20200036</v>
      </c>
      <c r="G897" t="str" cm="1">
        <f t="array" ref="G897">INDEX('Linha 03'!$C$2:$ZZ$2,C897)</f>
        <v>Lava Roupas Aquafast Ternura Cx/06 X 2l</v>
      </c>
      <c r="H897" s="5" cm="1">
        <f t="array" ref="H897">INDEX('Linha 03'!$C$4:$ZZ$1000,B897,C897)</f>
        <v>0</v>
      </c>
    </row>
    <row r="898" spans="1:8" x14ac:dyDescent="0.25">
      <c r="A898">
        <v>896</v>
      </c>
      <c r="B898">
        <f t="shared" si="26"/>
        <v>22</v>
      </c>
      <c r="C898">
        <f t="shared" si="27"/>
        <v>35</v>
      </c>
      <c r="D898" cm="1">
        <f t="array" ref="D898">INDEX('Linha 03'!$A$4:$A$1000,B898)</f>
        <v>20050123</v>
      </c>
      <c r="E898" t="str" cm="1">
        <f t="array" ref="E898">INDEX('Linha 03'!$B$4:$B$1000,B898)</f>
        <v>Desinfetante Ito Harmonia Natural Cx/06 X 2l</v>
      </c>
      <c r="F898" cm="1">
        <f t="array" ref="F898">INDEX('Linha 03'!$C$3:$ZZ$3,C898)</f>
        <v>20200063</v>
      </c>
      <c r="G898" t="str" cm="1">
        <f t="array" ref="G898">INDEX('Linha 03'!$C$2:$ZZ$2,C898)</f>
        <v>Lava Roup. Aquafast Tradicional Cx/12 X 1l</v>
      </c>
      <c r="H898" s="5" cm="1">
        <f t="array" ref="H898">INDEX('Linha 03'!$C$4:$ZZ$1000,B898,C898)</f>
        <v>0</v>
      </c>
    </row>
    <row r="899" spans="1:8" x14ac:dyDescent="0.25">
      <c r="A899">
        <v>897</v>
      </c>
      <c r="B899">
        <f t="shared" si="26"/>
        <v>22</v>
      </c>
      <c r="C899">
        <f t="shared" si="27"/>
        <v>36</v>
      </c>
      <c r="D899" cm="1">
        <f t="array" ref="D899">INDEX('Linha 03'!$A$4:$A$1000,B899)</f>
        <v>20050123</v>
      </c>
      <c r="E899" t="str" cm="1">
        <f t="array" ref="E899">INDEX('Linha 03'!$B$4:$B$1000,B899)</f>
        <v>Desinfetante Ito Harmonia Natural Cx/06 X 2l</v>
      </c>
      <c r="F899" cm="1">
        <f t="array" ref="F899">INDEX('Linha 03'!$C$3:$ZZ$3,C899)</f>
        <v>20200064</v>
      </c>
      <c r="G899" t="str" cm="1">
        <f t="array" ref="G899">INDEX('Linha 03'!$C$2:$ZZ$2,C899)</f>
        <v>Lava Roup. Aquafast Flores B. E Baunilha Cx/12 X 1l</v>
      </c>
      <c r="H899" s="5" cm="1">
        <f t="array" ref="H899">INDEX('Linha 03'!$C$4:$ZZ$1000,B899,C899)</f>
        <v>0</v>
      </c>
    </row>
    <row r="900" spans="1:8" x14ac:dyDescent="0.25">
      <c r="A900">
        <v>898</v>
      </c>
      <c r="B900">
        <f t="shared" ref="B900:B963" si="28">INT((A900-1)/$B$1)+1</f>
        <v>22</v>
      </c>
      <c r="C900">
        <f t="shared" ref="C900:C963" si="29">MOD(A900-1,$B$1)+1</f>
        <v>37</v>
      </c>
      <c r="D900" cm="1">
        <f t="array" ref="D900">INDEX('Linha 03'!$A$4:$A$1000,B900)</f>
        <v>20050123</v>
      </c>
      <c r="E900" t="str" cm="1">
        <f t="array" ref="E900">INDEX('Linha 03'!$B$4:$B$1000,B900)</f>
        <v>Desinfetante Ito Harmonia Natural Cx/06 X 2l</v>
      </c>
      <c r="F900" cm="1">
        <f t="array" ref="F900">INDEX('Linha 03'!$C$3:$ZZ$3,C900)</f>
        <v>20200065</v>
      </c>
      <c r="G900" t="str" cm="1">
        <f t="array" ref="G900">INDEX('Linha 03'!$C$2:$ZZ$2,C900)</f>
        <v>Lava Roupas Aquafast Flores B. E Baunilha Cx/06 X 2l</v>
      </c>
      <c r="H900" s="5" cm="1">
        <f t="array" ref="H900">INDEX('Linha 03'!$C$4:$ZZ$1000,B900,C900)</f>
        <v>0</v>
      </c>
    </row>
    <row r="901" spans="1:8" x14ac:dyDescent="0.25">
      <c r="A901">
        <v>899</v>
      </c>
      <c r="B901">
        <f t="shared" si="28"/>
        <v>22</v>
      </c>
      <c r="C901">
        <f t="shared" si="29"/>
        <v>38</v>
      </c>
      <c r="D901" cm="1">
        <f t="array" ref="D901">INDEX('Linha 03'!$A$4:$A$1000,B901)</f>
        <v>20050123</v>
      </c>
      <c r="E901" t="str" cm="1">
        <f t="array" ref="E901">INDEX('Linha 03'!$B$4:$B$1000,B901)</f>
        <v>Desinfetante Ito Harmonia Natural Cx/06 X 2l</v>
      </c>
      <c r="F901" cm="1">
        <f t="array" ref="F901">INDEX('Linha 03'!$C$3:$ZZ$3,C901)</f>
        <v>20200072</v>
      </c>
      <c r="G901" t="str" cm="1">
        <f t="array" ref="G901">INDEX('Linha 03'!$C$2:$ZZ$2,C901)</f>
        <v>Lava Roupas Aquafast Lavagem Rapida Total Clean Cx/12 X 1l</v>
      </c>
      <c r="H901" s="5" cm="1">
        <f t="array" ref="H901">INDEX('Linha 03'!$C$4:$ZZ$1000,B901,C901)</f>
        <v>0</v>
      </c>
    </row>
    <row r="902" spans="1:8" x14ac:dyDescent="0.25">
      <c r="A902">
        <v>900</v>
      </c>
      <c r="B902">
        <f t="shared" si="28"/>
        <v>22</v>
      </c>
      <c r="C902">
        <f t="shared" si="29"/>
        <v>39</v>
      </c>
      <c r="D902" cm="1">
        <f t="array" ref="D902">INDEX('Linha 03'!$A$4:$A$1000,B902)</f>
        <v>20050123</v>
      </c>
      <c r="E902" t="str" cm="1">
        <f t="array" ref="E902">INDEX('Linha 03'!$B$4:$B$1000,B902)</f>
        <v>Desinfetante Ito Harmonia Natural Cx/06 X 2l</v>
      </c>
      <c r="F902" cm="1">
        <f t="array" ref="F902">INDEX('Linha 03'!$C$3:$ZZ$3,C902)</f>
        <v>20200074</v>
      </c>
      <c r="G902" t="str" cm="1">
        <f t="array" ref="G902">INDEX('Linha 03'!$C$2:$ZZ$2,C902)</f>
        <v>Lava Roupas Aquafast Lavagem Rapida Fresh Clean Cx/12 X 1l</v>
      </c>
      <c r="H902" s="5" cm="1">
        <f t="array" ref="H902">INDEX('Linha 03'!$C$4:$ZZ$1000,B902,C902)</f>
        <v>0</v>
      </c>
    </row>
    <row r="903" spans="1:8" x14ac:dyDescent="0.25">
      <c r="A903">
        <v>901</v>
      </c>
      <c r="B903">
        <f t="shared" si="28"/>
        <v>22</v>
      </c>
      <c r="C903">
        <f t="shared" si="29"/>
        <v>40</v>
      </c>
      <c r="D903" cm="1">
        <f t="array" ref="D903">INDEX('Linha 03'!$A$4:$A$1000,B903)</f>
        <v>20050123</v>
      </c>
      <c r="E903" t="str" cm="1">
        <f t="array" ref="E903">INDEX('Linha 03'!$B$4:$B$1000,B903)</f>
        <v>Desinfetante Ito Harmonia Natural Cx/06 X 2l</v>
      </c>
      <c r="F903" cm="1">
        <f t="array" ref="F903">INDEX('Linha 03'!$C$3:$ZZ$3,C903)</f>
        <v>20250005</v>
      </c>
      <c r="G903" t="str" cm="1">
        <f t="array" ref="G903">INDEX('Linha 03'!$C$2:$ZZ$2,C903)</f>
        <v>Neutralizador De Odores Aquafast Floral Cx/06 X 2l</v>
      </c>
      <c r="H903" s="5" cm="1">
        <f t="array" ref="H903">INDEX('Linha 03'!$C$4:$ZZ$1000,B903,C903)</f>
        <v>0</v>
      </c>
    </row>
    <row r="904" spans="1:8" x14ac:dyDescent="0.25">
      <c r="A904">
        <v>902</v>
      </c>
      <c r="B904">
        <f t="shared" si="28"/>
        <v>22</v>
      </c>
      <c r="C904">
        <f t="shared" si="29"/>
        <v>41</v>
      </c>
      <c r="D904" cm="1">
        <f t="array" ref="D904">INDEX('Linha 03'!$A$4:$A$1000,B904)</f>
        <v>20050123</v>
      </c>
      <c r="E904" t="str" cm="1">
        <f t="array" ref="E904">INDEX('Linha 03'!$B$4:$B$1000,B904)</f>
        <v>Desinfetante Ito Harmonia Natural Cx/06 X 2l</v>
      </c>
      <c r="F904" cm="1">
        <f t="array" ref="F904">INDEX('Linha 03'!$C$3:$ZZ$3,C904)</f>
        <v>20250007</v>
      </c>
      <c r="G904" t="str" cm="1">
        <f t="array" ref="G904">INDEX('Linha 03'!$C$2:$ZZ$2,C904)</f>
        <v>Neutralizador De Odores Aquafast Marine Cx/06 2l</v>
      </c>
      <c r="H904" s="5" cm="1">
        <f t="array" ref="H904">INDEX('Linha 03'!$C$4:$ZZ$1000,B904,C904)</f>
        <v>0</v>
      </c>
    </row>
    <row r="905" spans="1:8" x14ac:dyDescent="0.25">
      <c r="A905">
        <v>903</v>
      </c>
      <c r="B905">
        <f t="shared" si="28"/>
        <v>23</v>
      </c>
      <c r="C905">
        <f t="shared" si="29"/>
        <v>1</v>
      </c>
      <c r="D905" cm="1">
        <f t="array" ref="D905">INDEX('Linha 03'!$A$4:$A$1000,B905)</f>
        <v>20050124</v>
      </c>
      <c r="E905" t="str" cm="1">
        <f t="array" ref="E905">INDEX('Linha 03'!$B$4:$B$1000,B905)</f>
        <v>Desinfetante Myata Harmonia Natural Cx/06 X 2l</v>
      </c>
      <c r="F905" cm="1">
        <f t="array" ref="F905">INDEX('Linha 03'!$C$3:$ZZ$3,C905)</f>
        <v>20040006</v>
      </c>
      <c r="G905" t="str" cm="1">
        <f t="array" ref="G905">INDEX('Linha 03'!$C$2:$ZZ$2,C905)</f>
        <v>Amaciante Aquafast Azul Fresc. Manha Cx/06 X 2l</v>
      </c>
      <c r="H905" s="5" cm="1">
        <f t="array" ref="H905">INDEX('Linha 03'!$C$4:$ZZ$1000,B905,C905)</f>
        <v>0</v>
      </c>
    </row>
    <row r="906" spans="1:8" x14ac:dyDescent="0.25">
      <c r="A906">
        <v>904</v>
      </c>
      <c r="B906">
        <f t="shared" si="28"/>
        <v>23</v>
      </c>
      <c r="C906">
        <f t="shared" si="29"/>
        <v>2</v>
      </c>
      <c r="D906" cm="1">
        <f t="array" ref="D906">INDEX('Linha 03'!$A$4:$A$1000,B906)</f>
        <v>20050124</v>
      </c>
      <c r="E906" t="str" cm="1">
        <f t="array" ref="E906">INDEX('Linha 03'!$B$4:$B$1000,B906)</f>
        <v>Desinfetante Myata Harmonia Natural Cx/06 X 2l</v>
      </c>
      <c r="F906" cm="1">
        <f t="array" ref="F906">INDEX('Linha 03'!$C$3:$ZZ$3,C906)</f>
        <v>20040008</v>
      </c>
      <c r="G906" t="str" cm="1">
        <f t="array" ref="G906">INDEX('Linha 03'!$C$2:$ZZ$2,C906)</f>
        <v>Amaciante Aquafast Rosa Jard. Florid Cx/06 X 2l</v>
      </c>
      <c r="H906" s="5" cm="1">
        <f t="array" ref="H906">INDEX('Linha 03'!$C$4:$ZZ$1000,B906,C906)</f>
        <v>0</v>
      </c>
    </row>
    <row r="907" spans="1:8" x14ac:dyDescent="0.25">
      <c r="A907">
        <v>905</v>
      </c>
      <c r="B907">
        <f t="shared" si="28"/>
        <v>23</v>
      </c>
      <c r="C907">
        <f t="shared" si="29"/>
        <v>3</v>
      </c>
      <c r="D907" cm="1">
        <f t="array" ref="D907">INDEX('Linha 03'!$A$4:$A$1000,B907)</f>
        <v>20050124</v>
      </c>
      <c r="E907" t="str" cm="1">
        <f t="array" ref="E907">INDEX('Linha 03'!$B$4:$B$1000,B907)</f>
        <v>Desinfetante Myata Harmonia Natural Cx/06 X 2l</v>
      </c>
      <c r="F907" cm="1">
        <f t="array" ref="F907">INDEX('Linha 03'!$C$3:$ZZ$3,C907)</f>
        <v>20040009</v>
      </c>
      <c r="G907" t="str" cm="1">
        <f t="array" ref="G907">INDEX('Linha 03'!$C$2:$ZZ$2,C907)</f>
        <v>Amaciante Aquafast Branco Pura Caric. Cx/06 X 2l</v>
      </c>
      <c r="H907" s="5" cm="1">
        <f t="array" ref="H907">INDEX('Linha 03'!$C$4:$ZZ$1000,B907,C907)</f>
        <v>0</v>
      </c>
    </row>
    <row r="908" spans="1:8" x14ac:dyDescent="0.25">
      <c r="A908">
        <v>906</v>
      </c>
      <c r="B908">
        <f t="shared" si="28"/>
        <v>23</v>
      </c>
      <c r="C908">
        <f t="shared" si="29"/>
        <v>4</v>
      </c>
      <c r="D908" cm="1">
        <f t="array" ref="D908">INDEX('Linha 03'!$A$4:$A$1000,B908)</f>
        <v>20050124</v>
      </c>
      <c r="E908" t="str" cm="1">
        <f t="array" ref="E908">INDEX('Linha 03'!$B$4:$B$1000,B908)</f>
        <v>Desinfetante Myata Harmonia Natural Cx/06 X 2l</v>
      </c>
      <c r="F908" cm="1">
        <f t="array" ref="F908">INDEX('Linha 03'!$C$3:$ZZ$3,C908)</f>
        <v>20040026</v>
      </c>
      <c r="G908" t="str" cm="1">
        <f t="array" ref="G908">INDEX('Linha 03'!$C$2:$ZZ$2,C908)</f>
        <v>Amaciante Ito Azul Cx/06 X 2l</v>
      </c>
      <c r="H908" s="5" cm="1">
        <f t="array" ref="H908">INDEX('Linha 03'!$C$4:$ZZ$1000,B908,C908)</f>
        <v>0</v>
      </c>
    </row>
    <row r="909" spans="1:8" x14ac:dyDescent="0.25">
      <c r="A909">
        <v>907</v>
      </c>
      <c r="B909">
        <f t="shared" si="28"/>
        <v>23</v>
      </c>
      <c r="C909">
        <f t="shared" si="29"/>
        <v>5</v>
      </c>
      <c r="D909" cm="1">
        <f t="array" ref="D909">INDEX('Linha 03'!$A$4:$A$1000,B909)</f>
        <v>20050124</v>
      </c>
      <c r="E909" t="str" cm="1">
        <f t="array" ref="E909">INDEX('Linha 03'!$B$4:$B$1000,B909)</f>
        <v>Desinfetante Myata Harmonia Natural Cx/06 X 2l</v>
      </c>
      <c r="F909" cm="1">
        <f t="array" ref="F909">INDEX('Linha 03'!$C$3:$ZZ$3,C909)</f>
        <v>20040028</v>
      </c>
      <c r="G909" t="str" cm="1">
        <f t="array" ref="G909">INDEX('Linha 03'!$C$2:$ZZ$2,C909)</f>
        <v>Amaciante Ito Rosa Cx/06 X 2l</v>
      </c>
      <c r="H909" s="5" cm="1">
        <f t="array" ref="H909">INDEX('Linha 03'!$C$4:$ZZ$1000,B909,C909)</f>
        <v>0</v>
      </c>
    </row>
    <row r="910" spans="1:8" x14ac:dyDescent="0.25">
      <c r="A910">
        <v>908</v>
      </c>
      <c r="B910">
        <f t="shared" si="28"/>
        <v>23</v>
      </c>
      <c r="C910">
        <f t="shared" si="29"/>
        <v>6</v>
      </c>
      <c r="D910" cm="1">
        <f t="array" ref="D910">INDEX('Linha 03'!$A$4:$A$1000,B910)</f>
        <v>20050124</v>
      </c>
      <c r="E910" t="str" cm="1">
        <f t="array" ref="E910">INDEX('Linha 03'!$B$4:$B$1000,B910)</f>
        <v>Desinfetante Myata Harmonia Natural Cx/06 X 2l</v>
      </c>
      <c r="F910" cm="1">
        <f t="array" ref="F910">INDEX('Linha 03'!$C$3:$ZZ$3,C910)</f>
        <v>20040029</v>
      </c>
      <c r="G910" t="str" cm="1">
        <f t="array" ref="G910">INDEX('Linha 03'!$C$2:$ZZ$2,C910)</f>
        <v>Amaciante Ito Branco Cx/06 X 2l</v>
      </c>
      <c r="H910" s="5" cm="1">
        <f t="array" ref="H910">INDEX('Linha 03'!$C$4:$ZZ$1000,B910,C910)</f>
        <v>0</v>
      </c>
    </row>
    <row r="911" spans="1:8" x14ac:dyDescent="0.25">
      <c r="A911">
        <v>909</v>
      </c>
      <c r="B911">
        <f t="shared" si="28"/>
        <v>23</v>
      </c>
      <c r="C911">
        <f t="shared" si="29"/>
        <v>7</v>
      </c>
      <c r="D911" cm="1">
        <f t="array" ref="D911">INDEX('Linha 03'!$A$4:$A$1000,B911)</f>
        <v>20050124</v>
      </c>
      <c r="E911" t="str" cm="1">
        <f t="array" ref="E911">INDEX('Linha 03'!$B$4:$B$1000,B911)</f>
        <v>Desinfetante Myata Harmonia Natural Cx/06 X 2l</v>
      </c>
      <c r="F911" cm="1">
        <f t="array" ref="F911">INDEX('Linha 03'!$C$3:$ZZ$3,C911)</f>
        <v>20040055</v>
      </c>
      <c r="G911" t="str" cm="1">
        <f t="array" ref="G911">INDEX('Linha 03'!$C$2:$ZZ$2,C911)</f>
        <v>Amaciante Myata Azul Cx/06 X 2l</v>
      </c>
      <c r="H911" s="5" cm="1">
        <f t="array" ref="H911">INDEX('Linha 03'!$C$4:$ZZ$1000,B911,C911)</f>
        <v>0</v>
      </c>
    </row>
    <row r="912" spans="1:8" x14ac:dyDescent="0.25">
      <c r="A912">
        <v>910</v>
      </c>
      <c r="B912">
        <f t="shared" si="28"/>
        <v>23</v>
      </c>
      <c r="C912">
        <f t="shared" si="29"/>
        <v>8</v>
      </c>
      <c r="D912" cm="1">
        <f t="array" ref="D912">INDEX('Linha 03'!$A$4:$A$1000,B912)</f>
        <v>20050124</v>
      </c>
      <c r="E912" t="str" cm="1">
        <f t="array" ref="E912">INDEX('Linha 03'!$B$4:$B$1000,B912)</f>
        <v>Desinfetante Myata Harmonia Natural Cx/06 X 2l</v>
      </c>
      <c r="F912" cm="1">
        <f t="array" ref="F912">INDEX('Linha 03'!$C$3:$ZZ$3,C912)</f>
        <v>20040057</v>
      </c>
      <c r="G912" t="str" cm="1">
        <f t="array" ref="G912">INDEX('Linha 03'!$C$2:$ZZ$2,C912)</f>
        <v>Amaciante Myata Rosa Cx/06 X 2l</v>
      </c>
      <c r="H912" s="5" cm="1">
        <f t="array" ref="H912">INDEX('Linha 03'!$C$4:$ZZ$1000,B912,C912)</f>
        <v>0</v>
      </c>
    </row>
    <row r="913" spans="1:8" x14ac:dyDescent="0.25">
      <c r="A913">
        <v>911</v>
      </c>
      <c r="B913">
        <f t="shared" si="28"/>
        <v>23</v>
      </c>
      <c r="C913">
        <f t="shared" si="29"/>
        <v>9</v>
      </c>
      <c r="D913" cm="1">
        <f t="array" ref="D913">INDEX('Linha 03'!$A$4:$A$1000,B913)</f>
        <v>20050124</v>
      </c>
      <c r="E913" t="str" cm="1">
        <f t="array" ref="E913">INDEX('Linha 03'!$B$4:$B$1000,B913)</f>
        <v>Desinfetante Myata Harmonia Natural Cx/06 X 2l</v>
      </c>
      <c r="F913" cm="1">
        <f t="array" ref="F913">INDEX('Linha 03'!$C$3:$ZZ$3,C913)</f>
        <v>20040084</v>
      </c>
      <c r="G913" t="str" cm="1">
        <f t="array" ref="G913">INDEX('Linha 03'!$C$2:$ZZ$2,C913)</f>
        <v>Amaciante Aquafast Vermelho Seducao Cx C/06 X 2l</v>
      </c>
      <c r="H913" s="5" cm="1">
        <f t="array" ref="H913">INDEX('Linha 03'!$C$4:$ZZ$1000,B913,C913)</f>
        <v>0</v>
      </c>
    </row>
    <row r="914" spans="1:8" x14ac:dyDescent="0.25">
      <c r="A914">
        <v>912</v>
      </c>
      <c r="B914">
        <f t="shared" si="28"/>
        <v>23</v>
      </c>
      <c r="C914">
        <f t="shared" si="29"/>
        <v>10</v>
      </c>
      <c r="D914" cm="1">
        <f t="array" ref="D914">INDEX('Linha 03'!$A$4:$A$1000,B914)</f>
        <v>20050124</v>
      </c>
      <c r="E914" t="str" cm="1">
        <f t="array" ref="E914">INDEX('Linha 03'!$B$4:$B$1000,B914)</f>
        <v>Desinfetante Myata Harmonia Natural Cx/06 X 2l</v>
      </c>
      <c r="F914" cm="1">
        <f t="array" ref="F914">INDEX('Linha 03'!$C$3:$ZZ$3,C914)</f>
        <v>20040089</v>
      </c>
      <c r="G914" t="str" cm="1">
        <f t="array" ref="G914">INDEX('Linha 03'!$C$2:$ZZ$2,C914)</f>
        <v>Amaciante Aquafast Roxo Magia Cx/06 X 2l</v>
      </c>
      <c r="H914" s="5" cm="1">
        <f t="array" ref="H914">INDEX('Linha 03'!$C$4:$ZZ$1000,B914,C914)</f>
        <v>0</v>
      </c>
    </row>
    <row r="915" spans="1:8" x14ac:dyDescent="0.25">
      <c r="A915">
        <v>913</v>
      </c>
      <c r="B915">
        <f t="shared" si="28"/>
        <v>23</v>
      </c>
      <c r="C915">
        <f t="shared" si="29"/>
        <v>11</v>
      </c>
      <c r="D915" cm="1">
        <f t="array" ref="D915">INDEX('Linha 03'!$A$4:$A$1000,B915)</f>
        <v>20050124</v>
      </c>
      <c r="E915" t="str" cm="1">
        <f t="array" ref="E915">INDEX('Linha 03'!$B$4:$B$1000,B915)</f>
        <v>Desinfetante Myata Harmonia Natural Cx/06 X 2l</v>
      </c>
      <c r="F915" cm="1">
        <f t="array" ref="F915">INDEX('Linha 03'!$C$3:$ZZ$3,C915)</f>
        <v>20040094</v>
      </c>
      <c r="G915" t="str" cm="1">
        <f t="array" ref="G915">INDEX('Linha 03'!$C$2:$ZZ$2,C915)</f>
        <v>Amaciante Aquafast Energia Cx/06 X 2l</v>
      </c>
      <c r="H915" s="5" cm="1">
        <f t="array" ref="H915">INDEX('Linha 03'!$C$4:$ZZ$1000,B915,C915)</f>
        <v>0</v>
      </c>
    </row>
    <row r="916" spans="1:8" x14ac:dyDescent="0.25">
      <c r="A916">
        <v>914</v>
      </c>
      <c r="B916">
        <f t="shared" si="28"/>
        <v>23</v>
      </c>
      <c r="C916">
        <f t="shared" si="29"/>
        <v>12</v>
      </c>
      <c r="D916" cm="1">
        <f t="array" ref="D916">INDEX('Linha 03'!$A$4:$A$1000,B916)</f>
        <v>20050124</v>
      </c>
      <c r="E916" t="str" cm="1">
        <f t="array" ref="E916">INDEX('Linha 03'!$B$4:$B$1000,B916)</f>
        <v>Desinfetante Myata Harmonia Natural Cx/06 X 2l</v>
      </c>
      <c r="F916" cm="1">
        <f t="array" ref="F916">INDEX('Linha 03'!$C$3:$ZZ$3,C916)</f>
        <v>20050010</v>
      </c>
      <c r="G916" t="str" cm="1">
        <f t="array" ref="G916">INDEX('Linha 03'!$C$2:$ZZ$2,C916)</f>
        <v>Desinfetante Aquafast Campos Lavanda Cx/06 X 2l</v>
      </c>
      <c r="H916" s="5" cm="1">
        <f t="array" ref="H916">INDEX('Linha 03'!$C$4:$ZZ$1000,B916,C916)</f>
        <v>0</v>
      </c>
    </row>
    <row r="917" spans="1:8" x14ac:dyDescent="0.25">
      <c r="A917">
        <v>915</v>
      </c>
      <c r="B917">
        <f t="shared" si="28"/>
        <v>23</v>
      </c>
      <c r="C917">
        <f t="shared" si="29"/>
        <v>13</v>
      </c>
      <c r="D917" cm="1">
        <f t="array" ref="D917">INDEX('Linha 03'!$A$4:$A$1000,B917)</f>
        <v>20050124</v>
      </c>
      <c r="E917" t="str" cm="1">
        <f t="array" ref="E917">INDEX('Linha 03'!$B$4:$B$1000,B917)</f>
        <v>Desinfetante Myata Harmonia Natural Cx/06 X 2l</v>
      </c>
      <c r="F917" cm="1">
        <f t="array" ref="F917">INDEX('Linha 03'!$C$3:$ZZ$3,C917)</f>
        <v>20050011</v>
      </c>
      <c r="G917" t="str" cm="1">
        <f t="array" ref="G917">INDEX('Linha 03'!$C$2:$ZZ$2,C917)</f>
        <v>Desinfetante Aquafast Jardim Florido Cx/06 X 2l</v>
      </c>
      <c r="H917" s="5" cm="1">
        <f t="array" ref="H917">INDEX('Linha 03'!$C$4:$ZZ$1000,B917,C917)</f>
        <v>0</v>
      </c>
    </row>
    <row r="918" spans="1:8" x14ac:dyDescent="0.25">
      <c r="A918">
        <v>916</v>
      </c>
      <c r="B918">
        <f t="shared" si="28"/>
        <v>23</v>
      </c>
      <c r="C918">
        <f t="shared" si="29"/>
        <v>14</v>
      </c>
      <c r="D918" cm="1">
        <f t="array" ref="D918">INDEX('Linha 03'!$A$4:$A$1000,B918)</f>
        <v>20050124</v>
      </c>
      <c r="E918" t="str" cm="1">
        <f t="array" ref="E918">INDEX('Linha 03'!$B$4:$B$1000,B918)</f>
        <v>Desinfetante Myata Harmonia Natural Cx/06 X 2l</v>
      </c>
      <c r="F918" cm="1">
        <f t="array" ref="F918">INDEX('Linha 03'!$C$3:$ZZ$3,C918)</f>
        <v>20050016</v>
      </c>
      <c r="G918" t="str" cm="1">
        <f t="array" ref="G918">INDEX('Linha 03'!$C$2:$ZZ$2,C918)</f>
        <v>Desinfetante Aquafast Marine Cx/06 X 2l</v>
      </c>
      <c r="H918" s="5" cm="1">
        <f t="array" ref="H918">INDEX('Linha 03'!$C$4:$ZZ$1000,B918,C918)</f>
        <v>0</v>
      </c>
    </row>
    <row r="919" spans="1:8" x14ac:dyDescent="0.25">
      <c r="A919">
        <v>917</v>
      </c>
      <c r="B919">
        <f t="shared" si="28"/>
        <v>23</v>
      </c>
      <c r="C919">
        <f t="shared" si="29"/>
        <v>15</v>
      </c>
      <c r="D919" cm="1">
        <f t="array" ref="D919">INDEX('Linha 03'!$A$4:$A$1000,B919)</f>
        <v>20050124</v>
      </c>
      <c r="E919" t="str" cm="1">
        <f t="array" ref="E919">INDEX('Linha 03'!$B$4:$B$1000,B919)</f>
        <v>Desinfetante Myata Harmonia Natural Cx/06 X 2l</v>
      </c>
      <c r="F919" cm="1">
        <f t="array" ref="F919">INDEX('Linha 03'!$C$3:$ZZ$3,C919)</f>
        <v>20050031</v>
      </c>
      <c r="G919" t="str" cm="1">
        <f t="array" ref="G919">INDEX('Linha 03'!$C$2:$ZZ$2,C919)</f>
        <v>Desinfetante Ito Lavanda Cx/06 X 2l</v>
      </c>
      <c r="H919" s="5" cm="1">
        <f t="array" ref="H919">INDEX('Linha 03'!$C$4:$ZZ$1000,B919,C919)</f>
        <v>0</v>
      </c>
    </row>
    <row r="920" spans="1:8" x14ac:dyDescent="0.25">
      <c r="A920">
        <v>918</v>
      </c>
      <c r="B920">
        <f t="shared" si="28"/>
        <v>23</v>
      </c>
      <c r="C920">
        <f t="shared" si="29"/>
        <v>16</v>
      </c>
      <c r="D920" cm="1">
        <f t="array" ref="D920">INDEX('Linha 03'!$A$4:$A$1000,B920)</f>
        <v>20050124</v>
      </c>
      <c r="E920" t="str" cm="1">
        <f t="array" ref="E920">INDEX('Linha 03'!$B$4:$B$1000,B920)</f>
        <v>Desinfetante Myata Harmonia Natural Cx/06 X 2l</v>
      </c>
      <c r="F920" cm="1">
        <f t="array" ref="F920">INDEX('Linha 03'!$C$3:$ZZ$3,C920)</f>
        <v>20050032</v>
      </c>
      <c r="G920" t="str" cm="1">
        <f t="array" ref="G920">INDEX('Linha 03'!$C$2:$ZZ$2,C920)</f>
        <v>Desinfetante Ito Floral Cx/06 X 2l</v>
      </c>
      <c r="H920" s="5" cm="1">
        <f t="array" ref="H920">INDEX('Linha 03'!$C$4:$ZZ$1000,B920,C920)</f>
        <v>0</v>
      </c>
    </row>
    <row r="921" spans="1:8" x14ac:dyDescent="0.25">
      <c r="A921">
        <v>919</v>
      </c>
      <c r="B921">
        <f t="shared" si="28"/>
        <v>23</v>
      </c>
      <c r="C921">
        <f t="shared" si="29"/>
        <v>17</v>
      </c>
      <c r="D921" cm="1">
        <f t="array" ref="D921">INDEX('Linha 03'!$A$4:$A$1000,B921)</f>
        <v>20050124</v>
      </c>
      <c r="E921" t="str" cm="1">
        <f t="array" ref="E921">INDEX('Linha 03'!$B$4:$B$1000,B921)</f>
        <v>Desinfetante Myata Harmonia Natural Cx/06 X 2l</v>
      </c>
      <c r="F921" cm="1">
        <f t="array" ref="F921">INDEX('Linha 03'!$C$3:$ZZ$3,C921)</f>
        <v>20050034</v>
      </c>
      <c r="G921" t="str" cm="1">
        <f t="array" ref="G921">INDEX('Linha 03'!$C$2:$ZZ$2,C921)</f>
        <v>Desinfetante Ito Eucalipto Cx/06 X 2l</v>
      </c>
      <c r="H921" s="5" cm="1">
        <f t="array" ref="H921">INDEX('Linha 03'!$C$4:$ZZ$1000,B921,C921)</f>
        <v>0</v>
      </c>
    </row>
    <row r="922" spans="1:8" x14ac:dyDescent="0.25">
      <c r="A922">
        <v>920</v>
      </c>
      <c r="B922">
        <f t="shared" si="28"/>
        <v>23</v>
      </c>
      <c r="C922">
        <f t="shared" si="29"/>
        <v>18</v>
      </c>
      <c r="D922" cm="1">
        <f t="array" ref="D922">INDEX('Linha 03'!$A$4:$A$1000,B922)</f>
        <v>20050124</v>
      </c>
      <c r="E922" t="str" cm="1">
        <f t="array" ref="E922">INDEX('Linha 03'!$B$4:$B$1000,B922)</f>
        <v>Desinfetante Myata Harmonia Natural Cx/06 X 2l</v>
      </c>
      <c r="F922" cm="1">
        <f t="array" ref="F922">INDEX('Linha 03'!$C$3:$ZZ$3,C922)</f>
        <v>20050077</v>
      </c>
      <c r="G922" t="str" cm="1">
        <f t="array" ref="G922">INDEX('Linha 03'!$C$2:$ZZ$2,C922)</f>
        <v>Desinfetante Myata Lavanda Cx/06 X 2l</v>
      </c>
      <c r="H922" s="5" cm="1">
        <f t="array" ref="H922">INDEX('Linha 03'!$C$4:$ZZ$1000,B922,C922)</f>
        <v>0</v>
      </c>
    </row>
    <row r="923" spans="1:8" x14ac:dyDescent="0.25">
      <c r="A923">
        <v>921</v>
      </c>
      <c r="B923">
        <f t="shared" si="28"/>
        <v>23</v>
      </c>
      <c r="C923">
        <f t="shared" si="29"/>
        <v>19</v>
      </c>
      <c r="D923" cm="1">
        <f t="array" ref="D923">INDEX('Linha 03'!$A$4:$A$1000,B923)</f>
        <v>20050124</v>
      </c>
      <c r="E923" t="str" cm="1">
        <f t="array" ref="E923">INDEX('Linha 03'!$B$4:$B$1000,B923)</f>
        <v>Desinfetante Myata Harmonia Natural Cx/06 X 2l</v>
      </c>
      <c r="F923" cm="1">
        <f t="array" ref="F923">INDEX('Linha 03'!$C$3:$ZZ$3,C923)</f>
        <v>20050078</v>
      </c>
      <c r="G923" t="str" cm="1">
        <f t="array" ref="G923">INDEX('Linha 03'!$C$2:$ZZ$2,C923)</f>
        <v>Desinfetante Myata Floral Cx/06 X 2l</v>
      </c>
      <c r="H923" s="5" cm="1">
        <f t="array" ref="H923">INDEX('Linha 03'!$C$4:$ZZ$1000,B923,C923)</f>
        <v>0</v>
      </c>
    </row>
    <row r="924" spans="1:8" x14ac:dyDescent="0.25">
      <c r="A924">
        <v>922</v>
      </c>
      <c r="B924">
        <f t="shared" si="28"/>
        <v>23</v>
      </c>
      <c r="C924">
        <f t="shared" si="29"/>
        <v>20</v>
      </c>
      <c r="D924" cm="1">
        <f t="array" ref="D924">INDEX('Linha 03'!$A$4:$A$1000,B924)</f>
        <v>20050124</v>
      </c>
      <c r="E924" t="str" cm="1">
        <f t="array" ref="E924">INDEX('Linha 03'!$B$4:$B$1000,B924)</f>
        <v>Desinfetante Myata Harmonia Natural Cx/06 X 2l</v>
      </c>
      <c r="F924" cm="1">
        <f t="array" ref="F924">INDEX('Linha 03'!$C$3:$ZZ$3,C924)</f>
        <v>20050115</v>
      </c>
      <c r="G924" t="str" cm="1">
        <f t="array" ref="G924">INDEX('Linha 03'!$C$2:$ZZ$2,C924)</f>
        <v>Desinfetante Aquafast Paixao Cx/06 X 2l</v>
      </c>
      <c r="H924" s="5" cm="1">
        <f t="array" ref="H924">INDEX('Linha 03'!$C$4:$ZZ$1000,B924,C924)</f>
        <v>0</v>
      </c>
    </row>
    <row r="925" spans="1:8" x14ac:dyDescent="0.25">
      <c r="A925">
        <v>923</v>
      </c>
      <c r="B925">
        <f t="shared" si="28"/>
        <v>23</v>
      </c>
      <c r="C925">
        <f t="shared" si="29"/>
        <v>21</v>
      </c>
      <c r="D925" cm="1">
        <f t="array" ref="D925">INDEX('Linha 03'!$A$4:$A$1000,B925)</f>
        <v>20050124</v>
      </c>
      <c r="E925" t="str" cm="1">
        <f t="array" ref="E925">INDEX('Linha 03'!$B$4:$B$1000,B925)</f>
        <v>Desinfetante Myata Harmonia Natural Cx/06 X 2l</v>
      </c>
      <c r="F925" cm="1">
        <f t="array" ref="F925">INDEX('Linha 03'!$C$3:$ZZ$3,C925)</f>
        <v>20050117</v>
      </c>
      <c r="G925" t="str" cm="1">
        <f t="array" ref="G925">INDEX('Linha 03'!$C$2:$ZZ$2,C925)</f>
        <v>Desinfetante Aquafast Harmonia Natural Cx/06 X 2l</v>
      </c>
      <c r="H925" s="5" cm="1">
        <f t="array" ref="H925">INDEX('Linha 03'!$C$4:$ZZ$1000,B925,C925)</f>
        <v>0</v>
      </c>
    </row>
    <row r="926" spans="1:8" x14ac:dyDescent="0.25">
      <c r="A926">
        <v>924</v>
      </c>
      <c r="B926">
        <f t="shared" si="28"/>
        <v>23</v>
      </c>
      <c r="C926">
        <f t="shared" si="29"/>
        <v>22</v>
      </c>
      <c r="D926" cm="1">
        <f t="array" ref="D926">INDEX('Linha 03'!$A$4:$A$1000,B926)</f>
        <v>20050124</v>
      </c>
      <c r="E926" t="str" cm="1">
        <f t="array" ref="E926">INDEX('Linha 03'!$B$4:$B$1000,B926)</f>
        <v>Desinfetante Myata Harmonia Natural Cx/06 X 2l</v>
      </c>
      <c r="F926" cm="1">
        <f t="array" ref="F926">INDEX('Linha 03'!$C$3:$ZZ$3,C926)</f>
        <v>20050123</v>
      </c>
      <c r="G926" t="str" cm="1">
        <f t="array" ref="G926">INDEX('Linha 03'!$C$2:$ZZ$2,C926)</f>
        <v>Desinfetante Ito Harmonia Natural Cx/06 X 2l</v>
      </c>
      <c r="H926" s="5" cm="1">
        <f t="array" ref="H926">INDEX('Linha 03'!$C$4:$ZZ$1000,B926,C926)</f>
        <v>0</v>
      </c>
    </row>
    <row r="927" spans="1:8" x14ac:dyDescent="0.25">
      <c r="A927">
        <v>925</v>
      </c>
      <c r="B927">
        <f t="shared" si="28"/>
        <v>23</v>
      </c>
      <c r="C927">
        <f t="shared" si="29"/>
        <v>23</v>
      </c>
      <c r="D927" cm="1">
        <f t="array" ref="D927">INDEX('Linha 03'!$A$4:$A$1000,B927)</f>
        <v>20050124</v>
      </c>
      <c r="E927" t="str" cm="1">
        <f t="array" ref="E927">INDEX('Linha 03'!$B$4:$B$1000,B927)</f>
        <v>Desinfetante Myata Harmonia Natural Cx/06 X 2l</v>
      </c>
      <c r="F927" cm="1">
        <f t="array" ref="F927">INDEX('Linha 03'!$C$3:$ZZ$3,C927)</f>
        <v>20050124</v>
      </c>
      <c r="G927" t="str" cm="1">
        <f t="array" ref="G927">INDEX('Linha 03'!$C$2:$ZZ$2,C927)</f>
        <v>Desinfetante Myata Harmonia Natural Cx/06 X 2l</v>
      </c>
      <c r="H927" s="5" cm="1">
        <f t="array" ref="H927">INDEX('Linha 03'!$C$4:$ZZ$1000,B927,C927)</f>
        <v>0</v>
      </c>
    </row>
    <row r="928" spans="1:8" x14ac:dyDescent="0.25">
      <c r="A928">
        <v>926</v>
      </c>
      <c r="B928">
        <f t="shared" si="28"/>
        <v>23</v>
      </c>
      <c r="C928">
        <f t="shared" si="29"/>
        <v>24</v>
      </c>
      <c r="D928" cm="1">
        <f t="array" ref="D928">INDEX('Linha 03'!$A$4:$A$1000,B928)</f>
        <v>20050124</v>
      </c>
      <c r="E928" t="str" cm="1">
        <f t="array" ref="E928">INDEX('Linha 03'!$B$4:$B$1000,B928)</f>
        <v>Desinfetante Myata Harmonia Natural Cx/06 X 2l</v>
      </c>
      <c r="F928" cm="1">
        <f t="array" ref="F928">INDEX('Linha 03'!$C$3:$ZZ$3,C928)</f>
        <v>20050142</v>
      </c>
      <c r="G928" t="str" cm="1">
        <f t="array" ref="G928">INDEX('Linha 03'!$C$2:$ZZ$2,C928)</f>
        <v>Desinfetante Ito Marine Cx/06 X 2l</v>
      </c>
      <c r="H928" s="5" cm="1">
        <f t="array" ref="H928">INDEX('Linha 03'!$C$4:$ZZ$1000,B928,C928)</f>
        <v>0</v>
      </c>
    </row>
    <row r="929" spans="1:8" x14ac:dyDescent="0.25">
      <c r="A929">
        <v>927</v>
      </c>
      <c r="B929">
        <f t="shared" si="28"/>
        <v>23</v>
      </c>
      <c r="C929">
        <f t="shared" si="29"/>
        <v>25</v>
      </c>
      <c r="D929" cm="1">
        <f t="array" ref="D929">INDEX('Linha 03'!$A$4:$A$1000,B929)</f>
        <v>20050124</v>
      </c>
      <c r="E929" t="str" cm="1">
        <f t="array" ref="E929">INDEX('Linha 03'!$B$4:$B$1000,B929)</f>
        <v>Desinfetante Myata Harmonia Natural Cx/06 X 2l</v>
      </c>
      <c r="F929" cm="1">
        <f t="array" ref="F929">INDEX('Linha 03'!$C$3:$ZZ$3,C929)</f>
        <v>20050159</v>
      </c>
      <c r="G929" t="str" cm="1">
        <f t="array" ref="G929">INDEX('Linha 03'!$C$2:$ZZ$2,C929)</f>
        <v>Desinfetante Aquafast Cha Branco Cx/06 X 2l</v>
      </c>
      <c r="H929" s="5" cm="1">
        <f t="array" ref="H929">INDEX('Linha 03'!$C$4:$ZZ$1000,B929,C929)</f>
        <v>1.38888888888889E-2</v>
      </c>
    </row>
    <row r="930" spans="1:8" x14ac:dyDescent="0.25">
      <c r="A930">
        <v>928</v>
      </c>
      <c r="B930">
        <f t="shared" si="28"/>
        <v>23</v>
      </c>
      <c r="C930">
        <f t="shared" si="29"/>
        <v>26</v>
      </c>
      <c r="D930" cm="1">
        <f t="array" ref="D930">INDEX('Linha 03'!$A$4:$A$1000,B930)</f>
        <v>20050124</v>
      </c>
      <c r="E930" t="str" cm="1">
        <f t="array" ref="E930">INDEX('Linha 03'!$B$4:$B$1000,B930)</f>
        <v>Desinfetante Myata Harmonia Natural Cx/06 X 2l</v>
      </c>
      <c r="F930" cm="1">
        <f t="array" ref="F930">INDEX('Linha 03'!$C$3:$ZZ$3,C930)</f>
        <v>20060007</v>
      </c>
      <c r="G930" t="str" cm="1">
        <f t="array" ref="G930">INDEX('Linha 03'!$C$2:$ZZ$2,C930)</f>
        <v>Limp Perf Aquafast Magia Seducao Cx/06 X 2l (Promoc)</v>
      </c>
      <c r="H930" s="5" cm="1">
        <f t="array" ref="H930">INDEX('Linha 03'!$C$4:$ZZ$1000,B930,C930)</f>
        <v>0</v>
      </c>
    </row>
    <row r="931" spans="1:8" x14ac:dyDescent="0.25">
      <c r="A931">
        <v>929</v>
      </c>
      <c r="B931">
        <f t="shared" si="28"/>
        <v>23</v>
      </c>
      <c r="C931">
        <f t="shared" si="29"/>
        <v>27</v>
      </c>
      <c r="D931" cm="1">
        <f t="array" ref="D931">INDEX('Linha 03'!$A$4:$A$1000,B931)</f>
        <v>20050124</v>
      </c>
      <c r="E931" t="str" cm="1">
        <f t="array" ref="E931">INDEX('Linha 03'!$B$4:$B$1000,B931)</f>
        <v>Desinfetante Myata Harmonia Natural Cx/06 X 2l</v>
      </c>
      <c r="F931" cm="1">
        <f t="array" ref="F931">INDEX('Linha 03'!$C$3:$ZZ$3,C931)</f>
        <v>20060009</v>
      </c>
      <c r="G931" t="str" cm="1">
        <f t="array" ref="G931">INDEX('Linha 03'!$C$2:$ZZ$2,C931)</f>
        <v>Limp Perf Aquafast Frescor Da Manha Cx/06 X 2l (Promoc)</v>
      </c>
      <c r="H931" s="5" cm="1">
        <f t="array" ref="H931">INDEX('Linha 03'!$C$4:$ZZ$1000,B931,C931)</f>
        <v>0</v>
      </c>
    </row>
    <row r="932" spans="1:8" x14ac:dyDescent="0.25">
      <c r="A932">
        <v>930</v>
      </c>
      <c r="B932">
        <f t="shared" si="28"/>
        <v>23</v>
      </c>
      <c r="C932">
        <f t="shared" si="29"/>
        <v>28</v>
      </c>
      <c r="D932" cm="1">
        <f t="array" ref="D932">INDEX('Linha 03'!$A$4:$A$1000,B932)</f>
        <v>20050124</v>
      </c>
      <c r="E932" t="str" cm="1">
        <f t="array" ref="E932">INDEX('Linha 03'!$B$4:$B$1000,B932)</f>
        <v>Desinfetante Myata Harmonia Natural Cx/06 X 2l</v>
      </c>
      <c r="F932" cm="1">
        <f t="array" ref="F932">INDEX('Linha 03'!$C$3:$ZZ$3,C932)</f>
        <v>20060017</v>
      </c>
      <c r="G932" t="str" cm="1">
        <f t="array" ref="G932">INDEX('Linha 03'!$C$2:$ZZ$2,C932)</f>
        <v>Limp Perf Aquafast Doce Romance Cx/06 X 2l (Promoc)</v>
      </c>
      <c r="H932" s="5" cm="1">
        <f t="array" ref="H932">INDEX('Linha 03'!$C$4:$ZZ$1000,B932,C932)</f>
        <v>0</v>
      </c>
    </row>
    <row r="933" spans="1:8" x14ac:dyDescent="0.25">
      <c r="A933">
        <v>931</v>
      </c>
      <c r="B933">
        <f t="shared" si="28"/>
        <v>23</v>
      </c>
      <c r="C933">
        <f t="shared" si="29"/>
        <v>29</v>
      </c>
      <c r="D933" cm="1">
        <f t="array" ref="D933">INDEX('Linha 03'!$A$4:$A$1000,B933)</f>
        <v>20050124</v>
      </c>
      <c r="E933" t="str" cm="1">
        <f t="array" ref="E933">INDEX('Linha 03'!$B$4:$B$1000,B933)</f>
        <v>Desinfetante Myata Harmonia Natural Cx/06 X 2l</v>
      </c>
      <c r="F933" cm="1">
        <f t="array" ref="F933">INDEX('Linha 03'!$C$3:$ZZ$3,C933)</f>
        <v>20060028</v>
      </c>
      <c r="G933" t="str" cm="1">
        <f t="array" ref="G933">INDEX('Linha 03'!$C$2:$ZZ$2,C933)</f>
        <v>Limp Perf Aquafast Essencia Natural Cx06 X 2l</v>
      </c>
      <c r="H933" s="5" cm="1">
        <f t="array" ref="H933">INDEX('Linha 03'!$C$4:$ZZ$1000,B933,C933)</f>
        <v>0</v>
      </c>
    </row>
    <row r="934" spans="1:8" x14ac:dyDescent="0.25">
      <c r="A934">
        <v>932</v>
      </c>
      <c r="B934">
        <f t="shared" si="28"/>
        <v>23</v>
      </c>
      <c r="C934">
        <f t="shared" si="29"/>
        <v>30</v>
      </c>
      <c r="D934" cm="1">
        <f t="array" ref="D934">INDEX('Linha 03'!$A$4:$A$1000,B934)</f>
        <v>20050124</v>
      </c>
      <c r="E934" t="str" cm="1">
        <f t="array" ref="E934">INDEX('Linha 03'!$B$4:$B$1000,B934)</f>
        <v>Desinfetante Myata Harmonia Natural Cx/06 X 2l</v>
      </c>
      <c r="F934" cm="1">
        <f t="array" ref="F934">INDEX('Linha 03'!$C$3:$ZZ$3,C934)</f>
        <v>20200003</v>
      </c>
      <c r="G934" t="str" cm="1">
        <f t="array" ref="G934">INDEX('Linha 03'!$C$2:$ZZ$2,C934)</f>
        <v>Lava Roup. Aquafast Baby Cx/12 X 1l</v>
      </c>
      <c r="H934" s="5" cm="1">
        <f t="array" ref="H934">INDEX('Linha 03'!$C$4:$ZZ$1000,B934,C934)</f>
        <v>0</v>
      </c>
    </row>
    <row r="935" spans="1:8" x14ac:dyDescent="0.25">
      <c r="A935">
        <v>933</v>
      </c>
      <c r="B935">
        <f t="shared" si="28"/>
        <v>23</v>
      </c>
      <c r="C935">
        <f t="shared" si="29"/>
        <v>31</v>
      </c>
      <c r="D935" cm="1">
        <f t="array" ref="D935">INDEX('Linha 03'!$A$4:$A$1000,B935)</f>
        <v>20050124</v>
      </c>
      <c r="E935" t="str" cm="1">
        <f t="array" ref="E935">INDEX('Linha 03'!$B$4:$B$1000,B935)</f>
        <v>Desinfetante Myata Harmonia Natural Cx/06 X 2l</v>
      </c>
      <c r="F935" cm="1">
        <f t="array" ref="F935">INDEX('Linha 03'!$C$3:$ZZ$3,C935)</f>
        <v>20200005</v>
      </c>
      <c r="G935" t="str" cm="1">
        <f t="array" ref="G935">INDEX('Linha 03'!$C$2:$ZZ$2,C935)</f>
        <v>Lava Roupas Aquafast Multi Acao Cx/06 X 2l</v>
      </c>
      <c r="H935" s="5" cm="1">
        <f t="array" ref="H935">INDEX('Linha 03'!$C$4:$ZZ$1000,B935,C935)</f>
        <v>0</v>
      </c>
    </row>
    <row r="936" spans="1:8" x14ac:dyDescent="0.25">
      <c r="A936">
        <v>934</v>
      </c>
      <c r="B936">
        <f t="shared" si="28"/>
        <v>23</v>
      </c>
      <c r="C936">
        <f t="shared" si="29"/>
        <v>32</v>
      </c>
      <c r="D936" cm="1">
        <f t="array" ref="D936">INDEX('Linha 03'!$A$4:$A$1000,B936)</f>
        <v>20050124</v>
      </c>
      <c r="E936" t="str" cm="1">
        <f t="array" ref="E936">INDEX('Linha 03'!$B$4:$B$1000,B936)</f>
        <v>Desinfetante Myata Harmonia Natural Cx/06 X 2l</v>
      </c>
      <c r="F936" cm="1">
        <f t="array" ref="F936">INDEX('Linha 03'!$C$3:$ZZ$3,C936)</f>
        <v>20200006</v>
      </c>
      <c r="G936" t="str" cm="1">
        <f t="array" ref="G936">INDEX('Linha 03'!$C$2:$ZZ$2,C936)</f>
        <v>Lava Roupas Aquafast Glicerina Cx/06 X 2l</v>
      </c>
      <c r="H936" s="5" cm="1">
        <f t="array" ref="H936">INDEX('Linha 03'!$C$4:$ZZ$1000,B936,C936)</f>
        <v>0</v>
      </c>
    </row>
    <row r="937" spans="1:8" x14ac:dyDescent="0.25">
      <c r="A937">
        <v>935</v>
      </c>
      <c r="B937">
        <f t="shared" si="28"/>
        <v>23</v>
      </c>
      <c r="C937">
        <f t="shared" si="29"/>
        <v>33</v>
      </c>
      <c r="D937" cm="1">
        <f t="array" ref="D937">INDEX('Linha 03'!$A$4:$A$1000,B937)</f>
        <v>20050124</v>
      </c>
      <c r="E937" t="str" cm="1">
        <f t="array" ref="E937">INDEX('Linha 03'!$B$4:$B$1000,B937)</f>
        <v>Desinfetante Myata Harmonia Natural Cx/06 X 2l</v>
      </c>
      <c r="F937" cm="1">
        <f t="array" ref="F937">INDEX('Linha 03'!$C$3:$ZZ$3,C937)</f>
        <v>20200015</v>
      </c>
      <c r="G937" t="str" cm="1">
        <f t="array" ref="G937">INDEX('Linha 03'!$C$2:$ZZ$2,C937)</f>
        <v>Lava Roup. Aquafast Multiacao Cx/12 X 1l</v>
      </c>
      <c r="H937" s="5" cm="1">
        <f t="array" ref="H937">INDEX('Linha 03'!$C$4:$ZZ$1000,B937,C937)</f>
        <v>0</v>
      </c>
    </row>
    <row r="938" spans="1:8" x14ac:dyDescent="0.25">
      <c r="A938">
        <v>936</v>
      </c>
      <c r="B938">
        <f t="shared" si="28"/>
        <v>23</v>
      </c>
      <c r="C938">
        <f t="shared" si="29"/>
        <v>34</v>
      </c>
      <c r="D938" cm="1">
        <f t="array" ref="D938">INDEX('Linha 03'!$A$4:$A$1000,B938)</f>
        <v>20050124</v>
      </c>
      <c r="E938" t="str" cm="1">
        <f t="array" ref="E938">INDEX('Linha 03'!$B$4:$B$1000,B938)</f>
        <v>Desinfetante Myata Harmonia Natural Cx/06 X 2l</v>
      </c>
      <c r="F938" cm="1">
        <f t="array" ref="F938">INDEX('Linha 03'!$C$3:$ZZ$3,C938)</f>
        <v>20200036</v>
      </c>
      <c r="G938" t="str" cm="1">
        <f t="array" ref="G938">INDEX('Linha 03'!$C$2:$ZZ$2,C938)</f>
        <v>Lava Roupas Aquafast Ternura Cx/06 X 2l</v>
      </c>
      <c r="H938" s="5" cm="1">
        <f t="array" ref="H938">INDEX('Linha 03'!$C$4:$ZZ$1000,B938,C938)</f>
        <v>0</v>
      </c>
    </row>
    <row r="939" spans="1:8" x14ac:dyDescent="0.25">
      <c r="A939">
        <v>937</v>
      </c>
      <c r="B939">
        <f t="shared" si="28"/>
        <v>23</v>
      </c>
      <c r="C939">
        <f t="shared" si="29"/>
        <v>35</v>
      </c>
      <c r="D939" cm="1">
        <f t="array" ref="D939">INDEX('Linha 03'!$A$4:$A$1000,B939)</f>
        <v>20050124</v>
      </c>
      <c r="E939" t="str" cm="1">
        <f t="array" ref="E939">INDEX('Linha 03'!$B$4:$B$1000,B939)</f>
        <v>Desinfetante Myata Harmonia Natural Cx/06 X 2l</v>
      </c>
      <c r="F939" cm="1">
        <f t="array" ref="F939">INDEX('Linha 03'!$C$3:$ZZ$3,C939)</f>
        <v>20200063</v>
      </c>
      <c r="G939" t="str" cm="1">
        <f t="array" ref="G939">INDEX('Linha 03'!$C$2:$ZZ$2,C939)</f>
        <v>Lava Roup. Aquafast Tradicional Cx/12 X 1l</v>
      </c>
      <c r="H939" s="5" cm="1">
        <f t="array" ref="H939">INDEX('Linha 03'!$C$4:$ZZ$1000,B939,C939)</f>
        <v>0</v>
      </c>
    </row>
    <row r="940" spans="1:8" x14ac:dyDescent="0.25">
      <c r="A940">
        <v>938</v>
      </c>
      <c r="B940">
        <f t="shared" si="28"/>
        <v>23</v>
      </c>
      <c r="C940">
        <f t="shared" si="29"/>
        <v>36</v>
      </c>
      <c r="D940" cm="1">
        <f t="array" ref="D940">INDEX('Linha 03'!$A$4:$A$1000,B940)</f>
        <v>20050124</v>
      </c>
      <c r="E940" t="str" cm="1">
        <f t="array" ref="E940">INDEX('Linha 03'!$B$4:$B$1000,B940)</f>
        <v>Desinfetante Myata Harmonia Natural Cx/06 X 2l</v>
      </c>
      <c r="F940" cm="1">
        <f t="array" ref="F940">INDEX('Linha 03'!$C$3:$ZZ$3,C940)</f>
        <v>20200064</v>
      </c>
      <c r="G940" t="str" cm="1">
        <f t="array" ref="G940">INDEX('Linha 03'!$C$2:$ZZ$2,C940)</f>
        <v>Lava Roup. Aquafast Flores B. E Baunilha Cx/12 X 1l</v>
      </c>
      <c r="H940" s="5" cm="1">
        <f t="array" ref="H940">INDEX('Linha 03'!$C$4:$ZZ$1000,B940,C940)</f>
        <v>0</v>
      </c>
    </row>
    <row r="941" spans="1:8" x14ac:dyDescent="0.25">
      <c r="A941">
        <v>939</v>
      </c>
      <c r="B941">
        <f t="shared" si="28"/>
        <v>23</v>
      </c>
      <c r="C941">
        <f t="shared" si="29"/>
        <v>37</v>
      </c>
      <c r="D941" cm="1">
        <f t="array" ref="D941">INDEX('Linha 03'!$A$4:$A$1000,B941)</f>
        <v>20050124</v>
      </c>
      <c r="E941" t="str" cm="1">
        <f t="array" ref="E941">INDEX('Linha 03'!$B$4:$B$1000,B941)</f>
        <v>Desinfetante Myata Harmonia Natural Cx/06 X 2l</v>
      </c>
      <c r="F941" cm="1">
        <f t="array" ref="F941">INDEX('Linha 03'!$C$3:$ZZ$3,C941)</f>
        <v>20200065</v>
      </c>
      <c r="G941" t="str" cm="1">
        <f t="array" ref="G941">INDEX('Linha 03'!$C$2:$ZZ$2,C941)</f>
        <v>Lava Roupas Aquafast Flores B. E Baunilha Cx/06 X 2l</v>
      </c>
      <c r="H941" s="5" cm="1">
        <f t="array" ref="H941">INDEX('Linha 03'!$C$4:$ZZ$1000,B941,C941)</f>
        <v>0</v>
      </c>
    </row>
    <row r="942" spans="1:8" x14ac:dyDescent="0.25">
      <c r="A942">
        <v>940</v>
      </c>
      <c r="B942">
        <f t="shared" si="28"/>
        <v>23</v>
      </c>
      <c r="C942">
        <f t="shared" si="29"/>
        <v>38</v>
      </c>
      <c r="D942" cm="1">
        <f t="array" ref="D942">INDEX('Linha 03'!$A$4:$A$1000,B942)</f>
        <v>20050124</v>
      </c>
      <c r="E942" t="str" cm="1">
        <f t="array" ref="E942">INDEX('Linha 03'!$B$4:$B$1000,B942)</f>
        <v>Desinfetante Myata Harmonia Natural Cx/06 X 2l</v>
      </c>
      <c r="F942" cm="1">
        <f t="array" ref="F942">INDEX('Linha 03'!$C$3:$ZZ$3,C942)</f>
        <v>20200072</v>
      </c>
      <c r="G942" t="str" cm="1">
        <f t="array" ref="G942">INDEX('Linha 03'!$C$2:$ZZ$2,C942)</f>
        <v>Lava Roupas Aquafast Lavagem Rapida Total Clean Cx/12 X 1l</v>
      </c>
      <c r="H942" s="5" cm="1">
        <f t="array" ref="H942">INDEX('Linha 03'!$C$4:$ZZ$1000,B942,C942)</f>
        <v>0</v>
      </c>
    </row>
    <row r="943" spans="1:8" x14ac:dyDescent="0.25">
      <c r="A943">
        <v>941</v>
      </c>
      <c r="B943">
        <f t="shared" si="28"/>
        <v>23</v>
      </c>
      <c r="C943">
        <f t="shared" si="29"/>
        <v>39</v>
      </c>
      <c r="D943" cm="1">
        <f t="array" ref="D943">INDEX('Linha 03'!$A$4:$A$1000,B943)</f>
        <v>20050124</v>
      </c>
      <c r="E943" t="str" cm="1">
        <f t="array" ref="E943">INDEX('Linha 03'!$B$4:$B$1000,B943)</f>
        <v>Desinfetante Myata Harmonia Natural Cx/06 X 2l</v>
      </c>
      <c r="F943" cm="1">
        <f t="array" ref="F943">INDEX('Linha 03'!$C$3:$ZZ$3,C943)</f>
        <v>20200074</v>
      </c>
      <c r="G943" t="str" cm="1">
        <f t="array" ref="G943">INDEX('Linha 03'!$C$2:$ZZ$2,C943)</f>
        <v>Lava Roupas Aquafast Lavagem Rapida Fresh Clean Cx/12 X 1l</v>
      </c>
      <c r="H943" s="5" cm="1">
        <f t="array" ref="H943">INDEX('Linha 03'!$C$4:$ZZ$1000,B943,C943)</f>
        <v>0</v>
      </c>
    </row>
    <row r="944" spans="1:8" x14ac:dyDescent="0.25">
      <c r="A944">
        <v>942</v>
      </c>
      <c r="B944">
        <f t="shared" si="28"/>
        <v>23</v>
      </c>
      <c r="C944">
        <f t="shared" si="29"/>
        <v>40</v>
      </c>
      <c r="D944" cm="1">
        <f t="array" ref="D944">INDEX('Linha 03'!$A$4:$A$1000,B944)</f>
        <v>20050124</v>
      </c>
      <c r="E944" t="str" cm="1">
        <f t="array" ref="E944">INDEX('Linha 03'!$B$4:$B$1000,B944)</f>
        <v>Desinfetante Myata Harmonia Natural Cx/06 X 2l</v>
      </c>
      <c r="F944" cm="1">
        <f t="array" ref="F944">INDEX('Linha 03'!$C$3:$ZZ$3,C944)</f>
        <v>20250005</v>
      </c>
      <c r="G944" t="str" cm="1">
        <f t="array" ref="G944">INDEX('Linha 03'!$C$2:$ZZ$2,C944)</f>
        <v>Neutralizador De Odores Aquafast Floral Cx/06 X 2l</v>
      </c>
      <c r="H944" s="5" cm="1">
        <f t="array" ref="H944">INDEX('Linha 03'!$C$4:$ZZ$1000,B944,C944)</f>
        <v>0</v>
      </c>
    </row>
    <row r="945" spans="1:8" x14ac:dyDescent="0.25">
      <c r="A945">
        <v>943</v>
      </c>
      <c r="B945">
        <f t="shared" si="28"/>
        <v>23</v>
      </c>
      <c r="C945">
        <f t="shared" si="29"/>
        <v>41</v>
      </c>
      <c r="D945" cm="1">
        <f t="array" ref="D945">INDEX('Linha 03'!$A$4:$A$1000,B945)</f>
        <v>20050124</v>
      </c>
      <c r="E945" t="str" cm="1">
        <f t="array" ref="E945">INDEX('Linha 03'!$B$4:$B$1000,B945)</f>
        <v>Desinfetante Myata Harmonia Natural Cx/06 X 2l</v>
      </c>
      <c r="F945" cm="1">
        <f t="array" ref="F945">INDEX('Linha 03'!$C$3:$ZZ$3,C945)</f>
        <v>20250007</v>
      </c>
      <c r="G945" t="str" cm="1">
        <f t="array" ref="G945">INDEX('Linha 03'!$C$2:$ZZ$2,C945)</f>
        <v>Neutralizador De Odores Aquafast Marine Cx/06 2l</v>
      </c>
      <c r="H945" s="5" cm="1">
        <f t="array" ref="H945">INDEX('Linha 03'!$C$4:$ZZ$1000,B945,C945)</f>
        <v>0</v>
      </c>
    </row>
    <row r="946" spans="1:8" x14ac:dyDescent="0.25">
      <c r="A946">
        <v>944</v>
      </c>
      <c r="B946">
        <f t="shared" si="28"/>
        <v>24</v>
      </c>
      <c r="C946">
        <f t="shared" si="29"/>
        <v>1</v>
      </c>
      <c r="D946" cm="1">
        <f t="array" ref="D946">INDEX('Linha 03'!$A$4:$A$1000,B946)</f>
        <v>20050142</v>
      </c>
      <c r="E946" t="str" cm="1">
        <f t="array" ref="E946">INDEX('Linha 03'!$B$4:$B$1000,B946)</f>
        <v>Desinfetante Ito Marine Cx/06 X 2l</v>
      </c>
      <c r="F946" cm="1">
        <f t="array" ref="F946">INDEX('Linha 03'!$C$3:$ZZ$3,C946)</f>
        <v>20040006</v>
      </c>
      <c r="G946" t="str" cm="1">
        <f t="array" ref="G946">INDEX('Linha 03'!$C$2:$ZZ$2,C946)</f>
        <v>Amaciante Aquafast Azul Fresc. Manha Cx/06 X 2l</v>
      </c>
      <c r="H946" s="5" cm="1">
        <f t="array" ref="H946">INDEX('Linha 03'!$C$4:$ZZ$1000,B946,C946)</f>
        <v>0</v>
      </c>
    </row>
    <row r="947" spans="1:8" x14ac:dyDescent="0.25">
      <c r="A947">
        <v>945</v>
      </c>
      <c r="B947">
        <f t="shared" si="28"/>
        <v>24</v>
      </c>
      <c r="C947">
        <f t="shared" si="29"/>
        <v>2</v>
      </c>
      <c r="D947" cm="1">
        <f t="array" ref="D947">INDEX('Linha 03'!$A$4:$A$1000,B947)</f>
        <v>20050142</v>
      </c>
      <c r="E947" t="str" cm="1">
        <f t="array" ref="E947">INDEX('Linha 03'!$B$4:$B$1000,B947)</f>
        <v>Desinfetante Ito Marine Cx/06 X 2l</v>
      </c>
      <c r="F947" cm="1">
        <f t="array" ref="F947">INDEX('Linha 03'!$C$3:$ZZ$3,C947)</f>
        <v>20040008</v>
      </c>
      <c r="G947" t="str" cm="1">
        <f t="array" ref="G947">INDEX('Linha 03'!$C$2:$ZZ$2,C947)</f>
        <v>Amaciante Aquafast Rosa Jard. Florid Cx/06 X 2l</v>
      </c>
      <c r="H947" s="5" cm="1">
        <f t="array" ref="H947">INDEX('Linha 03'!$C$4:$ZZ$1000,B947,C947)</f>
        <v>0</v>
      </c>
    </row>
    <row r="948" spans="1:8" x14ac:dyDescent="0.25">
      <c r="A948">
        <v>946</v>
      </c>
      <c r="B948">
        <f t="shared" si="28"/>
        <v>24</v>
      </c>
      <c r="C948">
        <f t="shared" si="29"/>
        <v>3</v>
      </c>
      <c r="D948" cm="1">
        <f t="array" ref="D948">INDEX('Linha 03'!$A$4:$A$1000,B948)</f>
        <v>20050142</v>
      </c>
      <c r="E948" t="str" cm="1">
        <f t="array" ref="E948">INDEX('Linha 03'!$B$4:$B$1000,B948)</f>
        <v>Desinfetante Ito Marine Cx/06 X 2l</v>
      </c>
      <c r="F948" cm="1">
        <f t="array" ref="F948">INDEX('Linha 03'!$C$3:$ZZ$3,C948)</f>
        <v>20040009</v>
      </c>
      <c r="G948" t="str" cm="1">
        <f t="array" ref="G948">INDEX('Linha 03'!$C$2:$ZZ$2,C948)</f>
        <v>Amaciante Aquafast Branco Pura Caric. Cx/06 X 2l</v>
      </c>
      <c r="H948" s="5" cm="1">
        <f t="array" ref="H948">INDEX('Linha 03'!$C$4:$ZZ$1000,B948,C948)</f>
        <v>0</v>
      </c>
    </row>
    <row r="949" spans="1:8" x14ac:dyDescent="0.25">
      <c r="A949">
        <v>947</v>
      </c>
      <c r="B949">
        <f t="shared" si="28"/>
        <v>24</v>
      </c>
      <c r="C949">
        <f t="shared" si="29"/>
        <v>4</v>
      </c>
      <c r="D949" cm="1">
        <f t="array" ref="D949">INDEX('Linha 03'!$A$4:$A$1000,B949)</f>
        <v>20050142</v>
      </c>
      <c r="E949" t="str" cm="1">
        <f t="array" ref="E949">INDEX('Linha 03'!$B$4:$B$1000,B949)</f>
        <v>Desinfetante Ito Marine Cx/06 X 2l</v>
      </c>
      <c r="F949" cm="1">
        <f t="array" ref="F949">INDEX('Linha 03'!$C$3:$ZZ$3,C949)</f>
        <v>20040026</v>
      </c>
      <c r="G949" t="str" cm="1">
        <f t="array" ref="G949">INDEX('Linha 03'!$C$2:$ZZ$2,C949)</f>
        <v>Amaciante Ito Azul Cx/06 X 2l</v>
      </c>
      <c r="H949" s="5" cm="1">
        <f t="array" ref="H949">INDEX('Linha 03'!$C$4:$ZZ$1000,B949,C949)</f>
        <v>0</v>
      </c>
    </row>
    <row r="950" spans="1:8" x14ac:dyDescent="0.25">
      <c r="A950">
        <v>948</v>
      </c>
      <c r="B950">
        <f t="shared" si="28"/>
        <v>24</v>
      </c>
      <c r="C950">
        <f t="shared" si="29"/>
        <v>5</v>
      </c>
      <c r="D950" cm="1">
        <f t="array" ref="D950">INDEX('Linha 03'!$A$4:$A$1000,B950)</f>
        <v>20050142</v>
      </c>
      <c r="E950" t="str" cm="1">
        <f t="array" ref="E950">INDEX('Linha 03'!$B$4:$B$1000,B950)</f>
        <v>Desinfetante Ito Marine Cx/06 X 2l</v>
      </c>
      <c r="F950" cm="1">
        <f t="array" ref="F950">INDEX('Linha 03'!$C$3:$ZZ$3,C950)</f>
        <v>20040028</v>
      </c>
      <c r="G950" t="str" cm="1">
        <f t="array" ref="G950">INDEX('Linha 03'!$C$2:$ZZ$2,C950)</f>
        <v>Amaciante Ito Rosa Cx/06 X 2l</v>
      </c>
      <c r="H950" s="5" cm="1">
        <f t="array" ref="H950">INDEX('Linha 03'!$C$4:$ZZ$1000,B950,C950)</f>
        <v>0</v>
      </c>
    </row>
    <row r="951" spans="1:8" x14ac:dyDescent="0.25">
      <c r="A951">
        <v>949</v>
      </c>
      <c r="B951">
        <f t="shared" si="28"/>
        <v>24</v>
      </c>
      <c r="C951">
        <f t="shared" si="29"/>
        <v>6</v>
      </c>
      <c r="D951" cm="1">
        <f t="array" ref="D951">INDEX('Linha 03'!$A$4:$A$1000,B951)</f>
        <v>20050142</v>
      </c>
      <c r="E951" t="str" cm="1">
        <f t="array" ref="E951">INDEX('Linha 03'!$B$4:$B$1000,B951)</f>
        <v>Desinfetante Ito Marine Cx/06 X 2l</v>
      </c>
      <c r="F951" cm="1">
        <f t="array" ref="F951">INDEX('Linha 03'!$C$3:$ZZ$3,C951)</f>
        <v>20040029</v>
      </c>
      <c r="G951" t="str" cm="1">
        <f t="array" ref="G951">INDEX('Linha 03'!$C$2:$ZZ$2,C951)</f>
        <v>Amaciante Ito Branco Cx/06 X 2l</v>
      </c>
      <c r="H951" s="5" cm="1">
        <f t="array" ref="H951">INDEX('Linha 03'!$C$4:$ZZ$1000,B951,C951)</f>
        <v>0</v>
      </c>
    </row>
    <row r="952" spans="1:8" x14ac:dyDescent="0.25">
      <c r="A952">
        <v>950</v>
      </c>
      <c r="B952">
        <f t="shared" si="28"/>
        <v>24</v>
      </c>
      <c r="C952">
        <f t="shared" si="29"/>
        <v>7</v>
      </c>
      <c r="D952" cm="1">
        <f t="array" ref="D952">INDEX('Linha 03'!$A$4:$A$1000,B952)</f>
        <v>20050142</v>
      </c>
      <c r="E952" t="str" cm="1">
        <f t="array" ref="E952">INDEX('Linha 03'!$B$4:$B$1000,B952)</f>
        <v>Desinfetante Ito Marine Cx/06 X 2l</v>
      </c>
      <c r="F952" cm="1">
        <f t="array" ref="F952">INDEX('Linha 03'!$C$3:$ZZ$3,C952)</f>
        <v>20040055</v>
      </c>
      <c r="G952" t="str" cm="1">
        <f t="array" ref="G952">INDEX('Linha 03'!$C$2:$ZZ$2,C952)</f>
        <v>Amaciante Myata Azul Cx/06 X 2l</v>
      </c>
      <c r="H952" s="5" cm="1">
        <f t="array" ref="H952">INDEX('Linha 03'!$C$4:$ZZ$1000,B952,C952)</f>
        <v>0</v>
      </c>
    </row>
    <row r="953" spans="1:8" x14ac:dyDescent="0.25">
      <c r="A953">
        <v>951</v>
      </c>
      <c r="B953">
        <f t="shared" si="28"/>
        <v>24</v>
      </c>
      <c r="C953">
        <f t="shared" si="29"/>
        <v>8</v>
      </c>
      <c r="D953" cm="1">
        <f t="array" ref="D953">INDEX('Linha 03'!$A$4:$A$1000,B953)</f>
        <v>20050142</v>
      </c>
      <c r="E953" t="str" cm="1">
        <f t="array" ref="E953">INDEX('Linha 03'!$B$4:$B$1000,B953)</f>
        <v>Desinfetante Ito Marine Cx/06 X 2l</v>
      </c>
      <c r="F953" cm="1">
        <f t="array" ref="F953">INDEX('Linha 03'!$C$3:$ZZ$3,C953)</f>
        <v>20040057</v>
      </c>
      <c r="G953" t="str" cm="1">
        <f t="array" ref="G953">INDEX('Linha 03'!$C$2:$ZZ$2,C953)</f>
        <v>Amaciante Myata Rosa Cx/06 X 2l</v>
      </c>
      <c r="H953" s="5" cm="1">
        <f t="array" ref="H953">INDEX('Linha 03'!$C$4:$ZZ$1000,B953,C953)</f>
        <v>0</v>
      </c>
    </row>
    <row r="954" spans="1:8" x14ac:dyDescent="0.25">
      <c r="A954">
        <v>952</v>
      </c>
      <c r="B954">
        <f t="shared" si="28"/>
        <v>24</v>
      </c>
      <c r="C954">
        <f t="shared" si="29"/>
        <v>9</v>
      </c>
      <c r="D954" cm="1">
        <f t="array" ref="D954">INDEX('Linha 03'!$A$4:$A$1000,B954)</f>
        <v>20050142</v>
      </c>
      <c r="E954" t="str" cm="1">
        <f t="array" ref="E954">INDEX('Linha 03'!$B$4:$B$1000,B954)</f>
        <v>Desinfetante Ito Marine Cx/06 X 2l</v>
      </c>
      <c r="F954" cm="1">
        <f t="array" ref="F954">INDEX('Linha 03'!$C$3:$ZZ$3,C954)</f>
        <v>20040084</v>
      </c>
      <c r="G954" t="str" cm="1">
        <f t="array" ref="G954">INDEX('Linha 03'!$C$2:$ZZ$2,C954)</f>
        <v>Amaciante Aquafast Vermelho Seducao Cx C/06 X 2l</v>
      </c>
      <c r="H954" s="5" cm="1">
        <f t="array" ref="H954">INDEX('Linha 03'!$C$4:$ZZ$1000,B954,C954)</f>
        <v>0</v>
      </c>
    </row>
    <row r="955" spans="1:8" x14ac:dyDescent="0.25">
      <c r="A955">
        <v>953</v>
      </c>
      <c r="B955">
        <f t="shared" si="28"/>
        <v>24</v>
      </c>
      <c r="C955">
        <f t="shared" si="29"/>
        <v>10</v>
      </c>
      <c r="D955" cm="1">
        <f t="array" ref="D955">INDEX('Linha 03'!$A$4:$A$1000,B955)</f>
        <v>20050142</v>
      </c>
      <c r="E955" t="str" cm="1">
        <f t="array" ref="E955">INDEX('Linha 03'!$B$4:$B$1000,B955)</f>
        <v>Desinfetante Ito Marine Cx/06 X 2l</v>
      </c>
      <c r="F955" cm="1">
        <f t="array" ref="F955">INDEX('Linha 03'!$C$3:$ZZ$3,C955)</f>
        <v>20040089</v>
      </c>
      <c r="G955" t="str" cm="1">
        <f t="array" ref="G955">INDEX('Linha 03'!$C$2:$ZZ$2,C955)</f>
        <v>Amaciante Aquafast Roxo Magia Cx/06 X 2l</v>
      </c>
      <c r="H955" s="5" cm="1">
        <f t="array" ref="H955">INDEX('Linha 03'!$C$4:$ZZ$1000,B955,C955)</f>
        <v>0</v>
      </c>
    </row>
    <row r="956" spans="1:8" x14ac:dyDescent="0.25">
      <c r="A956">
        <v>954</v>
      </c>
      <c r="B956">
        <f t="shared" si="28"/>
        <v>24</v>
      </c>
      <c r="C956">
        <f t="shared" si="29"/>
        <v>11</v>
      </c>
      <c r="D956" cm="1">
        <f t="array" ref="D956">INDEX('Linha 03'!$A$4:$A$1000,B956)</f>
        <v>20050142</v>
      </c>
      <c r="E956" t="str" cm="1">
        <f t="array" ref="E956">INDEX('Linha 03'!$B$4:$B$1000,B956)</f>
        <v>Desinfetante Ito Marine Cx/06 X 2l</v>
      </c>
      <c r="F956" cm="1">
        <f t="array" ref="F956">INDEX('Linha 03'!$C$3:$ZZ$3,C956)</f>
        <v>20040094</v>
      </c>
      <c r="G956" t="str" cm="1">
        <f t="array" ref="G956">INDEX('Linha 03'!$C$2:$ZZ$2,C956)</f>
        <v>Amaciante Aquafast Energia Cx/06 X 2l</v>
      </c>
      <c r="H956" s="5" cm="1">
        <f t="array" ref="H956">INDEX('Linha 03'!$C$4:$ZZ$1000,B956,C956)</f>
        <v>0</v>
      </c>
    </row>
    <row r="957" spans="1:8" x14ac:dyDescent="0.25">
      <c r="A957">
        <v>955</v>
      </c>
      <c r="B957">
        <f t="shared" si="28"/>
        <v>24</v>
      </c>
      <c r="C957">
        <f t="shared" si="29"/>
        <v>12</v>
      </c>
      <c r="D957" cm="1">
        <f t="array" ref="D957">INDEX('Linha 03'!$A$4:$A$1000,B957)</f>
        <v>20050142</v>
      </c>
      <c r="E957" t="str" cm="1">
        <f t="array" ref="E957">INDEX('Linha 03'!$B$4:$B$1000,B957)</f>
        <v>Desinfetante Ito Marine Cx/06 X 2l</v>
      </c>
      <c r="F957" cm="1">
        <f t="array" ref="F957">INDEX('Linha 03'!$C$3:$ZZ$3,C957)</f>
        <v>20050010</v>
      </c>
      <c r="G957" t="str" cm="1">
        <f t="array" ref="G957">INDEX('Linha 03'!$C$2:$ZZ$2,C957)</f>
        <v>Desinfetante Aquafast Campos Lavanda Cx/06 X 2l</v>
      </c>
      <c r="H957" s="5" cm="1">
        <f t="array" ref="H957">INDEX('Linha 03'!$C$4:$ZZ$1000,B957,C957)</f>
        <v>0</v>
      </c>
    </row>
    <row r="958" spans="1:8" x14ac:dyDescent="0.25">
      <c r="A958">
        <v>956</v>
      </c>
      <c r="B958">
        <f t="shared" si="28"/>
        <v>24</v>
      </c>
      <c r="C958">
        <f t="shared" si="29"/>
        <v>13</v>
      </c>
      <c r="D958" cm="1">
        <f t="array" ref="D958">INDEX('Linha 03'!$A$4:$A$1000,B958)</f>
        <v>20050142</v>
      </c>
      <c r="E958" t="str" cm="1">
        <f t="array" ref="E958">INDEX('Linha 03'!$B$4:$B$1000,B958)</f>
        <v>Desinfetante Ito Marine Cx/06 X 2l</v>
      </c>
      <c r="F958" cm="1">
        <f t="array" ref="F958">INDEX('Linha 03'!$C$3:$ZZ$3,C958)</f>
        <v>20050011</v>
      </c>
      <c r="G958" t="str" cm="1">
        <f t="array" ref="G958">INDEX('Linha 03'!$C$2:$ZZ$2,C958)</f>
        <v>Desinfetante Aquafast Jardim Florido Cx/06 X 2l</v>
      </c>
      <c r="H958" s="5" cm="1">
        <f t="array" ref="H958">INDEX('Linha 03'!$C$4:$ZZ$1000,B958,C958)</f>
        <v>0</v>
      </c>
    </row>
    <row r="959" spans="1:8" x14ac:dyDescent="0.25">
      <c r="A959">
        <v>957</v>
      </c>
      <c r="B959">
        <f t="shared" si="28"/>
        <v>24</v>
      </c>
      <c r="C959">
        <f t="shared" si="29"/>
        <v>14</v>
      </c>
      <c r="D959" cm="1">
        <f t="array" ref="D959">INDEX('Linha 03'!$A$4:$A$1000,B959)</f>
        <v>20050142</v>
      </c>
      <c r="E959" t="str" cm="1">
        <f t="array" ref="E959">INDEX('Linha 03'!$B$4:$B$1000,B959)</f>
        <v>Desinfetante Ito Marine Cx/06 X 2l</v>
      </c>
      <c r="F959" cm="1">
        <f t="array" ref="F959">INDEX('Linha 03'!$C$3:$ZZ$3,C959)</f>
        <v>20050016</v>
      </c>
      <c r="G959" t="str" cm="1">
        <f t="array" ref="G959">INDEX('Linha 03'!$C$2:$ZZ$2,C959)</f>
        <v>Desinfetante Aquafast Marine Cx/06 X 2l</v>
      </c>
      <c r="H959" s="5" cm="1">
        <f t="array" ref="H959">INDEX('Linha 03'!$C$4:$ZZ$1000,B959,C959)</f>
        <v>0</v>
      </c>
    </row>
    <row r="960" spans="1:8" x14ac:dyDescent="0.25">
      <c r="A960">
        <v>958</v>
      </c>
      <c r="B960">
        <f t="shared" si="28"/>
        <v>24</v>
      </c>
      <c r="C960">
        <f t="shared" si="29"/>
        <v>15</v>
      </c>
      <c r="D960" cm="1">
        <f t="array" ref="D960">INDEX('Linha 03'!$A$4:$A$1000,B960)</f>
        <v>20050142</v>
      </c>
      <c r="E960" t="str" cm="1">
        <f t="array" ref="E960">INDEX('Linha 03'!$B$4:$B$1000,B960)</f>
        <v>Desinfetante Ito Marine Cx/06 X 2l</v>
      </c>
      <c r="F960" cm="1">
        <f t="array" ref="F960">INDEX('Linha 03'!$C$3:$ZZ$3,C960)</f>
        <v>20050031</v>
      </c>
      <c r="G960" t="str" cm="1">
        <f t="array" ref="G960">INDEX('Linha 03'!$C$2:$ZZ$2,C960)</f>
        <v>Desinfetante Ito Lavanda Cx/06 X 2l</v>
      </c>
      <c r="H960" s="5" cm="1">
        <f t="array" ref="H960">INDEX('Linha 03'!$C$4:$ZZ$1000,B960,C960)</f>
        <v>0</v>
      </c>
    </row>
    <row r="961" spans="1:8" x14ac:dyDescent="0.25">
      <c r="A961">
        <v>959</v>
      </c>
      <c r="B961">
        <f t="shared" si="28"/>
        <v>24</v>
      </c>
      <c r="C961">
        <f t="shared" si="29"/>
        <v>16</v>
      </c>
      <c r="D961" cm="1">
        <f t="array" ref="D961">INDEX('Linha 03'!$A$4:$A$1000,B961)</f>
        <v>20050142</v>
      </c>
      <c r="E961" t="str" cm="1">
        <f t="array" ref="E961">INDEX('Linha 03'!$B$4:$B$1000,B961)</f>
        <v>Desinfetante Ito Marine Cx/06 X 2l</v>
      </c>
      <c r="F961" cm="1">
        <f t="array" ref="F961">INDEX('Linha 03'!$C$3:$ZZ$3,C961)</f>
        <v>20050032</v>
      </c>
      <c r="G961" t="str" cm="1">
        <f t="array" ref="G961">INDEX('Linha 03'!$C$2:$ZZ$2,C961)</f>
        <v>Desinfetante Ito Floral Cx/06 X 2l</v>
      </c>
      <c r="H961" s="5" cm="1">
        <f t="array" ref="H961">INDEX('Linha 03'!$C$4:$ZZ$1000,B961,C961)</f>
        <v>0</v>
      </c>
    </row>
    <row r="962" spans="1:8" x14ac:dyDescent="0.25">
      <c r="A962">
        <v>960</v>
      </c>
      <c r="B962">
        <f t="shared" si="28"/>
        <v>24</v>
      </c>
      <c r="C962">
        <f t="shared" si="29"/>
        <v>17</v>
      </c>
      <c r="D962" cm="1">
        <f t="array" ref="D962">INDEX('Linha 03'!$A$4:$A$1000,B962)</f>
        <v>20050142</v>
      </c>
      <c r="E962" t="str" cm="1">
        <f t="array" ref="E962">INDEX('Linha 03'!$B$4:$B$1000,B962)</f>
        <v>Desinfetante Ito Marine Cx/06 X 2l</v>
      </c>
      <c r="F962" cm="1">
        <f t="array" ref="F962">INDEX('Linha 03'!$C$3:$ZZ$3,C962)</f>
        <v>20050034</v>
      </c>
      <c r="G962" t="str" cm="1">
        <f t="array" ref="G962">INDEX('Linha 03'!$C$2:$ZZ$2,C962)</f>
        <v>Desinfetante Ito Eucalipto Cx/06 X 2l</v>
      </c>
      <c r="H962" s="5" cm="1">
        <f t="array" ref="H962">INDEX('Linha 03'!$C$4:$ZZ$1000,B962,C962)</f>
        <v>0</v>
      </c>
    </row>
    <row r="963" spans="1:8" x14ac:dyDescent="0.25">
      <c r="A963">
        <v>961</v>
      </c>
      <c r="B963">
        <f t="shared" si="28"/>
        <v>24</v>
      </c>
      <c r="C963">
        <f t="shared" si="29"/>
        <v>18</v>
      </c>
      <c r="D963" cm="1">
        <f t="array" ref="D963">INDEX('Linha 03'!$A$4:$A$1000,B963)</f>
        <v>20050142</v>
      </c>
      <c r="E963" t="str" cm="1">
        <f t="array" ref="E963">INDEX('Linha 03'!$B$4:$B$1000,B963)</f>
        <v>Desinfetante Ito Marine Cx/06 X 2l</v>
      </c>
      <c r="F963" cm="1">
        <f t="array" ref="F963">INDEX('Linha 03'!$C$3:$ZZ$3,C963)</f>
        <v>20050077</v>
      </c>
      <c r="G963" t="str" cm="1">
        <f t="array" ref="G963">INDEX('Linha 03'!$C$2:$ZZ$2,C963)</f>
        <v>Desinfetante Myata Lavanda Cx/06 X 2l</v>
      </c>
      <c r="H963" s="5" cm="1">
        <f t="array" ref="H963">INDEX('Linha 03'!$C$4:$ZZ$1000,B963,C963)</f>
        <v>0</v>
      </c>
    </row>
    <row r="964" spans="1:8" x14ac:dyDescent="0.25">
      <c r="A964">
        <v>962</v>
      </c>
      <c r="B964">
        <f t="shared" ref="B964:B1027" si="30">INT((A964-1)/$B$1)+1</f>
        <v>24</v>
      </c>
      <c r="C964">
        <f t="shared" ref="C964:C1027" si="31">MOD(A964-1,$B$1)+1</f>
        <v>19</v>
      </c>
      <c r="D964" cm="1">
        <f t="array" ref="D964">INDEX('Linha 03'!$A$4:$A$1000,B964)</f>
        <v>20050142</v>
      </c>
      <c r="E964" t="str" cm="1">
        <f t="array" ref="E964">INDEX('Linha 03'!$B$4:$B$1000,B964)</f>
        <v>Desinfetante Ito Marine Cx/06 X 2l</v>
      </c>
      <c r="F964" cm="1">
        <f t="array" ref="F964">INDEX('Linha 03'!$C$3:$ZZ$3,C964)</f>
        <v>20050078</v>
      </c>
      <c r="G964" t="str" cm="1">
        <f t="array" ref="G964">INDEX('Linha 03'!$C$2:$ZZ$2,C964)</f>
        <v>Desinfetante Myata Floral Cx/06 X 2l</v>
      </c>
      <c r="H964" s="5" cm="1">
        <f t="array" ref="H964">INDEX('Linha 03'!$C$4:$ZZ$1000,B964,C964)</f>
        <v>0</v>
      </c>
    </row>
    <row r="965" spans="1:8" x14ac:dyDescent="0.25">
      <c r="A965">
        <v>963</v>
      </c>
      <c r="B965">
        <f t="shared" si="30"/>
        <v>24</v>
      </c>
      <c r="C965">
        <f t="shared" si="31"/>
        <v>20</v>
      </c>
      <c r="D965" cm="1">
        <f t="array" ref="D965">INDEX('Linha 03'!$A$4:$A$1000,B965)</f>
        <v>20050142</v>
      </c>
      <c r="E965" t="str" cm="1">
        <f t="array" ref="E965">INDEX('Linha 03'!$B$4:$B$1000,B965)</f>
        <v>Desinfetante Ito Marine Cx/06 X 2l</v>
      </c>
      <c r="F965" cm="1">
        <f t="array" ref="F965">INDEX('Linha 03'!$C$3:$ZZ$3,C965)</f>
        <v>20050115</v>
      </c>
      <c r="G965" t="str" cm="1">
        <f t="array" ref="G965">INDEX('Linha 03'!$C$2:$ZZ$2,C965)</f>
        <v>Desinfetante Aquafast Paixao Cx/06 X 2l</v>
      </c>
      <c r="H965" s="5" cm="1">
        <f t="array" ref="H965">INDEX('Linha 03'!$C$4:$ZZ$1000,B965,C965)</f>
        <v>0</v>
      </c>
    </row>
    <row r="966" spans="1:8" x14ac:dyDescent="0.25">
      <c r="A966">
        <v>964</v>
      </c>
      <c r="B966">
        <f t="shared" si="30"/>
        <v>24</v>
      </c>
      <c r="C966">
        <f t="shared" si="31"/>
        <v>21</v>
      </c>
      <c r="D966" cm="1">
        <f t="array" ref="D966">INDEX('Linha 03'!$A$4:$A$1000,B966)</f>
        <v>20050142</v>
      </c>
      <c r="E966" t="str" cm="1">
        <f t="array" ref="E966">INDEX('Linha 03'!$B$4:$B$1000,B966)</f>
        <v>Desinfetante Ito Marine Cx/06 X 2l</v>
      </c>
      <c r="F966" cm="1">
        <f t="array" ref="F966">INDEX('Linha 03'!$C$3:$ZZ$3,C966)</f>
        <v>20050117</v>
      </c>
      <c r="G966" t="str" cm="1">
        <f t="array" ref="G966">INDEX('Linha 03'!$C$2:$ZZ$2,C966)</f>
        <v>Desinfetante Aquafast Harmonia Natural Cx/06 X 2l</v>
      </c>
      <c r="H966" s="5" cm="1">
        <f t="array" ref="H966">INDEX('Linha 03'!$C$4:$ZZ$1000,B966,C966)</f>
        <v>0</v>
      </c>
    </row>
    <row r="967" spans="1:8" x14ac:dyDescent="0.25">
      <c r="A967">
        <v>965</v>
      </c>
      <c r="B967">
        <f t="shared" si="30"/>
        <v>24</v>
      </c>
      <c r="C967">
        <f t="shared" si="31"/>
        <v>22</v>
      </c>
      <c r="D967" cm="1">
        <f t="array" ref="D967">INDEX('Linha 03'!$A$4:$A$1000,B967)</f>
        <v>20050142</v>
      </c>
      <c r="E967" t="str" cm="1">
        <f t="array" ref="E967">INDEX('Linha 03'!$B$4:$B$1000,B967)</f>
        <v>Desinfetante Ito Marine Cx/06 X 2l</v>
      </c>
      <c r="F967" cm="1">
        <f t="array" ref="F967">INDEX('Linha 03'!$C$3:$ZZ$3,C967)</f>
        <v>20050123</v>
      </c>
      <c r="G967" t="str" cm="1">
        <f t="array" ref="G967">INDEX('Linha 03'!$C$2:$ZZ$2,C967)</f>
        <v>Desinfetante Ito Harmonia Natural Cx/06 X 2l</v>
      </c>
      <c r="H967" s="5" cm="1">
        <f t="array" ref="H967">INDEX('Linha 03'!$C$4:$ZZ$1000,B967,C967)</f>
        <v>0</v>
      </c>
    </row>
    <row r="968" spans="1:8" x14ac:dyDescent="0.25">
      <c r="A968">
        <v>966</v>
      </c>
      <c r="B968">
        <f t="shared" si="30"/>
        <v>24</v>
      </c>
      <c r="C968">
        <f t="shared" si="31"/>
        <v>23</v>
      </c>
      <c r="D968" cm="1">
        <f t="array" ref="D968">INDEX('Linha 03'!$A$4:$A$1000,B968)</f>
        <v>20050142</v>
      </c>
      <c r="E968" t="str" cm="1">
        <f t="array" ref="E968">INDEX('Linha 03'!$B$4:$B$1000,B968)</f>
        <v>Desinfetante Ito Marine Cx/06 X 2l</v>
      </c>
      <c r="F968" cm="1">
        <f t="array" ref="F968">INDEX('Linha 03'!$C$3:$ZZ$3,C968)</f>
        <v>20050124</v>
      </c>
      <c r="G968" t="str" cm="1">
        <f t="array" ref="G968">INDEX('Linha 03'!$C$2:$ZZ$2,C968)</f>
        <v>Desinfetante Myata Harmonia Natural Cx/06 X 2l</v>
      </c>
      <c r="H968" s="5" cm="1">
        <f t="array" ref="H968">INDEX('Linha 03'!$C$4:$ZZ$1000,B968,C968)</f>
        <v>0</v>
      </c>
    </row>
    <row r="969" spans="1:8" x14ac:dyDescent="0.25">
      <c r="A969">
        <v>967</v>
      </c>
      <c r="B969">
        <f t="shared" si="30"/>
        <v>24</v>
      </c>
      <c r="C969">
        <f t="shared" si="31"/>
        <v>24</v>
      </c>
      <c r="D969" cm="1">
        <f t="array" ref="D969">INDEX('Linha 03'!$A$4:$A$1000,B969)</f>
        <v>20050142</v>
      </c>
      <c r="E969" t="str" cm="1">
        <f t="array" ref="E969">INDEX('Linha 03'!$B$4:$B$1000,B969)</f>
        <v>Desinfetante Ito Marine Cx/06 X 2l</v>
      </c>
      <c r="F969" cm="1">
        <f t="array" ref="F969">INDEX('Linha 03'!$C$3:$ZZ$3,C969)</f>
        <v>20050142</v>
      </c>
      <c r="G969" t="str" cm="1">
        <f t="array" ref="G969">INDEX('Linha 03'!$C$2:$ZZ$2,C969)</f>
        <v>Desinfetante Ito Marine Cx/06 X 2l</v>
      </c>
      <c r="H969" s="5" cm="1">
        <f t="array" ref="H969">INDEX('Linha 03'!$C$4:$ZZ$1000,B969,C969)</f>
        <v>0</v>
      </c>
    </row>
    <row r="970" spans="1:8" x14ac:dyDescent="0.25">
      <c r="A970">
        <v>968</v>
      </c>
      <c r="B970">
        <f t="shared" si="30"/>
        <v>24</v>
      </c>
      <c r="C970">
        <f t="shared" si="31"/>
        <v>25</v>
      </c>
      <c r="D970" cm="1">
        <f t="array" ref="D970">INDEX('Linha 03'!$A$4:$A$1000,B970)</f>
        <v>20050142</v>
      </c>
      <c r="E970" t="str" cm="1">
        <f t="array" ref="E970">INDEX('Linha 03'!$B$4:$B$1000,B970)</f>
        <v>Desinfetante Ito Marine Cx/06 X 2l</v>
      </c>
      <c r="F970" cm="1">
        <f t="array" ref="F970">INDEX('Linha 03'!$C$3:$ZZ$3,C970)</f>
        <v>20050159</v>
      </c>
      <c r="G970" t="str" cm="1">
        <f t="array" ref="G970">INDEX('Linha 03'!$C$2:$ZZ$2,C970)</f>
        <v>Desinfetante Aquafast Cha Branco Cx/06 X 2l</v>
      </c>
      <c r="H970" s="5" cm="1">
        <f t="array" ref="H970">INDEX('Linha 03'!$C$4:$ZZ$1000,B970,C970)</f>
        <v>1.38888888888889E-2</v>
      </c>
    </row>
    <row r="971" spans="1:8" x14ac:dyDescent="0.25">
      <c r="A971">
        <v>969</v>
      </c>
      <c r="B971">
        <f t="shared" si="30"/>
        <v>24</v>
      </c>
      <c r="C971">
        <f t="shared" si="31"/>
        <v>26</v>
      </c>
      <c r="D971" cm="1">
        <f t="array" ref="D971">INDEX('Linha 03'!$A$4:$A$1000,B971)</f>
        <v>20050142</v>
      </c>
      <c r="E971" t="str" cm="1">
        <f t="array" ref="E971">INDEX('Linha 03'!$B$4:$B$1000,B971)</f>
        <v>Desinfetante Ito Marine Cx/06 X 2l</v>
      </c>
      <c r="F971" cm="1">
        <f t="array" ref="F971">INDEX('Linha 03'!$C$3:$ZZ$3,C971)</f>
        <v>20060007</v>
      </c>
      <c r="G971" t="str" cm="1">
        <f t="array" ref="G971">INDEX('Linha 03'!$C$2:$ZZ$2,C971)</f>
        <v>Limp Perf Aquafast Magia Seducao Cx/06 X 2l (Promoc)</v>
      </c>
      <c r="H971" s="5" cm="1">
        <f t="array" ref="H971">INDEX('Linha 03'!$C$4:$ZZ$1000,B971,C971)</f>
        <v>0</v>
      </c>
    </row>
    <row r="972" spans="1:8" x14ac:dyDescent="0.25">
      <c r="A972">
        <v>970</v>
      </c>
      <c r="B972">
        <f t="shared" si="30"/>
        <v>24</v>
      </c>
      <c r="C972">
        <f t="shared" si="31"/>
        <v>27</v>
      </c>
      <c r="D972" cm="1">
        <f t="array" ref="D972">INDEX('Linha 03'!$A$4:$A$1000,B972)</f>
        <v>20050142</v>
      </c>
      <c r="E972" t="str" cm="1">
        <f t="array" ref="E972">INDEX('Linha 03'!$B$4:$B$1000,B972)</f>
        <v>Desinfetante Ito Marine Cx/06 X 2l</v>
      </c>
      <c r="F972" cm="1">
        <f t="array" ref="F972">INDEX('Linha 03'!$C$3:$ZZ$3,C972)</f>
        <v>20060009</v>
      </c>
      <c r="G972" t="str" cm="1">
        <f t="array" ref="G972">INDEX('Linha 03'!$C$2:$ZZ$2,C972)</f>
        <v>Limp Perf Aquafast Frescor Da Manha Cx/06 X 2l (Promoc)</v>
      </c>
      <c r="H972" s="5" cm="1">
        <f t="array" ref="H972">INDEX('Linha 03'!$C$4:$ZZ$1000,B972,C972)</f>
        <v>0</v>
      </c>
    </row>
    <row r="973" spans="1:8" x14ac:dyDescent="0.25">
      <c r="A973">
        <v>971</v>
      </c>
      <c r="B973">
        <f t="shared" si="30"/>
        <v>24</v>
      </c>
      <c r="C973">
        <f t="shared" si="31"/>
        <v>28</v>
      </c>
      <c r="D973" cm="1">
        <f t="array" ref="D973">INDEX('Linha 03'!$A$4:$A$1000,B973)</f>
        <v>20050142</v>
      </c>
      <c r="E973" t="str" cm="1">
        <f t="array" ref="E973">INDEX('Linha 03'!$B$4:$B$1000,B973)</f>
        <v>Desinfetante Ito Marine Cx/06 X 2l</v>
      </c>
      <c r="F973" cm="1">
        <f t="array" ref="F973">INDEX('Linha 03'!$C$3:$ZZ$3,C973)</f>
        <v>20060017</v>
      </c>
      <c r="G973" t="str" cm="1">
        <f t="array" ref="G973">INDEX('Linha 03'!$C$2:$ZZ$2,C973)</f>
        <v>Limp Perf Aquafast Doce Romance Cx/06 X 2l (Promoc)</v>
      </c>
      <c r="H973" s="5" cm="1">
        <f t="array" ref="H973">INDEX('Linha 03'!$C$4:$ZZ$1000,B973,C973)</f>
        <v>0</v>
      </c>
    </row>
    <row r="974" spans="1:8" x14ac:dyDescent="0.25">
      <c r="A974">
        <v>972</v>
      </c>
      <c r="B974">
        <f t="shared" si="30"/>
        <v>24</v>
      </c>
      <c r="C974">
        <f t="shared" si="31"/>
        <v>29</v>
      </c>
      <c r="D974" cm="1">
        <f t="array" ref="D974">INDEX('Linha 03'!$A$4:$A$1000,B974)</f>
        <v>20050142</v>
      </c>
      <c r="E974" t="str" cm="1">
        <f t="array" ref="E974">INDEX('Linha 03'!$B$4:$B$1000,B974)</f>
        <v>Desinfetante Ito Marine Cx/06 X 2l</v>
      </c>
      <c r="F974" cm="1">
        <f t="array" ref="F974">INDEX('Linha 03'!$C$3:$ZZ$3,C974)</f>
        <v>20060028</v>
      </c>
      <c r="G974" t="str" cm="1">
        <f t="array" ref="G974">INDEX('Linha 03'!$C$2:$ZZ$2,C974)</f>
        <v>Limp Perf Aquafast Essencia Natural Cx06 X 2l</v>
      </c>
      <c r="H974" s="5" cm="1">
        <f t="array" ref="H974">INDEX('Linha 03'!$C$4:$ZZ$1000,B974,C974)</f>
        <v>0</v>
      </c>
    </row>
    <row r="975" spans="1:8" x14ac:dyDescent="0.25">
      <c r="A975">
        <v>973</v>
      </c>
      <c r="B975">
        <f t="shared" si="30"/>
        <v>24</v>
      </c>
      <c r="C975">
        <f t="shared" si="31"/>
        <v>30</v>
      </c>
      <c r="D975" cm="1">
        <f t="array" ref="D975">INDEX('Linha 03'!$A$4:$A$1000,B975)</f>
        <v>20050142</v>
      </c>
      <c r="E975" t="str" cm="1">
        <f t="array" ref="E975">INDEX('Linha 03'!$B$4:$B$1000,B975)</f>
        <v>Desinfetante Ito Marine Cx/06 X 2l</v>
      </c>
      <c r="F975" cm="1">
        <f t="array" ref="F975">INDEX('Linha 03'!$C$3:$ZZ$3,C975)</f>
        <v>20200003</v>
      </c>
      <c r="G975" t="str" cm="1">
        <f t="array" ref="G975">INDEX('Linha 03'!$C$2:$ZZ$2,C975)</f>
        <v>Lava Roup. Aquafast Baby Cx/12 X 1l</v>
      </c>
      <c r="H975" s="5" cm="1">
        <f t="array" ref="H975">INDEX('Linha 03'!$C$4:$ZZ$1000,B975,C975)</f>
        <v>0</v>
      </c>
    </row>
    <row r="976" spans="1:8" x14ac:dyDescent="0.25">
      <c r="A976">
        <v>974</v>
      </c>
      <c r="B976">
        <f t="shared" si="30"/>
        <v>24</v>
      </c>
      <c r="C976">
        <f t="shared" si="31"/>
        <v>31</v>
      </c>
      <c r="D976" cm="1">
        <f t="array" ref="D976">INDEX('Linha 03'!$A$4:$A$1000,B976)</f>
        <v>20050142</v>
      </c>
      <c r="E976" t="str" cm="1">
        <f t="array" ref="E976">INDEX('Linha 03'!$B$4:$B$1000,B976)</f>
        <v>Desinfetante Ito Marine Cx/06 X 2l</v>
      </c>
      <c r="F976" cm="1">
        <f t="array" ref="F976">INDEX('Linha 03'!$C$3:$ZZ$3,C976)</f>
        <v>20200005</v>
      </c>
      <c r="G976" t="str" cm="1">
        <f t="array" ref="G976">INDEX('Linha 03'!$C$2:$ZZ$2,C976)</f>
        <v>Lava Roupas Aquafast Multi Acao Cx/06 X 2l</v>
      </c>
      <c r="H976" s="5" cm="1">
        <f t="array" ref="H976">INDEX('Linha 03'!$C$4:$ZZ$1000,B976,C976)</f>
        <v>0</v>
      </c>
    </row>
    <row r="977" spans="1:8" x14ac:dyDescent="0.25">
      <c r="A977">
        <v>975</v>
      </c>
      <c r="B977">
        <f t="shared" si="30"/>
        <v>24</v>
      </c>
      <c r="C977">
        <f t="shared" si="31"/>
        <v>32</v>
      </c>
      <c r="D977" cm="1">
        <f t="array" ref="D977">INDEX('Linha 03'!$A$4:$A$1000,B977)</f>
        <v>20050142</v>
      </c>
      <c r="E977" t="str" cm="1">
        <f t="array" ref="E977">INDEX('Linha 03'!$B$4:$B$1000,B977)</f>
        <v>Desinfetante Ito Marine Cx/06 X 2l</v>
      </c>
      <c r="F977" cm="1">
        <f t="array" ref="F977">INDEX('Linha 03'!$C$3:$ZZ$3,C977)</f>
        <v>20200006</v>
      </c>
      <c r="G977" t="str" cm="1">
        <f t="array" ref="G977">INDEX('Linha 03'!$C$2:$ZZ$2,C977)</f>
        <v>Lava Roupas Aquafast Glicerina Cx/06 X 2l</v>
      </c>
      <c r="H977" s="5" cm="1">
        <f t="array" ref="H977">INDEX('Linha 03'!$C$4:$ZZ$1000,B977,C977)</f>
        <v>0</v>
      </c>
    </row>
    <row r="978" spans="1:8" x14ac:dyDescent="0.25">
      <c r="A978">
        <v>976</v>
      </c>
      <c r="B978">
        <f t="shared" si="30"/>
        <v>24</v>
      </c>
      <c r="C978">
        <f t="shared" si="31"/>
        <v>33</v>
      </c>
      <c r="D978" cm="1">
        <f t="array" ref="D978">INDEX('Linha 03'!$A$4:$A$1000,B978)</f>
        <v>20050142</v>
      </c>
      <c r="E978" t="str" cm="1">
        <f t="array" ref="E978">INDEX('Linha 03'!$B$4:$B$1000,B978)</f>
        <v>Desinfetante Ito Marine Cx/06 X 2l</v>
      </c>
      <c r="F978" cm="1">
        <f t="array" ref="F978">INDEX('Linha 03'!$C$3:$ZZ$3,C978)</f>
        <v>20200015</v>
      </c>
      <c r="G978" t="str" cm="1">
        <f t="array" ref="G978">INDEX('Linha 03'!$C$2:$ZZ$2,C978)</f>
        <v>Lava Roup. Aquafast Multiacao Cx/12 X 1l</v>
      </c>
      <c r="H978" s="5" cm="1">
        <f t="array" ref="H978">INDEX('Linha 03'!$C$4:$ZZ$1000,B978,C978)</f>
        <v>0</v>
      </c>
    </row>
    <row r="979" spans="1:8" x14ac:dyDescent="0.25">
      <c r="A979">
        <v>977</v>
      </c>
      <c r="B979">
        <f t="shared" si="30"/>
        <v>24</v>
      </c>
      <c r="C979">
        <f t="shared" si="31"/>
        <v>34</v>
      </c>
      <c r="D979" cm="1">
        <f t="array" ref="D979">INDEX('Linha 03'!$A$4:$A$1000,B979)</f>
        <v>20050142</v>
      </c>
      <c r="E979" t="str" cm="1">
        <f t="array" ref="E979">INDEX('Linha 03'!$B$4:$B$1000,B979)</f>
        <v>Desinfetante Ito Marine Cx/06 X 2l</v>
      </c>
      <c r="F979" cm="1">
        <f t="array" ref="F979">INDEX('Linha 03'!$C$3:$ZZ$3,C979)</f>
        <v>20200036</v>
      </c>
      <c r="G979" t="str" cm="1">
        <f t="array" ref="G979">INDEX('Linha 03'!$C$2:$ZZ$2,C979)</f>
        <v>Lava Roupas Aquafast Ternura Cx/06 X 2l</v>
      </c>
      <c r="H979" s="5" cm="1">
        <f t="array" ref="H979">INDEX('Linha 03'!$C$4:$ZZ$1000,B979,C979)</f>
        <v>0</v>
      </c>
    </row>
    <row r="980" spans="1:8" x14ac:dyDescent="0.25">
      <c r="A980">
        <v>978</v>
      </c>
      <c r="B980">
        <f t="shared" si="30"/>
        <v>24</v>
      </c>
      <c r="C980">
        <f t="shared" si="31"/>
        <v>35</v>
      </c>
      <c r="D980" cm="1">
        <f t="array" ref="D980">INDEX('Linha 03'!$A$4:$A$1000,B980)</f>
        <v>20050142</v>
      </c>
      <c r="E980" t="str" cm="1">
        <f t="array" ref="E980">INDEX('Linha 03'!$B$4:$B$1000,B980)</f>
        <v>Desinfetante Ito Marine Cx/06 X 2l</v>
      </c>
      <c r="F980" cm="1">
        <f t="array" ref="F980">INDEX('Linha 03'!$C$3:$ZZ$3,C980)</f>
        <v>20200063</v>
      </c>
      <c r="G980" t="str" cm="1">
        <f t="array" ref="G980">INDEX('Linha 03'!$C$2:$ZZ$2,C980)</f>
        <v>Lava Roup. Aquafast Tradicional Cx/12 X 1l</v>
      </c>
      <c r="H980" s="5" cm="1">
        <f t="array" ref="H980">INDEX('Linha 03'!$C$4:$ZZ$1000,B980,C980)</f>
        <v>0</v>
      </c>
    </row>
    <row r="981" spans="1:8" x14ac:dyDescent="0.25">
      <c r="A981">
        <v>979</v>
      </c>
      <c r="B981">
        <f t="shared" si="30"/>
        <v>24</v>
      </c>
      <c r="C981">
        <f t="shared" si="31"/>
        <v>36</v>
      </c>
      <c r="D981" cm="1">
        <f t="array" ref="D981">INDEX('Linha 03'!$A$4:$A$1000,B981)</f>
        <v>20050142</v>
      </c>
      <c r="E981" t="str" cm="1">
        <f t="array" ref="E981">INDEX('Linha 03'!$B$4:$B$1000,B981)</f>
        <v>Desinfetante Ito Marine Cx/06 X 2l</v>
      </c>
      <c r="F981" cm="1">
        <f t="array" ref="F981">INDEX('Linha 03'!$C$3:$ZZ$3,C981)</f>
        <v>20200064</v>
      </c>
      <c r="G981" t="str" cm="1">
        <f t="array" ref="G981">INDEX('Linha 03'!$C$2:$ZZ$2,C981)</f>
        <v>Lava Roup. Aquafast Flores B. E Baunilha Cx/12 X 1l</v>
      </c>
      <c r="H981" s="5" cm="1">
        <f t="array" ref="H981">INDEX('Linha 03'!$C$4:$ZZ$1000,B981,C981)</f>
        <v>0</v>
      </c>
    </row>
    <row r="982" spans="1:8" x14ac:dyDescent="0.25">
      <c r="A982">
        <v>980</v>
      </c>
      <c r="B982">
        <f t="shared" si="30"/>
        <v>24</v>
      </c>
      <c r="C982">
        <f t="shared" si="31"/>
        <v>37</v>
      </c>
      <c r="D982" cm="1">
        <f t="array" ref="D982">INDEX('Linha 03'!$A$4:$A$1000,B982)</f>
        <v>20050142</v>
      </c>
      <c r="E982" t="str" cm="1">
        <f t="array" ref="E982">INDEX('Linha 03'!$B$4:$B$1000,B982)</f>
        <v>Desinfetante Ito Marine Cx/06 X 2l</v>
      </c>
      <c r="F982" cm="1">
        <f t="array" ref="F982">INDEX('Linha 03'!$C$3:$ZZ$3,C982)</f>
        <v>20200065</v>
      </c>
      <c r="G982" t="str" cm="1">
        <f t="array" ref="G982">INDEX('Linha 03'!$C$2:$ZZ$2,C982)</f>
        <v>Lava Roupas Aquafast Flores B. E Baunilha Cx/06 X 2l</v>
      </c>
      <c r="H982" s="5" cm="1">
        <f t="array" ref="H982">INDEX('Linha 03'!$C$4:$ZZ$1000,B982,C982)</f>
        <v>0</v>
      </c>
    </row>
    <row r="983" spans="1:8" x14ac:dyDescent="0.25">
      <c r="A983">
        <v>981</v>
      </c>
      <c r="B983">
        <f t="shared" si="30"/>
        <v>24</v>
      </c>
      <c r="C983">
        <f t="shared" si="31"/>
        <v>38</v>
      </c>
      <c r="D983" cm="1">
        <f t="array" ref="D983">INDEX('Linha 03'!$A$4:$A$1000,B983)</f>
        <v>20050142</v>
      </c>
      <c r="E983" t="str" cm="1">
        <f t="array" ref="E983">INDEX('Linha 03'!$B$4:$B$1000,B983)</f>
        <v>Desinfetante Ito Marine Cx/06 X 2l</v>
      </c>
      <c r="F983" cm="1">
        <f t="array" ref="F983">INDEX('Linha 03'!$C$3:$ZZ$3,C983)</f>
        <v>20200072</v>
      </c>
      <c r="G983" t="str" cm="1">
        <f t="array" ref="G983">INDEX('Linha 03'!$C$2:$ZZ$2,C983)</f>
        <v>Lava Roupas Aquafast Lavagem Rapida Total Clean Cx/12 X 1l</v>
      </c>
      <c r="H983" s="5" cm="1">
        <f t="array" ref="H983">INDEX('Linha 03'!$C$4:$ZZ$1000,B983,C983)</f>
        <v>0</v>
      </c>
    </row>
    <row r="984" spans="1:8" x14ac:dyDescent="0.25">
      <c r="A984">
        <v>982</v>
      </c>
      <c r="B984">
        <f t="shared" si="30"/>
        <v>24</v>
      </c>
      <c r="C984">
        <f t="shared" si="31"/>
        <v>39</v>
      </c>
      <c r="D984" cm="1">
        <f t="array" ref="D984">INDEX('Linha 03'!$A$4:$A$1000,B984)</f>
        <v>20050142</v>
      </c>
      <c r="E984" t="str" cm="1">
        <f t="array" ref="E984">INDEX('Linha 03'!$B$4:$B$1000,B984)</f>
        <v>Desinfetante Ito Marine Cx/06 X 2l</v>
      </c>
      <c r="F984" cm="1">
        <f t="array" ref="F984">INDEX('Linha 03'!$C$3:$ZZ$3,C984)</f>
        <v>20200074</v>
      </c>
      <c r="G984" t="str" cm="1">
        <f t="array" ref="G984">INDEX('Linha 03'!$C$2:$ZZ$2,C984)</f>
        <v>Lava Roupas Aquafast Lavagem Rapida Fresh Clean Cx/12 X 1l</v>
      </c>
      <c r="H984" s="5" cm="1">
        <f t="array" ref="H984">INDEX('Linha 03'!$C$4:$ZZ$1000,B984,C984)</f>
        <v>0</v>
      </c>
    </row>
    <row r="985" spans="1:8" x14ac:dyDescent="0.25">
      <c r="A985">
        <v>983</v>
      </c>
      <c r="B985">
        <f t="shared" si="30"/>
        <v>24</v>
      </c>
      <c r="C985">
        <f t="shared" si="31"/>
        <v>40</v>
      </c>
      <c r="D985" cm="1">
        <f t="array" ref="D985">INDEX('Linha 03'!$A$4:$A$1000,B985)</f>
        <v>20050142</v>
      </c>
      <c r="E985" t="str" cm="1">
        <f t="array" ref="E985">INDEX('Linha 03'!$B$4:$B$1000,B985)</f>
        <v>Desinfetante Ito Marine Cx/06 X 2l</v>
      </c>
      <c r="F985" cm="1">
        <f t="array" ref="F985">INDEX('Linha 03'!$C$3:$ZZ$3,C985)</f>
        <v>20250005</v>
      </c>
      <c r="G985" t="str" cm="1">
        <f t="array" ref="G985">INDEX('Linha 03'!$C$2:$ZZ$2,C985)</f>
        <v>Neutralizador De Odores Aquafast Floral Cx/06 X 2l</v>
      </c>
      <c r="H985" s="5" cm="1">
        <f t="array" ref="H985">INDEX('Linha 03'!$C$4:$ZZ$1000,B985,C985)</f>
        <v>0</v>
      </c>
    </row>
    <row r="986" spans="1:8" x14ac:dyDescent="0.25">
      <c r="A986">
        <v>984</v>
      </c>
      <c r="B986">
        <f t="shared" si="30"/>
        <v>24</v>
      </c>
      <c r="C986">
        <f t="shared" si="31"/>
        <v>41</v>
      </c>
      <c r="D986" cm="1">
        <f t="array" ref="D986">INDEX('Linha 03'!$A$4:$A$1000,B986)</f>
        <v>20050142</v>
      </c>
      <c r="E986" t="str" cm="1">
        <f t="array" ref="E986">INDEX('Linha 03'!$B$4:$B$1000,B986)</f>
        <v>Desinfetante Ito Marine Cx/06 X 2l</v>
      </c>
      <c r="F986" cm="1">
        <f t="array" ref="F986">INDEX('Linha 03'!$C$3:$ZZ$3,C986)</f>
        <v>20250007</v>
      </c>
      <c r="G986" t="str" cm="1">
        <f t="array" ref="G986">INDEX('Linha 03'!$C$2:$ZZ$2,C986)</f>
        <v>Neutralizador De Odores Aquafast Marine Cx/06 2l</v>
      </c>
      <c r="H986" s="5" cm="1">
        <f t="array" ref="H986">INDEX('Linha 03'!$C$4:$ZZ$1000,B986,C986)</f>
        <v>0</v>
      </c>
    </row>
    <row r="987" spans="1:8" x14ac:dyDescent="0.25">
      <c r="A987">
        <v>985</v>
      </c>
      <c r="B987">
        <f t="shared" si="30"/>
        <v>25</v>
      </c>
      <c r="C987">
        <f t="shared" si="31"/>
        <v>1</v>
      </c>
      <c r="D987" cm="1">
        <f t="array" ref="D987">INDEX('Linha 03'!$A$4:$A$1000,B987)</f>
        <v>20050159</v>
      </c>
      <c r="E987" t="str" cm="1">
        <f t="array" ref="E987">INDEX('Linha 03'!$B$4:$B$1000,B987)</f>
        <v>Desinfetante Aquafast Cha Branco Cx/06 X 2l</v>
      </c>
      <c r="F987" cm="1">
        <f t="array" ref="F987">INDEX('Linha 03'!$C$3:$ZZ$3,C987)</f>
        <v>20040006</v>
      </c>
      <c r="G987" t="str" cm="1">
        <f t="array" ref="G987">INDEX('Linha 03'!$C$2:$ZZ$2,C987)</f>
        <v>Amaciante Aquafast Azul Fresc. Manha Cx/06 X 2l</v>
      </c>
      <c r="H987" s="5" cm="1">
        <f t="array" ref="H987">INDEX('Linha 03'!$C$4:$ZZ$1000,B987,C987)</f>
        <v>0</v>
      </c>
    </row>
    <row r="988" spans="1:8" x14ac:dyDescent="0.25">
      <c r="A988">
        <v>986</v>
      </c>
      <c r="B988">
        <f t="shared" si="30"/>
        <v>25</v>
      </c>
      <c r="C988">
        <f t="shared" si="31"/>
        <v>2</v>
      </c>
      <c r="D988" cm="1">
        <f t="array" ref="D988">INDEX('Linha 03'!$A$4:$A$1000,B988)</f>
        <v>20050159</v>
      </c>
      <c r="E988" t="str" cm="1">
        <f t="array" ref="E988">INDEX('Linha 03'!$B$4:$B$1000,B988)</f>
        <v>Desinfetante Aquafast Cha Branco Cx/06 X 2l</v>
      </c>
      <c r="F988" cm="1">
        <f t="array" ref="F988">INDEX('Linha 03'!$C$3:$ZZ$3,C988)</f>
        <v>20040008</v>
      </c>
      <c r="G988" t="str" cm="1">
        <f t="array" ref="G988">INDEX('Linha 03'!$C$2:$ZZ$2,C988)</f>
        <v>Amaciante Aquafast Rosa Jard. Florid Cx/06 X 2l</v>
      </c>
      <c r="H988" s="5" cm="1">
        <f t="array" ref="H988">INDEX('Linha 03'!$C$4:$ZZ$1000,B988,C988)</f>
        <v>0</v>
      </c>
    </row>
    <row r="989" spans="1:8" x14ac:dyDescent="0.25">
      <c r="A989">
        <v>987</v>
      </c>
      <c r="B989">
        <f t="shared" si="30"/>
        <v>25</v>
      </c>
      <c r="C989">
        <f t="shared" si="31"/>
        <v>3</v>
      </c>
      <c r="D989" cm="1">
        <f t="array" ref="D989">INDEX('Linha 03'!$A$4:$A$1000,B989)</f>
        <v>20050159</v>
      </c>
      <c r="E989" t="str" cm="1">
        <f t="array" ref="E989">INDEX('Linha 03'!$B$4:$B$1000,B989)</f>
        <v>Desinfetante Aquafast Cha Branco Cx/06 X 2l</v>
      </c>
      <c r="F989" cm="1">
        <f t="array" ref="F989">INDEX('Linha 03'!$C$3:$ZZ$3,C989)</f>
        <v>20040009</v>
      </c>
      <c r="G989" t="str" cm="1">
        <f t="array" ref="G989">INDEX('Linha 03'!$C$2:$ZZ$2,C989)</f>
        <v>Amaciante Aquafast Branco Pura Caric. Cx/06 X 2l</v>
      </c>
      <c r="H989" s="5" cm="1">
        <f t="array" ref="H989">INDEX('Linha 03'!$C$4:$ZZ$1000,B989,C989)</f>
        <v>0</v>
      </c>
    </row>
    <row r="990" spans="1:8" x14ac:dyDescent="0.25">
      <c r="A990">
        <v>988</v>
      </c>
      <c r="B990">
        <f t="shared" si="30"/>
        <v>25</v>
      </c>
      <c r="C990">
        <f t="shared" si="31"/>
        <v>4</v>
      </c>
      <c r="D990" cm="1">
        <f t="array" ref="D990">INDEX('Linha 03'!$A$4:$A$1000,B990)</f>
        <v>20050159</v>
      </c>
      <c r="E990" t="str" cm="1">
        <f t="array" ref="E990">INDEX('Linha 03'!$B$4:$B$1000,B990)</f>
        <v>Desinfetante Aquafast Cha Branco Cx/06 X 2l</v>
      </c>
      <c r="F990" cm="1">
        <f t="array" ref="F990">INDEX('Linha 03'!$C$3:$ZZ$3,C990)</f>
        <v>20040026</v>
      </c>
      <c r="G990" t="str" cm="1">
        <f t="array" ref="G990">INDEX('Linha 03'!$C$2:$ZZ$2,C990)</f>
        <v>Amaciante Ito Azul Cx/06 X 2l</v>
      </c>
      <c r="H990" s="5" cm="1">
        <f t="array" ref="H990">INDEX('Linha 03'!$C$4:$ZZ$1000,B990,C990)</f>
        <v>0</v>
      </c>
    </row>
    <row r="991" spans="1:8" x14ac:dyDescent="0.25">
      <c r="A991">
        <v>989</v>
      </c>
      <c r="B991">
        <f t="shared" si="30"/>
        <v>25</v>
      </c>
      <c r="C991">
        <f t="shared" si="31"/>
        <v>5</v>
      </c>
      <c r="D991" cm="1">
        <f t="array" ref="D991">INDEX('Linha 03'!$A$4:$A$1000,B991)</f>
        <v>20050159</v>
      </c>
      <c r="E991" t="str" cm="1">
        <f t="array" ref="E991">INDEX('Linha 03'!$B$4:$B$1000,B991)</f>
        <v>Desinfetante Aquafast Cha Branco Cx/06 X 2l</v>
      </c>
      <c r="F991" cm="1">
        <f t="array" ref="F991">INDEX('Linha 03'!$C$3:$ZZ$3,C991)</f>
        <v>20040028</v>
      </c>
      <c r="G991" t="str" cm="1">
        <f t="array" ref="G991">INDEX('Linha 03'!$C$2:$ZZ$2,C991)</f>
        <v>Amaciante Ito Rosa Cx/06 X 2l</v>
      </c>
      <c r="H991" s="5" cm="1">
        <f t="array" ref="H991">INDEX('Linha 03'!$C$4:$ZZ$1000,B991,C991)</f>
        <v>0</v>
      </c>
    </row>
    <row r="992" spans="1:8" x14ac:dyDescent="0.25">
      <c r="A992">
        <v>990</v>
      </c>
      <c r="B992">
        <f t="shared" si="30"/>
        <v>25</v>
      </c>
      <c r="C992">
        <f t="shared" si="31"/>
        <v>6</v>
      </c>
      <c r="D992" cm="1">
        <f t="array" ref="D992">INDEX('Linha 03'!$A$4:$A$1000,B992)</f>
        <v>20050159</v>
      </c>
      <c r="E992" t="str" cm="1">
        <f t="array" ref="E992">INDEX('Linha 03'!$B$4:$B$1000,B992)</f>
        <v>Desinfetante Aquafast Cha Branco Cx/06 X 2l</v>
      </c>
      <c r="F992" cm="1">
        <f t="array" ref="F992">INDEX('Linha 03'!$C$3:$ZZ$3,C992)</f>
        <v>20040029</v>
      </c>
      <c r="G992" t="str" cm="1">
        <f t="array" ref="G992">INDEX('Linha 03'!$C$2:$ZZ$2,C992)</f>
        <v>Amaciante Ito Branco Cx/06 X 2l</v>
      </c>
      <c r="H992" s="5" cm="1">
        <f t="array" ref="H992">INDEX('Linha 03'!$C$4:$ZZ$1000,B992,C992)</f>
        <v>0</v>
      </c>
    </row>
    <row r="993" spans="1:8" x14ac:dyDescent="0.25">
      <c r="A993">
        <v>991</v>
      </c>
      <c r="B993">
        <f t="shared" si="30"/>
        <v>25</v>
      </c>
      <c r="C993">
        <f t="shared" si="31"/>
        <v>7</v>
      </c>
      <c r="D993" cm="1">
        <f t="array" ref="D993">INDEX('Linha 03'!$A$4:$A$1000,B993)</f>
        <v>20050159</v>
      </c>
      <c r="E993" t="str" cm="1">
        <f t="array" ref="E993">INDEX('Linha 03'!$B$4:$B$1000,B993)</f>
        <v>Desinfetante Aquafast Cha Branco Cx/06 X 2l</v>
      </c>
      <c r="F993" cm="1">
        <f t="array" ref="F993">INDEX('Linha 03'!$C$3:$ZZ$3,C993)</f>
        <v>20040055</v>
      </c>
      <c r="G993" t="str" cm="1">
        <f t="array" ref="G993">INDEX('Linha 03'!$C$2:$ZZ$2,C993)</f>
        <v>Amaciante Myata Azul Cx/06 X 2l</v>
      </c>
      <c r="H993" s="5" cm="1">
        <f t="array" ref="H993">INDEX('Linha 03'!$C$4:$ZZ$1000,B993,C993)</f>
        <v>0</v>
      </c>
    </row>
    <row r="994" spans="1:8" x14ac:dyDescent="0.25">
      <c r="A994">
        <v>992</v>
      </c>
      <c r="B994">
        <f t="shared" si="30"/>
        <v>25</v>
      </c>
      <c r="C994">
        <f t="shared" si="31"/>
        <v>8</v>
      </c>
      <c r="D994" cm="1">
        <f t="array" ref="D994">INDEX('Linha 03'!$A$4:$A$1000,B994)</f>
        <v>20050159</v>
      </c>
      <c r="E994" t="str" cm="1">
        <f t="array" ref="E994">INDEX('Linha 03'!$B$4:$B$1000,B994)</f>
        <v>Desinfetante Aquafast Cha Branco Cx/06 X 2l</v>
      </c>
      <c r="F994" cm="1">
        <f t="array" ref="F994">INDEX('Linha 03'!$C$3:$ZZ$3,C994)</f>
        <v>20040057</v>
      </c>
      <c r="G994" t="str" cm="1">
        <f t="array" ref="G994">INDEX('Linha 03'!$C$2:$ZZ$2,C994)</f>
        <v>Amaciante Myata Rosa Cx/06 X 2l</v>
      </c>
      <c r="H994" s="5" cm="1">
        <f t="array" ref="H994">INDEX('Linha 03'!$C$4:$ZZ$1000,B994,C994)</f>
        <v>0</v>
      </c>
    </row>
    <row r="995" spans="1:8" x14ac:dyDescent="0.25">
      <c r="A995">
        <v>993</v>
      </c>
      <c r="B995">
        <f t="shared" si="30"/>
        <v>25</v>
      </c>
      <c r="C995">
        <f t="shared" si="31"/>
        <v>9</v>
      </c>
      <c r="D995" cm="1">
        <f t="array" ref="D995">INDEX('Linha 03'!$A$4:$A$1000,B995)</f>
        <v>20050159</v>
      </c>
      <c r="E995" t="str" cm="1">
        <f t="array" ref="E995">INDEX('Linha 03'!$B$4:$B$1000,B995)</f>
        <v>Desinfetante Aquafast Cha Branco Cx/06 X 2l</v>
      </c>
      <c r="F995" cm="1">
        <f t="array" ref="F995">INDEX('Linha 03'!$C$3:$ZZ$3,C995)</f>
        <v>20040084</v>
      </c>
      <c r="G995" t="str" cm="1">
        <f t="array" ref="G995">INDEX('Linha 03'!$C$2:$ZZ$2,C995)</f>
        <v>Amaciante Aquafast Vermelho Seducao Cx C/06 X 2l</v>
      </c>
      <c r="H995" s="5" cm="1">
        <f t="array" ref="H995">INDEX('Linha 03'!$C$4:$ZZ$1000,B995,C995)</f>
        <v>0</v>
      </c>
    </row>
    <row r="996" spans="1:8" x14ac:dyDescent="0.25">
      <c r="A996">
        <v>994</v>
      </c>
      <c r="B996">
        <f t="shared" si="30"/>
        <v>25</v>
      </c>
      <c r="C996">
        <f t="shared" si="31"/>
        <v>10</v>
      </c>
      <c r="D996" cm="1">
        <f t="array" ref="D996">INDEX('Linha 03'!$A$4:$A$1000,B996)</f>
        <v>20050159</v>
      </c>
      <c r="E996" t="str" cm="1">
        <f t="array" ref="E996">INDEX('Linha 03'!$B$4:$B$1000,B996)</f>
        <v>Desinfetante Aquafast Cha Branco Cx/06 X 2l</v>
      </c>
      <c r="F996" cm="1">
        <f t="array" ref="F996">INDEX('Linha 03'!$C$3:$ZZ$3,C996)</f>
        <v>20040089</v>
      </c>
      <c r="G996" t="str" cm="1">
        <f t="array" ref="G996">INDEX('Linha 03'!$C$2:$ZZ$2,C996)</f>
        <v>Amaciante Aquafast Roxo Magia Cx/06 X 2l</v>
      </c>
      <c r="H996" s="5" cm="1">
        <f t="array" ref="H996">INDEX('Linha 03'!$C$4:$ZZ$1000,B996,C996)</f>
        <v>0</v>
      </c>
    </row>
    <row r="997" spans="1:8" x14ac:dyDescent="0.25">
      <c r="A997">
        <v>995</v>
      </c>
      <c r="B997">
        <f t="shared" si="30"/>
        <v>25</v>
      </c>
      <c r="C997">
        <f t="shared" si="31"/>
        <v>11</v>
      </c>
      <c r="D997" cm="1">
        <f t="array" ref="D997">INDEX('Linha 03'!$A$4:$A$1000,B997)</f>
        <v>20050159</v>
      </c>
      <c r="E997" t="str" cm="1">
        <f t="array" ref="E997">INDEX('Linha 03'!$B$4:$B$1000,B997)</f>
        <v>Desinfetante Aquafast Cha Branco Cx/06 X 2l</v>
      </c>
      <c r="F997" cm="1">
        <f t="array" ref="F997">INDEX('Linha 03'!$C$3:$ZZ$3,C997)</f>
        <v>20040094</v>
      </c>
      <c r="G997" t="str" cm="1">
        <f t="array" ref="G997">INDEX('Linha 03'!$C$2:$ZZ$2,C997)</f>
        <v>Amaciante Aquafast Energia Cx/06 X 2l</v>
      </c>
      <c r="H997" s="5" cm="1">
        <f t="array" ref="H997">INDEX('Linha 03'!$C$4:$ZZ$1000,B997,C997)</f>
        <v>0</v>
      </c>
    </row>
    <row r="998" spans="1:8" x14ac:dyDescent="0.25">
      <c r="A998">
        <v>996</v>
      </c>
      <c r="B998">
        <f t="shared" si="30"/>
        <v>25</v>
      </c>
      <c r="C998">
        <f t="shared" si="31"/>
        <v>12</v>
      </c>
      <c r="D998" cm="1">
        <f t="array" ref="D998">INDEX('Linha 03'!$A$4:$A$1000,B998)</f>
        <v>20050159</v>
      </c>
      <c r="E998" t="str" cm="1">
        <f t="array" ref="E998">INDEX('Linha 03'!$B$4:$B$1000,B998)</f>
        <v>Desinfetante Aquafast Cha Branco Cx/06 X 2l</v>
      </c>
      <c r="F998" cm="1">
        <f t="array" ref="F998">INDEX('Linha 03'!$C$3:$ZZ$3,C998)</f>
        <v>20050010</v>
      </c>
      <c r="G998" t="str" cm="1">
        <f t="array" ref="G998">INDEX('Linha 03'!$C$2:$ZZ$2,C998)</f>
        <v>Desinfetante Aquafast Campos Lavanda Cx/06 X 2l</v>
      </c>
      <c r="H998" s="5" cm="1">
        <f t="array" ref="H998">INDEX('Linha 03'!$C$4:$ZZ$1000,B998,C998)</f>
        <v>0</v>
      </c>
    </row>
    <row r="999" spans="1:8" x14ac:dyDescent="0.25">
      <c r="A999">
        <v>997</v>
      </c>
      <c r="B999">
        <f t="shared" si="30"/>
        <v>25</v>
      </c>
      <c r="C999">
        <f t="shared" si="31"/>
        <v>13</v>
      </c>
      <c r="D999" cm="1">
        <f t="array" ref="D999">INDEX('Linha 03'!$A$4:$A$1000,B999)</f>
        <v>20050159</v>
      </c>
      <c r="E999" t="str" cm="1">
        <f t="array" ref="E999">INDEX('Linha 03'!$B$4:$B$1000,B999)</f>
        <v>Desinfetante Aquafast Cha Branco Cx/06 X 2l</v>
      </c>
      <c r="F999" cm="1">
        <f t="array" ref="F999">INDEX('Linha 03'!$C$3:$ZZ$3,C999)</f>
        <v>20050011</v>
      </c>
      <c r="G999" t="str" cm="1">
        <f t="array" ref="G999">INDEX('Linha 03'!$C$2:$ZZ$2,C999)</f>
        <v>Desinfetante Aquafast Jardim Florido Cx/06 X 2l</v>
      </c>
      <c r="H999" s="5" cm="1">
        <f t="array" ref="H999">INDEX('Linha 03'!$C$4:$ZZ$1000,B999,C999)</f>
        <v>0</v>
      </c>
    </row>
    <row r="1000" spans="1:8" x14ac:dyDescent="0.25">
      <c r="A1000">
        <v>998</v>
      </c>
      <c r="B1000">
        <f t="shared" si="30"/>
        <v>25</v>
      </c>
      <c r="C1000">
        <f t="shared" si="31"/>
        <v>14</v>
      </c>
      <c r="D1000" cm="1">
        <f t="array" ref="D1000">INDEX('Linha 03'!$A$4:$A$1000,B1000)</f>
        <v>20050159</v>
      </c>
      <c r="E1000" t="str" cm="1">
        <f t="array" ref="E1000">INDEX('Linha 03'!$B$4:$B$1000,B1000)</f>
        <v>Desinfetante Aquafast Cha Branco Cx/06 X 2l</v>
      </c>
      <c r="F1000" cm="1">
        <f t="array" ref="F1000">INDEX('Linha 03'!$C$3:$ZZ$3,C1000)</f>
        <v>20050016</v>
      </c>
      <c r="G1000" t="str" cm="1">
        <f t="array" ref="G1000">INDEX('Linha 03'!$C$2:$ZZ$2,C1000)</f>
        <v>Desinfetante Aquafast Marine Cx/06 X 2l</v>
      </c>
      <c r="H1000" s="5" cm="1">
        <f t="array" ref="H1000">INDEX('Linha 03'!$C$4:$ZZ$1000,B1000,C1000)</f>
        <v>0</v>
      </c>
    </row>
    <row r="1001" spans="1:8" x14ac:dyDescent="0.25">
      <c r="A1001">
        <v>999</v>
      </c>
      <c r="B1001">
        <f t="shared" si="30"/>
        <v>25</v>
      </c>
      <c r="C1001">
        <f t="shared" si="31"/>
        <v>15</v>
      </c>
      <c r="D1001" cm="1">
        <f t="array" ref="D1001">INDEX('Linha 03'!$A$4:$A$1000,B1001)</f>
        <v>20050159</v>
      </c>
      <c r="E1001" t="str" cm="1">
        <f t="array" ref="E1001">INDEX('Linha 03'!$B$4:$B$1000,B1001)</f>
        <v>Desinfetante Aquafast Cha Branco Cx/06 X 2l</v>
      </c>
      <c r="F1001" cm="1">
        <f t="array" ref="F1001">INDEX('Linha 03'!$C$3:$ZZ$3,C1001)</f>
        <v>20050031</v>
      </c>
      <c r="G1001" t="str" cm="1">
        <f t="array" ref="G1001">INDEX('Linha 03'!$C$2:$ZZ$2,C1001)</f>
        <v>Desinfetante Ito Lavanda Cx/06 X 2l</v>
      </c>
      <c r="H1001" s="5" cm="1">
        <f t="array" ref="H1001">INDEX('Linha 03'!$C$4:$ZZ$1000,B1001,C1001)</f>
        <v>0</v>
      </c>
    </row>
    <row r="1002" spans="1:8" x14ac:dyDescent="0.25">
      <c r="A1002">
        <v>1000</v>
      </c>
      <c r="B1002">
        <f t="shared" si="30"/>
        <v>25</v>
      </c>
      <c r="C1002">
        <f t="shared" si="31"/>
        <v>16</v>
      </c>
      <c r="D1002" cm="1">
        <f t="array" ref="D1002">INDEX('Linha 03'!$A$4:$A$1000,B1002)</f>
        <v>20050159</v>
      </c>
      <c r="E1002" t="str" cm="1">
        <f t="array" ref="E1002">INDEX('Linha 03'!$B$4:$B$1000,B1002)</f>
        <v>Desinfetante Aquafast Cha Branco Cx/06 X 2l</v>
      </c>
      <c r="F1002" cm="1">
        <f t="array" ref="F1002">INDEX('Linha 03'!$C$3:$ZZ$3,C1002)</f>
        <v>20050032</v>
      </c>
      <c r="G1002" t="str" cm="1">
        <f t="array" ref="G1002">INDEX('Linha 03'!$C$2:$ZZ$2,C1002)</f>
        <v>Desinfetante Ito Floral Cx/06 X 2l</v>
      </c>
      <c r="H1002" s="5" cm="1">
        <f t="array" ref="H1002">INDEX('Linha 03'!$C$4:$ZZ$1000,B1002,C1002)</f>
        <v>0</v>
      </c>
    </row>
    <row r="1003" spans="1:8" x14ac:dyDescent="0.25">
      <c r="A1003">
        <v>1001</v>
      </c>
      <c r="B1003">
        <f t="shared" si="30"/>
        <v>25</v>
      </c>
      <c r="C1003">
        <f t="shared" si="31"/>
        <v>17</v>
      </c>
      <c r="D1003" cm="1">
        <f t="array" ref="D1003">INDEX('Linha 03'!$A$4:$A$1000,B1003)</f>
        <v>20050159</v>
      </c>
      <c r="E1003" t="str" cm="1">
        <f t="array" ref="E1003">INDEX('Linha 03'!$B$4:$B$1000,B1003)</f>
        <v>Desinfetante Aquafast Cha Branco Cx/06 X 2l</v>
      </c>
      <c r="F1003" cm="1">
        <f t="array" ref="F1003">INDEX('Linha 03'!$C$3:$ZZ$3,C1003)</f>
        <v>20050034</v>
      </c>
      <c r="G1003" t="str" cm="1">
        <f t="array" ref="G1003">INDEX('Linha 03'!$C$2:$ZZ$2,C1003)</f>
        <v>Desinfetante Ito Eucalipto Cx/06 X 2l</v>
      </c>
      <c r="H1003" s="5" cm="1">
        <f t="array" ref="H1003">INDEX('Linha 03'!$C$4:$ZZ$1000,B1003,C1003)</f>
        <v>0</v>
      </c>
    </row>
    <row r="1004" spans="1:8" x14ac:dyDescent="0.25">
      <c r="A1004">
        <v>1002</v>
      </c>
      <c r="B1004">
        <f t="shared" si="30"/>
        <v>25</v>
      </c>
      <c r="C1004">
        <f t="shared" si="31"/>
        <v>18</v>
      </c>
      <c r="D1004" cm="1">
        <f t="array" ref="D1004">INDEX('Linha 03'!$A$4:$A$1000,B1004)</f>
        <v>20050159</v>
      </c>
      <c r="E1004" t="str" cm="1">
        <f t="array" ref="E1004">INDEX('Linha 03'!$B$4:$B$1000,B1004)</f>
        <v>Desinfetante Aquafast Cha Branco Cx/06 X 2l</v>
      </c>
      <c r="F1004" cm="1">
        <f t="array" ref="F1004">INDEX('Linha 03'!$C$3:$ZZ$3,C1004)</f>
        <v>20050077</v>
      </c>
      <c r="G1004" t="str" cm="1">
        <f t="array" ref="G1004">INDEX('Linha 03'!$C$2:$ZZ$2,C1004)</f>
        <v>Desinfetante Myata Lavanda Cx/06 X 2l</v>
      </c>
      <c r="H1004" s="5" cm="1">
        <f t="array" ref="H1004">INDEX('Linha 03'!$C$4:$ZZ$1000,B1004,C1004)</f>
        <v>0</v>
      </c>
    </row>
    <row r="1005" spans="1:8" x14ac:dyDescent="0.25">
      <c r="A1005">
        <v>1003</v>
      </c>
      <c r="B1005">
        <f t="shared" si="30"/>
        <v>25</v>
      </c>
      <c r="C1005">
        <f t="shared" si="31"/>
        <v>19</v>
      </c>
      <c r="D1005" cm="1">
        <f t="array" ref="D1005">INDEX('Linha 03'!$A$4:$A$1000,B1005)</f>
        <v>20050159</v>
      </c>
      <c r="E1005" t="str" cm="1">
        <f t="array" ref="E1005">INDEX('Linha 03'!$B$4:$B$1000,B1005)</f>
        <v>Desinfetante Aquafast Cha Branco Cx/06 X 2l</v>
      </c>
      <c r="F1005" cm="1">
        <f t="array" ref="F1005">INDEX('Linha 03'!$C$3:$ZZ$3,C1005)</f>
        <v>20050078</v>
      </c>
      <c r="G1005" t="str" cm="1">
        <f t="array" ref="G1005">INDEX('Linha 03'!$C$2:$ZZ$2,C1005)</f>
        <v>Desinfetante Myata Floral Cx/06 X 2l</v>
      </c>
      <c r="H1005" s="5" cm="1">
        <f t="array" ref="H1005">INDEX('Linha 03'!$C$4:$ZZ$1000,B1005,C1005)</f>
        <v>0</v>
      </c>
    </row>
    <row r="1006" spans="1:8" x14ac:dyDescent="0.25">
      <c r="A1006">
        <v>1004</v>
      </c>
      <c r="B1006">
        <f t="shared" si="30"/>
        <v>25</v>
      </c>
      <c r="C1006">
        <f t="shared" si="31"/>
        <v>20</v>
      </c>
      <c r="D1006" cm="1">
        <f t="array" ref="D1006">INDEX('Linha 03'!$A$4:$A$1000,B1006)</f>
        <v>20050159</v>
      </c>
      <c r="E1006" t="str" cm="1">
        <f t="array" ref="E1006">INDEX('Linha 03'!$B$4:$B$1000,B1006)</f>
        <v>Desinfetante Aquafast Cha Branco Cx/06 X 2l</v>
      </c>
      <c r="F1006" cm="1">
        <f t="array" ref="F1006">INDEX('Linha 03'!$C$3:$ZZ$3,C1006)</f>
        <v>20050115</v>
      </c>
      <c r="G1006" t="str" cm="1">
        <f t="array" ref="G1006">INDEX('Linha 03'!$C$2:$ZZ$2,C1006)</f>
        <v>Desinfetante Aquafast Paixao Cx/06 X 2l</v>
      </c>
      <c r="H1006" s="5" cm="1">
        <f t="array" ref="H1006">INDEX('Linha 03'!$C$4:$ZZ$1000,B1006,C1006)</f>
        <v>0</v>
      </c>
    </row>
    <row r="1007" spans="1:8" x14ac:dyDescent="0.25">
      <c r="A1007">
        <v>1005</v>
      </c>
      <c r="B1007">
        <f t="shared" si="30"/>
        <v>25</v>
      </c>
      <c r="C1007">
        <f t="shared" si="31"/>
        <v>21</v>
      </c>
      <c r="D1007" cm="1">
        <f t="array" ref="D1007">INDEX('Linha 03'!$A$4:$A$1000,B1007)</f>
        <v>20050159</v>
      </c>
      <c r="E1007" t="str" cm="1">
        <f t="array" ref="E1007">INDEX('Linha 03'!$B$4:$B$1000,B1007)</f>
        <v>Desinfetante Aquafast Cha Branco Cx/06 X 2l</v>
      </c>
      <c r="F1007" cm="1">
        <f t="array" ref="F1007">INDEX('Linha 03'!$C$3:$ZZ$3,C1007)</f>
        <v>20050117</v>
      </c>
      <c r="G1007" t="str" cm="1">
        <f t="array" ref="G1007">INDEX('Linha 03'!$C$2:$ZZ$2,C1007)</f>
        <v>Desinfetante Aquafast Harmonia Natural Cx/06 X 2l</v>
      </c>
      <c r="H1007" s="5" cm="1">
        <f t="array" ref="H1007">INDEX('Linha 03'!$C$4:$ZZ$1000,B1007,C1007)</f>
        <v>0</v>
      </c>
    </row>
    <row r="1008" spans="1:8" x14ac:dyDescent="0.25">
      <c r="A1008">
        <v>1006</v>
      </c>
      <c r="B1008">
        <f t="shared" si="30"/>
        <v>25</v>
      </c>
      <c r="C1008">
        <f t="shared" si="31"/>
        <v>22</v>
      </c>
      <c r="D1008" cm="1">
        <f t="array" ref="D1008">INDEX('Linha 03'!$A$4:$A$1000,B1008)</f>
        <v>20050159</v>
      </c>
      <c r="E1008" t="str" cm="1">
        <f t="array" ref="E1008">INDEX('Linha 03'!$B$4:$B$1000,B1008)</f>
        <v>Desinfetante Aquafast Cha Branco Cx/06 X 2l</v>
      </c>
      <c r="F1008" cm="1">
        <f t="array" ref="F1008">INDEX('Linha 03'!$C$3:$ZZ$3,C1008)</f>
        <v>20050123</v>
      </c>
      <c r="G1008" t="str" cm="1">
        <f t="array" ref="G1008">INDEX('Linha 03'!$C$2:$ZZ$2,C1008)</f>
        <v>Desinfetante Ito Harmonia Natural Cx/06 X 2l</v>
      </c>
      <c r="H1008" s="5" cm="1">
        <f t="array" ref="H1008">INDEX('Linha 03'!$C$4:$ZZ$1000,B1008,C1008)</f>
        <v>0</v>
      </c>
    </row>
    <row r="1009" spans="1:8" x14ac:dyDescent="0.25">
      <c r="A1009">
        <v>1007</v>
      </c>
      <c r="B1009">
        <f t="shared" si="30"/>
        <v>25</v>
      </c>
      <c r="C1009">
        <f t="shared" si="31"/>
        <v>23</v>
      </c>
      <c r="D1009" cm="1">
        <f t="array" ref="D1009">INDEX('Linha 03'!$A$4:$A$1000,B1009)</f>
        <v>20050159</v>
      </c>
      <c r="E1009" t="str" cm="1">
        <f t="array" ref="E1009">INDEX('Linha 03'!$B$4:$B$1000,B1009)</f>
        <v>Desinfetante Aquafast Cha Branco Cx/06 X 2l</v>
      </c>
      <c r="F1009" cm="1">
        <f t="array" ref="F1009">INDEX('Linha 03'!$C$3:$ZZ$3,C1009)</f>
        <v>20050124</v>
      </c>
      <c r="G1009" t="str" cm="1">
        <f t="array" ref="G1009">INDEX('Linha 03'!$C$2:$ZZ$2,C1009)</f>
        <v>Desinfetante Myata Harmonia Natural Cx/06 X 2l</v>
      </c>
      <c r="H1009" s="5" cm="1">
        <f t="array" ref="H1009">INDEX('Linha 03'!$C$4:$ZZ$1000,B1009,C1009)</f>
        <v>0</v>
      </c>
    </row>
    <row r="1010" spans="1:8" x14ac:dyDescent="0.25">
      <c r="A1010">
        <v>1008</v>
      </c>
      <c r="B1010">
        <f t="shared" si="30"/>
        <v>25</v>
      </c>
      <c r="C1010">
        <f t="shared" si="31"/>
        <v>24</v>
      </c>
      <c r="D1010" cm="1">
        <f t="array" ref="D1010">INDEX('Linha 03'!$A$4:$A$1000,B1010)</f>
        <v>20050159</v>
      </c>
      <c r="E1010" t="str" cm="1">
        <f t="array" ref="E1010">INDEX('Linha 03'!$B$4:$B$1000,B1010)</f>
        <v>Desinfetante Aquafast Cha Branco Cx/06 X 2l</v>
      </c>
      <c r="F1010" cm="1">
        <f t="array" ref="F1010">INDEX('Linha 03'!$C$3:$ZZ$3,C1010)</f>
        <v>20050142</v>
      </c>
      <c r="G1010" t="str" cm="1">
        <f t="array" ref="G1010">INDEX('Linha 03'!$C$2:$ZZ$2,C1010)</f>
        <v>Desinfetante Ito Marine Cx/06 X 2l</v>
      </c>
      <c r="H1010" s="5" cm="1">
        <f t="array" ref="H1010">INDEX('Linha 03'!$C$4:$ZZ$1000,B1010,C1010)</f>
        <v>0</v>
      </c>
    </row>
    <row r="1011" spans="1:8" x14ac:dyDescent="0.25">
      <c r="A1011">
        <v>1009</v>
      </c>
      <c r="B1011">
        <f t="shared" si="30"/>
        <v>25</v>
      </c>
      <c r="C1011">
        <f t="shared" si="31"/>
        <v>25</v>
      </c>
      <c r="D1011" cm="1">
        <f t="array" ref="D1011">INDEX('Linha 03'!$A$4:$A$1000,B1011)</f>
        <v>20050159</v>
      </c>
      <c r="E1011" t="str" cm="1">
        <f t="array" ref="E1011">INDEX('Linha 03'!$B$4:$B$1000,B1011)</f>
        <v>Desinfetante Aquafast Cha Branco Cx/06 X 2l</v>
      </c>
      <c r="F1011" cm="1">
        <f t="array" ref="F1011">INDEX('Linha 03'!$C$3:$ZZ$3,C1011)</f>
        <v>20050159</v>
      </c>
      <c r="G1011" t="str" cm="1">
        <f t="array" ref="G1011">INDEX('Linha 03'!$C$2:$ZZ$2,C1011)</f>
        <v>Desinfetante Aquafast Cha Branco Cx/06 X 2l</v>
      </c>
      <c r="H1011" s="5" cm="1">
        <f t="array" ref="H1011">INDEX('Linha 03'!$C$4:$ZZ$1000,B1011,C1011)</f>
        <v>0</v>
      </c>
    </row>
    <row r="1012" spans="1:8" x14ac:dyDescent="0.25">
      <c r="A1012">
        <v>1010</v>
      </c>
      <c r="B1012">
        <f t="shared" si="30"/>
        <v>25</v>
      </c>
      <c r="C1012">
        <f t="shared" si="31"/>
        <v>26</v>
      </c>
      <c r="D1012" cm="1">
        <f t="array" ref="D1012">INDEX('Linha 03'!$A$4:$A$1000,B1012)</f>
        <v>20050159</v>
      </c>
      <c r="E1012" t="str" cm="1">
        <f t="array" ref="E1012">INDEX('Linha 03'!$B$4:$B$1000,B1012)</f>
        <v>Desinfetante Aquafast Cha Branco Cx/06 X 2l</v>
      </c>
      <c r="F1012" cm="1">
        <f t="array" ref="F1012">INDEX('Linha 03'!$C$3:$ZZ$3,C1012)</f>
        <v>20060007</v>
      </c>
      <c r="G1012" t="str" cm="1">
        <f t="array" ref="G1012">INDEX('Linha 03'!$C$2:$ZZ$2,C1012)</f>
        <v>Limp Perf Aquafast Magia Seducao Cx/06 X 2l (Promoc)</v>
      </c>
      <c r="H1012" s="5" cm="1">
        <f t="array" ref="H1012">INDEX('Linha 03'!$C$4:$ZZ$1000,B1012,C1012)</f>
        <v>0</v>
      </c>
    </row>
    <row r="1013" spans="1:8" x14ac:dyDescent="0.25">
      <c r="A1013">
        <v>1011</v>
      </c>
      <c r="B1013">
        <f t="shared" si="30"/>
        <v>25</v>
      </c>
      <c r="C1013">
        <f t="shared" si="31"/>
        <v>27</v>
      </c>
      <c r="D1013" cm="1">
        <f t="array" ref="D1013">INDEX('Linha 03'!$A$4:$A$1000,B1013)</f>
        <v>20050159</v>
      </c>
      <c r="E1013" t="str" cm="1">
        <f t="array" ref="E1013">INDEX('Linha 03'!$B$4:$B$1000,B1013)</f>
        <v>Desinfetante Aquafast Cha Branco Cx/06 X 2l</v>
      </c>
      <c r="F1013" cm="1">
        <f t="array" ref="F1013">INDEX('Linha 03'!$C$3:$ZZ$3,C1013)</f>
        <v>20060009</v>
      </c>
      <c r="G1013" t="str" cm="1">
        <f t="array" ref="G1013">INDEX('Linha 03'!$C$2:$ZZ$2,C1013)</f>
        <v>Limp Perf Aquafast Frescor Da Manha Cx/06 X 2l (Promoc)</v>
      </c>
      <c r="H1013" s="5" cm="1">
        <f t="array" ref="H1013">INDEX('Linha 03'!$C$4:$ZZ$1000,B1013,C1013)</f>
        <v>0</v>
      </c>
    </row>
    <row r="1014" spans="1:8" x14ac:dyDescent="0.25">
      <c r="A1014">
        <v>1012</v>
      </c>
      <c r="B1014">
        <f t="shared" si="30"/>
        <v>25</v>
      </c>
      <c r="C1014">
        <f t="shared" si="31"/>
        <v>28</v>
      </c>
      <c r="D1014" cm="1">
        <f t="array" ref="D1014">INDEX('Linha 03'!$A$4:$A$1000,B1014)</f>
        <v>20050159</v>
      </c>
      <c r="E1014" t="str" cm="1">
        <f t="array" ref="E1014">INDEX('Linha 03'!$B$4:$B$1000,B1014)</f>
        <v>Desinfetante Aquafast Cha Branco Cx/06 X 2l</v>
      </c>
      <c r="F1014" cm="1">
        <f t="array" ref="F1014">INDEX('Linha 03'!$C$3:$ZZ$3,C1014)</f>
        <v>20060017</v>
      </c>
      <c r="G1014" t="str" cm="1">
        <f t="array" ref="G1014">INDEX('Linha 03'!$C$2:$ZZ$2,C1014)</f>
        <v>Limp Perf Aquafast Doce Romance Cx/06 X 2l (Promoc)</v>
      </c>
      <c r="H1014" s="5" cm="1">
        <f t="array" ref="H1014">INDEX('Linha 03'!$C$4:$ZZ$1000,B1014,C1014)</f>
        <v>0</v>
      </c>
    </row>
    <row r="1015" spans="1:8" x14ac:dyDescent="0.25">
      <c r="A1015">
        <v>1013</v>
      </c>
      <c r="B1015">
        <f t="shared" si="30"/>
        <v>25</v>
      </c>
      <c r="C1015">
        <f t="shared" si="31"/>
        <v>29</v>
      </c>
      <c r="D1015" cm="1">
        <f t="array" ref="D1015">INDEX('Linha 03'!$A$4:$A$1000,B1015)</f>
        <v>20050159</v>
      </c>
      <c r="E1015" t="str" cm="1">
        <f t="array" ref="E1015">INDEX('Linha 03'!$B$4:$B$1000,B1015)</f>
        <v>Desinfetante Aquafast Cha Branco Cx/06 X 2l</v>
      </c>
      <c r="F1015" cm="1">
        <f t="array" ref="F1015">INDEX('Linha 03'!$C$3:$ZZ$3,C1015)</f>
        <v>20060028</v>
      </c>
      <c r="G1015" t="str" cm="1">
        <f t="array" ref="G1015">INDEX('Linha 03'!$C$2:$ZZ$2,C1015)</f>
        <v>Limp Perf Aquafast Essencia Natural Cx06 X 2l</v>
      </c>
      <c r="H1015" s="5" cm="1">
        <f t="array" ref="H1015">INDEX('Linha 03'!$C$4:$ZZ$1000,B1015,C1015)</f>
        <v>0</v>
      </c>
    </row>
    <row r="1016" spans="1:8" x14ac:dyDescent="0.25">
      <c r="A1016">
        <v>1014</v>
      </c>
      <c r="B1016">
        <f t="shared" si="30"/>
        <v>25</v>
      </c>
      <c r="C1016">
        <f t="shared" si="31"/>
        <v>30</v>
      </c>
      <c r="D1016" cm="1">
        <f t="array" ref="D1016">INDEX('Linha 03'!$A$4:$A$1000,B1016)</f>
        <v>20050159</v>
      </c>
      <c r="E1016" t="str" cm="1">
        <f t="array" ref="E1016">INDEX('Linha 03'!$B$4:$B$1000,B1016)</f>
        <v>Desinfetante Aquafast Cha Branco Cx/06 X 2l</v>
      </c>
      <c r="F1016" cm="1">
        <f t="array" ref="F1016">INDEX('Linha 03'!$C$3:$ZZ$3,C1016)</f>
        <v>20200003</v>
      </c>
      <c r="G1016" t="str" cm="1">
        <f t="array" ref="G1016">INDEX('Linha 03'!$C$2:$ZZ$2,C1016)</f>
        <v>Lava Roup. Aquafast Baby Cx/12 X 1l</v>
      </c>
      <c r="H1016" s="5" cm="1">
        <f t="array" ref="H1016">INDEX('Linha 03'!$C$4:$ZZ$1000,B1016,C1016)</f>
        <v>0</v>
      </c>
    </row>
    <row r="1017" spans="1:8" x14ac:dyDescent="0.25">
      <c r="A1017">
        <v>1015</v>
      </c>
      <c r="B1017">
        <f t="shared" si="30"/>
        <v>25</v>
      </c>
      <c r="C1017">
        <f t="shared" si="31"/>
        <v>31</v>
      </c>
      <c r="D1017" cm="1">
        <f t="array" ref="D1017">INDEX('Linha 03'!$A$4:$A$1000,B1017)</f>
        <v>20050159</v>
      </c>
      <c r="E1017" t="str" cm="1">
        <f t="array" ref="E1017">INDEX('Linha 03'!$B$4:$B$1000,B1017)</f>
        <v>Desinfetante Aquafast Cha Branco Cx/06 X 2l</v>
      </c>
      <c r="F1017" cm="1">
        <f t="array" ref="F1017">INDEX('Linha 03'!$C$3:$ZZ$3,C1017)</f>
        <v>20200005</v>
      </c>
      <c r="G1017" t="str" cm="1">
        <f t="array" ref="G1017">INDEX('Linha 03'!$C$2:$ZZ$2,C1017)</f>
        <v>Lava Roupas Aquafast Multi Acao Cx/06 X 2l</v>
      </c>
      <c r="H1017" s="5" cm="1">
        <f t="array" ref="H1017">INDEX('Linha 03'!$C$4:$ZZ$1000,B1017,C1017)</f>
        <v>0</v>
      </c>
    </row>
    <row r="1018" spans="1:8" x14ac:dyDescent="0.25">
      <c r="A1018">
        <v>1016</v>
      </c>
      <c r="B1018">
        <f t="shared" si="30"/>
        <v>25</v>
      </c>
      <c r="C1018">
        <f t="shared" si="31"/>
        <v>32</v>
      </c>
      <c r="D1018" cm="1">
        <f t="array" ref="D1018">INDEX('Linha 03'!$A$4:$A$1000,B1018)</f>
        <v>20050159</v>
      </c>
      <c r="E1018" t="str" cm="1">
        <f t="array" ref="E1018">INDEX('Linha 03'!$B$4:$B$1000,B1018)</f>
        <v>Desinfetante Aquafast Cha Branco Cx/06 X 2l</v>
      </c>
      <c r="F1018" cm="1">
        <f t="array" ref="F1018">INDEX('Linha 03'!$C$3:$ZZ$3,C1018)</f>
        <v>20200006</v>
      </c>
      <c r="G1018" t="str" cm="1">
        <f t="array" ref="G1018">INDEX('Linha 03'!$C$2:$ZZ$2,C1018)</f>
        <v>Lava Roupas Aquafast Glicerina Cx/06 X 2l</v>
      </c>
      <c r="H1018" s="5" cm="1">
        <f t="array" ref="H1018">INDEX('Linha 03'!$C$4:$ZZ$1000,B1018,C1018)</f>
        <v>0</v>
      </c>
    </row>
    <row r="1019" spans="1:8" x14ac:dyDescent="0.25">
      <c r="A1019">
        <v>1017</v>
      </c>
      <c r="B1019">
        <f t="shared" si="30"/>
        <v>25</v>
      </c>
      <c r="C1019">
        <f t="shared" si="31"/>
        <v>33</v>
      </c>
      <c r="D1019" cm="1">
        <f t="array" ref="D1019">INDEX('Linha 03'!$A$4:$A$1000,B1019)</f>
        <v>20050159</v>
      </c>
      <c r="E1019" t="str" cm="1">
        <f t="array" ref="E1019">INDEX('Linha 03'!$B$4:$B$1000,B1019)</f>
        <v>Desinfetante Aquafast Cha Branco Cx/06 X 2l</v>
      </c>
      <c r="F1019" cm="1">
        <f t="array" ref="F1019">INDEX('Linha 03'!$C$3:$ZZ$3,C1019)</f>
        <v>20200015</v>
      </c>
      <c r="G1019" t="str" cm="1">
        <f t="array" ref="G1019">INDEX('Linha 03'!$C$2:$ZZ$2,C1019)</f>
        <v>Lava Roup. Aquafast Multiacao Cx/12 X 1l</v>
      </c>
      <c r="H1019" s="5" cm="1">
        <f t="array" ref="H1019">INDEX('Linha 03'!$C$4:$ZZ$1000,B1019,C1019)</f>
        <v>0</v>
      </c>
    </row>
    <row r="1020" spans="1:8" x14ac:dyDescent="0.25">
      <c r="A1020">
        <v>1018</v>
      </c>
      <c r="B1020">
        <f t="shared" si="30"/>
        <v>25</v>
      </c>
      <c r="C1020">
        <f t="shared" si="31"/>
        <v>34</v>
      </c>
      <c r="D1020" cm="1">
        <f t="array" ref="D1020">INDEX('Linha 03'!$A$4:$A$1000,B1020)</f>
        <v>20050159</v>
      </c>
      <c r="E1020" t="str" cm="1">
        <f t="array" ref="E1020">INDEX('Linha 03'!$B$4:$B$1000,B1020)</f>
        <v>Desinfetante Aquafast Cha Branco Cx/06 X 2l</v>
      </c>
      <c r="F1020" cm="1">
        <f t="array" ref="F1020">INDEX('Linha 03'!$C$3:$ZZ$3,C1020)</f>
        <v>20200036</v>
      </c>
      <c r="G1020" t="str" cm="1">
        <f t="array" ref="G1020">INDEX('Linha 03'!$C$2:$ZZ$2,C1020)</f>
        <v>Lava Roupas Aquafast Ternura Cx/06 X 2l</v>
      </c>
      <c r="H1020" s="5" cm="1">
        <f t="array" ref="H1020">INDEX('Linha 03'!$C$4:$ZZ$1000,B1020,C1020)</f>
        <v>0</v>
      </c>
    </row>
    <row r="1021" spans="1:8" x14ac:dyDescent="0.25">
      <c r="A1021">
        <v>1019</v>
      </c>
      <c r="B1021">
        <f t="shared" si="30"/>
        <v>25</v>
      </c>
      <c r="C1021">
        <f t="shared" si="31"/>
        <v>35</v>
      </c>
      <c r="D1021" cm="1">
        <f t="array" ref="D1021">INDEX('Linha 03'!$A$4:$A$1000,B1021)</f>
        <v>20050159</v>
      </c>
      <c r="E1021" t="str" cm="1">
        <f t="array" ref="E1021">INDEX('Linha 03'!$B$4:$B$1000,B1021)</f>
        <v>Desinfetante Aquafast Cha Branco Cx/06 X 2l</v>
      </c>
      <c r="F1021" cm="1">
        <f t="array" ref="F1021">INDEX('Linha 03'!$C$3:$ZZ$3,C1021)</f>
        <v>20200063</v>
      </c>
      <c r="G1021" t="str" cm="1">
        <f t="array" ref="G1021">INDEX('Linha 03'!$C$2:$ZZ$2,C1021)</f>
        <v>Lava Roup. Aquafast Tradicional Cx/12 X 1l</v>
      </c>
      <c r="H1021" s="5" cm="1">
        <f t="array" ref="H1021">INDEX('Linha 03'!$C$4:$ZZ$1000,B1021,C1021)</f>
        <v>0</v>
      </c>
    </row>
    <row r="1022" spans="1:8" x14ac:dyDescent="0.25">
      <c r="A1022">
        <v>1020</v>
      </c>
      <c r="B1022">
        <f t="shared" si="30"/>
        <v>25</v>
      </c>
      <c r="C1022">
        <f t="shared" si="31"/>
        <v>36</v>
      </c>
      <c r="D1022" cm="1">
        <f t="array" ref="D1022">INDEX('Linha 03'!$A$4:$A$1000,B1022)</f>
        <v>20050159</v>
      </c>
      <c r="E1022" t="str" cm="1">
        <f t="array" ref="E1022">INDEX('Linha 03'!$B$4:$B$1000,B1022)</f>
        <v>Desinfetante Aquafast Cha Branco Cx/06 X 2l</v>
      </c>
      <c r="F1022" cm="1">
        <f t="array" ref="F1022">INDEX('Linha 03'!$C$3:$ZZ$3,C1022)</f>
        <v>20200064</v>
      </c>
      <c r="G1022" t="str" cm="1">
        <f t="array" ref="G1022">INDEX('Linha 03'!$C$2:$ZZ$2,C1022)</f>
        <v>Lava Roup. Aquafast Flores B. E Baunilha Cx/12 X 1l</v>
      </c>
      <c r="H1022" s="5" cm="1">
        <f t="array" ref="H1022">INDEX('Linha 03'!$C$4:$ZZ$1000,B1022,C1022)</f>
        <v>0</v>
      </c>
    </row>
    <row r="1023" spans="1:8" x14ac:dyDescent="0.25">
      <c r="A1023">
        <v>1021</v>
      </c>
      <c r="B1023">
        <f t="shared" si="30"/>
        <v>25</v>
      </c>
      <c r="C1023">
        <f t="shared" si="31"/>
        <v>37</v>
      </c>
      <c r="D1023" cm="1">
        <f t="array" ref="D1023">INDEX('Linha 03'!$A$4:$A$1000,B1023)</f>
        <v>20050159</v>
      </c>
      <c r="E1023" t="str" cm="1">
        <f t="array" ref="E1023">INDEX('Linha 03'!$B$4:$B$1000,B1023)</f>
        <v>Desinfetante Aquafast Cha Branco Cx/06 X 2l</v>
      </c>
      <c r="F1023" cm="1">
        <f t="array" ref="F1023">INDEX('Linha 03'!$C$3:$ZZ$3,C1023)</f>
        <v>20200065</v>
      </c>
      <c r="G1023" t="str" cm="1">
        <f t="array" ref="G1023">INDEX('Linha 03'!$C$2:$ZZ$2,C1023)</f>
        <v>Lava Roupas Aquafast Flores B. E Baunilha Cx/06 X 2l</v>
      </c>
      <c r="H1023" s="5" cm="1">
        <f t="array" ref="H1023">INDEX('Linha 03'!$C$4:$ZZ$1000,B1023,C1023)</f>
        <v>0</v>
      </c>
    </row>
    <row r="1024" spans="1:8" x14ac:dyDescent="0.25">
      <c r="A1024">
        <v>1022</v>
      </c>
      <c r="B1024">
        <f t="shared" si="30"/>
        <v>25</v>
      </c>
      <c r="C1024">
        <f t="shared" si="31"/>
        <v>38</v>
      </c>
      <c r="D1024" cm="1">
        <f t="array" ref="D1024">INDEX('Linha 03'!$A$4:$A$1000,B1024)</f>
        <v>20050159</v>
      </c>
      <c r="E1024" t="str" cm="1">
        <f t="array" ref="E1024">INDEX('Linha 03'!$B$4:$B$1000,B1024)</f>
        <v>Desinfetante Aquafast Cha Branco Cx/06 X 2l</v>
      </c>
      <c r="F1024" cm="1">
        <f t="array" ref="F1024">INDEX('Linha 03'!$C$3:$ZZ$3,C1024)</f>
        <v>20200072</v>
      </c>
      <c r="G1024" t="str" cm="1">
        <f t="array" ref="G1024">INDEX('Linha 03'!$C$2:$ZZ$2,C1024)</f>
        <v>Lava Roupas Aquafast Lavagem Rapida Total Clean Cx/12 X 1l</v>
      </c>
      <c r="H1024" s="5" cm="1">
        <f t="array" ref="H1024">INDEX('Linha 03'!$C$4:$ZZ$1000,B1024,C1024)</f>
        <v>0</v>
      </c>
    </row>
    <row r="1025" spans="1:8" x14ac:dyDescent="0.25">
      <c r="A1025">
        <v>1023</v>
      </c>
      <c r="B1025">
        <f t="shared" si="30"/>
        <v>25</v>
      </c>
      <c r="C1025">
        <f t="shared" si="31"/>
        <v>39</v>
      </c>
      <c r="D1025" cm="1">
        <f t="array" ref="D1025">INDEX('Linha 03'!$A$4:$A$1000,B1025)</f>
        <v>20050159</v>
      </c>
      <c r="E1025" t="str" cm="1">
        <f t="array" ref="E1025">INDEX('Linha 03'!$B$4:$B$1000,B1025)</f>
        <v>Desinfetante Aquafast Cha Branco Cx/06 X 2l</v>
      </c>
      <c r="F1025" cm="1">
        <f t="array" ref="F1025">INDEX('Linha 03'!$C$3:$ZZ$3,C1025)</f>
        <v>20200074</v>
      </c>
      <c r="G1025" t="str" cm="1">
        <f t="array" ref="G1025">INDEX('Linha 03'!$C$2:$ZZ$2,C1025)</f>
        <v>Lava Roupas Aquafast Lavagem Rapida Fresh Clean Cx/12 X 1l</v>
      </c>
      <c r="H1025" s="5" cm="1">
        <f t="array" ref="H1025">INDEX('Linha 03'!$C$4:$ZZ$1000,B1025,C1025)</f>
        <v>0</v>
      </c>
    </row>
    <row r="1026" spans="1:8" x14ac:dyDescent="0.25">
      <c r="A1026">
        <v>1024</v>
      </c>
      <c r="B1026">
        <f t="shared" si="30"/>
        <v>25</v>
      </c>
      <c r="C1026">
        <f t="shared" si="31"/>
        <v>40</v>
      </c>
      <c r="D1026" cm="1">
        <f t="array" ref="D1026">INDEX('Linha 03'!$A$4:$A$1000,B1026)</f>
        <v>20050159</v>
      </c>
      <c r="E1026" t="str" cm="1">
        <f t="array" ref="E1026">INDEX('Linha 03'!$B$4:$B$1000,B1026)</f>
        <v>Desinfetante Aquafast Cha Branco Cx/06 X 2l</v>
      </c>
      <c r="F1026" cm="1">
        <f t="array" ref="F1026">INDEX('Linha 03'!$C$3:$ZZ$3,C1026)</f>
        <v>20250005</v>
      </c>
      <c r="G1026" t="str" cm="1">
        <f t="array" ref="G1026">INDEX('Linha 03'!$C$2:$ZZ$2,C1026)</f>
        <v>Neutralizador De Odores Aquafast Floral Cx/06 X 2l</v>
      </c>
      <c r="H1026" s="5" cm="1">
        <f t="array" ref="H1026">INDEX('Linha 03'!$C$4:$ZZ$1000,B1026,C1026)</f>
        <v>0</v>
      </c>
    </row>
    <row r="1027" spans="1:8" x14ac:dyDescent="0.25">
      <c r="A1027">
        <v>1025</v>
      </c>
      <c r="B1027">
        <f t="shared" si="30"/>
        <v>25</v>
      </c>
      <c r="C1027">
        <f t="shared" si="31"/>
        <v>41</v>
      </c>
      <c r="D1027" cm="1">
        <f t="array" ref="D1027">INDEX('Linha 03'!$A$4:$A$1000,B1027)</f>
        <v>20050159</v>
      </c>
      <c r="E1027" t="str" cm="1">
        <f t="array" ref="E1027">INDEX('Linha 03'!$B$4:$B$1000,B1027)</f>
        <v>Desinfetante Aquafast Cha Branco Cx/06 X 2l</v>
      </c>
      <c r="F1027" cm="1">
        <f t="array" ref="F1027">INDEX('Linha 03'!$C$3:$ZZ$3,C1027)</f>
        <v>20250007</v>
      </c>
      <c r="G1027" t="str" cm="1">
        <f t="array" ref="G1027">INDEX('Linha 03'!$C$2:$ZZ$2,C1027)</f>
        <v>Neutralizador De Odores Aquafast Marine Cx/06 2l</v>
      </c>
      <c r="H1027" s="5" cm="1">
        <f t="array" ref="H1027">INDEX('Linha 03'!$C$4:$ZZ$1000,B1027,C1027)</f>
        <v>0</v>
      </c>
    </row>
    <row r="1028" spans="1:8" x14ac:dyDescent="0.25">
      <c r="A1028">
        <v>1026</v>
      </c>
      <c r="B1028">
        <f t="shared" ref="B1028:B1091" si="32">INT((A1028-1)/$B$1)+1</f>
        <v>26</v>
      </c>
      <c r="C1028">
        <f t="shared" ref="C1028:C1091" si="33">MOD(A1028-1,$B$1)+1</f>
        <v>1</v>
      </c>
      <c r="D1028" cm="1">
        <f t="array" ref="D1028">INDEX('Linha 03'!$A$4:$A$1000,B1028)</f>
        <v>20060007</v>
      </c>
      <c r="E1028" t="str" cm="1">
        <f t="array" ref="E1028">INDEX('Linha 03'!$B$4:$B$1000,B1028)</f>
        <v>Limp Perf Aquafast Magia Seducao Cx/06 X 2l (Promoc)</v>
      </c>
      <c r="F1028" cm="1">
        <f t="array" ref="F1028">INDEX('Linha 03'!$C$3:$ZZ$3,C1028)</f>
        <v>20040006</v>
      </c>
      <c r="G1028" t="str" cm="1">
        <f t="array" ref="G1028">INDEX('Linha 03'!$C$2:$ZZ$2,C1028)</f>
        <v>Amaciante Aquafast Azul Fresc. Manha Cx/06 X 2l</v>
      </c>
      <c r="H1028" s="5" cm="1">
        <f t="array" ref="H1028">INDEX('Linha 03'!$C$4:$ZZ$1000,B1028,C1028)</f>
        <v>0</v>
      </c>
    </row>
    <row r="1029" spans="1:8" x14ac:dyDescent="0.25">
      <c r="A1029">
        <v>1027</v>
      </c>
      <c r="B1029">
        <f t="shared" si="32"/>
        <v>26</v>
      </c>
      <c r="C1029">
        <f t="shared" si="33"/>
        <v>2</v>
      </c>
      <c r="D1029" cm="1">
        <f t="array" ref="D1029">INDEX('Linha 03'!$A$4:$A$1000,B1029)</f>
        <v>20060007</v>
      </c>
      <c r="E1029" t="str" cm="1">
        <f t="array" ref="E1029">INDEX('Linha 03'!$B$4:$B$1000,B1029)</f>
        <v>Limp Perf Aquafast Magia Seducao Cx/06 X 2l (Promoc)</v>
      </c>
      <c r="F1029" cm="1">
        <f t="array" ref="F1029">INDEX('Linha 03'!$C$3:$ZZ$3,C1029)</f>
        <v>20040008</v>
      </c>
      <c r="G1029" t="str" cm="1">
        <f t="array" ref="G1029">INDEX('Linha 03'!$C$2:$ZZ$2,C1029)</f>
        <v>Amaciante Aquafast Rosa Jard. Florid Cx/06 X 2l</v>
      </c>
      <c r="H1029" s="5" cm="1">
        <f t="array" ref="H1029">INDEX('Linha 03'!$C$4:$ZZ$1000,B1029,C1029)</f>
        <v>0</v>
      </c>
    </row>
    <row r="1030" spans="1:8" x14ac:dyDescent="0.25">
      <c r="A1030">
        <v>1028</v>
      </c>
      <c r="B1030">
        <f t="shared" si="32"/>
        <v>26</v>
      </c>
      <c r="C1030">
        <f t="shared" si="33"/>
        <v>3</v>
      </c>
      <c r="D1030" cm="1">
        <f t="array" ref="D1030">INDEX('Linha 03'!$A$4:$A$1000,B1030)</f>
        <v>20060007</v>
      </c>
      <c r="E1030" t="str" cm="1">
        <f t="array" ref="E1030">INDEX('Linha 03'!$B$4:$B$1000,B1030)</f>
        <v>Limp Perf Aquafast Magia Seducao Cx/06 X 2l (Promoc)</v>
      </c>
      <c r="F1030" cm="1">
        <f t="array" ref="F1030">INDEX('Linha 03'!$C$3:$ZZ$3,C1030)</f>
        <v>20040009</v>
      </c>
      <c r="G1030" t="str" cm="1">
        <f t="array" ref="G1030">INDEX('Linha 03'!$C$2:$ZZ$2,C1030)</f>
        <v>Amaciante Aquafast Branco Pura Caric. Cx/06 X 2l</v>
      </c>
      <c r="H1030" s="5" cm="1">
        <f t="array" ref="H1030">INDEX('Linha 03'!$C$4:$ZZ$1000,B1030,C1030)</f>
        <v>0</v>
      </c>
    </row>
    <row r="1031" spans="1:8" x14ac:dyDescent="0.25">
      <c r="A1031">
        <v>1029</v>
      </c>
      <c r="B1031">
        <f t="shared" si="32"/>
        <v>26</v>
      </c>
      <c r="C1031">
        <f t="shared" si="33"/>
        <v>4</v>
      </c>
      <c r="D1031" cm="1">
        <f t="array" ref="D1031">INDEX('Linha 03'!$A$4:$A$1000,B1031)</f>
        <v>20060007</v>
      </c>
      <c r="E1031" t="str" cm="1">
        <f t="array" ref="E1031">INDEX('Linha 03'!$B$4:$B$1000,B1031)</f>
        <v>Limp Perf Aquafast Magia Seducao Cx/06 X 2l (Promoc)</v>
      </c>
      <c r="F1031" cm="1">
        <f t="array" ref="F1031">INDEX('Linha 03'!$C$3:$ZZ$3,C1031)</f>
        <v>20040026</v>
      </c>
      <c r="G1031" t="str" cm="1">
        <f t="array" ref="G1031">INDEX('Linha 03'!$C$2:$ZZ$2,C1031)</f>
        <v>Amaciante Ito Azul Cx/06 X 2l</v>
      </c>
      <c r="H1031" s="5" cm="1">
        <f t="array" ref="H1031">INDEX('Linha 03'!$C$4:$ZZ$1000,B1031,C1031)</f>
        <v>0</v>
      </c>
    </row>
    <row r="1032" spans="1:8" x14ac:dyDescent="0.25">
      <c r="A1032">
        <v>1030</v>
      </c>
      <c r="B1032">
        <f t="shared" si="32"/>
        <v>26</v>
      </c>
      <c r="C1032">
        <f t="shared" si="33"/>
        <v>5</v>
      </c>
      <c r="D1032" cm="1">
        <f t="array" ref="D1032">INDEX('Linha 03'!$A$4:$A$1000,B1032)</f>
        <v>20060007</v>
      </c>
      <c r="E1032" t="str" cm="1">
        <f t="array" ref="E1032">INDEX('Linha 03'!$B$4:$B$1000,B1032)</f>
        <v>Limp Perf Aquafast Magia Seducao Cx/06 X 2l (Promoc)</v>
      </c>
      <c r="F1032" cm="1">
        <f t="array" ref="F1032">INDEX('Linha 03'!$C$3:$ZZ$3,C1032)</f>
        <v>20040028</v>
      </c>
      <c r="G1032" t="str" cm="1">
        <f t="array" ref="G1032">INDEX('Linha 03'!$C$2:$ZZ$2,C1032)</f>
        <v>Amaciante Ito Rosa Cx/06 X 2l</v>
      </c>
      <c r="H1032" s="5" cm="1">
        <f t="array" ref="H1032">INDEX('Linha 03'!$C$4:$ZZ$1000,B1032,C1032)</f>
        <v>0</v>
      </c>
    </row>
    <row r="1033" spans="1:8" x14ac:dyDescent="0.25">
      <c r="A1033">
        <v>1031</v>
      </c>
      <c r="B1033">
        <f t="shared" si="32"/>
        <v>26</v>
      </c>
      <c r="C1033">
        <f t="shared" si="33"/>
        <v>6</v>
      </c>
      <c r="D1033" cm="1">
        <f t="array" ref="D1033">INDEX('Linha 03'!$A$4:$A$1000,B1033)</f>
        <v>20060007</v>
      </c>
      <c r="E1033" t="str" cm="1">
        <f t="array" ref="E1033">INDEX('Linha 03'!$B$4:$B$1000,B1033)</f>
        <v>Limp Perf Aquafast Magia Seducao Cx/06 X 2l (Promoc)</v>
      </c>
      <c r="F1033" cm="1">
        <f t="array" ref="F1033">INDEX('Linha 03'!$C$3:$ZZ$3,C1033)</f>
        <v>20040029</v>
      </c>
      <c r="G1033" t="str" cm="1">
        <f t="array" ref="G1033">INDEX('Linha 03'!$C$2:$ZZ$2,C1033)</f>
        <v>Amaciante Ito Branco Cx/06 X 2l</v>
      </c>
      <c r="H1033" s="5" cm="1">
        <f t="array" ref="H1033">INDEX('Linha 03'!$C$4:$ZZ$1000,B1033,C1033)</f>
        <v>0</v>
      </c>
    </row>
    <row r="1034" spans="1:8" x14ac:dyDescent="0.25">
      <c r="A1034">
        <v>1032</v>
      </c>
      <c r="B1034">
        <f t="shared" si="32"/>
        <v>26</v>
      </c>
      <c r="C1034">
        <f t="shared" si="33"/>
        <v>7</v>
      </c>
      <c r="D1034" cm="1">
        <f t="array" ref="D1034">INDEX('Linha 03'!$A$4:$A$1000,B1034)</f>
        <v>20060007</v>
      </c>
      <c r="E1034" t="str" cm="1">
        <f t="array" ref="E1034">INDEX('Linha 03'!$B$4:$B$1000,B1034)</f>
        <v>Limp Perf Aquafast Magia Seducao Cx/06 X 2l (Promoc)</v>
      </c>
      <c r="F1034" cm="1">
        <f t="array" ref="F1034">INDEX('Linha 03'!$C$3:$ZZ$3,C1034)</f>
        <v>20040055</v>
      </c>
      <c r="G1034" t="str" cm="1">
        <f t="array" ref="G1034">INDEX('Linha 03'!$C$2:$ZZ$2,C1034)</f>
        <v>Amaciante Myata Azul Cx/06 X 2l</v>
      </c>
      <c r="H1034" s="5" cm="1">
        <f t="array" ref="H1034">INDEX('Linha 03'!$C$4:$ZZ$1000,B1034,C1034)</f>
        <v>0</v>
      </c>
    </row>
    <row r="1035" spans="1:8" x14ac:dyDescent="0.25">
      <c r="A1035">
        <v>1033</v>
      </c>
      <c r="B1035">
        <f t="shared" si="32"/>
        <v>26</v>
      </c>
      <c r="C1035">
        <f t="shared" si="33"/>
        <v>8</v>
      </c>
      <c r="D1035" cm="1">
        <f t="array" ref="D1035">INDEX('Linha 03'!$A$4:$A$1000,B1035)</f>
        <v>20060007</v>
      </c>
      <c r="E1035" t="str" cm="1">
        <f t="array" ref="E1035">INDEX('Linha 03'!$B$4:$B$1000,B1035)</f>
        <v>Limp Perf Aquafast Magia Seducao Cx/06 X 2l (Promoc)</v>
      </c>
      <c r="F1035" cm="1">
        <f t="array" ref="F1035">INDEX('Linha 03'!$C$3:$ZZ$3,C1035)</f>
        <v>20040057</v>
      </c>
      <c r="G1035" t="str" cm="1">
        <f t="array" ref="G1035">INDEX('Linha 03'!$C$2:$ZZ$2,C1035)</f>
        <v>Amaciante Myata Rosa Cx/06 X 2l</v>
      </c>
      <c r="H1035" s="5" cm="1">
        <f t="array" ref="H1035">INDEX('Linha 03'!$C$4:$ZZ$1000,B1035,C1035)</f>
        <v>0</v>
      </c>
    </row>
    <row r="1036" spans="1:8" x14ac:dyDescent="0.25">
      <c r="A1036">
        <v>1034</v>
      </c>
      <c r="B1036">
        <f t="shared" si="32"/>
        <v>26</v>
      </c>
      <c r="C1036">
        <f t="shared" si="33"/>
        <v>9</v>
      </c>
      <c r="D1036" cm="1">
        <f t="array" ref="D1036">INDEX('Linha 03'!$A$4:$A$1000,B1036)</f>
        <v>20060007</v>
      </c>
      <c r="E1036" t="str" cm="1">
        <f t="array" ref="E1036">INDEX('Linha 03'!$B$4:$B$1000,B1036)</f>
        <v>Limp Perf Aquafast Magia Seducao Cx/06 X 2l (Promoc)</v>
      </c>
      <c r="F1036" cm="1">
        <f t="array" ref="F1036">INDEX('Linha 03'!$C$3:$ZZ$3,C1036)</f>
        <v>20040084</v>
      </c>
      <c r="G1036" t="str" cm="1">
        <f t="array" ref="G1036">INDEX('Linha 03'!$C$2:$ZZ$2,C1036)</f>
        <v>Amaciante Aquafast Vermelho Seducao Cx C/06 X 2l</v>
      </c>
      <c r="H1036" s="5" cm="1">
        <f t="array" ref="H1036">INDEX('Linha 03'!$C$4:$ZZ$1000,B1036,C1036)</f>
        <v>0</v>
      </c>
    </row>
    <row r="1037" spans="1:8" x14ac:dyDescent="0.25">
      <c r="A1037">
        <v>1035</v>
      </c>
      <c r="B1037">
        <f t="shared" si="32"/>
        <v>26</v>
      </c>
      <c r="C1037">
        <f t="shared" si="33"/>
        <v>10</v>
      </c>
      <c r="D1037" cm="1">
        <f t="array" ref="D1037">INDEX('Linha 03'!$A$4:$A$1000,B1037)</f>
        <v>20060007</v>
      </c>
      <c r="E1037" t="str" cm="1">
        <f t="array" ref="E1037">INDEX('Linha 03'!$B$4:$B$1000,B1037)</f>
        <v>Limp Perf Aquafast Magia Seducao Cx/06 X 2l (Promoc)</v>
      </c>
      <c r="F1037" cm="1">
        <f t="array" ref="F1037">INDEX('Linha 03'!$C$3:$ZZ$3,C1037)</f>
        <v>20040089</v>
      </c>
      <c r="G1037" t="str" cm="1">
        <f t="array" ref="G1037">INDEX('Linha 03'!$C$2:$ZZ$2,C1037)</f>
        <v>Amaciante Aquafast Roxo Magia Cx/06 X 2l</v>
      </c>
      <c r="H1037" s="5" cm="1">
        <f t="array" ref="H1037">INDEX('Linha 03'!$C$4:$ZZ$1000,B1037,C1037)</f>
        <v>0</v>
      </c>
    </row>
    <row r="1038" spans="1:8" x14ac:dyDescent="0.25">
      <c r="A1038">
        <v>1036</v>
      </c>
      <c r="B1038">
        <f t="shared" si="32"/>
        <v>26</v>
      </c>
      <c r="C1038">
        <f t="shared" si="33"/>
        <v>11</v>
      </c>
      <c r="D1038" cm="1">
        <f t="array" ref="D1038">INDEX('Linha 03'!$A$4:$A$1000,B1038)</f>
        <v>20060007</v>
      </c>
      <c r="E1038" t="str" cm="1">
        <f t="array" ref="E1038">INDEX('Linha 03'!$B$4:$B$1000,B1038)</f>
        <v>Limp Perf Aquafast Magia Seducao Cx/06 X 2l (Promoc)</v>
      </c>
      <c r="F1038" cm="1">
        <f t="array" ref="F1038">INDEX('Linha 03'!$C$3:$ZZ$3,C1038)</f>
        <v>20040094</v>
      </c>
      <c r="G1038" t="str" cm="1">
        <f t="array" ref="G1038">INDEX('Linha 03'!$C$2:$ZZ$2,C1038)</f>
        <v>Amaciante Aquafast Energia Cx/06 X 2l</v>
      </c>
      <c r="H1038" s="5" cm="1">
        <f t="array" ref="H1038">INDEX('Linha 03'!$C$4:$ZZ$1000,B1038,C1038)</f>
        <v>0</v>
      </c>
    </row>
    <row r="1039" spans="1:8" x14ac:dyDescent="0.25">
      <c r="A1039">
        <v>1037</v>
      </c>
      <c r="B1039">
        <f t="shared" si="32"/>
        <v>26</v>
      </c>
      <c r="C1039">
        <f t="shared" si="33"/>
        <v>12</v>
      </c>
      <c r="D1039" cm="1">
        <f t="array" ref="D1039">INDEX('Linha 03'!$A$4:$A$1000,B1039)</f>
        <v>20060007</v>
      </c>
      <c r="E1039" t="str" cm="1">
        <f t="array" ref="E1039">INDEX('Linha 03'!$B$4:$B$1000,B1039)</f>
        <v>Limp Perf Aquafast Magia Seducao Cx/06 X 2l (Promoc)</v>
      </c>
      <c r="F1039" cm="1">
        <f t="array" ref="F1039">INDEX('Linha 03'!$C$3:$ZZ$3,C1039)</f>
        <v>20050010</v>
      </c>
      <c r="G1039" t="str" cm="1">
        <f t="array" ref="G1039">INDEX('Linha 03'!$C$2:$ZZ$2,C1039)</f>
        <v>Desinfetante Aquafast Campos Lavanda Cx/06 X 2l</v>
      </c>
      <c r="H1039" s="5" cm="1">
        <f t="array" ref="H1039">INDEX('Linha 03'!$C$4:$ZZ$1000,B1039,C1039)</f>
        <v>0</v>
      </c>
    </row>
    <row r="1040" spans="1:8" x14ac:dyDescent="0.25">
      <c r="A1040">
        <v>1038</v>
      </c>
      <c r="B1040">
        <f t="shared" si="32"/>
        <v>26</v>
      </c>
      <c r="C1040">
        <f t="shared" si="33"/>
        <v>13</v>
      </c>
      <c r="D1040" cm="1">
        <f t="array" ref="D1040">INDEX('Linha 03'!$A$4:$A$1000,B1040)</f>
        <v>20060007</v>
      </c>
      <c r="E1040" t="str" cm="1">
        <f t="array" ref="E1040">INDEX('Linha 03'!$B$4:$B$1000,B1040)</f>
        <v>Limp Perf Aquafast Magia Seducao Cx/06 X 2l (Promoc)</v>
      </c>
      <c r="F1040" cm="1">
        <f t="array" ref="F1040">INDEX('Linha 03'!$C$3:$ZZ$3,C1040)</f>
        <v>20050011</v>
      </c>
      <c r="G1040" t="str" cm="1">
        <f t="array" ref="G1040">INDEX('Linha 03'!$C$2:$ZZ$2,C1040)</f>
        <v>Desinfetante Aquafast Jardim Florido Cx/06 X 2l</v>
      </c>
      <c r="H1040" s="5" cm="1">
        <f t="array" ref="H1040">INDEX('Linha 03'!$C$4:$ZZ$1000,B1040,C1040)</f>
        <v>0</v>
      </c>
    </row>
    <row r="1041" spans="1:8" x14ac:dyDescent="0.25">
      <c r="A1041">
        <v>1039</v>
      </c>
      <c r="B1041">
        <f t="shared" si="32"/>
        <v>26</v>
      </c>
      <c r="C1041">
        <f t="shared" si="33"/>
        <v>14</v>
      </c>
      <c r="D1041" cm="1">
        <f t="array" ref="D1041">INDEX('Linha 03'!$A$4:$A$1000,B1041)</f>
        <v>20060007</v>
      </c>
      <c r="E1041" t="str" cm="1">
        <f t="array" ref="E1041">INDEX('Linha 03'!$B$4:$B$1000,B1041)</f>
        <v>Limp Perf Aquafast Magia Seducao Cx/06 X 2l (Promoc)</v>
      </c>
      <c r="F1041" cm="1">
        <f t="array" ref="F1041">INDEX('Linha 03'!$C$3:$ZZ$3,C1041)</f>
        <v>20050016</v>
      </c>
      <c r="G1041" t="str" cm="1">
        <f t="array" ref="G1041">INDEX('Linha 03'!$C$2:$ZZ$2,C1041)</f>
        <v>Desinfetante Aquafast Marine Cx/06 X 2l</v>
      </c>
      <c r="H1041" s="5" cm="1">
        <f t="array" ref="H1041">INDEX('Linha 03'!$C$4:$ZZ$1000,B1041,C1041)</f>
        <v>0</v>
      </c>
    </row>
    <row r="1042" spans="1:8" x14ac:dyDescent="0.25">
      <c r="A1042">
        <v>1040</v>
      </c>
      <c r="B1042">
        <f t="shared" si="32"/>
        <v>26</v>
      </c>
      <c r="C1042">
        <f t="shared" si="33"/>
        <v>15</v>
      </c>
      <c r="D1042" cm="1">
        <f t="array" ref="D1042">INDEX('Linha 03'!$A$4:$A$1000,B1042)</f>
        <v>20060007</v>
      </c>
      <c r="E1042" t="str" cm="1">
        <f t="array" ref="E1042">INDEX('Linha 03'!$B$4:$B$1000,B1042)</f>
        <v>Limp Perf Aquafast Magia Seducao Cx/06 X 2l (Promoc)</v>
      </c>
      <c r="F1042" cm="1">
        <f t="array" ref="F1042">INDEX('Linha 03'!$C$3:$ZZ$3,C1042)</f>
        <v>20050031</v>
      </c>
      <c r="G1042" t="str" cm="1">
        <f t="array" ref="G1042">INDEX('Linha 03'!$C$2:$ZZ$2,C1042)</f>
        <v>Desinfetante Ito Lavanda Cx/06 X 2l</v>
      </c>
      <c r="H1042" s="5" cm="1">
        <f t="array" ref="H1042">INDEX('Linha 03'!$C$4:$ZZ$1000,B1042,C1042)</f>
        <v>0</v>
      </c>
    </row>
    <row r="1043" spans="1:8" x14ac:dyDescent="0.25">
      <c r="A1043">
        <v>1041</v>
      </c>
      <c r="B1043">
        <f t="shared" si="32"/>
        <v>26</v>
      </c>
      <c r="C1043">
        <f t="shared" si="33"/>
        <v>16</v>
      </c>
      <c r="D1043" cm="1">
        <f t="array" ref="D1043">INDEX('Linha 03'!$A$4:$A$1000,B1043)</f>
        <v>20060007</v>
      </c>
      <c r="E1043" t="str" cm="1">
        <f t="array" ref="E1043">INDEX('Linha 03'!$B$4:$B$1000,B1043)</f>
        <v>Limp Perf Aquafast Magia Seducao Cx/06 X 2l (Promoc)</v>
      </c>
      <c r="F1043" cm="1">
        <f t="array" ref="F1043">INDEX('Linha 03'!$C$3:$ZZ$3,C1043)</f>
        <v>20050032</v>
      </c>
      <c r="G1043" t="str" cm="1">
        <f t="array" ref="G1043">INDEX('Linha 03'!$C$2:$ZZ$2,C1043)</f>
        <v>Desinfetante Ito Floral Cx/06 X 2l</v>
      </c>
      <c r="H1043" s="5" cm="1">
        <f t="array" ref="H1043">INDEX('Linha 03'!$C$4:$ZZ$1000,B1043,C1043)</f>
        <v>0</v>
      </c>
    </row>
    <row r="1044" spans="1:8" x14ac:dyDescent="0.25">
      <c r="A1044">
        <v>1042</v>
      </c>
      <c r="B1044">
        <f t="shared" si="32"/>
        <v>26</v>
      </c>
      <c r="C1044">
        <f t="shared" si="33"/>
        <v>17</v>
      </c>
      <c r="D1044" cm="1">
        <f t="array" ref="D1044">INDEX('Linha 03'!$A$4:$A$1000,B1044)</f>
        <v>20060007</v>
      </c>
      <c r="E1044" t="str" cm="1">
        <f t="array" ref="E1044">INDEX('Linha 03'!$B$4:$B$1000,B1044)</f>
        <v>Limp Perf Aquafast Magia Seducao Cx/06 X 2l (Promoc)</v>
      </c>
      <c r="F1044" cm="1">
        <f t="array" ref="F1044">INDEX('Linha 03'!$C$3:$ZZ$3,C1044)</f>
        <v>20050034</v>
      </c>
      <c r="G1044" t="str" cm="1">
        <f t="array" ref="G1044">INDEX('Linha 03'!$C$2:$ZZ$2,C1044)</f>
        <v>Desinfetante Ito Eucalipto Cx/06 X 2l</v>
      </c>
      <c r="H1044" s="5" cm="1">
        <f t="array" ref="H1044">INDEX('Linha 03'!$C$4:$ZZ$1000,B1044,C1044)</f>
        <v>0</v>
      </c>
    </row>
    <row r="1045" spans="1:8" x14ac:dyDescent="0.25">
      <c r="A1045">
        <v>1043</v>
      </c>
      <c r="B1045">
        <f t="shared" si="32"/>
        <v>26</v>
      </c>
      <c r="C1045">
        <f t="shared" si="33"/>
        <v>18</v>
      </c>
      <c r="D1045" cm="1">
        <f t="array" ref="D1045">INDEX('Linha 03'!$A$4:$A$1000,B1045)</f>
        <v>20060007</v>
      </c>
      <c r="E1045" t="str" cm="1">
        <f t="array" ref="E1045">INDEX('Linha 03'!$B$4:$B$1000,B1045)</f>
        <v>Limp Perf Aquafast Magia Seducao Cx/06 X 2l (Promoc)</v>
      </c>
      <c r="F1045" cm="1">
        <f t="array" ref="F1045">INDEX('Linha 03'!$C$3:$ZZ$3,C1045)</f>
        <v>20050077</v>
      </c>
      <c r="G1045" t="str" cm="1">
        <f t="array" ref="G1045">INDEX('Linha 03'!$C$2:$ZZ$2,C1045)</f>
        <v>Desinfetante Myata Lavanda Cx/06 X 2l</v>
      </c>
      <c r="H1045" s="5" cm="1">
        <f t="array" ref="H1045">INDEX('Linha 03'!$C$4:$ZZ$1000,B1045,C1045)</f>
        <v>0</v>
      </c>
    </row>
    <row r="1046" spans="1:8" x14ac:dyDescent="0.25">
      <c r="A1046">
        <v>1044</v>
      </c>
      <c r="B1046">
        <f t="shared" si="32"/>
        <v>26</v>
      </c>
      <c r="C1046">
        <f t="shared" si="33"/>
        <v>19</v>
      </c>
      <c r="D1046" cm="1">
        <f t="array" ref="D1046">INDEX('Linha 03'!$A$4:$A$1000,B1046)</f>
        <v>20060007</v>
      </c>
      <c r="E1046" t="str" cm="1">
        <f t="array" ref="E1046">INDEX('Linha 03'!$B$4:$B$1000,B1046)</f>
        <v>Limp Perf Aquafast Magia Seducao Cx/06 X 2l (Promoc)</v>
      </c>
      <c r="F1046" cm="1">
        <f t="array" ref="F1046">INDEX('Linha 03'!$C$3:$ZZ$3,C1046)</f>
        <v>20050078</v>
      </c>
      <c r="G1046" t="str" cm="1">
        <f t="array" ref="G1046">INDEX('Linha 03'!$C$2:$ZZ$2,C1046)</f>
        <v>Desinfetante Myata Floral Cx/06 X 2l</v>
      </c>
      <c r="H1046" s="5" cm="1">
        <f t="array" ref="H1046">INDEX('Linha 03'!$C$4:$ZZ$1000,B1046,C1046)</f>
        <v>0</v>
      </c>
    </row>
    <row r="1047" spans="1:8" x14ac:dyDescent="0.25">
      <c r="A1047">
        <v>1045</v>
      </c>
      <c r="B1047">
        <f t="shared" si="32"/>
        <v>26</v>
      </c>
      <c r="C1047">
        <f t="shared" si="33"/>
        <v>20</v>
      </c>
      <c r="D1047" cm="1">
        <f t="array" ref="D1047">INDEX('Linha 03'!$A$4:$A$1000,B1047)</f>
        <v>20060007</v>
      </c>
      <c r="E1047" t="str" cm="1">
        <f t="array" ref="E1047">INDEX('Linha 03'!$B$4:$B$1000,B1047)</f>
        <v>Limp Perf Aquafast Magia Seducao Cx/06 X 2l (Promoc)</v>
      </c>
      <c r="F1047" cm="1">
        <f t="array" ref="F1047">INDEX('Linha 03'!$C$3:$ZZ$3,C1047)</f>
        <v>20050115</v>
      </c>
      <c r="G1047" t="str" cm="1">
        <f t="array" ref="G1047">INDEX('Linha 03'!$C$2:$ZZ$2,C1047)</f>
        <v>Desinfetante Aquafast Paixao Cx/06 X 2l</v>
      </c>
      <c r="H1047" s="5" cm="1">
        <f t="array" ref="H1047">INDEX('Linha 03'!$C$4:$ZZ$1000,B1047,C1047)</f>
        <v>0</v>
      </c>
    </row>
    <row r="1048" spans="1:8" x14ac:dyDescent="0.25">
      <c r="A1048">
        <v>1046</v>
      </c>
      <c r="B1048">
        <f t="shared" si="32"/>
        <v>26</v>
      </c>
      <c r="C1048">
        <f t="shared" si="33"/>
        <v>21</v>
      </c>
      <c r="D1048" cm="1">
        <f t="array" ref="D1048">INDEX('Linha 03'!$A$4:$A$1000,B1048)</f>
        <v>20060007</v>
      </c>
      <c r="E1048" t="str" cm="1">
        <f t="array" ref="E1048">INDEX('Linha 03'!$B$4:$B$1000,B1048)</f>
        <v>Limp Perf Aquafast Magia Seducao Cx/06 X 2l (Promoc)</v>
      </c>
      <c r="F1048" cm="1">
        <f t="array" ref="F1048">INDEX('Linha 03'!$C$3:$ZZ$3,C1048)</f>
        <v>20050117</v>
      </c>
      <c r="G1048" t="str" cm="1">
        <f t="array" ref="G1048">INDEX('Linha 03'!$C$2:$ZZ$2,C1048)</f>
        <v>Desinfetante Aquafast Harmonia Natural Cx/06 X 2l</v>
      </c>
      <c r="H1048" s="5" cm="1">
        <f t="array" ref="H1048">INDEX('Linha 03'!$C$4:$ZZ$1000,B1048,C1048)</f>
        <v>0</v>
      </c>
    </row>
    <row r="1049" spans="1:8" x14ac:dyDescent="0.25">
      <c r="A1049">
        <v>1047</v>
      </c>
      <c r="B1049">
        <f t="shared" si="32"/>
        <v>26</v>
      </c>
      <c r="C1049">
        <f t="shared" si="33"/>
        <v>22</v>
      </c>
      <c r="D1049" cm="1">
        <f t="array" ref="D1049">INDEX('Linha 03'!$A$4:$A$1000,B1049)</f>
        <v>20060007</v>
      </c>
      <c r="E1049" t="str" cm="1">
        <f t="array" ref="E1049">INDEX('Linha 03'!$B$4:$B$1000,B1049)</f>
        <v>Limp Perf Aquafast Magia Seducao Cx/06 X 2l (Promoc)</v>
      </c>
      <c r="F1049" cm="1">
        <f t="array" ref="F1049">INDEX('Linha 03'!$C$3:$ZZ$3,C1049)</f>
        <v>20050123</v>
      </c>
      <c r="G1049" t="str" cm="1">
        <f t="array" ref="G1049">INDEX('Linha 03'!$C$2:$ZZ$2,C1049)</f>
        <v>Desinfetante Ito Harmonia Natural Cx/06 X 2l</v>
      </c>
      <c r="H1049" s="5" cm="1">
        <f t="array" ref="H1049">INDEX('Linha 03'!$C$4:$ZZ$1000,B1049,C1049)</f>
        <v>0</v>
      </c>
    </row>
    <row r="1050" spans="1:8" x14ac:dyDescent="0.25">
      <c r="A1050">
        <v>1048</v>
      </c>
      <c r="B1050">
        <f t="shared" si="32"/>
        <v>26</v>
      </c>
      <c r="C1050">
        <f t="shared" si="33"/>
        <v>23</v>
      </c>
      <c r="D1050" cm="1">
        <f t="array" ref="D1050">INDEX('Linha 03'!$A$4:$A$1000,B1050)</f>
        <v>20060007</v>
      </c>
      <c r="E1050" t="str" cm="1">
        <f t="array" ref="E1050">INDEX('Linha 03'!$B$4:$B$1000,B1050)</f>
        <v>Limp Perf Aquafast Magia Seducao Cx/06 X 2l (Promoc)</v>
      </c>
      <c r="F1050" cm="1">
        <f t="array" ref="F1050">INDEX('Linha 03'!$C$3:$ZZ$3,C1050)</f>
        <v>20050124</v>
      </c>
      <c r="G1050" t="str" cm="1">
        <f t="array" ref="G1050">INDEX('Linha 03'!$C$2:$ZZ$2,C1050)</f>
        <v>Desinfetante Myata Harmonia Natural Cx/06 X 2l</v>
      </c>
      <c r="H1050" s="5" cm="1">
        <f t="array" ref="H1050">INDEX('Linha 03'!$C$4:$ZZ$1000,B1050,C1050)</f>
        <v>0</v>
      </c>
    </row>
    <row r="1051" spans="1:8" x14ac:dyDescent="0.25">
      <c r="A1051">
        <v>1049</v>
      </c>
      <c r="B1051">
        <f t="shared" si="32"/>
        <v>26</v>
      </c>
      <c r="C1051">
        <f t="shared" si="33"/>
        <v>24</v>
      </c>
      <c r="D1051" cm="1">
        <f t="array" ref="D1051">INDEX('Linha 03'!$A$4:$A$1000,B1051)</f>
        <v>20060007</v>
      </c>
      <c r="E1051" t="str" cm="1">
        <f t="array" ref="E1051">INDEX('Linha 03'!$B$4:$B$1000,B1051)</f>
        <v>Limp Perf Aquafast Magia Seducao Cx/06 X 2l (Promoc)</v>
      </c>
      <c r="F1051" cm="1">
        <f t="array" ref="F1051">INDEX('Linha 03'!$C$3:$ZZ$3,C1051)</f>
        <v>20050142</v>
      </c>
      <c r="G1051" t="str" cm="1">
        <f t="array" ref="G1051">INDEX('Linha 03'!$C$2:$ZZ$2,C1051)</f>
        <v>Desinfetante Ito Marine Cx/06 X 2l</v>
      </c>
      <c r="H1051" s="5" cm="1">
        <f t="array" ref="H1051">INDEX('Linha 03'!$C$4:$ZZ$1000,B1051,C1051)</f>
        <v>0</v>
      </c>
    </row>
    <row r="1052" spans="1:8" x14ac:dyDescent="0.25">
      <c r="A1052">
        <v>1050</v>
      </c>
      <c r="B1052">
        <f t="shared" si="32"/>
        <v>26</v>
      </c>
      <c r="C1052">
        <f t="shared" si="33"/>
        <v>25</v>
      </c>
      <c r="D1052" cm="1">
        <f t="array" ref="D1052">INDEX('Linha 03'!$A$4:$A$1000,B1052)</f>
        <v>20060007</v>
      </c>
      <c r="E1052" t="str" cm="1">
        <f t="array" ref="E1052">INDEX('Linha 03'!$B$4:$B$1000,B1052)</f>
        <v>Limp Perf Aquafast Magia Seducao Cx/06 X 2l (Promoc)</v>
      </c>
      <c r="F1052" cm="1">
        <f t="array" ref="F1052">INDEX('Linha 03'!$C$3:$ZZ$3,C1052)</f>
        <v>20050159</v>
      </c>
      <c r="G1052" t="str" cm="1">
        <f t="array" ref="G1052">INDEX('Linha 03'!$C$2:$ZZ$2,C1052)</f>
        <v>Desinfetante Aquafast Cha Branco Cx/06 X 2l</v>
      </c>
      <c r="H1052" s="5" cm="1">
        <f t="array" ref="H1052">INDEX('Linha 03'!$C$4:$ZZ$1000,B1052,C1052)</f>
        <v>1.38888888888889E-2</v>
      </c>
    </row>
    <row r="1053" spans="1:8" x14ac:dyDescent="0.25">
      <c r="A1053">
        <v>1051</v>
      </c>
      <c r="B1053">
        <f t="shared" si="32"/>
        <v>26</v>
      </c>
      <c r="C1053">
        <f t="shared" si="33"/>
        <v>26</v>
      </c>
      <c r="D1053" cm="1">
        <f t="array" ref="D1053">INDEX('Linha 03'!$A$4:$A$1000,B1053)</f>
        <v>20060007</v>
      </c>
      <c r="E1053" t="str" cm="1">
        <f t="array" ref="E1053">INDEX('Linha 03'!$B$4:$B$1000,B1053)</f>
        <v>Limp Perf Aquafast Magia Seducao Cx/06 X 2l (Promoc)</v>
      </c>
      <c r="F1053" cm="1">
        <f t="array" ref="F1053">INDEX('Linha 03'!$C$3:$ZZ$3,C1053)</f>
        <v>20060007</v>
      </c>
      <c r="G1053" t="str" cm="1">
        <f t="array" ref="G1053">INDEX('Linha 03'!$C$2:$ZZ$2,C1053)</f>
        <v>Limp Perf Aquafast Magia Seducao Cx/06 X 2l (Promoc)</v>
      </c>
      <c r="H1053" s="5" cm="1">
        <f t="array" ref="H1053">INDEX('Linha 03'!$C$4:$ZZ$1000,B1053,C1053)</f>
        <v>0</v>
      </c>
    </row>
    <row r="1054" spans="1:8" x14ac:dyDescent="0.25">
      <c r="A1054">
        <v>1052</v>
      </c>
      <c r="B1054">
        <f t="shared" si="32"/>
        <v>26</v>
      </c>
      <c r="C1054">
        <f t="shared" si="33"/>
        <v>27</v>
      </c>
      <c r="D1054" cm="1">
        <f t="array" ref="D1054">INDEX('Linha 03'!$A$4:$A$1000,B1054)</f>
        <v>20060007</v>
      </c>
      <c r="E1054" t="str" cm="1">
        <f t="array" ref="E1054">INDEX('Linha 03'!$B$4:$B$1000,B1054)</f>
        <v>Limp Perf Aquafast Magia Seducao Cx/06 X 2l (Promoc)</v>
      </c>
      <c r="F1054" cm="1">
        <f t="array" ref="F1054">INDEX('Linha 03'!$C$3:$ZZ$3,C1054)</f>
        <v>20060009</v>
      </c>
      <c r="G1054" t="str" cm="1">
        <f t="array" ref="G1054">INDEX('Linha 03'!$C$2:$ZZ$2,C1054)</f>
        <v>Limp Perf Aquafast Frescor Da Manha Cx/06 X 2l (Promoc)</v>
      </c>
      <c r="H1054" s="5" cm="1">
        <f t="array" ref="H1054">INDEX('Linha 03'!$C$4:$ZZ$1000,B1054,C1054)</f>
        <v>0</v>
      </c>
    </row>
    <row r="1055" spans="1:8" x14ac:dyDescent="0.25">
      <c r="A1055">
        <v>1053</v>
      </c>
      <c r="B1055">
        <f t="shared" si="32"/>
        <v>26</v>
      </c>
      <c r="C1055">
        <f t="shared" si="33"/>
        <v>28</v>
      </c>
      <c r="D1055" cm="1">
        <f t="array" ref="D1055">INDEX('Linha 03'!$A$4:$A$1000,B1055)</f>
        <v>20060007</v>
      </c>
      <c r="E1055" t="str" cm="1">
        <f t="array" ref="E1055">INDEX('Linha 03'!$B$4:$B$1000,B1055)</f>
        <v>Limp Perf Aquafast Magia Seducao Cx/06 X 2l (Promoc)</v>
      </c>
      <c r="F1055" cm="1">
        <f t="array" ref="F1055">INDEX('Linha 03'!$C$3:$ZZ$3,C1055)</f>
        <v>20060017</v>
      </c>
      <c r="G1055" t="str" cm="1">
        <f t="array" ref="G1055">INDEX('Linha 03'!$C$2:$ZZ$2,C1055)</f>
        <v>Limp Perf Aquafast Doce Romance Cx/06 X 2l (Promoc)</v>
      </c>
      <c r="H1055" s="5" cm="1">
        <f t="array" ref="H1055">INDEX('Linha 03'!$C$4:$ZZ$1000,B1055,C1055)</f>
        <v>0</v>
      </c>
    </row>
    <row r="1056" spans="1:8" x14ac:dyDescent="0.25">
      <c r="A1056">
        <v>1054</v>
      </c>
      <c r="B1056">
        <f t="shared" si="32"/>
        <v>26</v>
      </c>
      <c r="C1056">
        <f t="shared" si="33"/>
        <v>29</v>
      </c>
      <c r="D1056" cm="1">
        <f t="array" ref="D1056">INDEX('Linha 03'!$A$4:$A$1000,B1056)</f>
        <v>20060007</v>
      </c>
      <c r="E1056" t="str" cm="1">
        <f t="array" ref="E1056">INDEX('Linha 03'!$B$4:$B$1000,B1056)</f>
        <v>Limp Perf Aquafast Magia Seducao Cx/06 X 2l (Promoc)</v>
      </c>
      <c r="F1056" cm="1">
        <f t="array" ref="F1056">INDEX('Linha 03'!$C$3:$ZZ$3,C1056)</f>
        <v>20060028</v>
      </c>
      <c r="G1056" t="str" cm="1">
        <f t="array" ref="G1056">INDEX('Linha 03'!$C$2:$ZZ$2,C1056)</f>
        <v>Limp Perf Aquafast Essencia Natural Cx06 X 2l</v>
      </c>
      <c r="H1056" s="5" cm="1">
        <f t="array" ref="H1056">INDEX('Linha 03'!$C$4:$ZZ$1000,B1056,C1056)</f>
        <v>0</v>
      </c>
    </row>
    <row r="1057" spans="1:8" x14ac:dyDescent="0.25">
      <c r="A1057">
        <v>1055</v>
      </c>
      <c r="B1057">
        <f t="shared" si="32"/>
        <v>26</v>
      </c>
      <c r="C1057">
        <f t="shared" si="33"/>
        <v>30</v>
      </c>
      <c r="D1057" cm="1">
        <f t="array" ref="D1057">INDEX('Linha 03'!$A$4:$A$1000,B1057)</f>
        <v>20060007</v>
      </c>
      <c r="E1057" t="str" cm="1">
        <f t="array" ref="E1057">INDEX('Linha 03'!$B$4:$B$1000,B1057)</f>
        <v>Limp Perf Aquafast Magia Seducao Cx/06 X 2l (Promoc)</v>
      </c>
      <c r="F1057" cm="1">
        <f t="array" ref="F1057">INDEX('Linha 03'!$C$3:$ZZ$3,C1057)</f>
        <v>20200003</v>
      </c>
      <c r="G1057" t="str" cm="1">
        <f t="array" ref="G1057">INDEX('Linha 03'!$C$2:$ZZ$2,C1057)</f>
        <v>Lava Roup. Aquafast Baby Cx/12 X 1l</v>
      </c>
      <c r="H1057" s="5" cm="1">
        <f t="array" ref="H1057">INDEX('Linha 03'!$C$4:$ZZ$1000,B1057,C1057)</f>
        <v>0</v>
      </c>
    </row>
    <row r="1058" spans="1:8" x14ac:dyDescent="0.25">
      <c r="A1058">
        <v>1056</v>
      </c>
      <c r="B1058">
        <f t="shared" si="32"/>
        <v>26</v>
      </c>
      <c r="C1058">
        <f t="shared" si="33"/>
        <v>31</v>
      </c>
      <c r="D1058" cm="1">
        <f t="array" ref="D1058">INDEX('Linha 03'!$A$4:$A$1000,B1058)</f>
        <v>20060007</v>
      </c>
      <c r="E1058" t="str" cm="1">
        <f t="array" ref="E1058">INDEX('Linha 03'!$B$4:$B$1000,B1058)</f>
        <v>Limp Perf Aquafast Magia Seducao Cx/06 X 2l (Promoc)</v>
      </c>
      <c r="F1058" cm="1">
        <f t="array" ref="F1058">INDEX('Linha 03'!$C$3:$ZZ$3,C1058)</f>
        <v>20200005</v>
      </c>
      <c r="G1058" t="str" cm="1">
        <f t="array" ref="G1058">INDEX('Linha 03'!$C$2:$ZZ$2,C1058)</f>
        <v>Lava Roupas Aquafast Multi Acao Cx/06 X 2l</v>
      </c>
      <c r="H1058" s="5" cm="1">
        <f t="array" ref="H1058">INDEX('Linha 03'!$C$4:$ZZ$1000,B1058,C1058)</f>
        <v>0</v>
      </c>
    </row>
    <row r="1059" spans="1:8" x14ac:dyDescent="0.25">
      <c r="A1059">
        <v>1057</v>
      </c>
      <c r="B1059">
        <f t="shared" si="32"/>
        <v>26</v>
      </c>
      <c r="C1059">
        <f t="shared" si="33"/>
        <v>32</v>
      </c>
      <c r="D1059" cm="1">
        <f t="array" ref="D1059">INDEX('Linha 03'!$A$4:$A$1000,B1059)</f>
        <v>20060007</v>
      </c>
      <c r="E1059" t="str" cm="1">
        <f t="array" ref="E1059">INDEX('Linha 03'!$B$4:$B$1000,B1059)</f>
        <v>Limp Perf Aquafast Magia Seducao Cx/06 X 2l (Promoc)</v>
      </c>
      <c r="F1059" cm="1">
        <f t="array" ref="F1059">INDEX('Linha 03'!$C$3:$ZZ$3,C1059)</f>
        <v>20200006</v>
      </c>
      <c r="G1059" t="str" cm="1">
        <f t="array" ref="G1059">INDEX('Linha 03'!$C$2:$ZZ$2,C1059)</f>
        <v>Lava Roupas Aquafast Glicerina Cx/06 X 2l</v>
      </c>
      <c r="H1059" s="5" cm="1">
        <f t="array" ref="H1059">INDEX('Linha 03'!$C$4:$ZZ$1000,B1059,C1059)</f>
        <v>0</v>
      </c>
    </row>
    <row r="1060" spans="1:8" x14ac:dyDescent="0.25">
      <c r="A1060">
        <v>1058</v>
      </c>
      <c r="B1060">
        <f t="shared" si="32"/>
        <v>26</v>
      </c>
      <c r="C1060">
        <f t="shared" si="33"/>
        <v>33</v>
      </c>
      <c r="D1060" cm="1">
        <f t="array" ref="D1060">INDEX('Linha 03'!$A$4:$A$1000,B1060)</f>
        <v>20060007</v>
      </c>
      <c r="E1060" t="str" cm="1">
        <f t="array" ref="E1060">INDEX('Linha 03'!$B$4:$B$1000,B1060)</f>
        <v>Limp Perf Aquafast Magia Seducao Cx/06 X 2l (Promoc)</v>
      </c>
      <c r="F1060" cm="1">
        <f t="array" ref="F1060">INDEX('Linha 03'!$C$3:$ZZ$3,C1060)</f>
        <v>20200015</v>
      </c>
      <c r="G1060" t="str" cm="1">
        <f t="array" ref="G1060">INDEX('Linha 03'!$C$2:$ZZ$2,C1060)</f>
        <v>Lava Roup. Aquafast Multiacao Cx/12 X 1l</v>
      </c>
      <c r="H1060" s="5" cm="1">
        <f t="array" ref="H1060">INDEX('Linha 03'!$C$4:$ZZ$1000,B1060,C1060)</f>
        <v>0</v>
      </c>
    </row>
    <row r="1061" spans="1:8" x14ac:dyDescent="0.25">
      <c r="A1061">
        <v>1059</v>
      </c>
      <c r="B1061">
        <f t="shared" si="32"/>
        <v>26</v>
      </c>
      <c r="C1061">
        <f t="shared" si="33"/>
        <v>34</v>
      </c>
      <c r="D1061" cm="1">
        <f t="array" ref="D1061">INDEX('Linha 03'!$A$4:$A$1000,B1061)</f>
        <v>20060007</v>
      </c>
      <c r="E1061" t="str" cm="1">
        <f t="array" ref="E1061">INDEX('Linha 03'!$B$4:$B$1000,B1061)</f>
        <v>Limp Perf Aquafast Magia Seducao Cx/06 X 2l (Promoc)</v>
      </c>
      <c r="F1061" cm="1">
        <f t="array" ref="F1061">INDEX('Linha 03'!$C$3:$ZZ$3,C1061)</f>
        <v>20200036</v>
      </c>
      <c r="G1061" t="str" cm="1">
        <f t="array" ref="G1061">INDEX('Linha 03'!$C$2:$ZZ$2,C1061)</f>
        <v>Lava Roupas Aquafast Ternura Cx/06 X 2l</v>
      </c>
      <c r="H1061" s="5" cm="1">
        <f t="array" ref="H1061">INDEX('Linha 03'!$C$4:$ZZ$1000,B1061,C1061)</f>
        <v>0</v>
      </c>
    </row>
    <row r="1062" spans="1:8" x14ac:dyDescent="0.25">
      <c r="A1062">
        <v>1060</v>
      </c>
      <c r="B1062">
        <f t="shared" si="32"/>
        <v>26</v>
      </c>
      <c r="C1062">
        <f t="shared" si="33"/>
        <v>35</v>
      </c>
      <c r="D1062" cm="1">
        <f t="array" ref="D1062">INDEX('Linha 03'!$A$4:$A$1000,B1062)</f>
        <v>20060007</v>
      </c>
      <c r="E1062" t="str" cm="1">
        <f t="array" ref="E1062">INDEX('Linha 03'!$B$4:$B$1000,B1062)</f>
        <v>Limp Perf Aquafast Magia Seducao Cx/06 X 2l (Promoc)</v>
      </c>
      <c r="F1062" cm="1">
        <f t="array" ref="F1062">INDEX('Linha 03'!$C$3:$ZZ$3,C1062)</f>
        <v>20200063</v>
      </c>
      <c r="G1062" t="str" cm="1">
        <f t="array" ref="G1062">INDEX('Linha 03'!$C$2:$ZZ$2,C1062)</f>
        <v>Lava Roup. Aquafast Tradicional Cx/12 X 1l</v>
      </c>
      <c r="H1062" s="5" cm="1">
        <f t="array" ref="H1062">INDEX('Linha 03'!$C$4:$ZZ$1000,B1062,C1062)</f>
        <v>0</v>
      </c>
    </row>
    <row r="1063" spans="1:8" x14ac:dyDescent="0.25">
      <c r="A1063">
        <v>1061</v>
      </c>
      <c r="B1063">
        <f t="shared" si="32"/>
        <v>26</v>
      </c>
      <c r="C1063">
        <f t="shared" si="33"/>
        <v>36</v>
      </c>
      <c r="D1063" cm="1">
        <f t="array" ref="D1063">INDEX('Linha 03'!$A$4:$A$1000,B1063)</f>
        <v>20060007</v>
      </c>
      <c r="E1063" t="str" cm="1">
        <f t="array" ref="E1063">INDEX('Linha 03'!$B$4:$B$1000,B1063)</f>
        <v>Limp Perf Aquafast Magia Seducao Cx/06 X 2l (Promoc)</v>
      </c>
      <c r="F1063" cm="1">
        <f t="array" ref="F1063">INDEX('Linha 03'!$C$3:$ZZ$3,C1063)</f>
        <v>20200064</v>
      </c>
      <c r="G1063" t="str" cm="1">
        <f t="array" ref="G1063">INDEX('Linha 03'!$C$2:$ZZ$2,C1063)</f>
        <v>Lava Roup. Aquafast Flores B. E Baunilha Cx/12 X 1l</v>
      </c>
      <c r="H1063" s="5" cm="1">
        <f t="array" ref="H1063">INDEX('Linha 03'!$C$4:$ZZ$1000,B1063,C1063)</f>
        <v>0</v>
      </c>
    </row>
    <row r="1064" spans="1:8" x14ac:dyDescent="0.25">
      <c r="A1064">
        <v>1062</v>
      </c>
      <c r="B1064">
        <f t="shared" si="32"/>
        <v>26</v>
      </c>
      <c r="C1064">
        <f t="shared" si="33"/>
        <v>37</v>
      </c>
      <c r="D1064" cm="1">
        <f t="array" ref="D1064">INDEX('Linha 03'!$A$4:$A$1000,B1064)</f>
        <v>20060007</v>
      </c>
      <c r="E1064" t="str" cm="1">
        <f t="array" ref="E1064">INDEX('Linha 03'!$B$4:$B$1000,B1064)</f>
        <v>Limp Perf Aquafast Magia Seducao Cx/06 X 2l (Promoc)</v>
      </c>
      <c r="F1064" cm="1">
        <f t="array" ref="F1064">INDEX('Linha 03'!$C$3:$ZZ$3,C1064)</f>
        <v>20200065</v>
      </c>
      <c r="G1064" t="str" cm="1">
        <f t="array" ref="G1064">INDEX('Linha 03'!$C$2:$ZZ$2,C1064)</f>
        <v>Lava Roupas Aquafast Flores B. E Baunilha Cx/06 X 2l</v>
      </c>
      <c r="H1064" s="5" cm="1">
        <f t="array" ref="H1064">INDEX('Linha 03'!$C$4:$ZZ$1000,B1064,C1064)</f>
        <v>0</v>
      </c>
    </row>
    <row r="1065" spans="1:8" x14ac:dyDescent="0.25">
      <c r="A1065">
        <v>1063</v>
      </c>
      <c r="B1065">
        <f t="shared" si="32"/>
        <v>26</v>
      </c>
      <c r="C1065">
        <f t="shared" si="33"/>
        <v>38</v>
      </c>
      <c r="D1065" cm="1">
        <f t="array" ref="D1065">INDEX('Linha 03'!$A$4:$A$1000,B1065)</f>
        <v>20060007</v>
      </c>
      <c r="E1065" t="str" cm="1">
        <f t="array" ref="E1065">INDEX('Linha 03'!$B$4:$B$1000,B1065)</f>
        <v>Limp Perf Aquafast Magia Seducao Cx/06 X 2l (Promoc)</v>
      </c>
      <c r="F1065" cm="1">
        <f t="array" ref="F1065">INDEX('Linha 03'!$C$3:$ZZ$3,C1065)</f>
        <v>20200072</v>
      </c>
      <c r="G1065" t="str" cm="1">
        <f t="array" ref="G1065">INDEX('Linha 03'!$C$2:$ZZ$2,C1065)</f>
        <v>Lava Roupas Aquafast Lavagem Rapida Total Clean Cx/12 X 1l</v>
      </c>
      <c r="H1065" s="5" cm="1">
        <f t="array" ref="H1065">INDEX('Linha 03'!$C$4:$ZZ$1000,B1065,C1065)</f>
        <v>0</v>
      </c>
    </row>
    <row r="1066" spans="1:8" x14ac:dyDescent="0.25">
      <c r="A1066">
        <v>1064</v>
      </c>
      <c r="B1066">
        <f t="shared" si="32"/>
        <v>26</v>
      </c>
      <c r="C1066">
        <f t="shared" si="33"/>
        <v>39</v>
      </c>
      <c r="D1066" cm="1">
        <f t="array" ref="D1066">INDEX('Linha 03'!$A$4:$A$1000,B1066)</f>
        <v>20060007</v>
      </c>
      <c r="E1066" t="str" cm="1">
        <f t="array" ref="E1066">INDEX('Linha 03'!$B$4:$B$1000,B1066)</f>
        <v>Limp Perf Aquafast Magia Seducao Cx/06 X 2l (Promoc)</v>
      </c>
      <c r="F1066" cm="1">
        <f t="array" ref="F1066">INDEX('Linha 03'!$C$3:$ZZ$3,C1066)</f>
        <v>20200074</v>
      </c>
      <c r="G1066" t="str" cm="1">
        <f t="array" ref="G1066">INDEX('Linha 03'!$C$2:$ZZ$2,C1066)</f>
        <v>Lava Roupas Aquafast Lavagem Rapida Fresh Clean Cx/12 X 1l</v>
      </c>
      <c r="H1066" s="5" cm="1">
        <f t="array" ref="H1066">INDEX('Linha 03'!$C$4:$ZZ$1000,B1066,C1066)</f>
        <v>0</v>
      </c>
    </row>
    <row r="1067" spans="1:8" x14ac:dyDescent="0.25">
      <c r="A1067">
        <v>1065</v>
      </c>
      <c r="B1067">
        <f t="shared" si="32"/>
        <v>26</v>
      </c>
      <c r="C1067">
        <f t="shared" si="33"/>
        <v>40</v>
      </c>
      <c r="D1067" cm="1">
        <f t="array" ref="D1067">INDEX('Linha 03'!$A$4:$A$1000,B1067)</f>
        <v>20060007</v>
      </c>
      <c r="E1067" t="str" cm="1">
        <f t="array" ref="E1067">INDEX('Linha 03'!$B$4:$B$1000,B1067)</f>
        <v>Limp Perf Aquafast Magia Seducao Cx/06 X 2l (Promoc)</v>
      </c>
      <c r="F1067" cm="1">
        <f t="array" ref="F1067">INDEX('Linha 03'!$C$3:$ZZ$3,C1067)</f>
        <v>20250005</v>
      </c>
      <c r="G1067" t="str" cm="1">
        <f t="array" ref="G1067">INDEX('Linha 03'!$C$2:$ZZ$2,C1067)</f>
        <v>Neutralizador De Odores Aquafast Floral Cx/06 X 2l</v>
      </c>
      <c r="H1067" s="5" cm="1">
        <f t="array" ref="H1067">INDEX('Linha 03'!$C$4:$ZZ$1000,B1067,C1067)</f>
        <v>0</v>
      </c>
    </row>
    <row r="1068" spans="1:8" x14ac:dyDescent="0.25">
      <c r="A1068">
        <v>1066</v>
      </c>
      <c r="B1068">
        <f t="shared" si="32"/>
        <v>26</v>
      </c>
      <c r="C1068">
        <f t="shared" si="33"/>
        <v>41</v>
      </c>
      <c r="D1068" cm="1">
        <f t="array" ref="D1068">INDEX('Linha 03'!$A$4:$A$1000,B1068)</f>
        <v>20060007</v>
      </c>
      <c r="E1068" t="str" cm="1">
        <f t="array" ref="E1068">INDEX('Linha 03'!$B$4:$B$1000,B1068)</f>
        <v>Limp Perf Aquafast Magia Seducao Cx/06 X 2l (Promoc)</v>
      </c>
      <c r="F1068" cm="1">
        <f t="array" ref="F1068">INDEX('Linha 03'!$C$3:$ZZ$3,C1068)</f>
        <v>20250007</v>
      </c>
      <c r="G1068" t="str" cm="1">
        <f t="array" ref="G1068">INDEX('Linha 03'!$C$2:$ZZ$2,C1068)</f>
        <v>Neutralizador De Odores Aquafast Marine Cx/06 2l</v>
      </c>
      <c r="H1068" s="5" cm="1">
        <f t="array" ref="H1068">INDEX('Linha 03'!$C$4:$ZZ$1000,B1068,C1068)</f>
        <v>0</v>
      </c>
    </row>
    <row r="1069" spans="1:8" x14ac:dyDescent="0.25">
      <c r="A1069">
        <v>1067</v>
      </c>
      <c r="B1069">
        <f t="shared" si="32"/>
        <v>27</v>
      </c>
      <c r="C1069">
        <f t="shared" si="33"/>
        <v>1</v>
      </c>
      <c r="D1069" cm="1">
        <f t="array" ref="D1069">INDEX('Linha 03'!$A$4:$A$1000,B1069)</f>
        <v>20060009</v>
      </c>
      <c r="E1069" t="str" cm="1">
        <f t="array" ref="E1069">INDEX('Linha 03'!$B$4:$B$1000,B1069)</f>
        <v>Limp Perf Aquafast Frescor Da Manha Cx/06 X 2l (Promoc)</v>
      </c>
      <c r="F1069" cm="1">
        <f t="array" ref="F1069">INDEX('Linha 03'!$C$3:$ZZ$3,C1069)</f>
        <v>20040006</v>
      </c>
      <c r="G1069" t="str" cm="1">
        <f t="array" ref="G1069">INDEX('Linha 03'!$C$2:$ZZ$2,C1069)</f>
        <v>Amaciante Aquafast Azul Fresc. Manha Cx/06 X 2l</v>
      </c>
      <c r="H1069" s="5" cm="1">
        <f t="array" ref="H1069">INDEX('Linha 03'!$C$4:$ZZ$1000,B1069,C1069)</f>
        <v>0</v>
      </c>
    </row>
    <row r="1070" spans="1:8" x14ac:dyDescent="0.25">
      <c r="A1070">
        <v>1068</v>
      </c>
      <c r="B1070">
        <f t="shared" si="32"/>
        <v>27</v>
      </c>
      <c r="C1070">
        <f t="shared" si="33"/>
        <v>2</v>
      </c>
      <c r="D1070" cm="1">
        <f t="array" ref="D1070">INDEX('Linha 03'!$A$4:$A$1000,B1070)</f>
        <v>20060009</v>
      </c>
      <c r="E1070" t="str" cm="1">
        <f t="array" ref="E1070">INDEX('Linha 03'!$B$4:$B$1000,B1070)</f>
        <v>Limp Perf Aquafast Frescor Da Manha Cx/06 X 2l (Promoc)</v>
      </c>
      <c r="F1070" cm="1">
        <f t="array" ref="F1070">INDEX('Linha 03'!$C$3:$ZZ$3,C1070)</f>
        <v>20040008</v>
      </c>
      <c r="G1070" t="str" cm="1">
        <f t="array" ref="G1070">INDEX('Linha 03'!$C$2:$ZZ$2,C1070)</f>
        <v>Amaciante Aquafast Rosa Jard. Florid Cx/06 X 2l</v>
      </c>
      <c r="H1070" s="5" cm="1">
        <f t="array" ref="H1070">INDEX('Linha 03'!$C$4:$ZZ$1000,B1070,C1070)</f>
        <v>0</v>
      </c>
    </row>
    <row r="1071" spans="1:8" x14ac:dyDescent="0.25">
      <c r="A1071">
        <v>1069</v>
      </c>
      <c r="B1071">
        <f t="shared" si="32"/>
        <v>27</v>
      </c>
      <c r="C1071">
        <f t="shared" si="33"/>
        <v>3</v>
      </c>
      <c r="D1071" cm="1">
        <f t="array" ref="D1071">INDEX('Linha 03'!$A$4:$A$1000,B1071)</f>
        <v>20060009</v>
      </c>
      <c r="E1071" t="str" cm="1">
        <f t="array" ref="E1071">INDEX('Linha 03'!$B$4:$B$1000,B1071)</f>
        <v>Limp Perf Aquafast Frescor Da Manha Cx/06 X 2l (Promoc)</v>
      </c>
      <c r="F1071" cm="1">
        <f t="array" ref="F1071">INDEX('Linha 03'!$C$3:$ZZ$3,C1071)</f>
        <v>20040009</v>
      </c>
      <c r="G1071" t="str" cm="1">
        <f t="array" ref="G1071">INDEX('Linha 03'!$C$2:$ZZ$2,C1071)</f>
        <v>Amaciante Aquafast Branco Pura Caric. Cx/06 X 2l</v>
      </c>
      <c r="H1071" s="5" cm="1">
        <f t="array" ref="H1071">INDEX('Linha 03'!$C$4:$ZZ$1000,B1071,C1071)</f>
        <v>0</v>
      </c>
    </row>
    <row r="1072" spans="1:8" x14ac:dyDescent="0.25">
      <c r="A1072">
        <v>1070</v>
      </c>
      <c r="B1072">
        <f t="shared" si="32"/>
        <v>27</v>
      </c>
      <c r="C1072">
        <f t="shared" si="33"/>
        <v>4</v>
      </c>
      <c r="D1072" cm="1">
        <f t="array" ref="D1072">INDEX('Linha 03'!$A$4:$A$1000,B1072)</f>
        <v>20060009</v>
      </c>
      <c r="E1072" t="str" cm="1">
        <f t="array" ref="E1072">INDEX('Linha 03'!$B$4:$B$1000,B1072)</f>
        <v>Limp Perf Aquafast Frescor Da Manha Cx/06 X 2l (Promoc)</v>
      </c>
      <c r="F1072" cm="1">
        <f t="array" ref="F1072">INDEX('Linha 03'!$C$3:$ZZ$3,C1072)</f>
        <v>20040026</v>
      </c>
      <c r="G1072" t="str" cm="1">
        <f t="array" ref="G1072">INDEX('Linha 03'!$C$2:$ZZ$2,C1072)</f>
        <v>Amaciante Ito Azul Cx/06 X 2l</v>
      </c>
      <c r="H1072" s="5" cm="1">
        <f t="array" ref="H1072">INDEX('Linha 03'!$C$4:$ZZ$1000,B1072,C1072)</f>
        <v>0</v>
      </c>
    </row>
    <row r="1073" spans="1:8" x14ac:dyDescent="0.25">
      <c r="A1073">
        <v>1071</v>
      </c>
      <c r="B1073">
        <f t="shared" si="32"/>
        <v>27</v>
      </c>
      <c r="C1073">
        <f t="shared" si="33"/>
        <v>5</v>
      </c>
      <c r="D1073" cm="1">
        <f t="array" ref="D1073">INDEX('Linha 03'!$A$4:$A$1000,B1073)</f>
        <v>20060009</v>
      </c>
      <c r="E1073" t="str" cm="1">
        <f t="array" ref="E1073">INDEX('Linha 03'!$B$4:$B$1000,B1073)</f>
        <v>Limp Perf Aquafast Frescor Da Manha Cx/06 X 2l (Promoc)</v>
      </c>
      <c r="F1073" cm="1">
        <f t="array" ref="F1073">INDEX('Linha 03'!$C$3:$ZZ$3,C1073)</f>
        <v>20040028</v>
      </c>
      <c r="G1073" t="str" cm="1">
        <f t="array" ref="G1073">INDEX('Linha 03'!$C$2:$ZZ$2,C1073)</f>
        <v>Amaciante Ito Rosa Cx/06 X 2l</v>
      </c>
      <c r="H1073" s="5" cm="1">
        <f t="array" ref="H1073">INDEX('Linha 03'!$C$4:$ZZ$1000,B1073,C1073)</f>
        <v>0</v>
      </c>
    </row>
    <row r="1074" spans="1:8" x14ac:dyDescent="0.25">
      <c r="A1074">
        <v>1072</v>
      </c>
      <c r="B1074">
        <f t="shared" si="32"/>
        <v>27</v>
      </c>
      <c r="C1074">
        <f t="shared" si="33"/>
        <v>6</v>
      </c>
      <c r="D1074" cm="1">
        <f t="array" ref="D1074">INDEX('Linha 03'!$A$4:$A$1000,B1074)</f>
        <v>20060009</v>
      </c>
      <c r="E1074" t="str" cm="1">
        <f t="array" ref="E1074">INDEX('Linha 03'!$B$4:$B$1000,B1074)</f>
        <v>Limp Perf Aquafast Frescor Da Manha Cx/06 X 2l (Promoc)</v>
      </c>
      <c r="F1074" cm="1">
        <f t="array" ref="F1074">INDEX('Linha 03'!$C$3:$ZZ$3,C1074)</f>
        <v>20040029</v>
      </c>
      <c r="G1074" t="str" cm="1">
        <f t="array" ref="G1074">INDEX('Linha 03'!$C$2:$ZZ$2,C1074)</f>
        <v>Amaciante Ito Branco Cx/06 X 2l</v>
      </c>
      <c r="H1074" s="5" cm="1">
        <f t="array" ref="H1074">INDEX('Linha 03'!$C$4:$ZZ$1000,B1074,C1074)</f>
        <v>0</v>
      </c>
    </row>
    <row r="1075" spans="1:8" x14ac:dyDescent="0.25">
      <c r="A1075">
        <v>1073</v>
      </c>
      <c r="B1075">
        <f t="shared" si="32"/>
        <v>27</v>
      </c>
      <c r="C1075">
        <f t="shared" si="33"/>
        <v>7</v>
      </c>
      <c r="D1075" cm="1">
        <f t="array" ref="D1075">INDEX('Linha 03'!$A$4:$A$1000,B1075)</f>
        <v>20060009</v>
      </c>
      <c r="E1075" t="str" cm="1">
        <f t="array" ref="E1075">INDEX('Linha 03'!$B$4:$B$1000,B1075)</f>
        <v>Limp Perf Aquafast Frescor Da Manha Cx/06 X 2l (Promoc)</v>
      </c>
      <c r="F1075" cm="1">
        <f t="array" ref="F1075">INDEX('Linha 03'!$C$3:$ZZ$3,C1075)</f>
        <v>20040055</v>
      </c>
      <c r="G1075" t="str" cm="1">
        <f t="array" ref="G1075">INDEX('Linha 03'!$C$2:$ZZ$2,C1075)</f>
        <v>Amaciante Myata Azul Cx/06 X 2l</v>
      </c>
      <c r="H1075" s="5" cm="1">
        <f t="array" ref="H1075">INDEX('Linha 03'!$C$4:$ZZ$1000,B1075,C1075)</f>
        <v>0</v>
      </c>
    </row>
    <row r="1076" spans="1:8" x14ac:dyDescent="0.25">
      <c r="A1076">
        <v>1074</v>
      </c>
      <c r="B1076">
        <f t="shared" si="32"/>
        <v>27</v>
      </c>
      <c r="C1076">
        <f t="shared" si="33"/>
        <v>8</v>
      </c>
      <c r="D1076" cm="1">
        <f t="array" ref="D1076">INDEX('Linha 03'!$A$4:$A$1000,B1076)</f>
        <v>20060009</v>
      </c>
      <c r="E1076" t="str" cm="1">
        <f t="array" ref="E1076">INDEX('Linha 03'!$B$4:$B$1000,B1076)</f>
        <v>Limp Perf Aquafast Frescor Da Manha Cx/06 X 2l (Promoc)</v>
      </c>
      <c r="F1076" cm="1">
        <f t="array" ref="F1076">INDEX('Linha 03'!$C$3:$ZZ$3,C1076)</f>
        <v>20040057</v>
      </c>
      <c r="G1076" t="str" cm="1">
        <f t="array" ref="G1076">INDEX('Linha 03'!$C$2:$ZZ$2,C1076)</f>
        <v>Amaciante Myata Rosa Cx/06 X 2l</v>
      </c>
      <c r="H1076" s="5" cm="1">
        <f t="array" ref="H1076">INDEX('Linha 03'!$C$4:$ZZ$1000,B1076,C1076)</f>
        <v>0</v>
      </c>
    </row>
    <row r="1077" spans="1:8" x14ac:dyDescent="0.25">
      <c r="A1077">
        <v>1075</v>
      </c>
      <c r="B1077">
        <f t="shared" si="32"/>
        <v>27</v>
      </c>
      <c r="C1077">
        <f t="shared" si="33"/>
        <v>9</v>
      </c>
      <c r="D1077" cm="1">
        <f t="array" ref="D1077">INDEX('Linha 03'!$A$4:$A$1000,B1077)</f>
        <v>20060009</v>
      </c>
      <c r="E1077" t="str" cm="1">
        <f t="array" ref="E1077">INDEX('Linha 03'!$B$4:$B$1000,B1077)</f>
        <v>Limp Perf Aquafast Frescor Da Manha Cx/06 X 2l (Promoc)</v>
      </c>
      <c r="F1077" cm="1">
        <f t="array" ref="F1077">INDEX('Linha 03'!$C$3:$ZZ$3,C1077)</f>
        <v>20040084</v>
      </c>
      <c r="G1077" t="str" cm="1">
        <f t="array" ref="G1077">INDEX('Linha 03'!$C$2:$ZZ$2,C1077)</f>
        <v>Amaciante Aquafast Vermelho Seducao Cx C/06 X 2l</v>
      </c>
      <c r="H1077" s="5" cm="1">
        <f t="array" ref="H1077">INDEX('Linha 03'!$C$4:$ZZ$1000,B1077,C1077)</f>
        <v>0</v>
      </c>
    </row>
    <row r="1078" spans="1:8" x14ac:dyDescent="0.25">
      <c r="A1078">
        <v>1076</v>
      </c>
      <c r="B1078">
        <f t="shared" si="32"/>
        <v>27</v>
      </c>
      <c r="C1078">
        <f t="shared" si="33"/>
        <v>10</v>
      </c>
      <c r="D1078" cm="1">
        <f t="array" ref="D1078">INDEX('Linha 03'!$A$4:$A$1000,B1078)</f>
        <v>20060009</v>
      </c>
      <c r="E1078" t="str" cm="1">
        <f t="array" ref="E1078">INDEX('Linha 03'!$B$4:$B$1000,B1078)</f>
        <v>Limp Perf Aquafast Frescor Da Manha Cx/06 X 2l (Promoc)</v>
      </c>
      <c r="F1078" cm="1">
        <f t="array" ref="F1078">INDEX('Linha 03'!$C$3:$ZZ$3,C1078)</f>
        <v>20040089</v>
      </c>
      <c r="G1078" t="str" cm="1">
        <f t="array" ref="G1078">INDEX('Linha 03'!$C$2:$ZZ$2,C1078)</f>
        <v>Amaciante Aquafast Roxo Magia Cx/06 X 2l</v>
      </c>
      <c r="H1078" s="5" cm="1">
        <f t="array" ref="H1078">INDEX('Linha 03'!$C$4:$ZZ$1000,B1078,C1078)</f>
        <v>0</v>
      </c>
    </row>
    <row r="1079" spans="1:8" x14ac:dyDescent="0.25">
      <c r="A1079">
        <v>1077</v>
      </c>
      <c r="B1079">
        <f t="shared" si="32"/>
        <v>27</v>
      </c>
      <c r="C1079">
        <f t="shared" si="33"/>
        <v>11</v>
      </c>
      <c r="D1079" cm="1">
        <f t="array" ref="D1079">INDEX('Linha 03'!$A$4:$A$1000,B1079)</f>
        <v>20060009</v>
      </c>
      <c r="E1079" t="str" cm="1">
        <f t="array" ref="E1079">INDEX('Linha 03'!$B$4:$B$1000,B1079)</f>
        <v>Limp Perf Aquafast Frescor Da Manha Cx/06 X 2l (Promoc)</v>
      </c>
      <c r="F1079" cm="1">
        <f t="array" ref="F1079">INDEX('Linha 03'!$C$3:$ZZ$3,C1079)</f>
        <v>20040094</v>
      </c>
      <c r="G1079" t="str" cm="1">
        <f t="array" ref="G1079">INDEX('Linha 03'!$C$2:$ZZ$2,C1079)</f>
        <v>Amaciante Aquafast Energia Cx/06 X 2l</v>
      </c>
      <c r="H1079" s="5" cm="1">
        <f t="array" ref="H1079">INDEX('Linha 03'!$C$4:$ZZ$1000,B1079,C1079)</f>
        <v>0</v>
      </c>
    </row>
    <row r="1080" spans="1:8" x14ac:dyDescent="0.25">
      <c r="A1080">
        <v>1078</v>
      </c>
      <c r="B1080">
        <f t="shared" si="32"/>
        <v>27</v>
      </c>
      <c r="C1080">
        <f t="shared" si="33"/>
        <v>12</v>
      </c>
      <c r="D1080" cm="1">
        <f t="array" ref="D1080">INDEX('Linha 03'!$A$4:$A$1000,B1080)</f>
        <v>20060009</v>
      </c>
      <c r="E1080" t="str" cm="1">
        <f t="array" ref="E1080">INDEX('Linha 03'!$B$4:$B$1000,B1080)</f>
        <v>Limp Perf Aquafast Frescor Da Manha Cx/06 X 2l (Promoc)</v>
      </c>
      <c r="F1080" cm="1">
        <f t="array" ref="F1080">INDEX('Linha 03'!$C$3:$ZZ$3,C1080)</f>
        <v>20050010</v>
      </c>
      <c r="G1080" t="str" cm="1">
        <f t="array" ref="G1080">INDEX('Linha 03'!$C$2:$ZZ$2,C1080)</f>
        <v>Desinfetante Aquafast Campos Lavanda Cx/06 X 2l</v>
      </c>
      <c r="H1080" s="5" cm="1">
        <f t="array" ref="H1080">INDEX('Linha 03'!$C$4:$ZZ$1000,B1080,C1080)</f>
        <v>0</v>
      </c>
    </row>
    <row r="1081" spans="1:8" x14ac:dyDescent="0.25">
      <c r="A1081">
        <v>1079</v>
      </c>
      <c r="B1081">
        <f t="shared" si="32"/>
        <v>27</v>
      </c>
      <c r="C1081">
        <f t="shared" si="33"/>
        <v>13</v>
      </c>
      <c r="D1081" cm="1">
        <f t="array" ref="D1081">INDEX('Linha 03'!$A$4:$A$1000,B1081)</f>
        <v>20060009</v>
      </c>
      <c r="E1081" t="str" cm="1">
        <f t="array" ref="E1081">INDEX('Linha 03'!$B$4:$B$1000,B1081)</f>
        <v>Limp Perf Aquafast Frescor Da Manha Cx/06 X 2l (Promoc)</v>
      </c>
      <c r="F1081" cm="1">
        <f t="array" ref="F1081">INDEX('Linha 03'!$C$3:$ZZ$3,C1081)</f>
        <v>20050011</v>
      </c>
      <c r="G1081" t="str" cm="1">
        <f t="array" ref="G1081">INDEX('Linha 03'!$C$2:$ZZ$2,C1081)</f>
        <v>Desinfetante Aquafast Jardim Florido Cx/06 X 2l</v>
      </c>
      <c r="H1081" s="5" cm="1">
        <f t="array" ref="H1081">INDEX('Linha 03'!$C$4:$ZZ$1000,B1081,C1081)</f>
        <v>0</v>
      </c>
    </row>
    <row r="1082" spans="1:8" x14ac:dyDescent="0.25">
      <c r="A1082">
        <v>1080</v>
      </c>
      <c r="B1082">
        <f t="shared" si="32"/>
        <v>27</v>
      </c>
      <c r="C1082">
        <f t="shared" si="33"/>
        <v>14</v>
      </c>
      <c r="D1082" cm="1">
        <f t="array" ref="D1082">INDEX('Linha 03'!$A$4:$A$1000,B1082)</f>
        <v>20060009</v>
      </c>
      <c r="E1082" t="str" cm="1">
        <f t="array" ref="E1082">INDEX('Linha 03'!$B$4:$B$1000,B1082)</f>
        <v>Limp Perf Aquafast Frescor Da Manha Cx/06 X 2l (Promoc)</v>
      </c>
      <c r="F1082" cm="1">
        <f t="array" ref="F1082">INDEX('Linha 03'!$C$3:$ZZ$3,C1082)</f>
        <v>20050016</v>
      </c>
      <c r="G1082" t="str" cm="1">
        <f t="array" ref="G1082">INDEX('Linha 03'!$C$2:$ZZ$2,C1082)</f>
        <v>Desinfetante Aquafast Marine Cx/06 X 2l</v>
      </c>
      <c r="H1082" s="5" cm="1">
        <f t="array" ref="H1082">INDEX('Linha 03'!$C$4:$ZZ$1000,B1082,C1082)</f>
        <v>0</v>
      </c>
    </row>
    <row r="1083" spans="1:8" x14ac:dyDescent="0.25">
      <c r="A1083">
        <v>1081</v>
      </c>
      <c r="B1083">
        <f t="shared" si="32"/>
        <v>27</v>
      </c>
      <c r="C1083">
        <f t="shared" si="33"/>
        <v>15</v>
      </c>
      <c r="D1083" cm="1">
        <f t="array" ref="D1083">INDEX('Linha 03'!$A$4:$A$1000,B1083)</f>
        <v>20060009</v>
      </c>
      <c r="E1083" t="str" cm="1">
        <f t="array" ref="E1083">INDEX('Linha 03'!$B$4:$B$1000,B1083)</f>
        <v>Limp Perf Aquafast Frescor Da Manha Cx/06 X 2l (Promoc)</v>
      </c>
      <c r="F1083" cm="1">
        <f t="array" ref="F1083">INDEX('Linha 03'!$C$3:$ZZ$3,C1083)</f>
        <v>20050031</v>
      </c>
      <c r="G1083" t="str" cm="1">
        <f t="array" ref="G1083">INDEX('Linha 03'!$C$2:$ZZ$2,C1083)</f>
        <v>Desinfetante Ito Lavanda Cx/06 X 2l</v>
      </c>
      <c r="H1083" s="5" cm="1">
        <f t="array" ref="H1083">INDEX('Linha 03'!$C$4:$ZZ$1000,B1083,C1083)</f>
        <v>0</v>
      </c>
    </row>
    <row r="1084" spans="1:8" x14ac:dyDescent="0.25">
      <c r="A1084">
        <v>1082</v>
      </c>
      <c r="B1084">
        <f t="shared" si="32"/>
        <v>27</v>
      </c>
      <c r="C1084">
        <f t="shared" si="33"/>
        <v>16</v>
      </c>
      <c r="D1084" cm="1">
        <f t="array" ref="D1084">INDEX('Linha 03'!$A$4:$A$1000,B1084)</f>
        <v>20060009</v>
      </c>
      <c r="E1084" t="str" cm="1">
        <f t="array" ref="E1084">INDEX('Linha 03'!$B$4:$B$1000,B1084)</f>
        <v>Limp Perf Aquafast Frescor Da Manha Cx/06 X 2l (Promoc)</v>
      </c>
      <c r="F1084" cm="1">
        <f t="array" ref="F1084">INDEX('Linha 03'!$C$3:$ZZ$3,C1084)</f>
        <v>20050032</v>
      </c>
      <c r="G1084" t="str" cm="1">
        <f t="array" ref="G1084">INDEX('Linha 03'!$C$2:$ZZ$2,C1084)</f>
        <v>Desinfetante Ito Floral Cx/06 X 2l</v>
      </c>
      <c r="H1084" s="5" cm="1">
        <f t="array" ref="H1084">INDEX('Linha 03'!$C$4:$ZZ$1000,B1084,C1084)</f>
        <v>0</v>
      </c>
    </row>
    <row r="1085" spans="1:8" x14ac:dyDescent="0.25">
      <c r="A1085">
        <v>1083</v>
      </c>
      <c r="B1085">
        <f t="shared" si="32"/>
        <v>27</v>
      </c>
      <c r="C1085">
        <f t="shared" si="33"/>
        <v>17</v>
      </c>
      <c r="D1085" cm="1">
        <f t="array" ref="D1085">INDEX('Linha 03'!$A$4:$A$1000,B1085)</f>
        <v>20060009</v>
      </c>
      <c r="E1085" t="str" cm="1">
        <f t="array" ref="E1085">INDEX('Linha 03'!$B$4:$B$1000,B1085)</f>
        <v>Limp Perf Aquafast Frescor Da Manha Cx/06 X 2l (Promoc)</v>
      </c>
      <c r="F1085" cm="1">
        <f t="array" ref="F1085">INDEX('Linha 03'!$C$3:$ZZ$3,C1085)</f>
        <v>20050034</v>
      </c>
      <c r="G1085" t="str" cm="1">
        <f t="array" ref="G1085">INDEX('Linha 03'!$C$2:$ZZ$2,C1085)</f>
        <v>Desinfetante Ito Eucalipto Cx/06 X 2l</v>
      </c>
      <c r="H1085" s="5" cm="1">
        <f t="array" ref="H1085">INDEX('Linha 03'!$C$4:$ZZ$1000,B1085,C1085)</f>
        <v>0</v>
      </c>
    </row>
    <row r="1086" spans="1:8" x14ac:dyDescent="0.25">
      <c r="A1086">
        <v>1084</v>
      </c>
      <c r="B1086">
        <f t="shared" si="32"/>
        <v>27</v>
      </c>
      <c r="C1086">
        <f t="shared" si="33"/>
        <v>18</v>
      </c>
      <c r="D1086" cm="1">
        <f t="array" ref="D1086">INDEX('Linha 03'!$A$4:$A$1000,B1086)</f>
        <v>20060009</v>
      </c>
      <c r="E1086" t="str" cm="1">
        <f t="array" ref="E1086">INDEX('Linha 03'!$B$4:$B$1000,B1086)</f>
        <v>Limp Perf Aquafast Frescor Da Manha Cx/06 X 2l (Promoc)</v>
      </c>
      <c r="F1086" cm="1">
        <f t="array" ref="F1086">INDEX('Linha 03'!$C$3:$ZZ$3,C1086)</f>
        <v>20050077</v>
      </c>
      <c r="G1086" t="str" cm="1">
        <f t="array" ref="G1086">INDEX('Linha 03'!$C$2:$ZZ$2,C1086)</f>
        <v>Desinfetante Myata Lavanda Cx/06 X 2l</v>
      </c>
      <c r="H1086" s="5" cm="1">
        <f t="array" ref="H1086">INDEX('Linha 03'!$C$4:$ZZ$1000,B1086,C1086)</f>
        <v>0</v>
      </c>
    </row>
    <row r="1087" spans="1:8" x14ac:dyDescent="0.25">
      <c r="A1087">
        <v>1085</v>
      </c>
      <c r="B1087">
        <f t="shared" si="32"/>
        <v>27</v>
      </c>
      <c r="C1087">
        <f t="shared" si="33"/>
        <v>19</v>
      </c>
      <c r="D1087" cm="1">
        <f t="array" ref="D1087">INDEX('Linha 03'!$A$4:$A$1000,B1087)</f>
        <v>20060009</v>
      </c>
      <c r="E1087" t="str" cm="1">
        <f t="array" ref="E1087">INDEX('Linha 03'!$B$4:$B$1000,B1087)</f>
        <v>Limp Perf Aquafast Frescor Da Manha Cx/06 X 2l (Promoc)</v>
      </c>
      <c r="F1087" cm="1">
        <f t="array" ref="F1087">INDEX('Linha 03'!$C$3:$ZZ$3,C1087)</f>
        <v>20050078</v>
      </c>
      <c r="G1087" t="str" cm="1">
        <f t="array" ref="G1087">INDEX('Linha 03'!$C$2:$ZZ$2,C1087)</f>
        <v>Desinfetante Myata Floral Cx/06 X 2l</v>
      </c>
      <c r="H1087" s="5" cm="1">
        <f t="array" ref="H1087">INDEX('Linha 03'!$C$4:$ZZ$1000,B1087,C1087)</f>
        <v>0</v>
      </c>
    </row>
    <row r="1088" spans="1:8" x14ac:dyDescent="0.25">
      <c r="A1088">
        <v>1086</v>
      </c>
      <c r="B1088">
        <f t="shared" si="32"/>
        <v>27</v>
      </c>
      <c r="C1088">
        <f t="shared" si="33"/>
        <v>20</v>
      </c>
      <c r="D1088" cm="1">
        <f t="array" ref="D1088">INDEX('Linha 03'!$A$4:$A$1000,B1088)</f>
        <v>20060009</v>
      </c>
      <c r="E1088" t="str" cm="1">
        <f t="array" ref="E1088">INDEX('Linha 03'!$B$4:$B$1000,B1088)</f>
        <v>Limp Perf Aquafast Frescor Da Manha Cx/06 X 2l (Promoc)</v>
      </c>
      <c r="F1088" cm="1">
        <f t="array" ref="F1088">INDEX('Linha 03'!$C$3:$ZZ$3,C1088)</f>
        <v>20050115</v>
      </c>
      <c r="G1088" t="str" cm="1">
        <f t="array" ref="G1088">INDEX('Linha 03'!$C$2:$ZZ$2,C1088)</f>
        <v>Desinfetante Aquafast Paixao Cx/06 X 2l</v>
      </c>
      <c r="H1088" s="5" cm="1">
        <f t="array" ref="H1088">INDEX('Linha 03'!$C$4:$ZZ$1000,B1088,C1088)</f>
        <v>0</v>
      </c>
    </row>
    <row r="1089" spans="1:8" x14ac:dyDescent="0.25">
      <c r="A1089">
        <v>1087</v>
      </c>
      <c r="B1089">
        <f t="shared" si="32"/>
        <v>27</v>
      </c>
      <c r="C1089">
        <f t="shared" si="33"/>
        <v>21</v>
      </c>
      <c r="D1089" cm="1">
        <f t="array" ref="D1089">INDEX('Linha 03'!$A$4:$A$1000,B1089)</f>
        <v>20060009</v>
      </c>
      <c r="E1089" t="str" cm="1">
        <f t="array" ref="E1089">INDEX('Linha 03'!$B$4:$B$1000,B1089)</f>
        <v>Limp Perf Aquafast Frescor Da Manha Cx/06 X 2l (Promoc)</v>
      </c>
      <c r="F1089" cm="1">
        <f t="array" ref="F1089">INDEX('Linha 03'!$C$3:$ZZ$3,C1089)</f>
        <v>20050117</v>
      </c>
      <c r="G1089" t="str" cm="1">
        <f t="array" ref="G1089">INDEX('Linha 03'!$C$2:$ZZ$2,C1089)</f>
        <v>Desinfetante Aquafast Harmonia Natural Cx/06 X 2l</v>
      </c>
      <c r="H1089" s="5" cm="1">
        <f t="array" ref="H1089">INDEX('Linha 03'!$C$4:$ZZ$1000,B1089,C1089)</f>
        <v>0</v>
      </c>
    </row>
    <row r="1090" spans="1:8" x14ac:dyDescent="0.25">
      <c r="A1090">
        <v>1088</v>
      </c>
      <c r="B1090">
        <f t="shared" si="32"/>
        <v>27</v>
      </c>
      <c r="C1090">
        <f t="shared" si="33"/>
        <v>22</v>
      </c>
      <c r="D1090" cm="1">
        <f t="array" ref="D1090">INDEX('Linha 03'!$A$4:$A$1000,B1090)</f>
        <v>20060009</v>
      </c>
      <c r="E1090" t="str" cm="1">
        <f t="array" ref="E1090">INDEX('Linha 03'!$B$4:$B$1000,B1090)</f>
        <v>Limp Perf Aquafast Frescor Da Manha Cx/06 X 2l (Promoc)</v>
      </c>
      <c r="F1090" cm="1">
        <f t="array" ref="F1090">INDEX('Linha 03'!$C$3:$ZZ$3,C1090)</f>
        <v>20050123</v>
      </c>
      <c r="G1090" t="str" cm="1">
        <f t="array" ref="G1090">INDEX('Linha 03'!$C$2:$ZZ$2,C1090)</f>
        <v>Desinfetante Ito Harmonia Natural Cx/06 X 2l</v>
      </c>
      <c r="H1090" s="5" cm="1">
        <f t="array" ref="H1090">INDEX('Linha 03'!$C$4:$ZZ$1000,B1090,C1090)</f>
        <v>0</v>
      </c>
    </row>
    <row r="1091" spans="1:8" x14ac:dyDescent="0.25">
      <c r="A1091">
        <v>1089</v>
      </c>
      <c r="B1091">
        <f t="shared" si="32"/>
        <v>27</v>
      </c>
      <c r="C1091">
        <f t="shared" si="33"/>
        <v>23</v>
      </c>
      <c r="D1091" cm="1">
        <f t="array" ref="D1091">INDEX('Linha 03'!$A$4:$A$1000,B1091)</f>
        <v>20060009</v>
      </c>
      <c r="E1091" t="str" cm="1">
        <f t="array" ref="E1091">INDEX('Linha 03'!$B$4:$B$1000,B1091)</f>
        <v>Limp Perf Aquafast Frescor Da Manha Cx/06 X 2l (Promoc)</v>
      </c>
      <c r="F1091" cm="1">
        <f t="array" ref="F1091">INDEX('Linha 03'!$C$3:$ZZ$3,C1091)</f>
        <v>20050124</v>
      </c>
      <c r="G1091" t="str" cm="1">
        <f t="array" ref="G1091">INDEX('Linha 03'!$C$2:$ZZ$2,C1091)</f>
        <v>Desinfetante Myata Harmonia Natural Cx/06 X 2l</v>
      </c>
      <c r="H1091" s="5" cm="1">
        <f t="array" ref="H1091">INDEX('Linha 03'!$C$4:$ZZ$1000,B1091,C1091)</f>
        <v>0</v>
      </c>
    </row>
    <row r="1092" spans="1:8" x14ac:dyDescent="0.25">
      <c r="A1092">
        <v>1090</v>
      </c>
      <c r="B1092">
        <f t="shared" ref="B1092:B1155" si="34">INT((A1092-1)/$B$1)+1</f>
        <v>27</v>
      </c>
      <c r="C1092">
        <f t="shared" ref="C1092:C1155" si="35">MOD(A1092-1,$B$1)+1</f>
        <v>24</v>
      </c>
      <c r="D1092" cm="1">
        <f t="array" ref="D1092">INDEX('Linha 03'!$A$4:$A$1000,B1092)</f>
        <v>20060009</v>
      </c>
      <c r="E1092" t="str" cm="1">
        <f t="array" ref="E1092">INDEX('Linha 03'!$B$4:$B$1000,B1092)</f>
        <v>Limp Perf Aquafast Frescor Da Manha Cx/06 X 2l (Promoc)</v>
      </c>
      <c r="F1092" cm="1">
        <f t="array" ref="F1092">INDEX('Linha 03'!$C$3:$ZZ$3,C1092)</f>
        <v>20050142</v>
      </c>
      <c r="G1092" t="str" cm="1">
        <f t="array" ref="G1092">INDEX('Linha 03'!$C$2:$ZZ$2,C1092)</f>
        <v>Desinfetante Ito Marine Cx/06 X 2l</v>
      </c>
      <c r="H1092" s="5" cm="1">
        <f t="array" ref="H1092">INDEX('Linha 03'!$C$4:$ZZ$1000,B1092,C1092)</f>
        <v>0</v>
      </c>
    </row>
    <row r="1093" spans="1:8" x14ac:dyDescent="0.25">
      <c r="A1093">
        <v>1091</v>
      </c>
      <c r="B1093">
        <f t="shared" si="34"/>
        <v>27</v>
      </c>
      <c r="C1093">
        <f t="shared" si="35"/>
        <v>25</v>
      </c>
      <c r="D1093" cm="1">
        <f t="array" ref="D1093">INDEX('Linha 03'!$A$4:$A$1000,B1093)</f>
        <v>20060009</v>
      </c>
      <c r="E1093" t="str" cm="1">
        <f t="array" ref="E1093">INDEX('Linha 03'!$B$4:$B$1000,B1093)</f>
        <v>Limp Perf Aquafast Frescor Da Manha Cx/06 X 2l (Promoc)</v>
      </c>
      <c r="F1093" cm="1">
        <f t="array" ref="F1093">INDEX('Linha 03'!$C$3:$ZZ$3,C1093)</f>
        <v>20050159</v>
      </c>
      <c r="G1093" t="str" cm="1">
        <f t="array" ref="G1093">INDEX('Linha 03'!$C$2:$ZZ$2,C1093)</f>
        <v>Desinfetante Aquafast Cha Branco Cx/06 X 2l</v>
      </c>
      <c r="H1093" s="5" cm="1">
        <f t="array" ref="H1093">INDEX('Linha 03'!$C$4:$ZZ$1000,B1093,C1093)</f>
        <v>1.38888888888889E-2</v>
      </c>
    </row>
    <row r="1094" spans="1:8" x14ac:dyDescent="0.25">
      <c r="A1094">
        <v>1092</v>
      </c>
      <c r="B1094">
        <f t="shared" si="34"/>
        <v>27</v>
      </c>
      <c r="C1094">
        <f t="shared" si="35"/>
        <v>26</v>
      </c>
      <c r="D1094" cm="1">
        <f t="array" ref="D1094">INDEX('Linha 03'!$A$4:$A$1000,B1094)</f>
        <v>20060009</v>
      </c>
      <c r="E1094" t="str" cm="1">
        <f t="array" ref="E1094">INDEX('Linha 03'!$B$4:$B$1000,B1094)</f>
        <v>Limp Perf Aquafast Frescor Da Manha Cx/06 X 2l (Promoc)</v>
      </c>
      <c r="F1094" cm="1">
        <f t="array" ref="F1094">INDEX('Linha 03'!$C$3:$ZZ$3,C1094)</f>
        <v>20060007</v>
      </c>
      <c r="G1094" t="str" cm="1">
        <f t="array" ref="G1094">INDEX('Linha 03'!$C$2:$ZZ$2,C1094)</f>
        <v>Limp Perf Aquafast Magia Seducao Cx/06 X 2l (Promoc)</v>
      </c>
      <c r="H1094" s="5" cm="1">
        <f t="array" ref="H1094">INDEX('Linha 03'!$C$4:$ZZ$1000,B1094,C1094)</f>
        <v>0</v>
      </c>
    </row>
    <row r="1095" spans="1:8" x14ac:dyDescent="0.25">
      <c r="A1095">
        <v>1093</v>
      </c>
      <c r="B1095">
        <f t="shared" si="34"/>
        <v>27</v>
      </c>
      <c r="C1095">
        <f t="shared" si="35"/>
        <v>27</v>
      </c>
      <c r="D1095" cm="1">
        <f t="array" ref="D1095">INDEX('Linha 03'!$A$4:$A$1000,B1095)</f>
        <v>20060009</v>
      </c>
      <c r="E1095" t="str" cm="1">
        <f t="array" ref="E1095">INDEX('Linha 03'!$B$4:$B$1000,B1095)</f>
        <v>Limp Perf Aquafast Frescor Da Manha Cx/06 X 2l (Promoc)</v>
      </c>
      <c r="F1095" cm="1">
        <f t="array" ref="F1095">INDEX('Linha 03'!$C$3:$ZZ$3,C1095)</f>
        <v>20060009</v>
      </c>
      <c r="G1095" t="str" cm="1">
        <f t="array" ref="G1095">INDEX('Linha 03'!$C$2:$ZZ$2,C1095)</f>
        <v>Limp Perf Aquafast Frescor Da Manha Cx/06 X 2l (Promoc)</v>
      </c>
      <c r="H1095" s="5" cm="1">
        <f t="array" ref="H1095">INDEX('Linha 03'!$C$4:$ZZ$1000,B1095,C1095)</f>
        <v>0</v>
      </c>
    </row>
    <row r="1096" spans="1:8" x14ac:dyDescent="0.25">
      <c r="A1096">
        <v>1094</v>
      </c>
      <c r="B1096">
        <f t="shared" si="34"/>
        <v>27</v>
      </c>
      <c r="C1096">
        <f t="shared" si="35"/>
        <v>28</v>
      </c>
      <c r="D1096" cm="1">
        <f t="array" ref="D1096">INDEX('Linha 03'!$A$4:$A$1000,B1096)</f>
        <v>20060009</v>
      </c>
      <c r="E1096" t="str" cm="1">
        <f t="array" ref="E1096">INDEX('Linha 03'!$B$4:$B$1000,B1096)</f>
        <v>Limp Perf Aquafast Frescor Da Manha Cx/06 X 2l (Promoc)</v>
      </c>
      <c r="F1096" cm="1">
        <f t="array" ref="F1096">INDEX('Linha 03'!$C$3:$ZZ$3,C1096)</f>
        <v>20060017</v>
      </c>
      <c r="G1096" t="str" cm="1">
        <f t="array" ref="G1096">INDEX('Linha 03'!$C$2:$ZZ$2,C1096)</f>
        <v>Limp Perf Aquafast Doce Romance Cx/06 X 2l (Promoc)</v>
      </c>
      <c r="H1096" s="5" cm="1">
        <f t="array" ref="H1096">INDEX('Linha 03'!$C$4:$ZZ$1000,B1096,C1096)</f>
        <v>0</v>
      </c>
    </row>
    <row r="1097" spans="1:8" x14ac:dyDescent="0.25">
      <c r="A1097">
        <v>1095</v>
      </c>
      <c r="B1097">
        <f t="shared" si="34"/>
        <v>27</v>
      </c>
      <c r="C1097">
        <f t="shared" si="35"/>
        <v>29</v>
      </c>
      <c r="D1097" cm="1">
        <f t="array" ref="D1097">INDEX('Linha 03'!$A$4:$A$1000,B1097)</f>
        <v>20060009</v>
      </c>
      <c r="E1097" t="str" cm="1">
        <f t="array" ref="E1097">INDEX('Linha 03'!$B$4:$B$1000,B1097)</f>
        <v>Limp Perf Aquafast Frescor Da Manha Cx/06 X 2l (Promoc)</v>
      </c>
      <c r="F1097" cm="1">
        <f t="array" ref="F1097">INDEX('Linha 03'!$C$3:$ZZ$3,C1097)</f>
        <v>20060028</v>
      </c>
      <c r="G1097" t="str" cm="1">
        <f t="array" ref="G1097">INDEX('Linha 03'!$C$2:$ZZ$2,C1097)</f>
        <v>Limp Perf Aquafast Essencia Natural Cx06 X 2l</v>
      </c>
      <c r="H1097" s="5" cm="1">
        <f t="array" ref="H1097">INDEX('Linha 03'!$C$4:$ZZ$1000,B1097,C1097)</f>
        <v>0</v>
      </c>
    </row>
    <row r="1098" spans="1:8" x14ac:dyDescent="0.25">
      <c r="A1098">
        <v>1096</v>
      </c>
      <c r="B1098">
        <f t="shared" si="34"/>
        <v>27</v>
      </c>
      <c r="C1098">
        <f t="shared" si="35"/>
        <v>30</v>
      </c>
      <c r="D1098" cm="1">
        <f t="array" ref="D1098">INDEX('Linha 03'!$A$4:$A$1000,B1098)</f>
        <v>20060009</v>
      </c>
      <c r="E1098" t="str" cm="1">
        <f t="array" ref="E1098">INDEX('Linha 03'!$B$4:$B$1000,B1098)</f>
        <v>Limp Perf Aquafast Frescor Da Manha Cx/06 X 2l (Promoc)</v>
      </c>
      <c r="F1098" cm="1">
        <f t="array" ref="F1098">INDEX('Linha 03'!$C$3:$ZZ$3,C1098)</f>
        <v>20200003</v>
      </c>
      <c r="G1098" t="str" cm="1">
        <f t="array" ref="G1098">INDEX('Linha 03'!$C$2:$ZZ$2,C1098)</f>
        <v>Lava Roup. Aquafast Baby Cx/12 X 1l</v>
      </c>
      <c r="H1098" s="5" cm="1">
        <f t="array" ref="H1098">INDEX('Linha 03'!$C$4:$ZZ$1000,B1098,C1098)</f>
        <v>0</v>
      </c>
    </row>
    <row r="1099" spans="1:8" x14ac:dyDescent="0.25">
      <c r="A1099">
        <v>1097</v>
      </c>
      <c r="B1099">
        <f t="shared" si="34"/>
        <v>27</v>
      </c>
      <c r="C1099">
        <f t="shared" si="35"/>
        <v>31</v>
      </c>
      <c r="D1099" cm="1">
        <f t="array" ref="D1099">INDEX('Linha 03'!$A$4:$A$1000,B1099)</f>
        <v>20060009</v>
      </c>
      <c r="E1099" t="str" cm="1">
        <f t="array" ref="E1099">INDEX('Linha 03'!$B$4:$B$1000,B1099)</f>
        <v>Limp Perf Aquafast Frescor Da Manha Cx/06 X 2l (Promoc)</v>
      </c>
      <c r="F1099" cm="1">
        <f t="array" ref="F1099">INDEX('Linha 03'!$C$3:$ZZ$3,C1099)</f>
        <v>20200005</v>
      </c>
      <c r="G1099" t="str" cm="1">
        <f t="array" ref="G1099">INDEX('Linha 03'!$C$2:$ZZ$2,C1099)</f>
        <v>Lava Roupas Aquafast Multi Acao Cx/06 X 2l</v>
      </c>
      <c r="H1099" s="5" cm="1">
        <f t="array" ref="H1099">INDEX('Linha 03'!$C$4:$ZZ$1000,B1099,C1099)</f>
        <v>0</v>
      </c>
    </row>
    <row r="1100" spans="1:8" x14ac:dyDescent="0.25">
      <c r="A1100">
        <v>1098</v>
      </c>
      <c r="B1100">
        <f t="shared" si="34"/>
        <v>27</v>
      </c>
      <c r="C1100">
        <f t="shared" si="35"/>
        <v>32</v>
      </c>
      <c r="D1100" cm="1">
        <f t="array" ref="D1100">INDEX('Linha 03'!$A$4:$A$1000,B1100)</f>
        <v>20060009</v>
      </c>
      <c r="E1100" t="str" cm="1">
        <f t="array" ref="E1100">INDEX('Linha 03'!$B$4:$B$1000,B1100)</f>
        <v>Limp Perf Aquafast Frescor Da Manha Cx/06 X 2l (Promoc)</v>
      </c>
      <c r="F1100" cm="1">
        <f t="array" ref="F1100">INDEX('Linha 03'!$C$3:$ZZ$3,C1100)</f>
        <v>20200006</v>
      </c>
      <c r="G1100" t="str" cm="1">
        <f t="array" ref="G1100">INDEX('Linha 03'!$C$2:$ZZ$2,C1100)</f>
        <v>Lava Roupas Aquafast Glicerina Cx/06 X 2l</v>
      </c>
      <c r="H1100" s="5" cm="1">
        <f t="array" ref="H1100">INDEX('Linha 03'!$C$4:$ZZ$1000,B1100,C1100)</f>
        <v>0</v>
      </c>
    </row>
    <row r="1101" spans="1:8" x14ac:dyDescent="0.25">
      <c r="A1101">
        <v>1099</v>
      </c>
      <c r="B1101">
        <f t="shared" si="34"/>
        <v>27</v>
      </c>
      <c r="C1101">
        <f t="shared" si="35"/>
        <v>33</v>
      </c>
      <c r="D1101" cm="1">
        <f t="array" ref="D1101">INDEX('Linha 03'!$A$4:$A$1000,B1101)</f>
        <v>20060009</v>
      </c>
      <c r="E1101" t="str" cm="1">
        <f t="array" ref="E1101">INDEX('Linha 03'!$B$4:$B$1000,B1101)</f>
        <v>Limp Perf Aquafast Frescor Da Manha Cx/06 X 2l (Promoc)</v>
      </c>
      <c r="F1101" cm="1">
        <f t="array" ref="F1101">INDEX('Linha 03'!$C$3:$ZZ$3,C1101)</f>
        <v>20200015</v>
      </c>
      <c r="G1101" t="str" cm="1">
        <f t="array" ref="G1101">INDEX('Linha 03'!$C$2:$ZZ$2,C1101)</f>
        <v>Lava Roup. Aquafast Multiacao Cx/12 X 1l</v>
      </c>
      <c r="H1101" s="5" cm="1">
        <f t="array" ref="H1101">INDEX('Linha 03'!$C$4:$ZZ$1000,B1101,C1101)</f>
        <v>0</v>
      </c>
    </row>
    <row r="1102" spans="1:8" x14ac:dyDescent="0.25">
      <c r="A1102">
        <v>1100</v>
      </c>
      <c r="B1102">
        <f t="shared" si="34"/>
        <v>27</v>
      </c>
      <c r="C1102">
        <f t="shared" si="35"/>
        <v>34</v>
      </c>
      <c r="D1102" cm="1">
        <f t="array" ref="D1102">INDEX('Linha 03'!$A$4:$A$1000,B1102)</f>
        <v>20060009</v>
      </c>
      <c r="E1102" t="str" cm="1">
        <f t="array" ref="E1102">INDEX('Linha 03'!$B$4:$B$1000,B1102)</f>
        <v>Limp Perf Aquafast Frescor Da Manha Cx/06 X 2l (Promoc)</v>
      </c>
      <c r="F1102" cm="1">
        <f t="array" ref="F1102">INDEX('Linha 03'!$C$3:$ZZ$3,C1102)</f>
        <v>20200036</v>
      </c>
      <c r="G1102" t="str" cm="1">
        <f t="array" ref="G1102">INDEX('Linha 03'!$C$2:$ZZ$2,C1102)</f>
        <v>Lava Roupas Aquafast Ternura Cx/06 X 2l</v>
      </c>
      <c r="H1102" s="5" cm="1">
        <f t="array" ref="H1102">INDEX('Linha 03'!$C$4:$ZZ$1000,B1102,C1102)</f>
        <v>0</v>
      </c>
    </row>
    <row r="1103" spans="1:8" x14ac:dyDescent="0.25">
      <c r="A1103">
        <v>1101</v>
      </c>
      <c r="B1103">
        <f t="shared" si="34"/>
        <v>27</v>
      </c>
      <c r="C1103">
        <f t="shared" si="35"/>
        <v>35</v>
      </c>
      <c r="D1103" cm="1">
        <f t="array" ref="D1103">INDEX('Linha 03'!$A$4:$A$1000,B1103)</f>
        <v>20060009</v>
      </c>
      <c r="E1103" t="str" cm="1">
        <f t="array" ref="E1103">INDEX('Linha 03'!$B$4:$B$1000,B1103)</f>
        <v>Limp Perf Aquafast Frescor Da Manha Cx/06 X 2l (Promoc)</v>
      </c>
      <c r="F1103" cm="1">
        <f t="array" ref="F1103">INDEX('Linha 03'!$C$3:$ZZ$3,C1103)</f>
        <v>20200063</v>
      </c>
      <c r="G1103" t="str" cm="1">
        <f t="array" ref="G1103">INDEX('Linha 03'!$C$2:$ZZ$2,C1103)</f>
        <v>Lava Roup. Aquafast Tradicional Cx/12 X 1l</v>
      </c>
      <c r="H1103" s="5" cm="1">
        <f t="array" ref="H1103">INDEX('Linha 03'!$C$4:$ZZ$1000,B1103,C1103)</f>
        <v>0</v>
      </c>
    </row>
    <row r="1104" spans="1:8" x14ac:dyDescent="0.25">
      <c r="A1104">
        <v>1102</v>
      </c>
      <c r="B1104">
        <f t="shared" si="34"/>
        <v>27</v>
      </c>
      <c r="C1104">
        <f t="shared" si="35"/>
        <v>36</v>
      </c>
      <c r="D1104" cm="1">
        <f t="array" ref="D1104">INDEX('Linha 03'!$A$4:$A$1000,B1104)</f>
        <v>20060009</v>
      </c>
      <c r="E1104" t="str" cm="1">
        <f t="array" ref="E1104">INDEX('Linha 03'!$B$4:$B$1000,B1104)</f>
        <v>Limp Perf Aquafast Frescor Da Manha Cx/06 X 2l (Promoc)</v>
      </c>
      <c r="F1104" cm="1">
        <f t="array" ref="F1104">INDEX('Linha 03'!$C$3:$ZZ$3,C1104)</f>
        <v>20200064</v>
      </c>
      <c r="G1104" t="str" cm="1">
        <f t="array" ref="G1104">INDEX('Linha 03'!$C$2:$ZZ$2,C1104)</f>
        <v>Lava Roup. Aquafast Flores B. E Baunilha Cx/12 X 1l</v>
      </c>
      <c r="H1104" s="5" cm="1">
        <f t="array" ref="H1104">INDEX('Linha 03'!$C$4:$ZZ$1000,B1104,C1104)</f>
        <v>0</v>
      </c>
    </row>
    <row r="1105" spans="1:8" x14ac:dyDescent="0.25">
      <c r="A1105">
        <v>1103</v>
      </c>
      <c r="B1105">
        <f t="shared" si="34"/>
        <v>27</v>
      </c>
      <c r="C1105">
        <f t="shared" si="35"/>
        <v>37</v>
      </c>
      <c r="D1105" cm="1">
        <f t="array" ref="D1105">INDEX('Linha 03'!$A$4:$A$1000,B1105)</f>
        <v>20060009</v>
      </c>
      <c r="E1105" t="str" cm="1">
        <f t="array" ref="E1105">INDEX('Linha 03'!$B$4:$B$1000,B1105)</f>
        <v>Limp Perf Aquafast Frescor Da Manha Cx/06 X 2l (Promoc)</v>
      </c>
      <c r="F1105" cm="1">
        <f t="array" ref="F1105">INDEX('Linha 03'!$C$3:$ZZ$3,C1105)</f>
        <v>20200065</v>
      </c>
      <c r="G1105" t="str" cm="1">
        <f t="array" ref="G1105">INDEX('Linha 03'!$C$2:$ZZ$2,C1105)</f>
        <v>Lava Roupas Aquafast Flores B. E Baunilha Cx/06 X 2l</v>
      </c>
      <c r="H1105" s="5" cm="1">
        <f t="array" ref="H1105">INDEX('Linha 03'!$C$4:$ZZ$1000,B1105,C1105)</f>
        <v>0</v>
      </c>
    </row>
    <row r="1106" spans="1:8" x14ac:dyDescent="0.25">
      <c r="A1106">
        <v>1104</v>
      </c>
      <c r="B1106">
        <f t="shared" si="34"/>
        <v>27</v>
      </c>
      <c r="C1106">
        <f t="shared" si="35"/>
        <v>38</v>
      </c>
      <c r="D1106" cm="1">
        <f t="array" ref="D1106">INDEX('Linha 03'!$A$4:$A$1000,B1106)</f>
        <v>20060009</v>
      </c>
      <c r="E1106" t="str" cm="1">
        <f t="array" ref="E1106">INDEX('Linha 03'!$B$4:$B$1000,B1106)</f>
        <v>Limp Perf Aquafast Frescor Da Manha Cx/06 X 2l (Promoc)</v>
      </c>
      <c r="F1106" cm="1">
        <f t="array" ref="F1106">INDEX('Linha 03'!$C$3:$ZZ$3,C1106)</f>
        <v>20200072</v>
      </c>
      <c r="G1106" t="str" cm="1">
        <f t="array" ref="G1106">INDEX('Linha 03'!$C$2:$ZZ$2,C1106)</f>
        <v>Lava Roupas Aquafast Lavagem Rapida Total Clean Cx/12 X 1l</v>
      </c>
      <c r="H1106" s="5" cm="1">
        <f t="array" ref="H1106">INDEX('Linha 03'!$C$4:$ZZ$1000,B1106,C1106)</f>
        <v>0</v>
      </c>
    </row>
    <row r="1107" spans="1:8" x14ac:dyDescent="0.25">
      <c r="A1107">
        <v>1105</v>
      </c>
      <c r="B1107">
        <f t="shared" si="34"/>
        <v>27</v>
      </c>
      <c r="C1107">
        <f t="shared" si="35"/>
        <v>39</v>
      </c>
      <c r="D1107" cm="1">
        <f t="array" ref="D1107">INDEX('Linha 03'!$A$4:$A$1000,B1107)</f>
        <v>20060009</v>
      </c>
      <c r="E1107" t="str" cm="1">
        <f t="array" ref="E1107">INDEX('Linha 03'!$B$4:$B$1000,B1107)</f>
        <v>Limp Perf Aquafast Frescor Da Manha Cx/06 X 2l (Promoc)</v>
      </c>
      <c r="F1107" cm="1">
        <f t="array" ref="F1107">INDEX('Linha 03'!$C$3:$ZZ$3,C1107)</f>
        <v>20200074</v>
      </c>
      <c r="G1107" t="str" cm="1">
        <f t="array" ref="G1107">INDEX('Linha 03'!$C$2:$ZZ$2,C1107)</f>
        <v>Lava Roupas Aquafast Lavagem Rapida Fresh Clean Cx/12 X 1l</v>
      </c>
      <c r="H1107" s="5" cm="1">
        <f t="array" ref="H1107">INDEX('Linha 03'!$C$4:$ZZ$1000,B1107,C1107)</f>
        <v>0</v>
      </c>
    </row>
    <row r="1108" spans="1:8" x14ac:dyDescent="0.25">
      <c r="A1108">
        <v>1106</v>
      </c>
      <c r="B1108">
        <f t="shared" si="34"/>
        <v>27</v>
      </c>
      <c r="C1108">
        <f t="shared" si="35"/>
        <v>40</v>
      </c>
      <c r="D1108" cm="1">
        <f t="array" ref="D1108">INDEX('Linha 03'!$A$4:$A$1000,B1108)</f>
        <v>20060009</v>
      </c>
      <c r="E1108" t="str" cm="1">
        <f t="array" ref="E1108">INDEX('Linha 03'!$B$4:$B$1000,B1108)</f>
        <v>Limp Perf Aquafast Frescor Da Manha Cx/06 X 2l (Promoc)</v>
      </c>
      <c r="F1108" cm="1">
        <f t="array" ref="F1108">INDEX('Linha 03'!$C$3:$ZZ$3,C1108)</f>
        <v>20250005</v>
      </c>
      <c r="G1108" t="str" cm="1">
        <f t="array" ref="G1108">INDEX('Linha 03'!$C$2:$ZZ$2,C1108)</f>
        <v>Neutralizador De Odores Aquafast Floral Cx/06 X 2l</v>
      </c>
      <c r="H1108" s="5" cm="1">
        <f t="array" ref="H1108">INDEX('Linha 03'!$C$4:$ZZ$1000,B1108,C1108)</f>
        <v>0</v>
      </c>
    </row>
    <row r="1109" spans="1:8" x14ac:dyDescent="0.25">
      <c r="A1109">
        <v>1107</v>
      </c>
      <c r="B1109">
        <f t="shared" si="34"/>
        <v>27</v>
      </c>
      <c r="C1109">
        <f t="shared" si="35"/>
        <v>41</v>
      </c>
      <c r="D1109" cm="1">
        <f t="array" ref="D1109">INDEX('Linha 03'!$A$4:$A$1000,B1109)</f>
        <v>20060009</v>
      </c>
      <c r="E1109" t="str" cm="1">
        <f t="array" ref="E1109">INDEX('Linha 03'!$B$4:$B$1000,B1109)</f>
        <v>Limp Perf Aquafast Frescor Da Manha Cx/06 X 2l (Promoc)</v>
      </c>
      <c r="F1109" cm="1">
        <f t="array" ref="F1109">INDEX('Linha 03'!$C$3:$ZZ$3,C1109)</f>
        <v>20250007</v>
      </c>
      <c r="G1109" t="str" cm="1">
        <f t="array" ref="G1109">INDEX('Linha 03'!$C$2:$ZZ$2,C1109)</f>
        <v>Neutralizador De Odores Aquafast Marine Cx/06 2l</v>
      </c>
      <c r="H1109" s="5" cm="1">
        <f t="array" ref="H1109">INDEX('Linha 03'!$C$4:$ZZ$1000,B1109,C1109)</f>
        <v>0</v>
      </c>
    </row>
    <row r="1110" spans="1:8" x14ac:dyDescent="0.25">
      <c r="A1110">
        <v>1108</v>
      </c>
      <c r="B1110">
        <f t="shared" si="34"/>
        <v>28</v>
      </c>
      <c r="C1110">
        <f t="shared" si="35"/>
        <v>1</v>
      </c>
      <c r="D1110" cm="1">
        <f t="array" ref="D1110">INDEX('Linha 03'!$A$4:$A$1000,B1110)</f>
        <v>20060017</v>
      </c>
      <c r="E1110" t="str" cm="1">
        <f t="array" ref="E1110">INDEX('Linha 03'!$B$4:$B$1000,B1110)</f>
        <v>Limp Perf Aquafast Doce Romance Cx/06 X 2l (Promoc)</v>
      </c>
      <c r="F1110" cm="1">
        <f t="array" ref="F1110">INDEX('Linha 03'!$C$3:$ZZ$3,C1110)</f>
        <v>20040006</v>
      </c>
      <c r="G1110" t="str" cm="1">
        <f t="array" ref="G1110">INDEX('Linha 03'!$C$2:$ZZ$2,C1110)</f>
        <v>Amaciante Aquafast Azul Fresc. Manha Cx/06 X 2l</v>
      </c>
      <c r="H1110" s="5" cm="1">
        <f t="array" ref="H1110">INDEX('Linha 03'!$C$4:$ZZ$1000,B1110,C1110)</f>
        <v>0</v>
      </c>
    </row>
    <row r="1111" spans="1:8" x14ac:dyDescent="0.25">
      <c r="A1111">
        <v>1109</v>
      </c>
      <c r="B1111">
        <f t="shared" si="34"/>
        <v>28</v>
      </c>
      <c r="C1111">
        <f t="shared" si="35"/>
        <v>2</v>
      </c>
      <c r="D1111" cm="1">
        <f t="array" ref="D1111">INDEX('Linha 03'!$A$4:$A$1000,B1111)</f>
        <v>20060017</v>
      </c>
      <c r="E1111" t="str" cm="1">
        <f t="array" ref="E1111">INDEX('Linha 03'!$B$4:$B$1000,B1111)</f>
        <v>Limp Perf Aquafast Doce Romance Cx/06 X 2l (Promoc)</v>
      </c>
      <c r="F1111" cm="1">
        <f t="array" ref="F1111">INDEX('Linha 03'!$C$3:$ZZ$3,C1111)</f>
        <v>20040008</v>
      </c>
      <c r="G1111" t="str" cm="1">
        <f t="array" ref="G1111">INDEX('Linha 03'!$C$2:$ZZ$2,C1111)</f>
        <v>Amaciante Aquafast Rosa Jard. Florid Cx/06 X 2l</v>
      </c>
      <c r="H1111" s="5" cm="1">
        <f t="array" ref="H1111">INDEX('Linha 03'!$C$4:$ZZ$1000,B1111,C1111)</f>
        <v>0</v>
      </c>
    </row>
    <row r="1112" spans="1:8" x14ac:dyDescent="0.25">
      <c r="A1112">
        <v>1110</v>
      </c>
      <c r="B1112">
        <f t="shared" si="34"/>
        <v>28</v>
      </c>
      <c r="C1112">
        <f t="shared" si="35"/>
        <v>3</v>
      </c>
      <c r="D1112" cm="1">
        <f t="array" ref="D1112">INDEX('Linha 03'!$A$4:$A$1000,B1112)</f>
        <v>20060017</v>
      </c>
      <c r="E1112" t="str" cm="1">
        <f t="array" ref="E1112">INDEX('Linha 03'!$B$4:$B$1000,B1112)</f>
        <v>Limp Perf Aquafast Doce Romance Cx/06 X 2l (Promoc)</v>
      </c>
      <c r="F1112" cm="1">
        <f t="array" ref="F1112">INDEX('Linha 03'!$C$3:$ZZ$3,C1112)</f>
        <v>20040009</v>
      </c>
      <c r="G1112" t="str" cm="1">
        <f t="array" ref="G1112">INDEX('Linha 03'!$C$2:$ZZ$2,C1112)</f>
        <v>Amaciante Aquafast Branco Pura Caric. Cx/06 X 2l</v>
      </c>
      <c r="H1112" s="5" cm="1">
        <f t="array" ref="H1112">INDEX('Linha 03'!$C$4:$ZZ$1000,B1112,C1112)</f>
        <v>0</v>
      </c>
    </row>
    <row r="1113" spans="1:8" x14ac:dyDescent="0.25">
      <c r="A1113">
        <v>1111</v>
      </c>
      <c r="B1113">
        <f t="shared" si="34"/>
        <v>28</v>
      </c>
      <c r="C1113">
        <f t="shared" si="35"/>
        <v>4</v>
      </c>
      <c r="D1113" cm="1">
        <f t="array" ref="D1113">INDEX('Linha 03'!$A$4:$A$1000,B1113)</f>
        <v>20060017</v>
      </c>
      <c r="E1113" t="str" cm="1">
        <f t="array" ref="E1113">INDEX('Linha 03'!$B$4:$B$1000,B1113)</f>
        <v>Limp Perf Aquafast Doce Romance Cx/06 X 2l (Promoc)</v>
      </c>
      <c r="F1113" cm="1">
        <f t="array" ref="F1113">INDEX('Linha 03'!$C$3:$ZZ$3,C1113)</f>
        <v>20040026</v>
      </c>
      <c r="G1113" t="str" cm="1">
        <f t="array" ref="G1113">INDEX('Linha 03'!$C$2:$ZZ$2,C1113)</f>
        <v>Amaciante Ito Azul Cx/06 X 2l</v>
      </c>
      <c r="H1113" s="5" cm="1">
        <f t="array" ref="H1113">INDEX('Linha 03'!$C$4:$ZZ$1000,B1113,C1113)</f>
        <v>0</v>
      </c>
    </row>
    <row r="1114" spans="1:8" x14ac:dyDescent="0.25">
      <c r="A1114">
        <v>1112</v>
      </c>
      <c r="B1114">
        <f t="shared" si="34"/>
        <v>28</v>
      </c>
      <c r="C1114">
        <f t="shared" si="35"/>
        <v>5</v>
      </c>
      <c r="D1114" cm="1">
        <f t="array" ref="D1114">INDEX('Linha 03'!$A$4:$A$1000,B1114)</f>
        <v>20060017</v>
      </c>
      <c r="E1114" t="str" cm="1">
        <f t="array" ref="E1114">INDEX('Linha 03'!$B$4:$B$1000,B1114)</f>
        <v>Limp Perf Aquafast Doce Romance Cx/06 X 2l (Promoc)</v>
      </c>
      <c r="F1114" cm="1">
        <f t="array" ref="F1114">INDEX('Linha 03'!$C$3:$ZZ$3,C1114)</f>
        <v>20040028</v>
      </c>
      <c r="G1114" t="str" cm="1">
        <f t="array" ref="G1114">INDEX('Linha 03'!$C$2:$ZZ$2,C1114)</f>
        <v>Amaciante Ito Rosa Cx/06 X 2l</v>
      </c>
      <c r="H1114" s="5" cm="1">
        <f t="array" ref="H1114">INDEX('Linha 03'!$C$4:$ZZ$1000,B1114,C1114)</f>
        <v>0</v>
      </c>
    </row>
    <row r="1115" spans="1:8" x14ac:dyDescent="0.25">
      <c r="A1115">
        <v>1113</v>
      </c>
      <c r="B1115">
        <f t="shared" si="34"/>
        <v>28</v>
      </c>
      <c r="C1115">
        <f t="shared" si="35"/>
        <v>6</v>
      </c>
      <c r="D1115" cm="1">
        <f t="array" ref="D1115">INDEX('Linha 03'!$A$4:$A$1000,B1115)</f>
        <v>20060017</v>
      </c>
      <c r="E1115" t="str" cm="1">
        <f t="array" ref="E1115">INDEX('Linha 03'!$B$4:$B$1000,B1115)</f>
        <v>Limp Perf Aquafast Doce Romance Cx/06 X 2l (Promoc)</v>
      </c>
      <c r="F1115" cm="1">
        <f t="array" ref="F1115">INDEX('Linha 03'!$C$3:$ZZ$3,C1115)</f>
        <v>20040029</v>
      </c>
      <c r="G1115" t="str" cm="1">
        <f t="array" ref="G1115">INDEX('Linha 03'!$C$2:$ZZ$2,C1115)</f>
        <v>Amaciante Ito Branco Cx/06 X 2l</v>
      </c>
      <c r="H1115" s="5" cm="1">
        <f t="array" ref="H1115">INDEX('Linha 03'!$C$4:$ZZ$1000,B1115,C1115)</f>
        <v>0</v>
      </c>
    </row>
    <row r="1116" spans="1:8" x14ac:dyDescent="0.25">
      <c r="A1116">
        <v>1114</v>
      </c>
      <c r="B1116">
        <f t="shared" si="34"/>
        <v>28</v>
      </c>
      <c r="C1116">
        <f t="shared" si="35"/>
        <v>7</v>
      </c>
      <c r="D1116" cm="1">
        <f t="array" ref="D1116">INDEX('Linha 03'!$A$4:$A$1000,B1116)</f>
        <v>20060017</v>
      </c>
      <c r="E1116" t="str" cm="1">
        <f t="array" ref="E1116">INDEX('Linha 03'!$B$4:$B$1000,B1116)</f>
        <v>Limp Perf Aquafast Doce Romance Cx/06 X 2l (Promoc)</v>
      </c>
      <c r="F1116" cm="1">
        <f t="array" ref="F1116">INDEX('Linha 03'!$C$3:$ZZ$3,C1116)</f>
        <v>20040055</v>
      </c>
      <c r="G1116" t="str" cm="1">
        <f t="array" ref="G1116">INDEX('Linha 03'!$C$2:$ZZ$2,C1116)</f>
        <v>Amaciante Myata Azul Cx/06 X 2l</v>
      </c>
      <c r="H1116" s="5" cm="1">
        <f t="array" ref="H1116">INDEX('Linha 03'!$C$4:$ZZ$1000,B1116,C1116)</f>
        <v>0</v>
      </c>
    </row>
    <row r="1117" spans="1:8" x14ac:dyDescent="0.25">
      <c r="A1117">
        <v>1115</v>
      </c>
      <c r="B1117">
        <f t="shared" si="34"/>
        <v>28</v>
      </c>
      <c r="C1117">
        <f t="shared" si="35"/>
        <v>8</v>
      </c>
      <c r="D1117" cm="1">
        <f t="array" ref="D1117">INDEX('Linha 03'!$A$4:$A$1000,B1117)</f>
        <v>20060017</v>
      </c>
      <c r="E1117" t="str" cm="1">
        <f t="array" ref="E1117">INDEX('Linha 03'!$B$4:$B$1000,B1117)</f>
        <v>Limp Perf Aquafast Doce Romance Cx/06 X 2l (Promoc)</v>
      </c>
      <c r="F1117" cm="1">
        <f t="array" ref="F1117">INDEX('Linha 03'!$C$3:$ZZ$3,C1117)</f>
        <v>20040057</v>
      </c>
      <c r="G1117" t="str" cm="1">
        <f t="array" ref="G1117">INDEX('Linha 03'!$C$2:$ZZ$2,C1117)</f>
        <v>Amaciante Myata Rosa Cx/06 X 2l</v>
      </c>
      <c r="H1117" s="5" cm="1">
        <f t="array" ref="H1117">INDEX('Linha 03'!$C$4:$ZZ$1000,B1117,C1117)</f>
        <v>0</v>
      </c>
    </row>
    <row r="1118" spans="1:8" x14ac:dyDescent="0.25">
      <c r="A1118">
        <v>1116</v>
      </c>
      <c r="B1118">
        <f t="shared" si="34"/>
        <v>28</v>
      </c>
      <c r="C1118">
        <f t="shared" si="35"/>
        <v>9</v>
      </c>
      <c r="D1118" cm="1">
        <f t="array" ref="D1118">INDEX('Linha 03'!$A$4:$A$1000,B1118)</f>
        <v>20060017</v>
      </c>
      <c r="E1118" t="str" cm="1">
        <f t="array" ref="E1118">INDEX('Linha 03'!$B$4:$B$1000,B1118)</f>
        <v>Limp Perf Aquafast Doce Romance Cx/06 X 2l (Promoc)</v>
      </c>
      <c r="F1118" cm="1">
        <f t="array" ref="F1118">INDEX('Linha 03'!$C$3:$ZZ$3,C1118)</f>
        <v>20040084</v>
      </c>
      <c r="G1118" t="str" cm="1">
        <f t="array" ref="G1118">INDEX('Linha 03'!$C$2:$ZZ$2,C1118)</f>
        <v>Amaciante Aquafast Vermelho Seducao Cx C/06 X 2l</v>
      </c>
      <c r="H1118" s="5" cm="1">
        <f t="array" ref="H1118">INDEX('Linha 03'!$C$4:$ZZ$1000,B1118,C1118)</f>
        <v>0</v>
      </c>
    </row>
    <row r="1119" spans="1:8" x14ac:dyDescent="0.25">
      <c r="A1119">
        <v>1117</v>
      </c>
      <c r="B1119">
        <f t="shared" si="34"/>
        <v>28</v>
      </c>
      <c r="C1119">
        <f t="shared" si="35"/>
        <v>10</v>
      </c>
      <c r="D1119" cm="1">
        <f t="array" ref="D1119">INDEX('Linha 03'!$A$4:$A$1000,B1119)</f>
        <v>20060017</v>
      </c>
      <c r="E1119" t="str" cm="1">
        <f t="array" ref="E1119">INDEX('Linha 03'!$B$4:$B$1000,B1119)</f>
        <v>Limp Perf Aquafast Doce Romance Cx/06 X 2l (Promoc)</v>
      </c>
      <c r="F1119" cm="1">
        <f t="array" ref="F1119">INDEX('Linha 03'!$C$3:$ZZ$3,C1119)</f>
        <v>20040089</v>
      </c>
      <c r="G1119" t="str" cm="1">
        <f t="array" ref="G1119">INDEX('Linha 03'!$C$2:$ZZ$2,C1119)</f>
        <v>Amaciante Aquafast Roxo Magia Cx/06 X 2l</v>
      </c>
      <c r="H1119" s="5" cm="1">
        <f t="array" ref="H1119">INDEX('Linha 03'!$C$4:$ZZ$1000,B1119,C1119)</f>
        <v>0</v>
      </c>
    </row>
    <row r="1120" spans="1:8" x14ac:dyDescent="0.25">
      <c r="A1120">
        <v>1118</v>
      </c>
      <c r="B1120">
        <f t="shared" si="34"/>
        <v>28</v>
      </c>
      <c r="C1120">
        <f t="shared" si="35"/>
        <v>11</v>
      </c>
      <c r="D1120" cm="1">
        <f t="array" ref="D1120">INDEX('Linha 03'!$A$4:$A$1000,B1120)</f>
        <v>20060017</v>
      </c>
      <c r="E1120" t="str" cm="1">
        <f t="array" ref="E1120">INDEX('Linha 03'!$B$4:$B$1000,B1120)</f>
        <v>Limp Perf Aquafast Doce Romance Cx/06 X 2l (Promoc)</v>
      </c>
      <c r="F1120" cm="1">
        <f t="array" ref="F1120">INDEX('Linha 03'!$C$3:$ZZ$3,C1120)</f>
        <v>20040094</v>
      </c>
      <c r="G1120" t="str" cm="1">
        <f t="array" ref="G1120">INDEX('Linha 03'!$C$2:$ZZ$2,C1120)</f>
        <v>Amaciante Aquafast Energia Cx/06 X 2l</v>
      </c>
      <c r="H1120" s="5" cm="1">
        <f t="array" ref="H1120">INDEX('Linha 03'!$C$4:$ZZ$1000,B1120,C1120)</f>
        <v>0</v>
      </c>
    </row>
    <row r="1121" spans="1:8" x14ac:dyDescent="0.25">
      <c r="A1121">
        <v>1119</v>
      </c>
      <c r="B1121">
        <f t="shared" si="34"/>
        <v>28</v>
      </c>
      <c r="C1121">
        <f t="shared" si="35"/>
        <v>12</v>
      </c>
      <c r="D1121" cm="1">
        <f t="array" ref="D1121">INDEX('Linha 03'!$A$4:$A$1000,B1121)</f>
        <v>20060017</v>
      </c>
      <c r="E1121" t="str" cm="1">
        <f t="array" ref="E1121">INDEX('Linha 03'!$B$4:$B$1000,B1121)</f>
        <v>Limp Perf Aquafast Doce Romance Cx/06 X 2l (Promoc)</v>
      </c>
      <c r="F1121" cm="1">
        <f t="array" ref="F1121">INDEX('Linha 03'!$C$3:$ZZ$3,C1121)</f>
        <v>20050010</v>
      </c>
      <c r="G1121" t="str" cm="1">
        <f t="array" ref="G1121">INDEX('Linha 03'!$C$2:$ZZ$2,C1121)</f>
        <v>Desinfetante Aquafast Campos Lavanda Cx/06 X 2l</v>
      </c>
      <c r="H1121" s="5" cm="1">
        <f t="array" ref="H1121">INDEX('Linha 03'!$C$4:$ZZ$1000,B1121,C1121)</f>
        <v>0</v>
      </c>
    </row>
    <row r="1122" spans="1:8" x14ac:dyDescent="0.25">
      <c r="A1122">
        <v>1120</v>
      </c>
      <c r="B1122">
        <f t="shared" si="34"/>
        <v>28</v>
      </c>
      <c r="C1122">
        <f t="shared" si="35"/>
        <v>13</v>
      </c>
      <c r="D1122" cm="1">
        <f t="array" ref="D1122">INDEX('Linha 03'!$A$4:$A$1000,B1122)</f>
        <v>20060017</v>
      </c>
      <c r="E1122" t="str" cm="1">
        <f t="array" ref="E1122">INDEX('Linha 03'!$B$4:$B$1000,B1122)</f>
        <v>Limp Perf Aquafast Doce Romance Cx/06 X 2l (Promoc)</v>
      </c>
      <c r="F1122" cm="1">
        <f t="array" ref="F1122">INDEX('Linha 03'!$C$3:$ZZ$3,C1122)</f>
        <v>20050011</v>
      </c>
      <c r="G1122" t="str" cm="1">
        <f t="array" ref="G1122">INDEX('Linha 03'!$C$2:$ZZ$2,C1122)</f>
        <v>Desinfetante Aquafast Jardim Florido Cx/06 X 2l</v>
      </c>
      <c r="H1122" s="5" cm="1">
        <f t="array" ref="H1122">INDEX('Linha 03'!$C$4:$ZZ$1000,B1122,C1122)</f>
        <v>0</v>
      </c>
    </row>
    <row r="1123" spans="1:8" x14ac:dyDescent="0.25">
      <c r="A1123">
        <v>1121</v>
      </c>
      <c r="B1123">
        <f t="shared" si="34"/>
        <v>28</v>
      </c>
      <c r="C1123">
        <f t="shared" si="35"/>
        <v>14</v>
      </c>
      <c r="D1123" cm="1">
        <f t="array" ref="D1123">INDEX('Linha 03'!$A$4:$A$1000,B1123)</f>
        <v>20060017</v>
      </c>
      <c r="E1123" t="str" cm="1">
        <f t="array" ref="E1123">INDEX('Linha 03'!$B$4:$B$1000,B1123)</f>
        <v>Limp Perf Aquafast Doce Romance Cx/06 X 2l (Promoc)</v>
      </c>
      <c r="F1123" cm="1">
        <f t="array" ref="F1123">INDEX('Linha 03'!$C$3:$ZZ$3,C1123)</f>
        <v>20050016</v>
      </c>
      <c r="G1123" t="str" cm="1">
        <f t="array" ref="G1123">INDEX('Linha 03'!$C$2:$ZZ$2,C1123)</f>
        <v>Desinfetante Aquafast Marine Cx/06 X 2l</v>
      </c>
      <c r="H1123" s="5" cm="1">
        <f t="array" ref="H1123">INDEX('Linha 03'!$C$4:$ZZ$1000,B1123,C1123)</f>
        <v>0</v>
      </c>
    </row>
    <row r="1124" spans="1:8" x14ac:dyDescent="0.25">
      <c r="A1124">
        <v>1122</v>
      </c>
      <c r="B1124">
        <f t="shared" si="34"/>
        <v>28</v>
      </c>
      <c r="C1124">
        <f t="shared" si="35"/>
        <v>15</v>
      </c>
      <c r="D1124" cm="1">
        <f t="array" ref="D1124">INDEX('Linha 03'!$A$4:$A$1000,B1124)</f>
        <v>20060017</v>
      </c>
      <c r="E1124" t="str" cm="1">
        <f t="array" ref="E1124">INDEX('Linha 03'!$B$4:$B$1000,B1124)</f>
        <v>Limp Perf Aquafast Doce Romance Cx/06 X 2l (Promoc)</v>
      </c>
      <c r="F1124" cm="1">
        <f t="array" ref="F1124">INDEX('Linha 03'!$C$3:$ZZ$3,C1124)</f>
        <v>20050031</v>
      </c>
      <c r="G1124" t="str" cm="1">
        <f t="array" ref="G1124">INDEX('Linha 03'!$C$2:$ZZ$2,C1124)</f>
        <v>Desinfetante Ito Lavanda Cx/06 X 2l</v>
      </c>
      <c r="H1124" s="5" cm="1">
        <f t="array" ref="H1124">INDEX('Linha 03'!$C$4:$ZZ$1000,B1124,C1124)</f>
        <v>0</v>
      </c>
    </row>
    <row r="1125" spans="1:8" x14ac:dyDescent="0.25">
      <c r="A1125">
        <v>1123</v>
      </c>
      <c r="B1125">
        <f t="shared" si="34"/>
        <v>28</v>
      </c>
      <c r="C1125">
        <f t="shared" si="35"/>
        <v>16</v>
      </c>
      <c r="D1125" cm="1">
        <f t="array" ref="D1125">INDEX('Linha 03'!$A$4:$A$1000,B1125)</f>
        <v>20060017</v>
      </c>
      <c r="E1125" t="str" cm="1">
        <f t="array" ref="E1125">INDEX('Linha 03'!$B$4:$B$1000,B1125)</f>
        <v>Limp Perf Aquafast Doce Romance Cx/06 X 2l (Promoc)</v>
      </c>
      <c r="F1125" cm="1">
        <f t="array" ref="F1125">INDEX('Linha 03'!$C$3:$ZZ$3,C1125)</f>
        <v>20050032</v>
      </c>
      <c r="G1125" t="str" cm="1">
        <f t="array" ref="G1125">INDEX('Linha 03'!$C$2:$ZZ$2,C1125)</f>
        <v>Desinfetante Ito Floral Cx/06 X 2l</v>
      </c>
      <c r="H1125" s="5" cm="1">
        <f t="array" ref="H1125">INDEX('Linha 03'!$C$4:$ZZ$1000,B1125,C1125)</f>
        <v>0</v>
      </c>
    </row>
    <row r="1126" spans="1:8" x14ac:dyDescent="0.25">
      <c r="A1126">
        <v>1124</v>
      </c>
      <c r="B1126">
        <f t="shared" si="34"/>
        <v>28</v>
      </c>
      <c r="C1126">
        <f t="shared" si="35"/>
        <v>17</v>
      </c>
      <c r="D1126" cm="1">
        <f t="array" ref="D1126">INDEX('Linha 03'!$A$4:$A$1000,B1126)</f>
        <v>20060017</v>
      </c>
      <c r="E1126" t="str" cm="1">
        <f t="array" ref="E1126">INDEX('Linha 03'!$B$4:$B$1000,B1126)</f>
        <v>Limp Perf Aquafast Doce Romance Cx/06 X 2l (Promoc)</v>
      </c>
      <c r="F1126" cm="1">
        <f t="array" ref="F1126">INDEX('Linha 03'!$C$3:$ZZ$3,C1126)</f>
        <v>20050034</v>
      </c>
      <c r="G1126" t="str" cm="1">
        <f t="array" ref="G1126">INDEX('Linha 03'!$C$2:$ZZ$2,C1126)</f>
        <v>Desinfetante Ito Eucalipto Cx/06 X 2l</v>
      </c>
      <c r="H1126" s="5" cm="1">
        <f t="array" ref="H1126">INDEX('Linha 03'!$C$4:$ZZ$1000,B1126,C1126)</f>
        <v>0</v>
      </c>
    </row>
    <row r="1127" spans="1:8" x14ac:dyDescent="0.25">
      <c r="A1127">
        <v>1125</v>
      </c>
      <c r="B1127">
        <f t="shared" si="34"/>
        <v>28</v>
      </c>
      <c r="C1127">
        <f t="shared" si="35"/>
        <v>18</v>
      </c>
      <c r="D1127" cm="1">
        <f t="array" ref="D1127">INDEX('Linha 03'!$A$4:$A$1000,B1127)</f>
        <v>20060017</v>
      </c>
      <c r="E1127" t="str" cm="1">
        <f t="array" ref="E1127">INDEX('Linha 03'!$B$4:$B$1000,B1127)</f>
        <v>Limp Perf Aquafast Doce Romance Cx/06 X 2l (Promoc)</v>
      </c>
      <c r="F1127" cm="1">
        <f t="array" ref="F1127">INDEX('Linha 03'!$C$3:$ZZ$3,C1127)</f>
        <v>20050077</v>
      </c>
      <c r="G1127" t="str" cm="1">
        <f t="array" ref="G1127">INDEX('Linha 03'!$C$2:$ZZ$2,C1127)</f>
        <v>Desinfetante Myata Lavanda Cx/06 X 2l</v>
      </c>
      <c r="H1127" s="5" cm="1">
        <f t="array" ref="H1127">INDEX('Linha 03'!$C$4:$ZZ$1000,B1127,C1127)</f>
        <v>0</v>
      </c>
    </row>
    <row r="1128" spans="1:8" x14ac:dyDescent="0.25">
      <c r="A1128">
        <v>1126</v>
      </c>
      <c r="B1128">
        <f t="shared" si="34"/>
        <v>28</v>
      </c>
      <c r="C1128">
        <f t="shared" si="35"/>
        <v>19</v>
      </c>
      <c r="D1128" cm="1">
        <f t="array" ref="D1128">INDEX('Linha 03'!$A$4:$A$1000,B1128)</f>
        <v>20060017</v>
      </c>
      <c r="E1128" t="str" cm="1">
        <f t="array" ref="E1128">INDEX('Linha 03'!$B$4:$B$1000,B1128)</f>
        <v>Limp Perf Aquafast Doce Romance Cx/06 X 2l (Promoc)</v>
      </c>
      <c r="F1128" cm="1">
        <f t="array" ref="F1128">INDEX('Linha 03'!$C$3:$ZZ$3,C1128)</f>
        <v>20050078</v>
      </c>
      <c r="G1128" t="str" cm="1">
        <f t="array" ref="G1128">INDEX('Linha 03'!$C$2:$ZZ$2,C1128)</f>
        <v>Desinfetante Myata Floral Cx/06 X 2l</v>
      </c>
      <c r="H1128" s="5" cm="1">
        <f t="array" ref="H1128">INDEX('Linha 03'!$C$4:$ZZ$1000,B1128,C1128)</f>
        <v>0</v>
      </c>
    </row>
    <row r="1129" spans="1:8" x14ac:dyDescent="0.25">
      <c r="A1129">
        <v>1127</v>
      </c>
      <c r="B1129">
        <f t="shared" si="34"/>
        <v>28</v>
      </c>
      <c r="C1129">
        <f t="shared" si="35"/>
        <v>20</v>
      </c>
      <c r="D1129" cm="1">
        <f t="array" ref="D1129">INDEX('Linha 03'!$A$4:$A$1000,B1129)</f>
        <v>20060017</v>
      </c>
      <c r="E1129" t="str" cm="1">
        <f t="array" ref="E1129">INDEX('Linha 03'!$B$4:$B$1000,B1129)</f>
        <v>Limp Perf Aquafast Doce Romance Cx/06 X 2l (Promoc)</v>
      </c>
      <c r="F1129" cm="1">
        <f t="array" ref="F1129">INDEX('Linha 03'!$C$3:$ZZ$3,C1129)</f>
        <v>20050115</v>
      </c>
      <c r="G1129" t="str" cm="1">
        <f t="array" ref="G1129">INDEX('Linha 03'!$C$2:$ZZ$2,C1129)</f>
        <v>Desinfetante Aquafast Paixao Cx/06 X 2l</v>
      </c>
      <c r="H1129" s="5" cm="1">
        <f t="array" ref="H1129">INDEX('Linha 03'!$C$4:$ZZ$1000,B1129,C1129)</f>
        <v>0</v>
      </c>
    </row>
    <row r="1130" spans="1:8" x14ac:dyDescent="0.25">
      <c r="A1130">
        <v>1128</v>
      </c>
      <c r="B1130">
        <f t="shared" si="34"/>
        <v>28</v>
      </c>
      <c r="C1130">
        <f t="shared" si="35"/>
        <v>21</v>
      </c>
      <c r="D1130" cm="1">
        <f t="array" ref="D1130">INDEX('Linha 03'!$A$4:$A$1000,B1130)</f>
        <v>20060017</v>
      </c>
      <c r="E1130" t="str" cm="1">
        <f t="array" ref="E1130">INDEX('Linha 03'!$B$4:$B$1000,B1130)</f>
        <v>Limp Perf Aquafast Doce Romance Cx/06 X 2l (Promoc)</v>
      </c>
      <c r="F1130" cm="1">
        <f t="array" ref="F1130">INDEX('Linha 03'!$C$3:$ZZ$3,C1130)</f>
        <v>20050117</v>
      </c>
      <c r="G1130" t="str" cm="1">
        <f t="array" ref="G1130">INDEX('Linha 03'!$C$2:$ZZ$2,C1130)</f>
        <v>Desinfetante Aquafast Harmonia Natural Cx/06 X 2l</v>
      </c>
      <c r="H1130" s="5" cm="1">
        <f t="array" ref="H1130">INDEX('Linha 03'!$C$4:$ZZ$1000,B1130,C1130)</f>
        <v>0</v>
      </c>
    </row>
    <row r="1131" spans="1:8" x14ac:dyDescent="0.25">
      <c r="A1131">
        <v>1129</v>
      </c>
      <c r="B1131">
        <f t="shared" si="34"/>
        <v>28</v>
      </c>
      <c r="C1131">
        <f t="shared" si="35"/>
        <v>22</v>
      </c>
      <c r="D1131" cm="1">
        <f t="array" ref="D1131">INDEX('Linha 03'!$A$4:$A$1000,B1131)</f>
        <v>20060017</v>
      </c>
      <c r="E1131" t="str" cm="1">
        <f t="array" ref="E1131">INDEX('Linha 03'!$B$4:$B$1000,B1131)</f>
        <v>Limp Perf Aquafast Doce Romance Cx/06 X 2l (Promoc)</v>
      </c>
      <c r="F1131" cm="1">
        <f t="array" ref="F1131">INDEX('Linha 03'!$C$3:$ZZ$3,C1131)</f>
        <v>20050123</v>
      </c>
      <c r="G1131" t="str" cm="1">
        <f t="array" ref="G1131">INDEX('Linha 03'!$C$2:$ZZ$2,C1131)</f>
        <v>Desinfetante Ito Harmonia Natural Cx/06 X 2l</v>
      </c>
      <c r="H1131" s="5" cm="1">
        <f t="array" ref="H1131">INDEX('Linha 03'!$C$4:$ZZ$1000,B1131,C1131)</f>
        <v>0</v>
      </c>
    </row>
    <row r="1132" spans="1:8" x14ac:dyDescent="0.25">
      <c r="A1132">
        <v>1130</v>
      </c>
      <c r="B1132">
        <f t="shared" si="34"/>
        <v>28</v>
      </c>
      <c r="C1132">
        <f t="shared" si="35"/>
        <v>23</v>
      </c>
      <c r="D1132" cm="1">
        <f t="array" ref="D1132">INDEX('Linha 03'!$A$4:$A$1000,B1132)</f>
        <v>20060017</v>
      </c>
      <c r="E1132" t="str" cm="1">
        <f t="array" ref="E1132">INDEX('Linha 03'!$B$4:$B$1000,B1132)</f>
        <v>Limp Perf Aquafast Doce Romance Cx/06 X 2l (Promoc)</v>
      </c>
      <c r="F1132" cm="1">
        <f t="array" ref="F1132">INDEX('Linha 03'!$C$3:$ZZ$3,C1132)</f>
        <v>20050124</v>
      </c>
      <c r="G1132" t="str" cm="1">
        <f t="array" ref="G1132">INDEX('Linha 03'!$C$2:$ZZ$2,C1132)</f>
        <v>Desinfetante Myata Harmonia Natural Cx/06 X 2l</v>
      </c>
      <c r="H1132" s="5" cm="1">
        <f t="array" ref="H1132">INDEX('Linha 03'!$C$4:$ZZ$1000,B1132,C1132)</f>
        <v>0</v>
      </c>
    </row>
    <row r="1133" spans="1:8" x14ac:dyDescent="0.25">
      <c r="A1133">
        <v>1131</v>
      </c>
      <c r="B1133">
        <f t="shared" si="34"/>
        <v>28</v>
      </c>
      <c r="C1133">
        <f t="shared" si="35"/>
        <v>24</v>
      </c>
      <c r="D1133" cm="1">
        <f t="array" ref="D1133">INDEX('Linha 03'!$A$4:$A$1000,B1133)</f>
        <v>20060017</v>
      </c>
      <c r="E1133" t="str" cm="1">
        <f t="array" ref="E1133">INDEX('Linha 03'!$B$4:$B$1000,B1133)</f>
        <v>Limp Perf Aquafast Doce Romance Cx/06 X 2l (Promoc)</v>
      </c>
      <c r="F1133" cm="1">
        <f t="array" ref="F1133">INDEX('Linha 03'!$C$3:$ZZ$3,C1133)</f>
        <v>20050142</v>
      </c>
      <c r="G1133" t="str" cm="1">
        <f t="array" ref="G1133">INDEX('Linha 03'!$C$2:$ZZ$2,C1133)</f>
        <v>Desinfetante Ito Marine Cx/06 X 2l</v>
      </c>
      <c r="H1133" s="5" cm="1">
        <f t="array" ref="H1133">INDEX('Linha 03'!$C$4:$ZZ$1000,B1133,C1133)</f>
        <v>0</v>
      </c>
    </row>
    <row r="1134" spans="1:8" x14ac:dyDescent="0.25">
      <c r="A1134">
        <v>1132</v>
      </c>
      <c r="B1134">
        <f t="shared" si="34"/>
        <v>28</v>
      </c>
      <c r="C1134">
        <f t="shared" si="35"/>
        <v>25</v>
      </c>
      <c r="D1134" cm="1">
        <f t="array" ref="D1134">INDEX('Linha 03'!$A$4:$A$1000,B1134)</f>
        <v>20060017</v>
      </c>
      <c r="E1134" t="str" cm="1">
        <f t="array" ref="E1134">INDEX('Linha 03'!$B$4:$B$1000,B1134)</f>
        <v>Limp Perf Aquafast Doce Romance Cx/06 X 2l (Promoc)</v>
      </c>
      <c r="F1134" cm="1">
        <f t="array" ref="F1134">INDEX('Linha 03'!$C$3:$ZZ$3,C1134)</f>
        <v>20050159</v>
      </c>
      <c r="G1134" t="str" cm="1">
        <f t="array" ref="G1134">INDEX('Linha 03'!$C$2:$ZZ$2,C1134)</f>
        <v>Desinfetante Aquafast Cha Branco Cx/06 X 2l</v>
      </c>
      <c r="H1134" s="5" cm="1">
        <f t="array" ref="H1134">INDEX('Linha 03'!$C$4:$ZZ$1000,B1134,C1134)</f>
        <v>1.38888888888889E-2</v>
      </c>
    </row>
    <row r="1135" spans="1:8" x14ac:dyDescent="0.25">
      <c r="A1135">
        <v>1133</v>
      </c>
      <c r="B1135">
        <f t="shared" si="34"/>
        <v>28</v>
      </c>
      <c r="C1135">
        <f t="shared" si="35"/>
        <v>26</v>
      </c>
      <c r="D1135" cm="1">
        <f t="array" ref="D1135">INDEX('Linha 03'!$A$4:$A$1000,B1135)</f>
        <v>20060017</v>
      </c>
      <c r="E1135" t="str" cm="1">
        <f t="array" ref="E1135">INDEX('Linha 03'!$B$4:$B$1000,B1135)</f>
        <v>Limp Perf Aquafast Doce Romance Cx/06 X 2l (Promoc)</v>
      </c>
      <c r="F1135" cm="1">
        <f t="array" ref="F1135">INDEX('Linha 03'!$C$3:$ZZ$3,C1135)</f>
        <v>20060007</v>
      </c>
      <c r="G1135" t="str" cm="1">
        <f t="array" ref="G1135">INDEX('Linha 03'!$C$2:$ZZ$2,C1135)</f>
        <v>Limp Perf Aquafast Magia Seducao Cx/06 X 2l (Promoc)</v>
      </c>
      <c r="H1135" s="5" cm="1">
        <f t="array" ref="H1135">INDEX('Linha 03'!$C$4:$ZZ$1000,B1135,C1135)</f>
        <v>0</v>
      </c>
    </row>
    <row r="1136" spans="1:8" x14ac:dyDescent="0.25">
      <c r="A1136">
        <v>1134</v>
      </c>
      <c r="B1136">
        <f t="shared" si="34"/>
        <v>28</v>
      </c>
      <c r="C1136">
        <f t="shared" si="35"/>
        <v>27</v>
      </c>
      <c r="D1136" cm="1">
        <f t="array" ref="D1136">INDEX('Linha 03'!$A$4:$A$1000,B1136)</f>
        <v>20060017</v>
      </c>
      <c r="E1136" t="str" cm="1">
        <f t="array" ref="E1136">INDEX('Linha 03'!$B$4:$B$1000,B1136)</f>
        <v>Limp Perf Aquafast Doce Romance Cx/06 X 2l (Promoc)</v>
      </c>
      <c r="F1136" cm="1">
        <f t="array" ref="F1136">INDEX('Linha 03'!$C$3:$ZZ$3,C1136)</f>
        <v>20060009</v>
      </c>
      <c r="G1136" t="str" cm="1">
        <f t="array" ref="G1136">INDEX('Linha 03'!$C$2:$ZZ$2,C1136)</f>
        <v>Limp Perf Aquafast Frescor Da Manha Cx/06 X 2l (Promoc)</v>
      </c>
      <c r="H1136" s="5" cm="1">
        <f t="array" ref="H1136">INDEX('Linha 03'!$C$4:$ZZ$1000,B1136,C1136)</f>
        <v>0</v>
      </c>
    </row>
    <row r="1137" spans="1:8" x14ac:dyDescent="0.25">
      <c r="A1137">
        <v>1135</v>
      </c>
      <c r="B1137">
        <f t="shared" si="34"/>
        <v>28</v>
      </c>
      <c r="C1137">
        <f t="shared" si="35"/>
        <v>28</v>
      </c>
      <c r="D1137" cm="1">
        <f t="array" ref="D1137">INDEX('Linha 03'!$A$4:$A$1000,B1137)</f>
        <v>20060017</v>
      </c>
      <c r="E1137" t="str" cm="1">
        <f t="array" ref="E1137">INDEX('Linha 03'!$B$4:$B$1000,B1137)</f>
        <v>Limp Perf Aquafast Doce Romance Cx/06 X 2l (Promoc)</v>
      </c>
      <c r="F1137" cm="1">
        <f t="array" ref="F1137">INDEX('Linha 03'!$C$3:$ZZ$3,C1137)</f>
        <v>20060017</v>
      </c>
      <c r="G1137" t="str" cm="1">
        <f t="array" ref="G1137">INDEX('Linha 03'!$C$2:$ZZ$2,C1137)</f>
        <v>Limp Perf Aquafast Doce Romance Cx/06 X 2l (Promoc)</v>
      </c>
      <c r="H1137" s="5" cm="1">
        <f t="array" ref="H1137">INDEX('Linha 03'!$C$4:$ZZ$1000,B1137,C1137)</f>
        <v>0</v>
      </c>
    </row>
    <row r="1138" spans="1:8" x14ac:dyDescent="0.25">
      <c r="A1138">
        <v>1136</v>
      </c>
      <c r="B1138">
        <f t="shared" si="34"/>
        <v>28</v>
      </c>
      <c r="C1138">
        <f t="shared" si="35"/>
        <v>29</v>
      </c>
      <c r="D1138" cm="1">
        <f t="array" ref="D1138">INDEX('Linha 03'!$A$4:$A$1000,B1138)</f>
        <v>20060017</v>
      </c>
      <c r="E1138" t="str" cm="1">
        <f t="array" ref="E1138">INDEX('Linha 03'!$B$4:$B$1000,B1138)</f>
        <v>Limp Perf Aquafast Doce Romance Cx/06 X 2l (Promoc)</v>
      </c>
      <c r="F1138" cm="1">
        <f t="array" ref="F1138">INDEX('Linha 03'!$C$3:$ZZ$3,C1138)</f>
        <v>20060028</v>
      </c>
      <c r="G1138" t="str" cm="1">
        <f t="array" ref="G1138">INDEX('Linha 03'!$C$2:$ZZ$2,C1138)</f>
        <v>Limp Perf Aquafast Essencia Natural Cx06 X 2l</v>
      </c>
      <c r="H1138" s="5" cm="1">
        <f t="array" ref="H1138">INDEX('Linha 03'!$C$4:$ZZ$1000,B1138,C1138)</f>
        <v>0</v>
      </c>
    </row>
    <row r="1139" spans="1:8" x14ac:dyDescent="0.25">
      <c r="A1139">
        <v>1137</v>
      </c>
      <c r="B1139">
        <f t="shared" si="34"/>
        <v>28</v>
      </c>
      <c r="C1139">
        <f t="shared" si="35"/>
        <v>30</v>
      </c>
      <c r="D1139" cm="1">
        <f t="array" ref="D1139">INDEX('Linha 03'!$A$4:$A$1000,B1139)</f>
        <v>20060017</v>
      </c>
      <c r="E1139" t="str" cm="1">
        <f t="array" ref="E1139">INDEX('Linha 03'!$B$4:$B$1000,B1139)</f>
        <v>Limp Perf Aquafast Doce Romance Cx/06 X 2l (Promoc)</v>
      </c>
      <c r="F1139" cm="1">
        <f t="array" ref="F1139">INDEX('Linha 03'!$C$3:$ZZ$3,C1139)</f>
        <v>20200003</v>
      </c>
      <c r="G1139" t="str" cm="1">
        <f t="array" ref="G1139">INDEX('Linha 03'!$C$2:$ZZ$2,C1139)</f>
        <v>Lava Roup. Aquafast Baby Cx/12 X 1l</v>
      </c>
      <c r="H1139" s="5" cm="1">
        <f t="array" ref="H1139">INDEX('Linha 03'!$C$4:$ZZ$1000,B1139,C1139)</f>
        <v>0</v>
      </c>
    </row>
    <row r="1140" spans="1:8" x14ac:dyDescent="0.25">
      <c r="A1140">
        <v>1138</v>
      </c>
      <c r="B1140">
        <f t="shared" si="34"/>
        <v>28</v>
      </c>
      <c r="C1140">
        <f t="shared" si="35"/>
        <v>31</v>
      </c>
      <c r="D1140" cm="1">
        <f t="array" ref="D1140">INDEX('Linha 03'!$A$4:$A$1000,B1140)</f>
        <v>20060017</v>
      </c>
      <c r="E1140" t="str" cm="1">
        <f t="array" ref="E1140">INDEX('Linha 03'!$B$4:$B$1000,B1140)</f>
        <v>Limp Perf Aquafast Doce Romance Cx/06 X 2l (Promoc)</v>
      </c>
      <c r="F1140" cm="1">
        <f t="array" ref="F1140">INDEX('Linha 03'!$C$3:$ZZ$3,C1140)</f>
        <v>20200005</v>
      </c>
      <c r="G1140" t="str" cm="1">
        <f t="array" ref="G1140">INDEX('Linha 03'!$C$2:$ZZ$2,C1140)</f>
        <v>Lava Roupas Aquafast Multi Acao Cx/06 X 2l</v>
      </c>
      <c r="H1140" s="5" cm="1">
        <f t="array" ref="H1140">INDEX('Linha 03'!$C$4:$ZZ$1000,B1140,C1140)</f>
        <v>0</v>
      </c>
    </row>
    <row r="1141" spans="1:8" x14ac:dyDescent="0.25">
      <c r="A1141">
        <v>1139</v>
      </c>
      <c r="B1141">
        <f t="shared" si="34"/>
        <v>28</v>
      </c>
      <c r="C1141">
        <f t="shared" si="35"/>
        <v>32</v>
      </c>
      <c r="D1141" cm="1">
        <f t="array" ref="D1141">INDEX('Linha 03'!$A$4:$A$1000,B1141)</f>
        <v>20060017</v>
      </c>
      <c r="E1141" t="str" cm="1">
        <f t="array" ref="E1141">INDEX('Linha 03'!$B$4:$B$1000,B1141)</f>
        <v>Limp Perf Aquafast Doce Romance Cx/06 X 2l (Promoc)</v>
      </c>
      <c r="F1141" cm="1">
        <f t="array" ref="F1141">INDEX('Linha 03'!$C$3:$ZZ$3,C1141)</f>
        <v>20200006</v>
      </c>
      <c r="G1141" t="str" cm="1">
        <f t="array" ref="G1141">INDEX('Linha 03'!$C$2:$ZZ$2,C1141)</f>
        <v>Lava Roupas Aquafast Glicerina Cx/06 X 2l</v>
      </c>
      <c r="H1141" s="5" cm="1">
        <f t="array" ref="H1141">INDEX('Linha 03'!$C$4:$ZZ$1000,B1141,C1141)</f>
        <v>0</v>
      </c>
    </row>
    <row r="1142" spans="1:8" x14ac:dyDescent="0.25">
      <c r="A1142">
        <v>1140</v>
      </c>
      <c r="B1142">
        <f t="shared" si="34"/>
        <v>28</v>
      </c>
      <c r="C1142">
        <f t="shared" si="35"/>
        <v>33</v>
      </c>
      <c r="D1142" cm="1">
        <f t="array" ref="D1142">INDEX('Linha 03'!$A$4:$A$1000,B1142)</f>
        <v>20060017</v>
      </c>
      <c r="E1142" t="str" cm="1">
        <f t="array" ref="E1142">INDEX('Linha 03'!$B$4:$B$1000,B1142)</f>
        <v>Limp Perf Aquafast Doce Romance Cx/06 X 2l (Promoc)</v>
      </c>
      <c r="F1142" cm="1">
        <f t="array" ref="F1142">INDEX('Linha 03'!$C$3:$ZZ$3,C1142)</f>
        <v>20200015</v>
      </c>
      <c r="G1142" t="str" cm="1">
        <f t="array" ref="G1142">INDEX('Linha 03'!$C$2:$ZZ$2,C1142)</f>
        <v>Lava Roup. Aquafast Multiacao Cx/12 X 1l</v>
      </c>
      <c r="H1142" s="5" cm="1">
        <f t="array" ref="H1142">INDEX('Linha 03'!$C$4:$ZZ$1000,B1142,C1142)</f>
        <v>0</v>
      </c>
    </row>
    <row r="1143" spans="1:8" x14ac:dyDescent="0.25">
      <c r="A1143">
        <v>1141</v>
      </c>
      <c r="B1143">
        <f t="shared" si="34"/>
        <v>28</v>
      </c>
      <c r="C1143">
        <f t="shared" si="35"/>
        <v>34</v>
      </c>
      <c r="D1143" cm="1">
        <f t="array" ref="D1143">INDEX('Linha 03'!$A$4:$A$1000,B1143)</f>
        <v>20060017</v>
      </c>
      <c r="E1143" t="str" cm="1">
        <f t="array" ref="E1143">INDEX('Linha 03'!$B$4:$B$1000,B1143)</f>
        <v>Limp Perf Aquafast Doce Romance Cx/06 X 2l (Promoc)</v>
      </c>
      <c r="F1143" cm="1">
        <f t="array" ref="F1143">INDEX('Linha 03'!$C$3:$ZZ$3,C1143)</f>
        <v>20200036</v>
      </c>
      <c r="G1143" t="str" cm="1">
        <f t="array" ref="G1143">INDEX('Linha 03'!$C$2:$ZZ$2,C1143)</f>
        <v>Lava Roupas Aquafast Ternura Cx/06 X 2l</v>
      </c>
      <c r="H1143" s="5" cm="1">
        <f t="array" ref="H1143">INDEX('Linha 03'!$C$4:$ZZ$1000,B1143,C1143)</f>
        <v>0</v>
      </c>
    </row>
    <row r="1144" spans="1:8" x14ac:dyDescent="0.25">
      <c r="A1144">
        <v>1142</v>
      </c>
      <c r="B1144">
        <f t="shared" si="34"/>
        <v>28</v>
      </c>
      <c r="C1144">
        <f t="shared" si="35"/>
        <v>35</v>
      </c>
      <c r="D1144" cm="1">
        <f t="array" ref="D1144">INDEX('Linha 03'!$A$4:$A$1000,B1144)</f>
        <v>20060017</v>
      </c>
      <c r="E1144" t="str" cm="1">
        <f t="array" ref="E1144">INDEX('Linha 03'!$B$4:$B$1000,B1144)</f>
        <v>Limp Perf Aquafast Doce Romance Cx/06 X 2l (Promoc)</v>
      </c>
      <c r="F1144" cm="1">
        <f t="array" ref="F1144">INDEX('Linha 03'!$C$3:$ZZ$3,C1144)</f>
        <v>20200063</v>
      </c>
      <c r="G1144" t="str" cm="1">
        <f t="array" ref="G1144">INDEX('Linha 03'!$C$2:$ZZ$2,C1144)</f>
        <v>Lava Roup. Aquafast Tradicional Cx/12 X 1l</v>
      </c>
      <c r="H1144" s="5" cm="1">
        <f t="array" ref="H1144">INDEX('Linha 03'!$C$4:$ZZ$1000,B1144,C1144)</f>
        <v>0</v>
      </c>
    </row>
    <row r="1145" spans="1:8" x14ac:dyDescent="0.25">
      <c r="A1145">
        <v>1143</v>
      </c>
      <c r="B1145">
        <f t="shared" si="34"/>
        <v>28</v>
      </c>
      <c r="C1145">
        <f t="shared" si="35"/>
        <v>36</v>
      </c>
      <c r="D1145" cm="1">
        <f t="array" ref="D1145">INDEX('Linha 03'!$A$4:$A$1000,B1145)</f>
        <v>20060017</v>
      </c>
      <c r="E1145" t="str" cm="1">
        <f t="array" ref="E1145">INDEX('Linha 03'!$B$4:$B$1000,B1145)</f>
        <v>Limp Perf Aquafast Doce Romance Cx/06 X 2l (Promoc)</v>
      </c>
      <c r="F1145" cm="1">
        <f t="array" ref="F1145">INDEX('Linha 03'!$C$3:$ZZ$3,C1145)</f>
        <v>20200064</v>
      </c>
      <c r="G1145" t="str" cm="1">
        <f t="array" ref="G1145">INDEX('Linha 03'!$C$2:$ZZ$2,C1145)</f>
        <v>Lava Roup. Aquafast Flores B. E Baunilha Cx/12 X 1l</v>
      </c>
      <c r="H1145" s="5" cm="1">
        <f t="array" ref="H1145">INDEX('Linha 03'!$C$4:$ZZ$1000,B1145,C1145)</f>
        <v>0</v>
      </c>
    </row>
    <row r="1146" spans="1:8" x14ac:dyDescent="0.25">
      <c r="A1146">
        <v>1144</v>
      </c>
      <c r="B1146">
        <f t="shared" si="34"/>
        <v>28</v>
      </c>
      <c r="C1146">
        <f t="shared" si="35"/>
        <v>37</v>
      </c>
      <c r="D1146" cm="1">
        <f t="array" ref="D1146">INDEX('Linha 03'!$A$4:$A$1000,B1146)</f>
        <v>20060017</v>
      </c>
      <c r="E1146" t="str" cm="1">
        <f t="array" ref="E1146">INDEX('Linha 03'!$B$4:$B$1000,B1146)</f>
        <v>Limp Perf Aquafast Doce Romance Cx/06 X 2l (Promoc)</v>
      </c>
      <c r="F1146" cm="1">
        <f t="array" ref="F1146">INDEX('Linha 03'!$C$3:$ZZ$3,C1146)</f>
        <v>20200065</v>
      </c>
      <c r="G1146" t="str" cm="1">
        <f t="array" ref="G1146">INDEX('Linha 03'!$C$2:$ZZ$2,C1146)</f>
        <v>Lava Roupas Aquafast Flores B. E Baunilha Cx/06 X 2l</v>
      </c>
      <c r="H1146" s="5" cm="1">
        <f t="array" ref="H1146">INDEX('Linha 03'!$C$4:$ZZ$1000,B1146,C1146)</f>
        <v>0</v>
      </c>
    </row>
    <row r="1147" spans="1:8" x14ac:dyDescent="0.25">
      <c r="A1147">
        <v>1145</v>
      </c>
      <c r="B1147">
        <f t="shared" si="34"/>
        <v>28</v>
      </c>
      <c r="C1147">
        <f t="shared" si="35"/>
        <v>38</v>
      </c>
      <c r="D1147" cm="1">
        <f t="array" ref="D1147">INDEX('Linha 03'!$A$4:$A$1000,B1147)</f>
        <v>20060017</v>
      </c>
      <c r="E1147" t="str" cm="1">
        <f t="array" ref="E1147">INDEX('Linha 03'!$B$4:$B$1000,B1147)</f>
        <v>Limp Perf Aquafast Doce Romance Cx/06 X 2l (Promoc)</v>
      </c>
      <c r="F1147" cm="1">
        <f t="array" ref="F1147">INDEX('Linha 03'!$C$3:$ZZ$3,C1147)</f>
        <v>20200072</v>
      </c>
      <c r="G1147" t="str" cm="1">
        <f t="array" ref="G1147">INDEX('Linha 03'!$C$2:$ZZ$2,C1147)</f>
        <v>Lava Roupas Aquafast Lavagem Rapida Total Clean Cx/12 X 1l</v>
      </c>
      <c r="H1147" s="5" cm="1">
        <f t="array" ref="H1147">INDEX('Linha 03'!$C$4:$ZZ$1000,B1147,C1147)</f>
        <v>0</v>
      </c>
    </row>
    <row r="1148" spans="1:8" x14ac:dyDescent="0.25">
      <c r="A1148">
        <v>1146</v>
      </c>
      <c r="B1148">
        <f t="shared" si="34"/>
        <v>28</v>
      </c>
      <c r="C1148">
        <f t="shared" si="35"/>
        <v>39</v>
      </c>
      <c r="D1148" cm="1">
        <f t="array" ref="D1148">INDEX('Linha 03'!$A$4:$A$1000,B1148)</f>
        <v>20060017</v>
      </c>
      <c r="E1148" t="str" cm="1">
        <f t="array" ref="E1148">INDEX('Linha 03'!$B$4:$B$1000,B1148)</f>
        <v>Limp Perf Aquafast Doce Romance Cx/06 X 2l (Promoc)</v>
      </c>
      <c r="F1148" cm="1">
        <f t="array" ref="F1148">INDEX('Linha 03'!$C$3:$ZZ$3,C1148)</f>
        <v>20200074</v>
      </c>
      <c r="G1148" t="str" cm="1">
        <f t="array" ref="G1148">INDEX('Linha 03'!$C$2:$ZZ$2,C1148)</f>
        <v>Lava Roupas Aquafast Lavagem Rapida Fresh Clean Cx/12 X 1l</v>
      </c>
      <c r="H1148" s="5" cm="1">
        <f t="array" ref="H1148">INDEX('Linha 03'!$C$4:$ZZ$1000,B1148,C1148)</f>
        <v>0</v>
      </c>
    </row>
    <row r="1149" spans="1:8" x14ac:dyDescent="0.25">
      <c r="A1149">
        <v>1147</v>
      </c>
      <c r="B1149">
        <f t="shared" si="34"/>
        <v>28</v>
      </c>
      <c r="C1149">
        <f t="shared" si="35"/>
        <v>40</v>
      </c>
      <c r="D1149" cm="1">
        <f t="array" ref="D1149">INDEX('Linha 03'!$A$4:$A$1000,B1149)</f>
        <v>20060017</v>
      </c>
      <c r="E1149" t="str" cm="1">
        <f t="array" ref="E1149">INDEX('Linha 03'!$B$4:$B$1000,B1149)</f>
        <v>Limp Perf Aquafast Doce Romance Cx/06 X 2l (Promoc)</v>
      </c>
      <c r="F1149" cm="1">
        <f t="array" ref="F1149">INDEX('Linha 03'!$C$3:$ZZ$3,C1149)</f>
        <v>20250005</v>
      </c>
      <c r="G1149" t="str" cm="1">
        <f t="array" ref="G1149">INDEX('Linha 03'!$C$2:$ZZ$2,C1149)</f>
        <v>Neutralizador De Odores Aquafast Floral Cx/06 X 2l</v>
      </c>
      <c r="H1149" s="5" cm="1">
        <f t="array" ref="H1149">INDEX('Linha 03'!$C$4:$ZZ$1000,B1149,C1149)</f>
        <v>0</v>
      </c>
    </row>
    <row r="1150" spans="1:8" x14ac:dyDescent="0.25">
      <c r="A1150">
        <v>1148</v>
      </c>
      <c r="B1150">
        <f t="shared" si="34"/>
        <v>28</v>
      </c>
      <c r="C1150">
        <f t="shared" si="35"/>
        <v>41</v>
      </c>
      <c r="D1150" cm="1">
        <f t="array" ref="D1150">INDEX('Linha 03'!$A$4:$A$1000,B1150)</f>
        <v>20060017</v>
      </c>
      <c r="E1150" t="str" cm="1">
        <f t="array" ref="E1150">INDEX('Linha 03'!$B$4:$B$1000,B1150)</f>
        <v>Limp Perf Aquafast Doce Romance Cx/06 X 2l (Promoc)</v>
      </c>
      <c r="F1150" cm="1">
        <f t="array" ref="F1150">INDEX('Linha 03'!$C$3:$ZZ$3,C1150)</f>
        <v>20250007</v>
      </c>
      <c r="G1150" t="str" cm="1">
        <f t="array" ref="G1150">INDEX('Linha 03'!$C$2:$ZZ$2,C1150)</f>
        <v>Neutralizador De Odores Aquafast Marine Cx/06 2l</v>
      </c>
      <c r="H1150" s="5" cm="1">
        <f t="array" ref="H1150">INDEX('Linha 03'!$C$4:$ZZ$1000,B1150,C1150)</f>
        <v>0</v>
      </c>
    </row>
    <row r="1151" spans="1:8" x14ac:dyDescent="0.25">
      <c r="A1151">
        <v>1149</v>
      </c>
      <c r="B1151">
        <f t="shared" si="34"/>
        <v>29</v>
      </c>
      <c r="C1151">
        <f t="shared" si="35"/>
        <v>1</v>
      </c>
      <c r="D1151" cm="1">
        <f t="array" ref="D1151">INDEX('Linha 03'!$A$4:$A$1000,B1151)</f>
        <v>20060028</v>
      </c>
      <c r="E1151" t="str" cm="1">
        <f t="array" ref="E1151">INDEX('Linha 03'!$B$4:$B$1000,B1151)</f>
        <v>Limp Perf Aquafast Essencia Natural Cx06 X 2l</v>
      </c>
      <c r="F1151" cm="1">
        <f t="array" ref="F1151">INDEX('Linha 03'!$C$3:$ZZ$3,C1151)</f>
        <v>20040006</v>
      </c>
      <c r="G1151" t="str" cm="1">
        <f t="array" ref="G1151">INDEX('Linha 03'!$C$2:$ZZ$2,C1151)</f>
        <v>Amaciante Aquafast Azul Fresc. Manha Cx/06 X 2l</v>
      </c>
      <c r="H1151" s="5" cm="1">
        <f t="array" ref="H1151">INDEX('Linha 03'!$C$4:$ZZ$1000,B1151,C1151)</f>
        <v>0</v>
      </c>
    </row>
    <row r="1152" spans="1:8" x14ac:dyDescent="0.25">
      <c r="A1152">
        <v>1150</v>
      </c>
      <c r="B1152">
        <f t="shared" si="34"/>
        <v>29</v>
      </c>
      <c r="C1152">
        <f t="shared" si="35"/>
        <v>2</v>
      </c>
      <c r="D1152" cm="1">
        <f t="array" ref="D1152">INDEX('Linha 03'!$A$4:$A$1000,B1152)</f>
        <v>20060028</v>
      </c>
      <c r="E1152" t="str" cm="1">
        <f t="array" ref="E1152">INDEX('Linha 03'!$B$4:$B$1000,B1152)</f>
        <v>Limp Perf Aquafast Essencia Natural Cx06 X 2l</v>
      </c>
      <c r="F1152" cm="1">
        <f t="array" ref="F1152">INDEX('Linha 03'!$C$3:$ZZ$3,C1152)</f>
        <v>20040008</v>
      </c>
      <c r="G1152" t="str" cm="1">
        <f t="array" ref="G1152">INDEX('Linha 03'!$C$2:$ZZ$2,C1152)</f>
        <v>Amaciante Aquafast Rosa Jard. Florid Cx/06 X 2l</v>
      </c>
      <c r="H1152" s="5" cm="1">
        <f t="array" ref="H1152">INDEX('Linha 03'!$C$4:$ZZ$1000,B1152,C1152)</f>
        <v>0</v>
      </c>
    </row>
    <row r="1153" spans="1:8" x14ac:dyDescent="0.25">
      <c r="A1153">
        <v>1151</v>
      </c>
      <c r="B1153">
        <f t="shared" si="34"/>
        <v>29</v>
      </c>
      <c r="C1153">
        <f t="shared" si="35"/>
        <v>3</v>
      </c>
      <c r="D1153" cm="1">
        <f t="array" ref="D1153">INDEX('Linha 03'!$A$4:$A$1000,B1153)</f>
        <v>20060028</v>
      </c>
      <c r="E1153" t="str" cm="1">
        <f t="array" ref="E1153">INDEX('Linha 03'!$B$4:$B$1000,B1153)</f>
        <v>Limp Perf Aquafast Essencia Natural Cx06 X 2l</v>
      </c>
      <c r="F1153" cm="1">
        <f t="array" ref="F1153">INDEX('Linha 03'!$C$3:$ZZ$3,C1153)</f>
        <v>20040009</v>
      </c>
      <c r="G1153" t="str" cm="1">
        <f t="array" ref="G1153">INDEX('Linha 03'!$C$2:$ZZ$2,C1153)</f>
        <v>Amaciante Aquafast Branco Pura Caric. Cx/06 X 2l</v>
      </c>
      <c r="H1153" s="5" cm="1">
        <f t="array" ref="H1153">INDEX('Linha 03'!$C$4:$ZZ$1000,B1153,C1153)</f>
        <v>0</v>
      </c>
    </row>
    <row r="1154" spans="1:8" x14ac:dyDescent="0.25">
      <c r="A1154">
        <v>1152</v>
      </c>
      <c r="B1154">
        <f t="shared" si="34"/>
        <v>29</v>
      </c>
      <c r="C1154">
        <f t="shared" si="35"/>
        <v>4</v>
      </c>
      <c r="D1154" cm="1">
        <f t="array" ref="D1154">INDEX('Linha 03'!$A$4:$A$1000,B1154)</f>
        <v>20060028</v>
      </c>
      <c r="E1154" t="str" cm="1">
        <f t="array" ref="E1154">INDEX('Linha 03'!$B$4:$B$1000,B1154)</f>
        <v>Limp Perf Aquafast Essencia Natural Cx06 X 2l</v>
      </c>
      <c r="F1154" cm="1">
        <f t="array" ref="F1154">INDEX('Linha 03'!$C$3:$ZZ$3,C1154)</f>
        <v>20040026</v>
      </c>
      <c r="G1154" t="str" cm="1">
        <f t="array" ref="G1154">INDEX('Linha 03'!$C$2:$ZZ$2,C1154)</f>
        <v>Amaciante Ito Azul Cx/06 X 2l</v>
      </c>
      <c r="H1154" s="5" cm="1">
        <f t="array" ref="H1154">INDEX('Linha 03'!$C$4:$ZZ$1000,B1154,C1154)</f>
        <v>0</v>
      </c>
    </row>
    <row r="1155" spans="1:8" x14ac:dyDescent="0.25">
      <c r="A1155">
        <v>1153</v>
      </c>
      <c r="B1155">
        <f t="shared" si="34"/>
        <v>29</v>
      </c>
      <c r="C1155">
        <f t="shared" si="35"/>
        <v>5</v>
      </c>
      <c r="D1155" cm="1">
        <f t="array" ref="D1155">INDEX('Linha 03'!$A$4:$A$1000,B1155)</f>
        <v>20060028</v>
      </c>
      <c r="E1155" t="str" cm="1">
        <f t="array" ref="E1155">INDEX('Linha 03'!$B$4:$B$1000,B1155)</f>
        <v>Limp Perf Aquafast Essencia Natural Cx06 X 2l</v>
      </c>
      <c r="F1155" cm="1">
        <f t="array" ref="F1155">INDEX('Linha 03'!$C$3:$ZZ$3,C1155)</f>
        <v>20040028</v>
      </c>
      <c r="G1155" t="str" cm="1">
        <f t="array" ref="G1155">INDEX('Linha 03'!$C$2:$ZZ$2,C1155)</f>
        <v>Amaciante Ito Rosa Cx/06 X 2l</v>
      </c>
      <c r="H1155" s="5" cm="1">
        <f t="array" ref="H1155">INDEX('Linha 03'!$C$4:$ZZ$1000,B1155,C1155)</f>
        <v>0</v>
      </c>
    </row>
    <row r="1156" spans="1:8" x14ac:dyDescent="0.25">
      <c r="A1156">
        <v>1154</v>
      </c>
      <c r="B1156">
        <f t="shared" ref="B1156:B1219" si="36">INT((A1156-1)/$B$1)+1</f>
        <v>29</v>
      </c>
      <c r="C1156">
        <f t="shared" ref="C1156:C1219" si="37">MOD(A1156-1,$B$1)+1</f>
        <v>6</v>
      </c>
      <c r="D1156" cm="1">
        <f t="array" ref="D1156">INDEX('Linha 03'!$A$4:$A$1000,B1156)</f>
        <v>20060028</v>
      </c>
      <c r="E1156" t="str" cm="1">
        <f t="array" ref="E1156">INDEX('Linha 03'!$B$4:$B$1000,B1156)</f>
        <v>Limp Perf Aquafast Essencia Natural Cx06 X 2l</v>
      </c>
      <c r="F1156" cm="1">
        <f t="array" ref="F1156">INDEX('Linha 03'!$C$3:$ZZ$3,C1156)</f>
        <v>20040029</v>
      </c>
      <c r="G1156" t="str" cm="1">
        <f t="array" ref="G1156">INDEX('Linha 03'!$C$2:$ZZ$2,C1156)</f>
        <v>Amaciante Ito Branco Cx/06 X 2l</v>
      </c>
      <c r="H1156" s="5" cm="1">
        <f t="array" ref="H1156">INDEX('Linha 03'!$C$4:$ZZ$1000,B1156,C1156)</f>
        <v>0</v>
      </c>
    </row>
    <row r="1157" spans="1:8" x14ac:dyDescent="0.25">
      <c r="A1157">
        <v>1155</v>
      </c>
      <c r="B1157">
        <f t="shared" si="36"/>
        <v>29</v>
      </c>
      <c r="C1157">
        <f t="shared" si="37"/>
        <v>7</v>
      </c>
      <c r="D1157" cm="1">
        <f t="array" ref="D1157">INDEX('Linha 03'!$A$4:$A$1000,B1157)</f>
        <v>20060028</v>
      </c>
      <c r="E1157" t="str" cm="1">
        <f t="array" ref="E1157">INDEX('Linha 03'!$B$4:$B$1000,B1157)</f>
        <v>Limp Perf Aquafast Essencia Natural Cx06 X 2l</v>
      </c>
      <c r="F1157" cm="1">
        <f t="array" ref="F1157">INDEX('Linha 03'!$C$3:$ZZ$3,C1157)</f>
        <v>20040055</v>
      </c>
      <c r="G1157" t="str" cm="1">
        <f t="array" ref="G1157">INDEX('Linha 03'!$C$2:$ZZ$2,C1157)</f>
        <v>Amaciante Myata Azul Cx/06 X 2l</v>
      </c>
      <c r="H1157" s="5" cm="1">
        <f t="array" ref="H1157">INDEX('Linha 03'!$C$4:$ZZ$1000,B1157,C1157)</f>
        <v>0</v>
      </c>
    </row>
    <row r="1158" spans="1:8" x14ac:dyDescent="0.25">
      <c r="A1158">
        <v>1156</v>
      </c>
      <c r="B1158">
        <f t="shared" si="36"/>
        <v>29</v>
      </c>
      <c r="C1158">
        <f t="shared" si="37"/>
        <v>8</v>
      </c>
      <c r="D1158" cm="1">
        <f t="array" ref="D1158">INDEX('Linha 03'!$A$4:$A$1000,B1158)</f>
        <v>20060028</v>
      </c>
      <c r="E1158" t="str" cm="1">
        <f t="array" ref="E1158">INDEX('Linha 03'!$B$4:$B$1000,B1158)</f>
        <v>Limp Perf Aquafast Essencia Natural Cx06 X 2l</v>
      </c>
      <c r="F1158" cm="1">
        <f t="array" ref="F1158">INDEX('Linha 03'!$C$3:$ZZ$3,C1158)</f>
        <v>20040057</v>
      </c>
      <c r="G1158" t="str" cm="1">
        <f t="array" ref="G1158">INDEX('Linha 03'!$C$2:$ZZ$2,C1158)</f>
        <v>Amaciante Myata Rosa Cx/06 X 2l</v>
      </c>
      <c r="H1158" s="5" cm="1">
        <f t="array" ref="H1158">INDEX('Linha 03'!$C$4:$ZZ$1000,B1158,C1158)</f>
        <v>0</v>
      </c>
    </row>
    <row r="1159" spans="1:8" x14ac:dyDescent="0.25">
      <c r="A1159">
        <v>1157</v>
      </c>
      <c r="B1159">
        <f t="shared" si="36"/>
        <v>29</v>
      </c>
      <c r="C1159">
        <f t="shared" si="37"/>
        <v>9</v>
      </c>
      <c r="D1159" cm="1">
        <f t="array" ref="D1159">INDEX('Linha 03'!$A$4:$A$1000,B1159)</f>
        <v>20060028</v>
      </c>
      <c r="E1159" t="str" cm="1">
        <f t="array" ref="E1159">INDEX('Linha 03'!$B$4:$B$1000,B1159)</f>
        <v>Limp Perf Aquafast Essencia Natural Cx06 X 2l</v>
      </c>
      <c r="F1159" cm="1">
        <f t="array" ref="F1159">INDEX('Linha 03'!$C$3:$ZZ$3,C1159)</f>
        <v>20040084</v>
      </c>
      <c r="G1159" t="str" cm="1">
        <f t="array" ref="G1159">INDEX('Linha 03'!$C$2:$ZZ$2,C1159)</f>
        <v>Amaciante Aquafast Vermelho Seducao Cx C/06 X 2l</v>
      </c>
      <c r="H1159" s="5" cm="1">
        <f t="array" ref="H1159">INDEX('Linha 03'!$C$4:$ZZ$1000,B1159,C1159)</f>
        <v>0</v>
      </c>
    </row>
    <row r="1160" spans="1:8" x14ac:dyDescent="0.25">
      <c r="A1160">
        <v>1158</v>
      </c>
      <c r="B1160">
        <f t="shared" si="36"/>
        <v>29</v>
      </c>
      <c r="C1160">
        <f t="shared" si="37"/>
        <v>10</v>
      </c>
      <c r="D1160" cm="1">
        <f t="array" ref="D1160">INDEX('Linha 03'!$A$4:$A$1000,B1160)</f>
        <v>20060028</v>
      </c>
      <c r="E1160" t="str" cm="1">
        <f t="array" ref="E1160">INDEX('Linha 03'!$B$4:$B$1000,B1160)</f>
        <v>Limp Perf Aquafast Essencia Natural Cx06 X 2l</v>
      </c>
      <c r="F1160" cm="1">
        <f t="array" ref="F1160">INDEX('Linha 03'!$C$3:$ZZ$3,C1160)</f>
        <v>20040089</v>
      </c>
      <c r="G1160" t="str" cm="1">
        <f t="array" ref="G1160">INDEX('Linha 03'!$C$2:$ZZ$2,C1160)</f>
        <v>Amaciante Aquafast Roxo Magia Cx/06 X 2l</v>
      </c>
      <c r="H1160" s="5" cm="1">
        <f t="array" ref="H1160">INDEX('Linha 03'!$C$4:$ZZ$1000,B1160,C1160)</f>
        <v>0</v>
      </c>
    </row>
    <row r="1161" spans="1:8" x14ac:dyDescent="0.25">
      <c r="A1161">
        <v>1159</v>
      </c>
      <c r="B1161">
        <f t="shared" si="36"/>
        <v>29</v>
      </c>
      <c r="C1161">
        <f t="shared" si="37"/>
        <v>11</v>
      </c>
      <c r="D1161" cm="1">
        <f t="array" ref="D1161">INDEX('Linha 03'!$A$4:$A$1000,B1161)</f>
        <v>20060028</v>
      </c>
      <c r="E1161" t="str" cm="1">
        <f t="array" ref="E1161">INDEX('Linha 03'!$B$4:$B$1000,B1161)</f>
        <v>Limp Perf Aquafast Essencia Natural Cx06 X 2l</v>
      </c>
      <c r="F1161" cm="1">
        <f t="array" ref="F1161">INDEX('Linha 03'!$C$3:$ZZ$3,C1161)</f>
        <v>20040094</v>
      </c>
      <c r="G1161" t="str" cm="1">
        <f t="array" ref="G1161">INDEX('Linha 03'!$C$2:$ZZ$2,C1161)</f>
        <v>Amaciante Aquafast Energia Cx/06 X 2l</v>
      </c>
      <c r="H1161" s="5" cm="1">
        <f t="array" ref="H1161">INDEX('Linha 03'!$C$4:$ZZ$1000,B1161,C1161)</f>
        <v>0</v>
      </c>
    </row>
    <row r="1162" spans="1:8" x14ac:dyDescent="0.25">
      <c r="A1162">
        <v>1160</v>
      </c>
      <c r="B1162">
        <f t="shared" si="36"/>
        <v>29</v>
      </c>
      <c r="C1162">
        <f t="shared" si="37"/>
        <v>12</v>
      </c>
      <c r="D1162" cm="1">
        <f t="array" ref="D1162">INDEX('Linha 03'!$A$4:$A$1000,B1162)</f>
        <v>20060028</v>
      </c>
      <c r="E1162" t="str" cm="1">
        <f t="array" ref="E1162">INDEX('Linha 03'!$B$4:$B$1000,B1162)</f>
        <v>Limp Perf Aquafast Essencia Natural Cx06 X 2l</v>
      </c>
      <c r="F1162" cm="1">
        <f t="array" ref="F1162">INDEX('Linha 03'!$C$3:$ZZ$3,C1162)</f>
        <v>20050010</v>
      </c>
      <c r="G1162" t="str" cm="1">
        <f t="array" ref="G1162">INDEX('Linha 03'!$C$2:$ZZ$2,C1162)</f>
        <v>Desinfetante Aquafast Campos Lavanda Cx/06 X 2l</v>
      </c>
      <c r="H1162" s="5" cm="1">
        <f t="array" ref="H1162">INDEX('Linha 03'!$C$4:$ZZ$1000,B1162,C1162)</f>
        <v>0</v>
      </c>
    </row>
    <row r="1163" spans="1:8" x14ac:dyDescent="0.25">
      <c r="A1163">
        <v>1161</v>
      </c>
      <c r="B1163">
        <f t="shared" si="36"/>
        <v>29</v>
      </c>
      <c r="C1163">
        <f t="shared" si="37"/>
        <v>13</v>
      </c>
      <c r="D1163" cm="1">
        <f t="array" ref="D1163">INDEX('Linha 03'!$A$4:$A$1000,B1163)</f>
        <v>20060028</v>
      </c>
      <c r="E1163" t="str" cm="1">
        <f t="array" ref="E1163">INDEX('Linha 03'!$B$4:$B$1000,B1163)</f>
        <v>Limp Perf Aquafast Essencia Natural Cx06 X 2l</v>
      </c>
      <c r="F1163" cm="1">
        <f t="array" ref="F1163">INDEX('Linha 03'!$C$3:$ZZ$3,C1163)</f>
        <v>20050011</v>
      </c>
      <c r="G1163" t="str" cm="1">
        <f t="array" ref="G1163">INDEX('Linha 03'!$C$2:$ZZ$2,C1163)</f>
        <v>Desinfetante Aquafast Jardim Florido Cx/06 X 2l</v>
      </c>
      <c r="H1163" s="5" cm="1">
        <f t="array" ref="H1163">INDEX('Linha 03'!$C$4:$ZZ$1000,B1163,C1163)</f>
        <v>0</v>
      </c>
    </row>
    <row r="1164" spans="1:8" x14ac:dyDescent="0.25">
      <c r="A1164">
        <v>1162</v>
      </c>
      <c r="B1164">
        <f t="shared" si="36"/>
        <v>29</v>
      </c>
      <c r="C1164">
        <f t="shared" si="37"/>
        <v>14</v>
      </c>
      <c r="D1164" cm="1">
        <f t="array" ref="D1164">INDEX('Linha 03'!$A$4:$A$1000,B1164)</f>
        <v>20060028</v>
      </c>
      <c r="E1164" t="str" cm="1">
        <f t="array" ref="E1164">INDEX('Linha 03'!$B$4:$B$1000,B1164)</f>
        <v>Limp Perf Aquafast Essencia Natural Cx06 X 2l</v>
      </c>
      <c r="F1164" cm="1">
        <f t="array" ref="F1164">INDEX('Linha 03'!$C$3:$ZZ$3,C1164)</f>
        <v>20050016</v>
      </c>
      <c r="G1164" t="str" cm="1">
        <f t="array" ref="G1164">INDEX('Linha 03'!$C$2:$ZZ$2,C1164)</f>
        <v>Desinfetante Aquafast Marine Cx/06 X 2l</v>
      </c>
      <c r="H1164" s="5" cm="1">
        <f t="array" ref="H1164">INDEX('Linha 03'!$C$4:$ZZ$1000,B1164,C1164)</f>
        <v>0</v>
      </c>
    </row>
    <row r="1165" spans="1:8" x14ac:dyDescent="0.25">
      <c r="A1165">
        <v>1163</v>
      </c>
      <c r="B1165">
        <f t="shared" si="36"/>
        <v>29</v>
      </c>
      <c r="C1165">
        <f t="shared" si="37"/>
        <v>15</v>
      </c>
      <c r="D1165" cm="1">
        <f t="array" ref="D1165">INDEX('Linha 03'!$A$4:$A$1000,B1165)</f>
        <v>20060028</v>
      </c>
      <c r="E1165" t="str" cm="1">
        <f t="array" ref="E1165">INDEX('Linha 03'!$B$4:$B$1000,B1165)</f>
        <v>Limp Perf Aquafast Essencia Natural Cx06 X 2l</v>
      </c>
      <c r="F1165" cm="1">
        <f t="array" ref="F1165">INDEX('Linha 03'!$C$3:$ZZ$3,C1165)</f>
        <v>20050031</v>
      </c>
      <c r="G1165" t="str" cm="1">
        <f t="array" ref="G1165">INDEX('Linha 03'!$C$2:$ZZ$2,C1165)</f>
        <v>Desinfetante Ito Lavanda Cx/06 X 2l</v>
      </c>
      <c r="H1165" s="5" cm="1">
        <f t="array" ref="H1165">INDEX('Linha 03'!$C$4:$ZZ$1000,B1165,C1165)</f>
        <v>0</v>
      </c>
    </row>
    <row r="1166" spans="1:8" x14ac:dyDescent="0.25">
      <c r="A1166">
        <v>1164</v>
      </c>
      <c r="B1166">
        <f t="shared" si="36"/>
        <v>29</v>
      </c>
      <c r="C1166">
        <f t="shared" si="37"/>
        <v>16</v>
      </c>
      <c r="D1166" cm="1">
        <f t="array" ref="D1166">INDEX('Linha 03'!$A$4:$A$1000,B1166)</f>
        <v>20060028</v>
      </c>
      <c r="E1166" t="str" cm="1">
        <f t="array" ref="E1166">INDEX('Linha 03'!$B$4:$B$1000,B1166)</f>
        <v>Limp Perf Aquafast Essencia Natural Cx06 X 2l</v>
      </c>
      <c r="F1166" cm="1">
        <f t="array" ref="F1166">INDEX('Linha 03'!$C$3:$ZZ$3,C1166)</f>
        <v>20050032</v>
      </c>
      <c r="G1166" t="str" cm="1">
        <f t="array" ref="G1166">INDEX('Linha 03'!$C$2:$ZZ$2,C1166)</f>
        <v>Desinfetante Ito Floral Cx/06 X 2l</v>
      </c>
      <c r="H1166" s="5" cm="1">
        <f t="array" ref="H1166">INDEX('Linha 03'!$C$4:$ZZ$1000,B1166,C1166)</f>
        <v>0</v>
      </c>
    </row>
    <row r="1167" spans="1:8" x14ac:dyDescent="0.25">
      <c r="A1167">
        <v>1165</v>
      </c>
      <c r="B1167">
        <f t="shared" si="36"/>
        <v>29</v>
      </c>
      <c r="C1167">
        <f t="shared" si="37"/>
        <v>17</v>
      </c>
      <c r="D1167" cm="1">
        <f t="array" ref="D1167">INDEX('Linha 03'!$A$4:$A$1000,B1167)</f>
        <v>20060028</v>
      </c>
      <c r="E1167" t="str" cm="1">
        <f t="array" ref="E1167">INDEX('Linha 03'!$B$4:$B$1000,B1167)</f>
        <v>Limp Perf Aquafast Essencia Natural Cx06 X 2l</v>
      </c>
      <c r="F1167" cm="1">
        <f t="array" ref="F1167">INDEX('Linha 03'!$C$3:$ZZ$3,C1167)</f>
        <v>20050034</v>
      </c>
      <c r="G1167" t="str" cm="1">
        <f t="array" ref="G1167">INDEX('Linha 03'!$C$2:$ZZ$2,C1167)</f>
        <v>Desinfetante Ito Eucalipto Cx/06 X 2l</v>
      </c>
      <c r="H1167" s="5" cm="1">
        <f t="array" ref="H1167">INDEX('Linha 03'!$C$4:$ZZ$1000,B1167,C1167)</f>
        <v>0</v>
      </c>
    </row>
    <row r="1168" spans="1:8" x14ac:dyDescent="0.25">
      <c r="A1168">
        <v>1166</v>
      </c>
      <c r="B1168">
        <f t="shared" si="36"/>
        <v>29</v>
      </c>
      <c r="C1168">
        <f t="shared" si="37"/>
        <v>18</v>
      </c>
      <c r="D1168" cm="1">
        <f t="array" ref="D1168">INDEX('Linha 03'!$A$4:$A$1000,B1168)</f>
        <v>20060028</v>
      </c>
      <c r="E1168" t="str" cm="1">
        <f t="array" ref="E1168">INDEX('Linha 03'!$B$4:$B$1000,B1168)</f>
        <v>Limp Perf Aquafast Essencia Natural Cx06 X 2l</v>
      </c>
      <c r="F1168" cm="1">
        <f t="array" ref="F1168">INDEX('Linha 03'!$C$3:$ZZ$3,C1168)</f>
        <v>20050077</v>
      </c>
      <c r="G1168" t="str" cm="1">
        <f t="array" ref="G1168">INDEX('Linha 03'!$C$2:$ZZ$2,C1168)</f>
        <v>Desinfetante Myata Lavanda Cx/06 X 2l</v>
      </c>
      <c r="H1168" s="5" cm="1">
        <f t="array" ref="H1168">INDEX('Linha 03'!$C$4:$ZZ$1000,B1168,C1168)</f>
        <v>0</v>
      </c>
    </row>
    <row r="1169" spans="1:8" x14ac:dyDescent="0.25">
      <c r="A1169">
        <v>1167</v>
      </c>
      <c r="B1169">
        <f t="shared" si="36"/>
        <v>29</v>
      </c>
      <c r="C1169">
        <f t="shared" si="37"/>
        <v>19</v>
      </c>
      <c r="D1169" cm="1">
        <f t="array" ref="D1169">INDEX('Linha 03'!$A$4:$A$1000,B1169)</f>
        <v>20060028</v>
      </c>
      <c r="E1169" t="str" cm="1">
        <f t="array" ref="E1169">INDEX('Linha 03'!$B$4:$B$1000,B1169)</f>
        <v>Limp Perf Aquafast Essencia Natural Cx06 X 2l</v>
      </c>
      <c r="F1169" cm="1">
        <f t="array" ref="F1169">INDEX('Linha 03'!$C$3:$ZZ$3,C1169)</f>
        <v>20050078</v>
      </c>
      <c r="G1169" t="str" cm="1">
        <f t="array" ref="G1169">INDEX('Linha 03'!$C$2:$ZZ$2,C1169)</f>
        <v>Desinfetante Myata Floral Cx/06 X 2l</v>
      </c>
      <c r="H1169" s="5" cm="1">
        <f t="array" ref="H1169">INDEX('Linha 03'!$C$4:$ZZ$1000,B1169,C1169)</f>
        <v>0</v>
      </c>
    </row>
    <row r="1170" spans="1:8" x14ac:dyDescent="0.25">
      <c r="A1170">
        <v>1168</v>
      </c>
      <c r="B1170">
        <f t="shared" si="36"/>
        <v>29</v>
      </c>
      <c r="C1170">
        <f t="shared" si="37"/>
        <v>20</v>
      </c>
      <c r="D1170" cm="1">
        <f t="array" ref="D1170">INDEX('Linha 03'!$A$4:$A$1000,B1170)</f>
        <v>20060028</v>
      </c>
      <c r="E1170" t="str" cm="1">
        <f t="array" ref="E1170">INDEX('Linha 03'!$B$4:$B$1000,B1170)</f>
        <v>Limp Perf Aquafast Essencia Natural Cx06 X 2l</v>
      </c>
      <c r="F1170" cm="1">
        <f t="array" ref="F1170">INDEX('Linha 03'!$C$3:$ZZ$3,C1170)</f>
        <v>20050115</v>
      </c>
      <c r="G1170" t="str" cm="1">
        <f t="array" ref="G1170">INDEX('Linha 03'!$C$2:$ZZ$2,C1170)</f>
        <v>Desinfetante Aquafast Paixao Cx/06 X 2l</v>
      </c>
      <c r="H1170" s="5" cm="1">
        <f t="array" ref="H1170">INDEX('Linha 03'!$C$4:$ZZ$1000,B1170,C1170)</f>
        <v>0</v>
      </c>
    </row>
    <row r="1171" spans="1:8" x14ac:dyDescent="0.25">
      <c r="A1171">
        <v>1169</v>
      </c>
      <c r="B1171">
        <f t="shared" si="36"/>
        <v>29</v>
      </c>
      <c r="C1171">
        <f t="shared" si="37"/>
        <v>21</v>
      </c>
      <c r="D1171" cm="1">
        <f t="array" ref="D1171">INDEX('Linha 03'!$A$4:$A$1000,B1171)</f>
        <v>20060028</v>
      </c>
      <c r="E1171" t="str" cm="1">
        <f t="array" ref="E1171">INDEX('Linha 03'!$B$4:$B$1000,B1171)</f>
        <v>Limp Perf Aquafast Essencia Natural Cx06 X 2l</v>
      </c>
      <c r="F1171" cm="1">
        <f t="array" ref="F1171">INDEX('Linha 03'!$C$3:$ZZ$3,C1171)</f>
        <v>20050117</v>
      </c>
      <c r="G1171" t="str" cm="1">
        <f t="array" ref="G1171">INDEX('Linha 03'!$C$2:$ZZ$2,C1171)</f>
        <v>Desinfetante Aquafast Harmonia Natural Cx/06 X 2l</v>
      </c>
      <c r="H1171" s="5" cm="1">
        <f t="array" ref="H1171">INDEX('Linha 03'!$C$4:$ZZ$1000,B1171,C1171)</f>
        <v>0</v>
      </c>
    </row>
    <row r="1172" spans="1:8" x14ac:dyDescent="0.25">
      <c r="A1172">
        <v>1170</v>
      </c>
      <c r="B1172">
        <f t="shared" si="36"/>
        <v>29</v>
      </c>
      <c r="C1172">
        <f t="shared" si="37"/>
        <v>22</v>
      </c>
      <c r="D1172" cm="1">
        <f t="array" ref="D1172">INDEX('Linha 03'!$A$4:$A$1000,B1172)</f>
        <v>20060028</v>
      </c>
      <c r="E1172" t="str" cm="1">
        <f t="array" ref="E1172">INDEX('Linha 03'!$B$4:$B$1000,B1172)</f>
        <v>Limp Perf Aquafast Essencia Natural Cx06 X 2l</v>
      </c>
      <c r="F1172" cm="1">
        <f t="array" ref="F1172">INDEX('Linha 03'!$C$3:$ZZ$3,C1172)</f>
        <v>20050123</v>
      </c>
      <c r="G1172" t="str" cm="1">
        <f t="array" ref="G1172">INDEX('Linha 03'!$C$2:$ZZ$2,C1172)</f>
        <v>Desinfetante Ito Harmonia Natural Cx/06 X 2l</v>
      </c>
      <c r="H1172" s="5" cm="1">
        <f t="array" ref="H1172">INDEX('Linha 03'!$C$4:$ZZ$1000,B1172,C1172)</f>
        <v>0</v>
      </c>
    </row>
    <row r="1173" spans="1:8" x14ac:dyDescent="0.25">
      <c r="A1173">
        <v>1171</v>
      </c>
      <c r="B1173">
        <f t="shared" si="36"/>
        <v>29</v>
      </c>
      <c r="C1173">
        <f t="shared" si="37"/>
        <v>23</v>
      </c>
      <c r="D1173" cm="1">
        <f t="array" ref="D1173">INDEX('Linha 03'!$A$4:$A$1000,B1173)</f>
        <v>20060028</v>
      </c>
      <c r="E1173" t="str" cm="1">
        <f t="array" ref="E1173">INDEX('Linha 03'!$B$4:$B$1000,B1173)</f>
        <v>Limp Perf Aquafast Essencia Natural Cx06 X 2l</v>
      </c>
      <c r="F1173" cm="1">
        <f t="array" ref="F1173">INDEX('Linha 03'!$C$3:$ZZ$3,C1173)</f>
        <v>20050124</v>
      </c>
      <c r="G1173" t="str" cm="1">
        <f t="array" ref="G1173">INDEX('Linha 03'!$C$2:$ZZ$2,C1173)</f>
        <v>Desinfetante Myata Harmonia Natural Cx/06 X 2l</v>
      </c>
      <c r="H1173" s="5" cm="1">
        <f t="array" ref="H1173">INDEX('Linha 03'!$C$4:$ZZ$1000,B1173,C1173)</f>
        <v>0</v>
      </c>
    </row>
    <row r="1174" spans="1:8" x14ac:dyDescent="0.25">
      <c r="A1174">
        <v>1172</v>
      </c>
      <c r="B1174">
        <f t="shared" si="36"/>
        <v>29</v>
      </c>
      <c r="C1174">
        <f t="shared" si="37"/>
        <v>24</v>
      </c>
      <c r="D1174" cm="1">
        <f t="array" ref="D1174">INDEX('Linha 03'!$A$4:$A$1000,B1174)</f>
        <v>20060028</v>
      </c>
      <c r="E1174" t="str" cm="1">
        <f t="array" ref="E1174">INDEX('Linha 03'!$B$4:$B$1000,B1174)</f>
        <v>Limp Perf Aquafast Essencia Natural Cx06 X 2l</v>
      </c>
      <c r="F1174" cm="1">
        <f t="array" ref="F1174">INDEX('Linha 03'!$C$3:$ZZ$3,C1174)</f>
        <v>20050142</v>
      </c>
      <c r="G1174" t="str" cm="1">
        <f t="array" ref="G1174">INDEX('Linha 03'!$C$2:$ZZ$2,C1174)</f>
        <v>Desinfetante Ito Marine Cx/06 X 2l</v>
      </c>
      <c r="H1174" s="5" cm="1">
        <f t="array" ref="H1174">INDEX('Linha 03'!$C$4:$ZZ$1000,B1174,C1174)</f>
        <v>0</v>
      </c>
    </row>
    <row r="1175" spans="1:8" x14ac:dyDescent="0.25">
      <c r="A1175">
        <v>1173</v>
      </c>
      <c r="B1175">
        <f t="shared" si="36"/>
        <v>29</v>
      </c>
      <c r="C1175">
        <f t="shared" si="37"/>
        <v>25</v>
      </c>
      <c r="D1175" cm="1">
        <f t="array" ref="D1175">INDEX('Linha 03'!$A$4:$A$1000,B1175)</f>
        <v>20060028</v>
      </c>
      <c r="E1175" t="str" cm="1">
        <f t="array" ref="E1175">INDEX('Linha 03'!$B$4:$B$1000,B1175)</f>
        <v>Limp Perf Aquafast Essencia Natural Cx06 X 2l</v>
      </c>
      <c r="F1175" cm="1">
        <f t="array" ref="F1175">INDEX('Linha 03'!$C$3:$ZZ$3,C1175)</f>
        <v>20050159</v>
      </c>
      <c r="G1175" t="str" cm="1">
        <f t="array" ref="G1175">INDEX('Linha 03'!$C$2:$ZZ$2,C1175)</f>
        <v>Desinfetante Aquafast Cha Branco Cx/06 X 2l</v>
      </c>
      <c r="H1175" s="5" cm="1">
        <f t="array" ref="H1175">INDEX('Linha 03'!$C$4:$ZZ$1000,B1175,C1175)</f>
        <v>1.38888888888889E-2</v>
      </c>
    </row>
    <row r="1176" spans="1:8" x14ac:dyDescent="0.25">
      <c r="A1176">
        <v>1174</v>
      </c>
      <c r="B1176">
        <f t="shared" si="36"/>
        <v>29</v>
      </c>
      <c r="C1176">
        <f t="shared" si="37"/>
        <v>26</v>
      </c>
      <c r="D1176" cm="1">
        <f t="array" ref="D1176">INDEX('Linha 03'!$A$4:$A$1000,B1176)</f>
        <v>20060028</v>
      </c>
      <c r="E1176" t="str" cm="1">
        <f t="array" ref="E1176">INDEX('Linha 03'!$B$4:$B$1000,B1176)</f>
        <v>Limp Perf Aquafast Essencia Natural Cx06 X 2l</v>
      </c>
      <c r="F1176" cm="1">
        <f t="array" ref="F1176">INDEX('Linha 03'!$C$3:$ZZ$3,C1176)</f>
        <v>20060007</v>
      </c>
      <c r="G1176" t="str" cm="1">
        <f t="array" ref="G1176">INDEX('Linha 03'!$C$2:$ZZ$2,C1176)</f>
        <v>Limp Perf Aquafast Magia Seducao Cx/06 X 2l (Promoc)</v>
      </c>
      <c r="H1176" s="5" cm="1">
        <f t="array" ref="H1176">INDEX('Linha 03'!$C$4:$ZZ$1000,B1176,C1176)</f>
        <v>0</v>
      </c>
    </row>
    <row r="1177" spans="1:8" x14ac:dyDescent="0.25">
      <c r="A1177">
        <v>1175</v>
      </c>
      <c r="B1177">
        <f t="shared" si="36"/>
        <v>29</v>
      </c>
      <c r="C1177">
        <f t="shared" si="37"/>
        <v>27</v>
      </c>
      <c r="D1177" cm="1">
        <f t="array" ref="D1177">INDEX('Linha 03'!$A$4:$A$1000,B1177)</f>
        <v>20060028</v>
      </c>
      <c r="E1177" t="str" cm="1">
        <f t="array" ref="E1177">INDEX('Linha 03'!$B$4:$B$1000,B1177)</f>
        <v>Limp Perf Aquafast Essencia Natural Cx06 X 2l</v>
      </c>
      <c r="F1177" cm="1">
        <f t="array" ref="F1177">INDEX('Linha 03'!$C$3:$ZZ$3,C1177)</f>
        <v>20060009</v>
      </c>
      <c r="G1177" t="str" cm="1">
        <f t="array" ref="G1177">INDEX('Linha 03'!$C$2:$ZZ$2,C1177)</f>
        <v>Limp Perf Aquafast Frescor Da Manha Cx/06 X 2l (Promoc)</v>
      </c>
      <c r="H1177" s="5" cm="1">
        <f t="array" ref="H1177">INDEX('Linha 03'!$C$4:$ZZ$1000,B1177,C1177)</f>
        <v>0</v>
      </c>
    </row>
    <row r="1178" spans="1:8" x14ac:dyDescent="0.25">
      <c r="A1178">
        <v>1176</v>
      </c>
      <c r="B1178">
        <f t="shared" si="36"/>
        <v>29</v>
      </c>
      <c r="C1178">
        <f t="shared" si="37"/>
        <v>28</v>
      </c>
      <c r="D1178" cm="1">
        <f t="array" ref="D1178">INDEX('Linha 03'!$A$4:$A$1000,B1178)</f>
        <v>20060028</v>
      </c>
      <c r="E1178" t="str" cm="1">
        <f t="array" ref="E1178">INDEX('Linha 03'!$B$4:$B$1000,B1178)</f>
        <v>Limp Perf Aquafast Essencia Natural Cx06 X 2l</v>
      </c>
      <c r="F1178" cm="1">
        <f t="array" ref="F1178">INDEX('Linha 03'!$C$3:$ZZ$3,C1178)</f>
        <v>20060017</v>
      </c>
      <c r="G1178" t="str" cm="1">
        <f t="array" ref="G1178">INDEX('Linha 03'!$C$2:$ZZ$2,C1178)</f>
        <v>Limp Perf Aquafast Doce Romance Cx/06 X 2l (Promoc)</v>
      </c>
      <c r="H1178" s="5" cm="1">
        <f t="array" ref="H1178">INDEX('Linha 03'!$C$4:$ZZ$1000,B1178,C1178)</f>
        <v>0</v>
      </c>
    </row>
    <row r="1179" spans="1:8" x14ac:dyDescent="0.25">
      <c r="A1179">
        <v>1177</v>
      </c>
      <c r="B1179">
        <f t="shared" si="36"/>
        <v>29</v>
      </c>
      <c r="C1179">
        <f t="shared" si="37"/>
        <v>29</v>
      </c>
      <c r="D1179" cm="1">
        <f t="array" ref="D1179">INDEX('Linha 03'!$A$4:$A$1000,B1179)</f>
        <v>20060028</v>
      </c>
      <c r="E1179" t="str" cm="1">
        <f t="array" ref="E1179">INDEX('Linha 03'!$B$4:$B$1000,B1179)</f>
        <v>Limp Perf Aquafast Essencia Natural Cx06 X 2l</v>
      </c>
      <c r="F1179" cm="1">
        <f t="array" ref="F1179">INDEX('Linha 03'!$C$3:$ZZ$3,C1179)</f>
        <v>20060028</v>
      </c>
      <c r="G1179" t="str" cm="1">
        <f t="array" ref="G1179">INDEX('Linha 03'!$C$2:$ZZ$2,C1179)</f>
        <v>Limp Perf Aquafast Essencia Natural Cx06 X 2l</v>
      </c>
      <c r="H1179" s="5" cm="1">
        <f t="array" ref="H1179">INDEX('Linha 03'!$C$4:$ZZ$1000,B1179,C1179)</f>
        <v>0</v>
      </c>
    </row>
    <row r="1180" spans="1:8" x14ac:dyDescent="0.25">
      <c r="A1180">
        <v>1178</v>
      </c>
      <c r="B1180">
        <f t="shared" si="36"/>
        <v>29</v>
      </c>
      <c r="C1180">
        <f t="shared" si="37"/>
        <v>30</v>
      </c>
      <c r="D1180" cm="1">
        <f t="array" ref="D1180">INDEX('Linha 03'!$A$4:$A$1000,B1180)</f>
        <v>20060028</v>
      </c>
      <c r="E1180" t="str" cm="1">
        <f t="array" ref="E1180">INDEX('Linha 03'!$B$4:$B$1000,B1180)</f>
        <v>Limp Perf Aquafast Essencia Natural Cx06 X 2l</v>
      </c>
      <c r="F1180" cm="1">
        <f t="array" ref="F1180">INDEX('Linha 03'!$C$3:$ZZ$3,C1180)</f>
        <v>20200003</v>
      </c>
      <c r="G1180" t="str" cm="1">
        <f t="array" ref="G1180">INDEX('Linha 03'!$C$2:$ZZ$2,C1180)</f>
        <v>Lava Roup. Aquafast Baby Cx/12 X 1l</v>
      </c>
      <c r="H1180" s="5" cm="1">
        <f t="array" ref="H1180">INDEX('Linha 03'!$C$4:$ZZ$1000,B1180,C1180)</f>
        <v>0</v>
      </c>
    </row>
    <row r="1181" spans="1:8" x14ac:dyDescent="0.25">
      <c r="A1181">
        <v>1179</v>
      </c>
      <c r="B1181">
        <f t="shared" si="36"/>
        <v>29</v>
      </c>
      <c r="C1181">
        <f t="shared" si="37"/>
        <v>31</v>
      </c>
      <c r="D1181" cm="1">
        <f t="array" ref="D1181">INDEX('Linha 03'!$A$4:$A$1000,B1181)</f>
        <v>20060028</v>
      </c>
      <c r="E1181" t="str" cm="1">
        <f t="array" ref="E1181">INDEX('Linha 03'!$B$4:$B$1000,B1181)</f>
        <v>Limp Perf Aquafast Essencia Natural Cx06 X 2l</v>
      </c>
      <c r="F1181" cm="1">
        <f t="array" ref="F1181">INDEX('Linha 03'!$C$3:$ZZ$3,C1181)</f>
        <v>20200005</v>
      </c>
      <c r="G1181" t="str" cm="1">
        <f t="array" ref="G1181">INDEX('Linha 03'!$C$2:$ZZ$2,C1181)</f>
        <v>Lava Roupas Aquafast Multi Acao Cx/06 X 2l</v>
      </c>
      <c r="H1181" s="5" cm="1">
        <f t="array" ref="H1181">INDEX('Linha 03'!$C$4:$ZZ$1000,B1181,C1181)</f>
        <v>0</v>
      </c>
    </row>
    <row r="1182" spans="1:8" x14ac:dyDescent="0.25">
      <c r="A1182">
        <v>1180</v>
      </c>
      <c r="B1182">
        <f t="shared" si="36"/>
        <v>29</v>
      </c>
      <c r="C1182">
        <f t="shared" si="37"/>
        <v>32</v>
      </c>
      <c r="D1182" cm="1">
        <f t="array" ref="D1182">INDEX('Linha 03'!$A$4:$A$1000,B1182)</f>
        <v>20060028</v>
      </c>
      <c r="E1182" t="str" cm="1">
        <f t="array" ref="E1182">INDEX('Linha 03'!$B$4:$B$1000,B1182)</f>
        <v>Limp Perf Aquafast Essencia Natural Cx06 X 2l</v>
      </c>
      <c r="F1182" cm="1">
        <f t="array" ref="F1182">INDEX('Linha 03'!$C$3:$ZZ$3,C1182)</f>
        <v>20200006</v>
      </c>
      <c r="G1182" t="str" cm="1">
        <f t="array" ref="G1182">INDEX('Linha 03'!$C$2:$ZZ$2,C1182)</f>
        <v>Lava Roupas Aquafast Glicerina Cx/06 X 2l</v>
      </c>
      <c r="H1182" s="5" cm="1">
        <f t="array" ref="H1182">INDEX('Linha 03'!$C$4:$ZZ$1000,B1182,C1182)</f>
        <v>0</v>
      </c>
    </row>
    <row r="1183" spans="1:8" x14ac:dyDescent="0.25">
      <c r="A1183">
        <v>1181</v>
      </c>
      <c r="B1183">
        <f t="shared" si="36"/>
        <v>29</v>
      </c>
      <c r="C1183">
        <f t="shared" si="37"/>
        <v>33</v>
      </c>
      <c r="D1183" cm="1">
        <f t="array" ref="D1183">INDEX('Linha 03'!$A$4:$A$1000,B1183)</f>
        <v>20060028</v>
      </c>
      <c r="E1183" t="str" cm="1">
        <f t="array" ref="E1183">INDEX('Linha 03'!$B$4:$B$1000,B1183)</f>
        <v>Limp Perf Aquafast Essencia Natural Cx06 X 2l</v>
      </c>
      <c r="F1183" cm="1">
        <f t="array" ref="F1183">INDEX('Linha 03'!$C$3:$ZZ$3,C1183)</f>
        <v>20200015</v>
      </c>
      <c r="G1183" t="str" cm="1">
        <f t="array" ref="G1183">INDEX('Linha 03'!$C$2:$ZZ$2,C1183)</f>
        <v>Lava Roup. Aquafast Multiacao Cx/12 X 1l</v>
      </c>
      <c r="H1183" s="5" cm="1">
        <f t="array" ref="H1183">INDEX('Linha 03'!$C$4:$ZZ$1000,B1183,C1183)</f>
        <v>0</v>
      </c>
    </row>
    <row r="1184" spans="1:8" x14ac:dyDescent="0.25">
      <c r="A1184">
        <v>1182</v>
      </c>
      <c r="B1184">
        <f t="shared" si="36"/>
        <v>29</v>
      </c>
      <c r="C1184">
        <f t="shared" si="37"/>
        <v>34</v>
      </c>
      <c r="D1184" cm="1">
        <f t="array" ref="D1184">INDEX('Linha 03'!$A$4:$A$1000,B1184)</f>
        <v>20060028</v>
      </c>
      <c r="E1184" t="str" cm="1">
        <f t="array" ref="E1184">INDEX('Linha 03'!$B$4:$B$1000,B1184)</f>
        <v>Limp Perf Aquafast Essencia Natural Cx06 X 2l</v>
      </c>
      <c r="F1184" cm="1">
        <f t="array" ref="F1184">INDEX('Linha 03'!$C$3:$ZZ$3,C1184)</f>
        <v>20200036</v>
      </c>
      <c r="G1184" t="str" cm="1">
        <f t="array" ref="G1184">INDEX('Linha 03'!$C$2:$ZZ$2,C1184)</f>
        <v>Lava Roupas Aquafast Ternura Cx/06 X 2l</v>
      </c>
      <c r="H1184" s="5" cm="1">
        <f t="array" ref="H1184">INDEX('Linha 03'!$C$4:$ZZ$1000,B1184,C1184)</f>
        <v>0</v>
      </c>
    </row>
    <row r="1185" spans="1:8" x14ac:dyDescent="0.25">
      <c r="A1185">
        <v>1183</v>
      </c>
      <c r="B1185">
        <f t="shared" si="36"/>
        <v>29</v>
      </c>
      <c r="C1185">
        <f t="shared" si="37"/>
        <v>35</v>
      </c>
      <c r="D1185" cm="1">
        <f t="array" ref="D1185">INDEX('Linha 03'!$A$4:$A$1000,B1185)</f>
        <v>20060028</v>
      </c>
      <c r="E1185" t="str" cm="1">
        <f t="array" ref="E1185">INDEX('Linha 03'!$B$4:$B$1000,B1185)</f>
        <v>Limp Perf Aquafast Essencia Natural Cx06 X 2l</v>
      </c>
      <c r="F1185" cm="1">
        <f t="array" ref="F1185">INDEX('Linha 03'!$C$3:$ZZ$3,C1185)</f>
        <v>20200063</v>
      </c>
      <c r="G1185" t="str" cm="1">
        <f t="array" ref="G1185">INDEX('Linha 03'!$C$2:$ZZ$2,C1185)</f>
        <v>Lava Roup. Aquafast Tradicional Cx/12 X 1l</v>
      </c>
      <c r="H1185" s="5" cm="1">
        <f t="array" ref="H1185">INDEX('Linha 03'!$C$4:$ZZ$1000,B1185,C1185)</f>
        <v>0</v>
      </c>
    </row>
    <row r="1186" spans="1:8" x14ac:dyDescent="0.25">
      <c r="A1186">
        <v>1184</v>
      </c>
      <c r="B1186">
        <f t="shared" si="36"/>
        <v>29</v>
      </c>
      <c r="C1186">
        <f t="shared" si="37"/>
        <v>36</v>
      </c>
      <c r="D1186" cm="1">
        <f t="array" ref="D1186">INDEX('Linha 03'!$A$4:$A$1000,B1186)</f>
        <v>20060028</v>
      </c>
      <c r="E1186" t="str" cm="1">
        <f t="array" ref="E1186">INDEX('Linha 03'!$B$4:$B$1000,B1186)</f>
        <v>Limp Perf Aquafast Essencia Natural Cx06 X 2l</v>
      </c>
      <c r="F1186" cm="1">
        <f t="array" ref="F1186">INDEX('Linha 03'!$C$3:$ZZ$3,C1186)</f>
        <v>20200064</v>
      </c>
      <c r="G1186" t="str" cm="1">
        <f t="array" ref="G1186">INDEX('Linha 03'!$C$2:$ZZ$2,C1186)</f>
        <v>Lava Roup. Aquafast Flores B. E Baunilha Cx/12 X 1l</v>
      </c>
      <c r="H1186" s="5" cm="1">
        <f t="array" ref="H1186">INDEX('Linha 03'!$C$4:$ZZ$1000,B1186,C1186)</f>
        <v>0</v>
      </c>
    </row>
    <row r="1187" spans="1:8" x14ac:dyDescent="0.25">
      <c r="A1187">
        <v>1185</v>
      </c>
      <c r="B1187">
        <f t="shared" si="36"/>
        <v>29</v>
      </c>
      <c r="C1187">
        <f t="shared" si="37"/>
        <v>37</v>
      </c>
      <c r="D1187" cm="1">
        <f t="array" ref="D1187">INDEX('Linha 03'!$A$4:$A$1000,B1187)</f>
        <v>20060028</v>
      </c>
      <c r="E1187" t="str" cm="1">
        <f t="array" ref="E1187">INDEX('Linha 03'!$B$4:$B$1000,B1187)</f>
        <v>Limp Perf Aquafast Essencia Natural Cx06 X 2l</v>
      </c>
      <c r="F1187" cm="1">
        <f t="array" ref="F1187">INDEX('Linha 03'!$C$3:$ZZ$3,C1187)</f>
        <v>20200065</v>
      </c>
      <c r="G1187" t="str" cm="1">
        <f t="array" ref="G1187">INDEX('Linha 03'!$C$2:$ZZ$2,C1187)</f>
        <v>Lava Roupas Aquafast Flores B. E Baunilha Cx/06 X 2l</v>
      </c>
      <c r="H1187" s="5" cm="1">
        <f t="array" ref="H1187">INDEX('Linha 03'!$C$4:$ZZ$1000,B1187,C1187)</f>
        <v>0</v>
      </c>
    </row>
    <row r="1188" spans="1:8" x14ac:dyDescent="0.25">
      <c r="A1188">
        <v>1186</v>
      </c>
      <c r="B1188">
        <f t="shared" si="36"/>
        <v>29</v>
      </c>
      <c r="C1188">
        <f t="shared" si="37"/>
        <v>38</v>
      </c>
      <c r="D1188" cm="1">
        <f t="array" ref="D1188">INDEX('Linha 03'!$A$4:$A$1000,B1188)</f>
        <v>20060028</v>
      </c>
      <c r="E1188" t="str" cm="1">
        <f t="array" ref="E1188">INDEX('Linha 03'!$B$4:$B$1000,B1188)</f>
        <v>Limp Perf Aquafast Essencia Natural Cx06 X 2l</v>
      </c>
      <c r="F1188" cm="1">
        <f t="array" ref="F1188">INDEX('Linha 03'!$C$3:$ZZ$3,C1188)</f>
        <v>20200072</v>
      </c>
      <c r="G1188" t="str" cm="1">
        <f t="array" ref="G1188">INDEX('Linha 03'!$C$2:$ZZ$2,C1188)</f>
        <v>Lava Roupas Aquafast Lavagem Rapida Total Clean Cx/12 X 1l</v>
      </c>
      <c r="H1188" s="5" cm="1">
        <f t="array" ref="H1188">INDEX('Linha 03'!$C$4:$ZZ$1000,B1188,C1188)</f>
        <v>0</v>
      </c>
    </row>
    <row r="1189" spans="1:8" x14ac:dyDescent="0.25">
      <c r="A1189">
        <v>1187</v>
      </c>
      <c r="B1189">
        <f t="shared" si="36"/>
        <v>29</v>
      </c>
      <c r="C1189">
        <f t="shared" si="37"/>
        <v>39</v>
      </c>
      <c r="D1189" cm="1">
        <f t="array" ref="D1189">INDEX('Linha 03'!$A$4:$A$1000,B1189)</f>
        <v>20060028</v>
      </c>
      <c r="E1189" t="str" cm="1">
        <f t="array" ref="E1189">INDEX('Linha 03'!$B$4:$B$1000,B1189)</f>
        <v>Limp Perf Aquafast Essencia Natural Cx06 X 2l</v>
      </c>
      <c r="F1189" cm="1">
        <f t="array" ref="F1189">INDEX('Linha 03'!$C$3:$ZZ$3,C1189)</f>
        <v>20200074</v>
      </c>
      <c r="G1189" t="str" cm="1">
        <f t="array" ref="G1189">INDEX('Linha 03'!$C$2:$ZZ$2,C1189)</f>
        <v>Lava Roupas Aquafast Lavagem Rapida Fresh Clean Cx/12 X 1l</v>
      </c>
      <c r="H1189" s="5" cm="1">
        <f t="array" ref="H1189">INDEX('Linha 03'!$C$4:$ZZ$1000,B1189,C1189)</f>
        <v>0</v>
      </c>
    </row>
    <row r="1190" spans="1:8" x14ac:dyDescent="0.25">
      <c r="A1190">
        <v>1188</v>
      </c>
      <c r="B1190">
        <f t="shared" si="36"/>
        <v>29</v>
      </c>
      <c r="C1190">
        <f t="shared" si="37"/>
        <v>40</v>
      </c>
      <c r="D1190" cm="1">
        <f t="array" ref="D1190">INDEX('Linha 03'!$A$4:$A$1000,B1190)</f>
        <v>20060028</v>
      </c>
      <c r="E1190" t="str" cm="1">
        <f t="array" ref="E1190">INDEX('Linha 03'!$B$4:$B$1000,B1190)</f>
        <v>Limp Perf Aquafast Essencia Natural Cx06 X 2l</v>
      </c>
      <c r="F1190" cm="1">
        <f t="array" ref="F1190">INDEX('Linha 03'!$C$3:$ZZ$3,C1190)</f>
        <v>20250005</v>
      </c>
      <c r="G1190" t="str" cm="1">
        <f t="array" ref="G1190">INDEX('Linha 03'!$C$2:$ZZ$2,C1190)</f>
        <v>Neutralizador De Odores Aquafast Floral Cx/06 X 2l</v>
      </c>
      <c r="H1190" s="5" cm="1">
        <f t="array" ref="H1190">INDEX('Linha 03'!$C$4:$ZZ$1000,B1190,C1190)</f>
        <v>0</v>
      </c>
    </row>
    <row r="1191" spans="1:8" x14ac:dyDescent="0.25">
      <c r="A1191">
        <v>1189</v>
      </c>
      <c r="B1191">
        <f t="shared" si="36"/>
        <v>29</v>
      </c>
      <c r="C1191">
        <f t="shared" si="37"/>
        <v>41</v>
      </c>
      <c r="D1191" cm="1">
        <f t="array" ref="D1191">INDEX('Linha 03'!$A$4:$A$1000,B1191)</f>
        <v>20060028</v>
      </c>
      <c r="E1191" t="str" cm="1">
        <f t="array" ref="E1191">INDEX('Linha 03'!$B$4:$B$1000,B1191)</f>
        <v>Limp Perf Aquafast Essencia Natural Cx06 X 2l</v>
      </c>
      <c r="F1191" cm="1">
        <f t="array" ref="F1191">INDEX('Linha 03'!$C$3:$ZZ$3,C1191)</f>
        <v>20250007</v>
      </c>
      <c r="G1191" t="str" cm="1">
        <f t="array" ref="G1191">INDEX('Linha 03'!$C$2:$ZZ$2,C1191)</f>
        <v>Neutralizador De Odores Aquafast Marine Cx/06 2l</v>
      </c>
      <c r="H1191" s="5" cm="1">
        <f t="array" ref="H1191">INDEX('Linha 03'!$C$4:$ZZ$1000,B1191,C1191)</f>
        <v>0</v>
      </c>
    </row>
    <row r="1192" spans="1:8" x14ac:dyDescent="0.25">
      <c r="A1192">
        <v>1190</v>
      </c>
      <c r="B1192">
        <f t="shared" si="36"/>
        <v>30</v>
      </c>
      <c r="C1192">
        <f t="shared" si="37"/>
        <v>1</v>
      </c>
      <c r="D1192" cm="1">
        <f t="array" ref="D1192">INDEX('Linha 03'!$A$4:$A$1000,B1192)</f>
        <v>20200003</v>
      </c>
      <c r="E1192" t="str" cm="1">
        <f t="array" ref="E1192">INDEX('Linha 03'!$B$4:$B$1000,B1192)</f>
        <v>Lava Roup. Aquafast Baby Cx/12 X 1l</v>
      </c>
      <c r="F1192" cm="1">
        <f t="array" ref="F1192">INDEX('Linha 03'!$C$3:$ZZ$3,C1192)</f>
        <v>20040006</v>
      </c>
      <c r="G1192" t="str" cm="1">
        <f t="array" ref="G1192">INDEX('Linha 03'!$C$2:$ZZ$2,C1192)</f>
        <v>Amaciante Aquafast Azul Fresc. Manha Cx/06 X 2l</v>
      </c>
      <c r="H1192" s="5" cm="1">
        <f t="array" ref="H1192">INDEX('Linha 03'!$C$4:$ZZ$1000,B1192,C1192)</f>
        <v>0</v>
      </c>
    </row>
    <row r="1193" spans="1:8" x14ac:dyDescent="0.25">
      <c r="A1193">
        <v>1191</v>
      </c>
      <c r="B1193">
        <f t="shared" si="36"/>
        <v>30</v>
      </c>
      <c r="C1193">
        <f t="shared" si="37"/>
        <v>2</v>
      </c>
      <c r="D1193" cm="1">
        <f t="array" ref="D1193">INDEX('Linha 03'!$A$4:$A$1000,B1193)</f>
        <v>20200003</v>
      </c>
      <c r="E1193" t="str" cm="1">
        <f t="array" ref="E1193">INDEX('Linha 03'!$B$4:$B$1000,B1193)</f>
        <v>Lava Roup. Aquafast Baby Cx/12 X 1l</v>
      </c>
      <c r="F1193" cm="1">
        <f t="array" ref="F1193">INDEX('Linha 03'!$C$3:$ZZ$3,C1193)</f>
        <v>20040008</v>
      </c>
      <c r="G1193" t="str" cm="1">
        <f t="array" ref="G1193">INDEX('Linha 03'!$C$2:$ZZ$2,C1193)</f>
        <v>Amaciante Aquafast Rosa Jard. Florid Cx/06 X 2l</v>
      </c>
      <c r="H1193" s="5" cm="1">
        <f t="array" ref="H1193">INDEX('Linha 03'!$C$4:$ZZ$1000,B1193,C1193)</f>
        <v>0</v>
      </c>
    </row>
    <row r="1194" spans="1:8" x14ac:dyDescent="0.25">
      <c r="A1194">
        <v>1192</v>
      </c>
      <c r="B1194">
        <f t="shared" si="36"/>
        <v>30</v>
      </c>
      <c r="C1194">
        <f t="shared" si="37"/>
        <v>3</v>
      </c>
      <c r="D1194" cm="1">
        <f t="array" ref="D1194">INDEX('Linha 03'!$A$4:$A$1000,B1194)</f>
        <v>20200003</v>
      </c>
      <c r="E1194" t="str" cm="1">
        <f t="array" ref="E1194">INDEX('Linha 03'!$B$4:$B$1000,B1194)</f>
        <v>Lava Roup. Aquafast Baby Cx/12 X 1l</v>
      </c>
      <c r="F1194" cm="1">
        <f t="array" ref="F1194">INDEX('Linha 03'!$C$3:$ZZ$3,C1194)</f>
        <v>20040009</v>
      </c>
      <c r="G1194" t="str" cm="1">
        <f t="array" ref="G1194">INDEX('Linha 03'!$C$2:$ZZ$2,C1194)</f>
        <v>Amaciante Aquafast Branco Pura Caric. Cx/06 X 2l</v>
      </c>
      <c r="H1194" s="5" cm="1">
        <f t="array" ref="H1194">INDEX('Linha 03'!$C$4:$ZZ$1000,B1194,C1194)</f>
        <v>0</v>
      </c>
    </row>
    <row r="1195" spans="1:8" x14ac:dyDescent="0.25">
      <c r="A1195">
        <v>1193</v>
      </c>
      <c r="B1195">
        <f t="shared" si="36"/>
        <v>30</v>
      </c>
      <c r="C1195">
        <f t="shared" si="37"/>
        <v>4</v>
      </c>
      <c r="D1195" cm="1">
        <f t="array" ref="D1195">INDEX('Linha 03'!$A$4:$A$1000,B1195)</f>
        <v>20200003</v>
      </c>
      <c r="E1195" t="str" cm="1">
        <f t="array" ref="E1195">INDEX('Linha 03'!$B$4:$B$1000,B1195)</f>
        <v>Lava Roup. Aquafast Baby Cx/12 X 1l</v>
      </c>
      <c r="F1195" cm="1">
        <f t="array" ref="F1195">INDEX('Linha 03'!$C$3:$ZZ$3,C1195)</f>
        <v>20040026</v>
      </c>
      <c r="G1195" t="str" cm="1">
        <f t="array" ref="G1195">INDEX('Linha 03'!$C$2:$ZZ$2,C1195)</f>
        <v>Amaciante Ito Azul Cx/06 X 2l</v>
      </c>
      <c r="H1195" s="5" cm="1">
        <f t="array" ref="H1195">INDEX('Linha 03'!$C$4:$ZZ$1000,B1195,C1195)</f>
        <v>0</v>
      </c>
    </row>
    <row r="1196" spans="1:8" x14ac:dyDescent="0.25">
      <c r="A1196">
        <v>1194</v>
      </c>
      <c r="B1196">
        <f t="shared" si="36"/>
        <v>30</v>
      </c>
      <c r="C1196">
        <f t="shared" si="37"/>
        <v>5</v>
      </c>
      <c r="D1196" cm="1">
        <f t="array" ref="D1196">INDEX('Linha 03'!$A$4:$A$1000,B1196)</f>
        <v>20200003</v>
      </c>
      <c r="E1196" t="str" cm="1">
        <f t="array" ref="E1196">INDEX('Linha 03'!$B$4:$B$1000,B1196)</f>
        <v>Lava Roup. Aquafast Baby Cx/12 X 1l</v>
      </c>
      <c r="F1196" cm="1">
        <f t="array" ref="F1196">INDEX('Linha 03'!$C$3:$ZZ$3,C1196)</f>
        <v>20040028</v>
      </c>
      <c r="G1196" t="str" cm="1">
        <f t="array" ref="G1196">INDEX('Linha 03'!$C$2:$ZZ$2,C1196)</f>
        <v>Amaciante Ito Rosa Cx/06 X 2l</v>
      </c>
      <c r="H1196" s="5" cm="1">
        <f t="array" ref="H1196">INDEX('Linha 03'!$C$4:$ZZ$1000,B1196,C1196)</f>
        <v>0</v>
      </c>
    </row>
    <row r="1197" spans="1:8" x14ac:dyDescent="0.25">
      <c r="A1197">
        <v>1195</v>
      </c>
      <c r="B1197">
        <f t="shared" si="36"/>
        <v>30</v>
      </c>
      <c r="C1197">
        <f t="shared" si="37"/>
        <v>6</v>
      </c>
      <c r="D1197" cm="1">
        <f t="array" ref="D1197">INDEX('Linha 03'!$A$4:$A$1000,B1197)</f>
        <v>20200003</v>
      </c>
      <c r="E1197" t="str" cm="1">
        <f t="array" ref="E1197">INDEX('Linha 03'!$B$4:$B$1000,B1197)</f>
        <v>Lava Roup. Aquafast Baby Cx/12 X 1l</v>
      </c>
      <c r="F1197" cm="1">
        <f t="array" ref="F1197">INDEX('Linha 03'!$C$3:$ZZ$3,C1197)</f>
        <v>20040029</v>
      </c>
      <c r="G1197" t="str" cm="1">
        <f t="array" ref="G1197">INDEX('Linha 03'!$C$2:$ZZ$2,C1197)</f>
        <v>Amaciante Ito Branco Cx/06 X 2l</v>
      </c>
      <c r="H1197" s="5" cm="1">
        <f t="array" ref="H1197">INDEX('Linha 03'!$C$4:$ZZ$1000,B1197,C1197)</f>
        <v>0</v>
      </c>
    </row>
    <row r="1198" spans="1:8" x14ac:dyDescent="0.25">
      <c r="A1198">
        <v>1196</v>
      </c>
      <c r="B1198">
        <f t="shared" si="36"/>
        <v>30</v>
      </c>
      <c r="C1198">
        <f t="shared" si="37"/>
        <v>7</v>
      </c>
      <c r="D1198" cm="1">
        <f t="array" ref="D1198">INDEX('Linha 03'!$A$4:$A$1000,B1198)</f>
        <v>20200003</v>
      </c>
      <c r="E1198" t="str" cm="1">
        <f t="array" ref="E1198">INDEX('Linha 03'!$B$4:$B$1000,B1198)</f>
        <v>Lava Roup. Aquafast Baby Cx/12 X 1l</v>
      </c>
      <c r="F1198" cm="1">
        <f t="array" ref="F1198">INDEX('Linha 03'!$C$3:$ZZ$3,C1198)</f>
        <v>20040055</v>
      </c>
      <c r="G1198" t="str" cm="1">
        <f t="array" ref="G1198">INDEX('Linha 03'!$C$2:$ZZ$2,C1198)</f>
        <v>Amaciante Myata Azul Cx/06 X 2l</v>
      </c>
      <c r="H1198" s="5" cm="1">
        <f t="array" ref="H1198">INDEX('Linha 03'!$C$4:$ZZ$1000,B1198,C1198)</f>
        <v>0</v>
      </c>
    </row>
    <row r="1199" spans="1:8" x14ac:dyDescent="0.25">
      <c r="A1199">
        <v>1197</v>
      </c>
      <c r="B1199">
        <f t="shared" si="36"/>
        <v>30</v>
      </c>
      <c r="C1199">
        <f t="shared" si="37"/>
        <v>8</v>
      </c>
      <c r="D1199" cm="1">
        <f t="array" ref="D1199">INDEX('Linha 03'!$A$4:$A$1000,B1199)</f>
        <v>20200003</v>
      </c>
      <c r="E1199" t="str" cm="1">
        <f t="array" ref="E1199">INDEX('Linha 03'!$B$4:$B$1000,B1199)</f>
        <v>Lava Roup. Aquafast Baby Cx/12 X 1l</v>
      </c>
      <c r="F1199" cm="1">
        <f t="array" ref="F1199">INDEX('Linha 03'!$C$3:$ZZ$3,C1199)</f>
        <v>20040057</v>
      </c>
      <c r="G1199" t="str" cm="1">
        <f t="array" ref="G1199">INDEX('Linha 03'!$C$2:$ZZ$2,C1199)</f>
        <v>Amaciante Myata Rosa Cx/06 X 2l</v>
      </c>
      <c r="H1199" s="5" cm="1">
        <f t="array" ref="H1199">INDEX('Linha 03'!$C$4:$ZZ$1000,B1199,C1199)</f>
        <v>0</v>
      </c>
    </row>
    <row r="1200" spans="1:8" x14ac:dyDescent="0.25">
      <c r="A1200">
        <v>1198</v>
      </c>
      <c r="B1200">
        <f t="shared" si="36"/>
        <v>30</v>
      </c>
      <c r="C1200">
        <f t="shared" si="37"/>
        <v>9</v>
      </c>
      <c r="D1200" cm="1">
        <f t="array" ref="D1200">INDEX('Linha 03'!$A$4:$A$1000,B1200)</f>
        <v>20200003</v>
      </c>
      <c r="E1200" t="str" cm="1">
        <f t="array" ref="E1200">INDEX('Linha 03'!$B$4:$B$1000,B1200)</f>
        <v>Lava Roup. Aquafast Baby Cx/12 X 1l</v>
      </c>
      <c r="F1200" cm="1">
        <f t="array" ref="F1200">INDEX('Linha 03'!$C$3:$ZZ$3,C1200)</f>
        <v>20040084</v>
      </c>
      <c r="G1200" t="str" cm="1">
        <f t="array" ref="G1200">INDEX('Linha 03'!$C$2:$ZZ$2,C1200)</f>
        <v>Amaciante Aquafast Vermelho Seducao Cx C/06 X 2l</v>
      </c>
      <c r="H1200" s="5" cm="1">
        <f t="array" ref="H1200">INDEX('Linha 03'!$C$4:$ZZ$1000,B1200,C1200)</f>
        <v>0</v>
      </c>
    </row>
    <row r="1201" spans="1:8" x14ac:dyDescent="0.25">
      <c r="A1201">
        <v>1199</v>
      </c>
      <c r="B1201">
        <f t="shared" si="36"/>
        <v>30</v>
      </c>
      <c r="C1201">
        <f t="shared" si="37"/>
        <v>10</v>
      </c>
      <c r="D1201" cm="1">
        <f t="array" ref="D1201">INDEX('Linha 03'!$A$4:$A$1000,B1201)</f>
        <v>20200003</v>
      </c>
      <c r="E1201" t="str" cm="1">
        <f t="array" ref="E1201">INDEX('Linha 03'!$B$4:$B$1000,B1201)</f>
        <v>Lava Roup. Aquafast Baby Cx/12 X 1l</v>
      </c>
      <c r="F1201" cm="1">
        <f t="array" ref="F1201">INDEX('Linha 03'!$C$3:$ZZ$3,C1201)</f>
        <v>20040089</v>
      </c>
      <c r="G1201" t="str" cm="1">
        <f t="array" ref="G1201">INDEX('Linha 03'!$C$2:$ZZ$2,C1201)</f>
        <v>Amaciante Aquafast Roxo Magia Cx/06 X 2l</v>
      </c>
      <c r="H1201" s="5" cm="1">
        <f t="array" ref="H1201">INDEX('Linha 03'!$C$4:$ZZ$1000,B1201,C1201)</f>
        <v>0</v>
      </c>
    </row>
    <row r="1202" spans="1:8" x14ac:dyDescent="0.25">
      <c r="A1202">
        <v>1200</v>
      </c>
      <c r="B1202">
        <f t="shared" si="36"/>
        <v>30</v>
      </c>
      <c r="C1202">
        <f t="shared" si="37"/>
        <v>11</v>
      </c>
      <c r="D1202" cm="1">
        <f t="array" ref="D1202">INDEX('Linha 03'!$A$4:$A$1000,B1202)</f>
        <v>20200003</v>
      </c>
      <c r="E1202" t="str" cm="1">
        <f t="array" ref="E1202">INDEX('Linha 03'!$B$4:$B$1000,B1202)</f>
        <v>Lava Roup. Aquafast Baby Cx/12 X 1l</v>
      </c>
      <c r="F1202" cm="1">
        <f t="array" ref="F1202">INDEX('Linha 03'!$C$3:$ZZ$3,C1202)</f>
        <v>20040094</v>
      </c>
      <c r="G1202" t="str" cm="1">
        <f t="array" ref="G1202">INDEX('Linha 03'!$C$2:$ZZ$2,C1202)</f>
        <v>Amaciante Aquafast Energia Cx/06 X 2l</v>
      </c>
      <c r="H1202" s="5" cm="1">
        <f t="array" ref="H1202">INDEX('Linha 03'!$C$4:$ZZ$1000,B1202,C1202)</f>
        <v>0</v>
      </c>
    </row>
    <row r="1203" spans="1:8" x14ac:dyDescent="0.25">
      <c r="A1203">
        <v>1201</v>
      </c>
      <c r="B1203">
        <f t="shared" si="36"/>
        <v>30</v>
      </c>
      <c r="C1203">
        <f t="shared" si="37"/>
        <v>12</v>
      </c>
      <c r="D1203" cm="1">
        <f t="array" ref="D1203">INDEX('Linha 03'!$A$4:$A$1000,B1203)</f>
        <v>20200003</v>
      </c>
      <c r="E1203" t="str" cm="1">
        <f t="array" ref="E1203">INDEX('Linha 03'!$B$4:$B$1000,B1203)</f>
        <v>Lava Roup. Aquafast Baby Cx/12 X 1l</v>
      </c>
      <c r="F1203" cm="1">
        <f t="array" ref="F1203">INDEX('Linha 03'!$C$3:$ZZ$3,C1203)</f>
        <v>20050010</v>
      </c>
      <c r="G1203" t="str" cm="1">
        <f t="array" ref="G1203">INDEX('Linha 03'!$C$2:$ZZ$2,C1203)</f>
        <v>Desinfetante Aquafast Campos Lavanda Cx/06 X 2l</v>
      </c>
      <c r="H1203" s="5" cm="1">
        <f t="array" ref="H1203">INDEX('Linha 03'!$C$4:$ZZ$1000,B1203,C1203)</f>
        <v>0</v>
      </c>
    </row>
    <row r="1204" spans="1:8" x14ac:dyDescent="0.25">
      <c r="A1204">
        <v>1202</v>
      </c>
      <c r="B1204">
        <f t="shared" si="36"/>
        <v>30</v>
      </c>
      <c r="C1204">
        <f t="shared" si="37"/>
        <v>13</v>
      </c>
      <c r="D1204" cm="1">
        <f t="array" ref="D1204">INDEX('Linha 03'!$A$4:$A$1000,B1204)</f>
        <v>20200003</v>
      </c>
      <c r="E1204" t="str" cm="1">
        <f t="array" ref="E1204">INDEX('Linha 03'!$B$4:$B$1000,B1204)</f>
        <v>Lava Roup. Aquafast Baby Cx/12 X 1l</v>
      </c>
      <c r="F1204" cm="1">
        <f t="array" ref="F1204">INDEX('Linha 03'!$C$3:$ZZ$3,C1204)</f>
        <v>20050011</v>
      </c>
      <c r="G1204" t="str" cm="1">
        <f t="array" ref="G1204">INDEX('Linha 03'!$C$2:$ZZ$2,C1204)</f>
        <v>Desinfetante Aquafast Jardim Florido Cx/06 X 2l</v>
      </c>
      <c r="H1204" s="5" cm="1">
        <f t="array" ref="H1204">INDEX('Linha 03'!$C$4:$ZZ$1000,B1204,C1204)</f>
        <v>0</v>
      </c>
    </row>
    <row r="1205" spans="1:8" x14ac:dyDescent="0.25">
      <c r="A1205">
        <v>1203</v>
      </c>
      <c r="B1205">
        <f t="shared" si="36"/>
        <v>30</v>
      </c>
      <c r="C1205">
        <f t="shared" si="37"/>
        <v>14</v>
      </c>
      <c r="D1205" cm="1">
        <f t="array" ref="D1205">INDEX('Linha 03'!$A$4:$A$1000,B1205)</f>
        <v>20200003</v>
      </c>
      <c r="E1205" t="str" cm="1">
        <f t="array" ref="E1205">INDEX('Linha 03'!$B$4:$B$1000,B1205)</f>
        <v>Lava Roup. Aquafast Baby Cx/12 X 1l</v>
      </c>
      <c r="F1205" cm="1">
        <f t="array" ref="F1205">INDEX('Linha 03'!$C$3:$ZZ$3,C1205)</f>
        <v>20050016</v>
      </c>
      <c r="G1205" t="str" cm="1">
        <f t="array" ref="G1205">INDEX('Linha 03'!$C$2:$ZZ$2,C1205)</f>
        <v>Desinfetante Aquafast Marine Cx/06 X 2l</v>
      </c>
      <c r="H1205" s="5" cm="1">
        <f t="array" ref="H1205">INDEX('Linha 03'!$C$4:$ZZ$1000,B1205,C1205)</f>
        <v>0</v>
      </c>
    </row>
    <row r="1206" spans="1:8" x14ac:dyDescent="0.25">
      <c r="A1206">
        <v>1204</v>
      </c>
      <c r="B1206">
        <f t="shared" si="36"/>
        <v>30</v>
      </c>
      <c r="C1206">
        <f t="shared" si="37"/>
        <v>15</v>
      </c>
      <c r="D1206" cm="1">
        <f t="array" ref="D1206">INDEX('Linha 03'!$A$4:$A$1000,B1206)</f>
        <v>20200003</v>
      </c>
      <c r="E1206" t="str" cm="1">
        <f t="array" ref="E1206">INDEX('Linha 03'!$B$4:$B$1000,B1206)</f>
        <v>Lava Roup. Aquafast Baby Cx/12 X 1l</v>
      </c>
      <c r="F1206" cm="1">
        <f t="array" ref="F1206">INDEX('Linha 03'!$C$3:$ZZ$3,C1206)</f>
        <v>20050031</v>
      </c>
      <c r="G1206" t="str" cm="1">
        <f t="array" ref="G1206">INDEX('Linha 03'!$C$2:$ZZ$2,C1206)</f>
        <v>Desinfetante Ito Lavanda Cx/06 X 2l</v>
      </c>
      <c r="H1206" s="5" cm="1">
        <f t="array" ref="H1206">INDEX('Linha 03'!$C$4:$ZZ$1000,B1206,C1206)</f>
        <v>0</v>
      </c>
    </row>
    <row r="1207" spans="1:8" x14ac:dyDescent="0.25">
      <c r="A1207">
        <v>1205</v>
      </c>
      <c r="B1207">
        <f t="shared" si="36"/>
        <v>30</v>
      </c>
      <c r="C1207">
        <f t="shared" si="37"/>
        <v>16</v>
      </c>
      <c r="D1207" cm="1">
        <f t="array" ref="D1207">INDEX('Linha 03'!$A$4:$A$1000,B1207)</f>
        <v>20200003</v>
      </c>
      <c r="E1207" t="str" cm="1">
        <f t="array" ref="E1207">INDEX('Linha 03'!$B$4:$B$1000,B1207)</f>
        <v>Lava Roup. Aquafast Baby Cx/12 X 1l</v>
      </c>
      <c r="F1207" cm="1">
        <f t="array" ref="F1207">INDEX('Linha 03'!$C$3:$ZZ$3,C1207)</f>
        <v>20050032</v>
      </c>
      <c r="G1207" t="str" cm="1">
        <f t="array" ref="G1207">INDEX('Linha 03'!$C$2:$ZZ$2,C1207)</f>
        <v>Desinfetante Ito Floral Cx/06 X 2l</v>
      </c>
      <c r="H1207" s="5" cm="1">
        <f t="array" ref="H1207">INDEX('Linha 03'!$C$4:$ZZ$1000,B1207,C1207)</f>
        <v>0</v>
      </c>
    </row>
    <row r="1208" spans="1:8" x14ac:dyDescent="0.25">
      <c r="A1208">
        <v>1206</v>
      </c>
      <c r="B1208">
        <f t="shared" si="36"/>
        <v>30</v>
      </c>
      <c r="C1208">
        <f t="shared" si="37"/>
        <v>17</v>
      </c>
      <c r="D1208" cm="1">
        <f t="array" ref="D1208">INDEX('Linha 03'!$A$4:$A$1000,B1208)</f>
        <v>20200003</v>
      </c>
      <c r="E1208" t="str" cm="1">
        <f t="array" ref="E1208">INDEX('Linha 03'!$B$4:$B$1000,B1208)</f>
        <v>Lava Roup. Aquafast Baby Cx/12 X 1l</v>
      </c>
      <c r="F1208" cm="1">
        <f t="array" ref="F1208">INDEX('Linha 03'!$C$3:$ZZ$3,C1208)</f>
        <v>20050034</v>
      </c>
      <c r="G1208" t="str" cm="1">
        <f t="array" ref="G1208">INDEX('Linha 03'!$C$2:$ZZ$2,C1208)</f>
        <v>Desinfetante Ito Eucalipto Cx/06 X 2l</v>
      </c>
      <c r="H1208" s="5" cm="1">
        <f t="array" ref="H1208">INDEX('Linha 03'!$C$4:$ZZ$1000,B1208,C1208)</f>
        <v>0</v>
      </c>
    </row>
    <row r="1209" spans="1:8" x14ac:dyDescent="0.25">
      <c r="A1209">
        <v>1207</v>
      </c>
      <c r="B1209">
        <f t="shared" si="36"/>
        <v>30</v>
      </c>
      <c r="C1209">
        <f t="shared" si="37"/>
        <v>18</v>
      </c>
      <c r="D1209" cm="1">
        <f t="array" ref="D1209">INDEX('Linha 03'!$A$4:$A$1000,B1209)</f>
        <v>20200003</v>
      </c>
      <c r="E1209" t="str" cm="1">
        <f t="array" ref="E1209">INDEX('Linha 03'!$B$4:$B$1000,B1209)</f>
        <v>Lava Roup. Aquafast Baby Cx/12 X 1l</v>
      </c>
      <c r="F1209" cm="1">
        <f t="array" ref="F1209">INDEX('Linha 03'!$C$3:$ZZ$3,C1209)</f>
        <v>20050077</v>
      </c>
      <c r="G1209" t="str" cm="1">
        <f t="array" ref="G1209">INDEX('Linha 03'!$C$2:$ZZ$2,C1209)</f>
        <v>Desinfetante Myata Lavanda Cx/06 X 2l</v>
      </c>
      <c r="H1209" s="5" cm="1">
        <f t="array" ref="H1209">INDEX('Linha 03'!$C$4:$ZZ$1000,B1209,C1209)</f>
        <v>0</v>
      </c>
    </row>
    <row r="1210" spans="1:8" x14ac:dyDescent="0.25">
      <c r="A1210">
        <v>1208</v>
      </c>
      <c r="B1210">
        <f t="shared" si="36"/>
        <v>30</v>
      </c>
      <c r="C1210">
        <f t="shared" si="37"/>
        <v>19</v>
      </c>
      <c r="D1210" cm="1">
        <f t="array" ref="D1210">INDEX('Linha 03'!$A$4:$A$1000,B1210)</f>
        <v>20200003</v>
      </c>
      <c r="E1210" t="str" cm="1">
        <f t="array" ref="E1210">INDEX('Linha 03'!$B$4:$B$1000,B1210)</f>
        <v>Lava Roup. Aquafast Baby Cx/12 X 1l</v>
      </c>
      <c r="F1210" cm="1">
        <f t="array" ref="F1210">INDEX('Linha 03'!$C$3:$ZZ$3,C1210)</f>
        <v>20050078</v>
      </c>
      <c r="G1210" t="str" cm="1">
        <f t="array" ref="G1210">INDEX('Linha 03'!$C$2:$ZZ$2,C1210)</f>
        <v>Desinfetante Myata Floral Cx/06 X 2l</v>
      </c>
      <c r="H1210" s="5" cm="1">
        <f t="array" ref="H1210">INDEX('Linha 03'!$C$4:$ZZ$1000,B1210,C1210)</f>
        <v>0</v>
      </c>
    </row>
    <row r="1211" spans="1:8" x14ac:dyDescent="0.25">
      <c r="A1211">
        <v>1209</v>
      </c>
      <c r="B1211">
        <f t="shared" si="36"/>
        <v>30</v>
      </c>
      <c r="C1211">
        <f t="shared" si="37"/>
        <v>20</v>
      </c>
      <c r="D1211" cm="1">
        <f t="array" ref="D1211">INDEX('Linha 03'!$A$4:$A$1000,B1211)</f>
        <v>20200003</v>
      </c>
      <c r="E1211" t="str" cm="1">
        <f t="array" ref="E1211">INDEX('Linha 03'!$B$4:$B$1000,B1211)</f>
        <v>Lava Roup. Aquafast Baby Cx/12 X 1l</v>
      </c>
      <c r="F1211" cm="1">
        <f t="array" ref="F1211">INDEX('Linha 03'!$C$3:$ZZ$3,C1211)</f>
        <v>20050115</v>
      </c>
      <c r="G1211" t="str" cm="1">
        <f t="array" ref="G1211">INDEX('Linha 03'!$C$2:$ZZ$2,C1211)</f>
        <v>Desinfetante Aquafast Paixao Cx/06 X 2l</v>
      </c>
      <c r="H1211" s="5" cm="1">
        <f t="array" ref="H1211">INDEX('Linha 03'!$C$4:$ZZ$1000,B1211,C1211)</f>
        <v>0</v>
      </c>
    </row>
    <row r="1212" spans="1:8" x14ac:dyDescent="0.25">
      <c r="A1212">
        <v>1210</v>
      </c>
      <c r="B1212">
        <f t="shared" si="36"/>
        <v>30</v>
      </c>
      <c r="C1212">
        <f t="shared" si="37"/>
        <v>21</v>
      </c>
      <c r="D1212" cm="1">
        <f t="array" ref="D1212">INDEX('Linha 03'!$A$4:$A$1000,B1212)</f>
        <v>20200003</v>
      </c>
      <c r="E1212" t="str" cm="1">
        <f t="array" ref="E1212">INDEX('Linha 03'!$B$4:$B$1000,B1212)</f>
        <v>Lava Roup. Aquafast Baby Cx/12 X 1l</v>
      </c>
      <c r="F1212" cm="1">
        <f t="array" ref="F1212">INDEX('Linha 03'!$C$3:$ZZ$3,C1212)</f>
        <v>20050117</v>
      </c>
      <c r="G1212" t="str" cm="1">
        <f t="array" ref="G1212">INDEX('Linha 03'!$C$2:$ZZ$2,C1212)</f>
        <v>Desinfetante Aquafast Harmonia Natural Cx/06 X 2l</v>
      </c>
      <c r="H1212" s="5" cm="1">
        <f t="array" ref="H1212">INDEX('Linha 03'!$C$4:$ZZ$1000,B1212,C1212)</f>
        <v>0</v>
      </c>
    </row>
    <row r="1213" spans="1:8" x14ac:dyDescent="0.25">
      <c r="A1213">
        <v>1211</v>
      </c>
      <c r="B1213">
        <f t="shared" si="36"/>
        <v>30</v>
      </c>
      <c r="C1213">
        <f t="shared" si="37"/>
        <v>22</v>
      </c>
      <c r="D1213" cm="1">
        <f t="array" ref="D1213">INDEX('Linha 03'!$A$4:$A$1000,B1213)</f>
        <v>20200003</v>
      </c>
      <c r="E1213" t="str" cm="1">
        <f t="array" ref="E1213">INDEX('Linha 03'!$B$4:$B$1000,B1213)</f>
        <v>Lava Roup. Aquafast Baby Cx/12 X 1l</v>
      </c>
      <c r="F1213" cm="1">
        <f t="array" ref="F1213">INDEX('Linha 03'!$C$3:$ZZ$3,C1213)</f>
        <v>20050123</v>
      </c>
      <c r="G1213" t="str" cm="1">
        <f t="array" ref="G1213">INDEX('Linha 03'!$C$2:$ZZ$2,C1213)</f>
        <v>Desinfetante Ito Harmonia Natural Cx/06 X 2l</v>
      </c>
      <c r="H1213" s="5" cm="1">
        <f t="array" ref="H1213">INDEX('Linha 03'!$C$4:$ZZ$1000,B1213,C1213)</f>
        <v>0</v>
      </c>
    </row>
    <row r="1214" spans="1:8" x14ac:dyDescent="0.25">
      <c r="A1214">
        <v>1212</v>
      </c>
      <c r="B1214">
        <f t="shared" si="36"/>
        <v>30</v>
      </c>
      <c r="C1214">
        <f t="shared" si="37"/>
        <v>23</v>
      </c>
      <c r="D1214" cm="1">
        <f t="array" ref="D1214">INDEX('Linha 03'!$A$4:$A$1000,B1214)</f>
        <v>20200003</v>
      </c>
      <c r="E1214" t="str" cm="1">
        <f t="array" ref="E1214">INDEX('Linha 03'!$B$4:$B$1000,B1214)</f>
        <v>Lava Roup. Aquafast Baby Cx/12 X 1l</v>
      </c>
      <c r="F1214" cm="1">
        <f t="array" ref="F1214">INDEX('Linha 03'!$C$3:$ZZ$3,C1214)</f>
        <v>20050124</v>
      </c>
      <c r="G1214" t="str" cm="1">
        <f t="array" ref="G1214">INDEX('Linha 03'!$C$2:$ZZ$2,C1214)</f>
        <v>Desinfetante Myata Harmonia Natural Cx/06 X 2l</v>
      </c>
      <c r="H1214" s="5" cm="1">
        <f t="array" ref="H1214">INDEX('Linha 03'!$C$4:$ZZ$1000,B1214,C1214)</f>
        <v>0</v>
      </c>
    </row>
    <row r="1215" spans="1:8" x14ac:dyDescent="0.25">
      <c r="A1215">
        <v>1213</v>
      </c>
      <c r="B1215">
        <f t="shared" si="36"/>
        <v>30</v>
      </c>
      <c r="C1215">
        <f t="shared" si="37"/>
        <v>24</v>
      </c>
      <c r="D1215" cm="1">
        <f t="array" ref="D1215">INDEX('Linha 03'!$A$4:$A$1000,B1215)</f>
        <v>20200003</v>
      </c>
      <c r="E1215" t="str" cm="1">
        <f t="array" ref="E1215">INDEX('Linha 03'!$B$4:$B$1000,B1215)</f>
        <v>Lava Roup. Aquafast Baby Cx/12 X 1l</v>
      </c>
      <c r="F1215" cm="1">
        <f t="array" ref="F1215">INDEX('Linha 03'!$C$3:$ZZ$3,C1215)</f>
        <v>20050142</v>
      </c>
      <c r="G1215" t="str" cm="1">
        <f t="array" ref="G1215">INDEX('Linha 03'!$C$2:$ZZ$2,C1215)</f>
        <v>Desinfetante Ito Marine Cx/06 X 2l</v>
      </c>
      <c r="H1215" s="5" cm="1">
        <f t="array" ref="H1215">INDEX('Linha 03'!$C$4:$ZZ$1000,B1215,C1215)</f>
        <v>0</v>
      </c>
    </row>
    <row r="1216" spans="1:8" x14ac:dyDescent="0.25">
      <c r="A1216">
        <v>1214</v>
      </c>
      <c r="B1216">
        <f t="shared" si="36"/>
        <v>30</v>
      </c>
      <c r="C1216">
        <f t="shared" si="37"/>
        <v>25</v>
      </c>
      <c r="D1216" cm="1">
        <f t="array" ref="D1216">INDEX('Linha 03'!$A$4:$A$1000,B1216)</f>
        <v>20200003</v>
      </c>
      <c r="E1216" t="str" cm="1">
        <f t="array" ref="E1216">INDEX('Linha 03'!$B$4:$B$1000,B1216)</f>
        <v>Lava Roup. Aquafast Baby Cx/12 X 1l</v>
      </c>
      <c r="F1216" cm="1">
        <f t="array" ref="F1216">INDEX('Linha 03'!$C$3:$ZZ$3,C1216)</f>
        <v>20050159</v>
      </c>
      <c r="G1216" t="str" cm="1">
        <f t="array" ref="G1216">INDEX('Linha 03'!$C$2:$ZZ$2,C1216)</f>
        <v>Desinfetante Aquafast Cha Branco Cx/06 X 2l</v>
      </c>
      <c r="H1216" s="5" cm="1">
        <f t="array" ref="H1216">INDEX('Linha 03'!$C$4:$ZZ$1000,B1216,C1216)</f>
        <v>1.38888888888889E-2</v>
      </c>
    </row>
    <row r="1217" spans="1:8" x14ac:dyDescent="0.25">
      <c r="A1217">
        <v>1215</v>
      </c>
      <c r="B1217">
        <f t="shared" si="36"/>
        <v>30</v>
      </c>
      <c r="C1217">
        <f t="shared" si="37"/>
        <v>26</v>
      </c>
      <c r="D1217" cm="1">
        <f t="array" ref="D1217">INDEX('Linha 03'!$A$4:$A$1000,B1217)</f>
        <v>20200003</v>
      </c>
      <c r="E1217" t="str" cm="1">
        <f t="array" ref="E1217">INDEX('Linha 03'!$B$4:$B$1000,B1217)</f>
        <v>Lava Roup. Aquafast Baby Cx/12 X 1l</v>
      </c>
      <c r="F1217" cm="1">
        <f t="array" ref="F1217">INDEX('Linha 03'!$C$3:$ZZ$3,C1217)</f>
        <v>20060007</v>
      </c>
      <c r="G1217" t="str" cm="1">
        <f t="array" ref="G1217">INDEX('Linha 03'!$C$2:$ZZ$2,C1217)</f>
        <v>Limp Perf Aquafast Magia Seducao Cx/06 X 2l (Promoc)</v>
      </c>
      <c r="H1217" s="5" cm="1">
        <f t="array" ref="H1217">INDEX('Linha 03'!$C$4:$ZZ$1000,B1217,C1217)</f>
        <v>0</v>
      </c>
    </row>
    <row r="1218" spans="1:8" x14ac:dyDescent="0.25">
      <c r="A1218">
        <v>1216</v>
      </c>
      <c r="B1218">
        <f t="shared" si="36"/>
        <v>30</v>
      </c>
      <c r="C1218">
        <f t="shared" si="37"/>
        <v>27</v>
      </c>
      <c r="D1218" cm="1">
        <f t="array" ref="D1218">INDEX('Linha 03'!$A$4:$A$1000,B1218)</f>
        <v>20200003</v>
      </c>
      <c r="E1218" t="str" cm="1">
        <f t="array" ref="E1218">INDEX('Linha 03'!$B$4:$B$1000,B1218)</f>
        <v>Lava Roup. Aquafast Baby Cx/12 X 1l</v>
      </c>
      <c r="F1218" cm="1">
        <f t="array" ref="F1218">INDEX('Linha 03'!$C$3:$ZZ$3,C1218)</f>
        <v>20060009</v>
      </c>
      <c r="G1218" t="str" cm="1">
        <f t="array" ref="G1218">INDEX('Linha 03'!$C$2:$ZZ$2,C1218)</f>
        <v>Limp Perf Aquafast Frescor Da Manha Cx/06 X 2l (Promoc)</v>
      </c>
      <c r="H1218" s="5" cm="1">
        <f t="array" ref="H1218">INDEX('Linha 03'!$C$4:$ZZ$1000,B1218,C1218)</f>
        <v>0</v>
      </c>
    </row>
    <row r="1219" spans="1:8" x14ac:dyDescent="0.25">
      <c r="A1219">
        <v>1217</v>
      </c>
      <c r="B1219">
        <f t="shared" si="36"/>
        <v>30</v>
      </c>
      <c r="C1219">
        <f t="shared" si="37"/>
        <v>28</v>
      </c>
      <c r="D1219" cm="1">
        <f t="array" ref="D1219">INDEX('Linha 03'!$A$4:$A$1000,B1219)</f>
        <v>20200003</v>
      </c>
      <c r="E1219" t="str" cm="1">
        <f t="array" ref="E1219">INDEX('Linha 03'!$B$4:$B$1000,B1219)</f>
        <v>Lava Roup. Aquafast Baby Cx/12 X 1l</v>
      </c>
      <c r="F1219" cm="1">
        <f t="array" ref="F1219">INDEX('Linha 03'!$C$3:$ZZ$3,C1219)</f>
        <v>20060017</v>
      </c>
      <c r="G1219" t="str" cm="1">
        <f t="array" ref="G1219">INDEX('Linha 03'!$C$2:$ZZ$2,C1219)</f>
        <v>Limp Perf Aquafast Doce Romance Cx/06 X 2l (Promoc)</v>
      </c>
      <c r="H1219" s="5" cm="1">
        <f t="array" ref="H1219">INDEX('Linha 03'!$C$4:$ZZ$1000,B1219,C1219)</f>
        <v>0</v>
      </c>
    </row>
    <row r="1220" spans="1:8" x14ac:dyDescent="0.25">
      <c r="A1220">
        <v>1218</v>
      </c>
      <c r="B1220">
        <f t="shared" ref="B1220:B1283" si="38">INT((A1220-1)/$B$1)+1</f>
        <v>30</v>
      </c>
      <c r="C1220">
        <f t="shared" ref="C1220:C1283" si="39">MOD(A1220-1,$B$1)+1</f>
        <v>29</v>
      </c>
      <c r="D1220" cm="1">
        <f t="array" ref="D1220">INDEX('Linha 03'!$A$4:$A$1000,B1220)</f>
        <v>20200003</v>
      </c>
      <c r="E1220" t="str" cm="1">
        <f t="array" ref="E1220">INDEX('Linha 03'!$B$4:$B$1000,B1220)</f>
        <v>Lava Roup. Aquafast Baby Cx/12 X 1l</v>
      </c>
      <c r="F1220" cm="1">
        <f t="array" ref="F1220">INDEX('Linha 03'!$C$3:$ZZ$3,C1220)</f>
        <v>20060028</v>
      </c>
      <c r="G1220" t="str" cm="1">
        <f t="array" ref="G1220">INDEX('Linha 03'!$C$2:$ZZ$2,C1220)</f>
        <v>Limp Perf Aquafast Essencia Natural Cx06 X 2l</v>
      </c>
      <c r="H1220" s="5" cm="1">
        <f t="array" ref="H1220">INDEX('Linha 03'!$C$4:$ZZ$1000,B1220,C1220)</f>
        <v>0</v>
      </c>
    </row>
    <row r="1221" spans="1:8" x14ac:dyDescent="0.25">
      <c r="A1221">
        <v>1219</v>
      </c>
      <c r="B1221">
        <f t="shared" si="38"/>
        <v>30</v>
      </c>
      <c r="C1221">
        <f t="shared" si="39"/>
        <v>30</v>
      </c>
      <c r="D1221" cm="1">
        <f t="array" ref="D1221">INDEX('Linha 03'!$A$4:$A$1000,B1221)</f>
        <v>20200003</v>
      </c>
      <c r="E1221" t="str" cm="1">
        <f t="array" ref="E1221">INDEX('Linha 03'!$B$4:$B$1000,B1221)</f>
        <v>Lava Roup. Aquafast Baby Cx/12 X 1l</v>
      </c>
      <c r="F1221" cm="1">
        <f t="array" ref="F1221">INDEX('Linha 03'!$C$3:$ZZ$3,C1221)</f>
        <v>20200003</v>
      </c>
      <c r="G1221" t="str" cm="1">
        <f t="array" ref="G1221">INDEX('Linha 03'!$C$2:$ZZ$2,C1221)</f>
        <v>Lava Roup. Aquafast Baby Cx/12 X 1l</v>
      </c>
      <c r="H1221" s="5" cm="1">
        <f t="array" ref="H1221">INDEX('Linha 03'!$C$4:$ZZ$1000,B1221,C1221)</f>
        <v>0</v>
      </c>
    </row>
    <row r="1222" spans="1:8" x14ac:dyDescent="0.25">
      <c r="A1222">
        <v>1220</v>
      </c>
      <c r="B1222">
        <f t="shared" si="38"/>
        <v>30</v>
      </c>
      <c r="C1222">
        <f t="shared" si="39"/>
        <v>31</v>
      </c>
      <c r="D1222" cm="1">
        <f t="array" ref="D1222">INDEX('Linha 03'!$A$4:$A$1000,B1222)</f>
        <v>20200003</v>
      </c>
      <c r="E1222" t="str" cm="1">
        <f t="array" ref="E1222">INDEX('Linha 03'!$B$4:$B$1000,B1222)</f>
        <v>Lava Roup. Aquafast Baby Cx/12 X 1l</v>
      </c>
      <c r="F1222" cm="1">
        <f t="array" ref="F1222">INDEX('Linha 03'!$C$3:$ZZ$3,C1222)</f>
        <v>20200005</v>
      </c>
      <c r="G1222" t="str" cm="1">
        <f t="array" ref="G1222">INDEX('Linha 03'!$C$2:$ZZ$2,C1222)</f>
        <v>Lava Roupas Aquafast Multi Acao Cx/06 X 2l</v>
      </c>
      <c r="H1222" s="5" cm="1">
        <f t="array" ref="H1222">INDEX('Linha 03'!$C$4:$ZZ$1000,B1222,C1222)</f>
        <v>0</v>
      </c>
    </row>
    <row r="1223" spans="1:8" x14ac:dyDescent="0.25">
      <c r="A1223">
        <v>1221</v>
      </c>
      <c r="B1223">
        <f t="shared" si="38"/>
        <v>30</v>
      </c>
      <c r="C1223">
        <f t="shared" si="39"/>
        <v>32</v>
      </c>
      <c r="D1223" cm="1">
        <f t="array" ref="D1223">INDEX('Linha 03'!$A$4:$A$1000,B1223)</f>
        <v>20200003</v>
      </c>
      <c r="E1223" t="str" cm="1">
        <f t="array" ref="E1223">INDEX('Linha 03'!$B$4:$B$1000,B1223)</f>
        <v>Lava Roup. Aquafast Baby Cx/12 X 1l</v>
      </c>
      <c r="F1223" cm="1">
        <f t="array" ref="F1223">INDEX('Linha 03'!$C$3:$ZZ$3,C1223)</f>
        <v>20200006</v>
      </c>
      <c r="G1223" t="str" cm="1">
        <f t="array" ref="G1223">INDEX('Linha 03'!$C$2:$ZZ$2,C1223)</f>
        <v>Lava Roupas Aquafast Glicerina Cx/06 X 2l</v>
      </c>
      <c r="H1223" s="5" cm="1">
        <f t="array" ref="H1223">INDEX('Linha 03'!$C$4:$ZZ$1000,B1223,C1223)</f>
        <v>0</v>
      </c>
    </row>
    <row r="1224" spans="1:8" x14ac:dyDescent="0.25">
      <c r="A1224">
        <v>1222</v>
      </c>
      <c r="B1224">
        <f t="shared" si="38"/>
        <v>30</v>
      </c>
      <c r="C1224">
        <f t="shared" si="39"/>
        <v>33</v>
      </c>
      <c r="D1224" cm="1">
        <f t="array" ref="D1224">INDEX('Linha 03'!$A$4:$A$1000,B1224)</f>
        <v>20200003</v>
      </c>
      <c r="E1224" t="str" cm="1">
        <f t="array" ref="E1224">INDEX('Linha 03'!$B$4:$B$1000,B1224)</f>
        <v>Lava Roup. Aquafast Baby Cx/12 X 1l</v>
      </c>
      <c r="F1224" cm="1">
        <f t="array" ref="F1224">INDEX('Linha 03'!$C$3:$ZZ$3,C1224)</f>
        <v>20200015</v>
      </c>
      <c r="G1224" t="str" cm="1">
        <f t="array" ref="G1224">INDEX('Linha 03'!$C$2:$ZZ$2,C1224)</f>
        <v>Lava Roup. Aquafast Multiacao Cx/12 X 1l</v>
      </c>
      <c r="H1224" s="5" cm="1">
        <f t="array" ref="H1224">INDEX('Linha 03'!$C$4:$ZZ$1000,B1224,C1224)</f>
        <v>0</v>
      </c>
    </row>
    <row r="1225" spans="1:8" x14ac:dyDescent="0.25">
      <c r="A1225">
        <v>1223</v>
      </c>
      <c r="B1225">
        <f t="shared" si="38"/>
        <v>30</v>
      </c>
      <c r="C1225">
        <f t="shared" si="39"/>
        <v>34</v>
      </c>
      <c r="D1225" cm="1">
        <f t="array" ref="D1225">INDEX('Linha 03'!$A$4:$A$1000,B1225)</f>
        <v>20200003</v>
      </c>
      <c r="E1225" t="str" cm="1">
        <f t="array" ref="E1225">INDEX('Linha 03'!$B$4:$B$1000,B1225)</f>
        <v>Lava Roup. Aquafast Baby Cx/12 X 1l</v>
      </c>
      <c r="F1225" cm="1">
        <f t="array" ref="F1225">INDEX('Linha 03'!$C$3:$ZZ$3,C1225)</f>
        <v>20200036</v>
      </c>
      <c r="G1225" t="str" cm="1">
        <f t="array" ref="G1225">INDEX('Linha 03'!$C$2:$ZZ$2,C1225)</f>
        <v>Lava Roupas Aquafast Ternura Cx/06 X 2l</v>
      </c>
      <c r="H1225" s="5" cm="1">
        <f t="array" ref="H1225">INDEX('Linha 03'!$C$4:$ZZ$1000,B1225,C1225)</f>
        <v>0</v>
      </c>
    </row>
    <row r="1226" spans="1:8" x14ac:dyDescent="0.25">
      <c r="A1226">
        <v>1224</v>
      </c>
      <c r="B1226">
        <f t="shared" si="38"/>
        <v>30</v>
      </c>
      <c r="C1226">
        <f t="shared" si="39"/>
        <v>35</v>
      </c>
      <c r="D1226" cm="1">
        <f t="array" ref="D1226">INDEX('Linha 03'!$A$4:$A$1000,B1226)</f>
        <v>20200003</v>
      </c>
      <c r="E1226" t="str" cm="1">
        <f t="array" ref="E1226">INDEX('Linha 03'!$B$4:$B$1000,B1226)</f>
        <v>Lava Roup. Aquafast Baby Cx/12 X 1l</v>
      </c>
      <c r="F1226" cm="1">
        <f t="array" ref="F1226">INDEX('Linha 03'!$C$3:$ZZ$3,C1226)</f>
        <v>20200063</v>
      </c>
      <c r="G1226" t="str" cm="1">
        <f t="array" ref="G1226">INDEX('Linha 03'!$C$2:$ZZ$2,C1226)</f>
        <v>Lava Roup. Aquafast Tradicional Cx/12 X 1l</v>
      </c>
      <c r="H1226" s="5" cm="1">
        <f t="array" ref="H1226">INDEX('Linha 03'!$C$4:$ZZ$1000,B1226,C1226)</f>
        <v>0</v>
      </c>
    </row>
    <row r="1227" spans="1:8" x14ac:dyDescent="0.25">
      <c r="A1227">
        <v>1225</v>
      </c>
      <c r="B1227">
        <f t="shared" si="38"/>
        <v>30</v>
      </c>
      <c r="C1227">
        <f t="shared" si="39"/>
        <v>36</v>
      </c>
      <c r="D1227" cm="1">
        <f t="array" ref="D1227">INDEX('Linha 03'!$A$4:$A$1000,B1227)</f>
        <v>20200003</v>
      </c>
      <c r="E1227" t="str" cm="1">
        <f t="array" ref="E1227">INDEX('Linha 03'!$B$4:$B$1000,B1227)</f>
        <v>Lava Roup. Aquafast Baby Cx/12 X 1l</v>
      </c>
      <c r="F1227" cm="1">
        <f t="array" ref="F1227">INDEX('Linha 03'!$C$3:$ZZ$3,C1227)</f>
        <v>20200064</v>
      </c>
      <c r="G1227" t="str" cm="1">
        <f t="array" ref="G1227">INDEX('Linha 03'!$C$2:$ZZ$2,C1227)</f>
        <v>Lava Roup. Aquafast Flores B. E Baunilha Cx/12 X 1l</v>
      </c>
      <c r="H1227" s="5" cm="1">
        <f t="array" ref="H1227">INDEX('Linha 03'!$C$4:$ZZ$1000,B1227,C1227)</f>
        <v>0</v>
      </c>
    </row>
    <row r="1228" spans="1:8" x14ac:dyDescent="0.25">
      <c r="A1228">
        <v>1226</v>
      </c>
      <c r="B1228">
        <f t="shared" si="38"/>
        <v>30</v>
      </c>
      <c r="C1228">
        <f t="shared" si="39"/>
        <v>37</v>
      </c>
      <c r="D1228" cm="1">
        <f t="array" ref="D1228">INDEX('Linha 03'!$A$4:$A$1000,B1228)</f>
        <v>20200003</v>
      </c>
      <c r="E1228" t="str" cm="1">
        <f t="array" ref="E1228">INDEX('Linha 03'!$B$4:$B$1000,B1228)</f>
        <v>Lava Roup. Aquafast Baby Cx/12 X 1l</v>
      </c>
      <c r="F1228" cm="1">
        <f t="array" ref="F1228">INDEX('Linha 03'!$C$3:$ZZ$3,C1228)</f>
        <v>20200065</v>
      </c>
      <c r="G1228" t="str" cm="1">
        <f t="array" ref="G1228">INDEX('Linha 03'!$C$2:$ZZ$2,C1228)</f>
        <v>Lava Roupas Aquafast Flores B. E Baunilha Cx/06 X 2l</v>
      </c>
      <c r="H1228" s="5" cm="1">
        <f t="array" ref="H1228">INDEX('Linha 03'!$C$4:$ZZ$1000,B1228,C1228)</f>
        <v>0</v>
      </c>
    </row>
    <row r="1229" spans="1:8" x14ac:dyDescent="0.25">
      <c r="A1229">
        <v>1227</v>
      </c>
      <c r="B1229">
        <f t="shared" si="38"/>
        <v>30</v>
      </c>
      <c r="C1229">
        <f t="shared" si="39"/>
        <v>38</v>
      </c>
      <c r="D1229" cm="1">
        <f t="array" ref="D1229">INDEX('Linha 03'!$A$4:$A$1000,B1229)</f>
        <v>20200003</v>
      </c>
      <c r="E1229" t="str" cm="1">
        <f t="array" ref="E1229">INDEX('Linha 03'!$B$4:$B$1000,B1229)</f>
        <v>Lava Roup. Aquafast Baby Cx/12 X 1l</v>
      </c>
      <c r="F1229" cm="1">
        <f t="array" ref="F1229">INDEX('Linha 03'!$C$3:$ZZ$3,C1229)</f>
        <v>20200072</v>
      </c>
      <c r="G1229" t="str" cm="1">
        <f t="array" ref="G1229">INDEX('Linha 03'!$C$2:$ZZ$2,C1229)</f>
        <v>Lava Roupas Aquafast Lavagem Rapida Total Clean Cx/12 X 1l</v>
      </c>
      <c r="H1229" s="5" cm="1">
        <f t="array" ref="H1229">INDEX('Linha 03'!$C$4:$ZZ$1000,B1229,C1229)</f>
        <v>0</v>
      </c>
    </row>
    <row r="1230" spans="1:8" x14ac:dyDescent="0.25">
      <c r="A1230">
        <v>1228</v>
      </c>
      <c r="B1230">
        <f t="shared" si="38"/>
        <v>30</v>
      </c>
      <c r="C1230">
        <f t="shared" si="39"/>
        <v>39</v>
      </c>
      <c r="D1230" cm="1">
        <f t="array" ref="D1230">INDEX('Linha 03'!$A$4:$A$1000,B1230)</f>
        <v>20200003</v>
      </c>
      <c r="E1230" t="str" cm="1">
        <f t="array" ref="E1230">INDEX('Linha 03'!$B$4:$B$1000,B1230)</f>
        <v>Lava Roup. Aquafast Baby Cx/12 X 1l</v>
      </c>
      <c r="F1230" cm="1">
        <f t="array" ref="F1230">INDEX('Linha 03'!$C$3:$ZZ$3,C1230)</f>
        <v>20200074</v>
      </c>
      <c r="G1230" t="str" cm="1">
        <f t="array" ref="G1230">INDEX('Linha 03'!$C$2:$ZZ$2,C1230)</f>
        <v>Lava Roupas Aquafast Lavagem Rapida Fresh Clean Cx/12 X 1l</v>
      </c>
      <c r="H1230" s="5" cm="1">
        <f t="array" ref="H1230">INDEX('Linha 03'!$C$4:$ZZ$1000,B1230,C1230)</f>
        <v>0</v>
      </c>
    </row>
    <row r="1231" spans="1:8" x14ac:dyDescent="0.25">
      <c r="A1231">
        <v>1229</v>
      </c>
      <c r="B1231">
        <f t="shared" si="38"/>
        <v>30</v>
      </c>
      <c r="C1231">
        <f t="shared" si="39"/>
        <v>40</v>
      </c>
      <c r="D1231" cm="1">
        <f t="array" ref="D1231">INDEX('Linha 03'!$A$4:$A$1000,B1231)</f>
        <v>20200003</v>
      </c>
      <c r="E1231" t="str" cm="1">
        <f t="array" ref="E1231">INDEX('Linha 03'!$B$4:$B$1000,B1231)</f>
        <v>Lava Roup. Aquafast Baby Cx/12 X 1l</v>
      </c>
      <c r="F1231" cm="1">
        <f t="array" ref="F1231">INDEX('Linha 03'!$C$3:$ZZ$3,C1231)</f>
        <v>20250005</v>
      </c>
      <c r="G1231" t="str" cm="1">
        <f t="array" ref="G1231">INDEX('Linha 03'!$C$2:$ZZ$2,C1231)</f>
        <v>Neutralizador De Odores Aquafast Floral Cx/06 X 2l</v>
      </c>
      <c r="H1231" s="5" cm="1">
        <f t="array" ref="H1231">INDEX('Linha 03'!$C$4:$ZZ$1000,B1231,C1231)</f>
        <v>0</v>
      </c>
    </row>
    <row r="1232" spans="1:8" x14ac:dyDescent="0.25">
      <c r="A1232">
        <v>1230</v>
      </c>
      <c r="B1232">
        <f t="shared" si="38"/>
        <v>30</v>
      </c>
      <c r="C1232">
        <f t="shared" si="39"/>
        <v>41</v>
      </c>
      <c r="D1232" cm="1">
        <f t="array" ref="D1232">INDEX('Linha 03'!$A$4:$A$1000,B1232)</f>
        <v>20200003</v>
      </c>
      <c r="E1232" t="str" cm="1">
        <f t="array" ref="E1232">INDEX('Linha 03'!$B$4:$B$1000,B1232)</f>
        <v>Lava Roup. Aquafast Baby Cx/12 X 1l</v>
      </c>
      <c r="F1232" cm="1">
        <f t="array" ref="F1232">INDEX('Linha 03'!$C$3:$ZZ$3,C1232)</f>
        <v>20250007</v>
      </c>
      <c r="G1232" t="str" cm="1">
        <f t="array" ref="G1232">INDEX('Linha 03'!$C$2:$ZZ$2,C1232)</f>
        <v>Neutralizador De Odores Aquafast Marine Cx/06 2l</v>
      </c>
      <c r="H1232" s="5" cm="1">
        <f t="array" ref="H1232">INDEX('Linha 03'!$C$4:$ZZ$1000,B1232,C1232)</f>
        <v>0</v>
      </c>
    </row>
    <row r="1233" spans="1:8" x14ac:dyDescent="0.25">
      <c r="A1233">
        <v>1231</v>
      </c>
      <c r="B1233">
        <f t="shared" si="38"/>
        <v>31</v>
      </c>
      <c r="C1233">
        <f t="shared" si="39"/>
        <v>1</v>
      </c>
      <c r="D1233" cm="1">
        <f t="array" ref="D1233">INDEX('Linha 03'!$A$4:$A$1000,B1233)</f>
        <v>20200005</v>
      </c>
      <c r="E1233" t="str" cm="1">
        <f t="array" ref="E1233">INDEX('Linha 03'!$B$4:$B$1000,B1233)</f>
        <v>Lava Roupas Aquafast Multi Acao Cx/06 X 2l</v>
      </c>
      <c r="F1233" cm="1">
        <f t="array" ref="F1233">INDEX('Linha 03'!$C$3:$ZZ$3,C1233)</f>
        <v>20040006</v>
      </c>
      <c r="G1233" t="str" cm="1">
        <f t="array" ref="G1233">INDEX('Linha 03'!$C$2:$ZZ$2,C1233)</f>
        <v>Amaciante Aquafast Azul Fresc. Manha Cx/06 X 2l</v>
      </c>
      <c r="H1233" s="5" cm="1">
        <f t="array" ref="H1233">INDEX('Linha 03'!$C$4:$ZZ$1000,B1233,C1233)</f>
        <v>0</v>
      </c>
    </row>
    <row r="1234" spans="1:8" x14ac:dyDescent="0.25">
      <c r="A1234">
        <v>1232</v>
      </c>
      <c r="B1234">
        <f t="shared" si="38"/>
        <v>31</v>
      </c>
      <c r="C1234">
        <f t="shared" si="39"/>
        <v>2</v>
      </c>
      <c r="D1234" cm="1">
        <f t="array" ref="D1234">INDEX('Linha 03'!$A$4:$A$1000,B1234)</f>
        <v>20200005</v>
      </c>
      <c r="E1234" t="str" cm="1">
        <f t="array" ref="E1234">INDEX('Linha 03'!$B$4:$B$1000,B1234)</f>
        <v>Lava Roupas Aquafast Multi Acao Cx/06 X 2l</v>
      </c>
      <c r="F1234" cm="1">
        <f t="array" ref="F1234">INDEX('Linha 03'!$C$3:$ZZ$3,C1234)</f>
        <v>20040008</v>
      </c>
      <c r="G1234" t="str" cm="1">
        <f t="array" ref="G1234">INDEX('Linha 03'!$C$2:$ZZ$2,C1234)</f>
        <v>Amaciante Aquafast Rosa Jard. Florid Cx/06 X 2l</v>
      </c>
      <c r="H1234" s="5" cm="1">
        <f t="array" ref="H1234">INDEX('Linha 03'!$C$4:$ZZ$1000,B1234,C1234)</f>
        <v>0</v>
      </c>
    </row>
    <row r="1235" spans="1:8" x14ac:dyDescent="0.25">
      <c r="A1235">
        <v>1233</v>
      </c>
      <c r="B1235">
        <f t="shared" si="38"/>
        <v>31</v>
      </c>
      <c r="C1235">
        <f t="shared" si="39"/>
        <v>3</v>
      </c>
      <c r="D1235" cm="1">
        <f t="array" ref="D1235">INDEX('Linha 03'!$A$4:$A$1000,B1235)</f>
        <v>20200005</v>
      </c>
      <c r="E1235" t="str" cm="1">
        <f t="array" ref="E1235">INDEX('Linha 03'!$B$4:$B$1000,B1235)</f>
        <v>Lava Roupas Aquafast Multi Acao Cx/06 X 2l</v>
      </c>
      <c r="F1235" cm="1">
        <f t="array" ref="F1235">INDEX('Linha 03'!$C$3:$ZZ$3,C1235)</f>
        <v>20040009</v>
      </c>
      <c r="G1235" t="str" cm="1">
        <f t="array" ref="G1235">INDEX('Linha 03'!$C$2:$ZZ$2,C1235)</f>
        <v>Amaciante Aquafast Branco Pura Caric. Cx/06 X 2l</v>
      </c>
      <c r="H1235" s="5" cm="1">
        <f t="array" ref="H1235">INDEX('Linha 03'!$C$4:$ZZ$1000,B1235,C1235)</f>
        <v>0</v>
      </c>
    </row>
    <row r="1236" spans="1:8" x14ac:dyDescent="0.25">
      <c r="A1236">
        <v>1234</v>
      </c>
      <c r="B1236">
        <f t="shared" si="38"/>
        <v>31</v>
      </c>
      <c r="C1236">
        <f t="shared" si="39"/>
        <v>4</v>
      </c>
      <c r="D1236" cm="1">
        <f t="array" ref="D1236">INDEX('Linha 03'!$A$4:$A$1000,B1236)</f>
        <v>20200005</v>
      </c>
      <c r="E1236" t="str" cm="1">
        <f t="array" ref="E1236">INDEX('Linha 03'!$B$4:$B$1000,B1236)</f>
        <v>Lava Roupas Aquafast Multi Acao Cx/06 X 2l</v>
      </c>
      <c r="F1236" cm="1">
        <f t="array" ref="F1236">INDEX('Linha 03'!$C$3:$ZZ$3,C1236)</f>
        <v>20040026</v>
      </c>
      <c r="G1236" t="str" cm="1">
        <f t="array" ref="G1236">INDEX('Linha 03'!$C$2:$ZZ$2,C1236)</f>
        <v>Amaciante Ito Azul Cx/06 X 2l</v>
      </c>
      <c r="H1236" s="5" cm="1">
        <f t="array" ref="H1236">INDEX('Linha 03'!$C$4:$ZZ$1000,B1236,C1236)</f>
        <v>0</v>
      </c>
    </row>
    <row r="1237" spans="1:8" x14ac:dyDescent="0.25">
      <c r="A1237">
        <v>1235</v>
      </c>
      <c r="B1237">
        <f t="shared" si="38"/>
        <v>31</v>
      </c>
      <c r="C1237">
        <f t="shared" si="39"/>
        <v>5</v>
      </c>
      <c r="D1237" cm="1">
        <f t="array" ref="D1237">INDEX('Linha 03'!$A$4:$A$1000,B1237)</f>
        <v>20200005</v>
      </c>
      <c r="E1237" t="str" cm="1">
        <f t="array" ref="E1237">INDEX('Linha 03'!$B$4:$B$1000,B1237)</f>
        <v>Lava Roupas Aquafast Multi Acao Cx/06 X 2l</v>
      </c>
      <c r="F1237" cm="1">
        <f t="array" ref="F1237">INDEX('Linha 03'!$C$3:$ZZ$3,C1237)</f>
        <v>20040028</v>
      </c>
      <c r="G1237" t="str" cm="1">
        <f t="array" ref="G1237">INDEX('Linha 03'!$C$2:$ZZ$2,C1237)</f>
        <v>Amaciante Ito Rosa Cx/06 X 2l</v>
      </c>
      <c r="H1237" s="5" cm="1">
        <f t="array" ref="H1237">INDEX('Linha 03'!$C$4:$ZZ$1000,B1237,C1237)</f>
        <v>0</v>
      </c>
    </row>
    <row r="1238" spans="1:8" x14ac:dyDescent="0.25">
      <c r="A1238">
        <v>1236</v>
      </c>
      <c r="B1238">
        <f t="shared" si="38"/>
        <v>31</v>
      </c>
      <c r="C1238">
        <f t="shared" si="39"/>
        <v>6</v>
      </c>
      <c r="D1238" cm="1">
        <f t="array" ref="D1238">INDEX('Linha 03'!$A$4:$A$1000,B1238)</f>
        <v>20200005</v>
      </c>
      <c r="E1238" t="str" cm="1">
        <f t="array" ref="E1238">INDEX('Linha 03'!$B$4:$B$1000,B1238)</f>
        <v>Lava Roupas Aquafast Multi Acao Cx/06 X 2l</v>
      </c>
      <c r="F1238" cm="1">
        <f t="array" ref="F1238">INDEX('Linha 03'!$C$3:$ZZ$3,C1238)</f>
        <v>20040029</v>
      </c>
      <c r="G1238" t="str" cm="1">
        <f t="array" ref="G1238">INDEX('Linha 03'!$C$2:$ZZ$2,C1238)</f>
        <v>Amaciante Ito Branco Cx/06 X 2l</v>
      </c>
      <c r="H1238" s="5" cm="1">
        <f t="array" ref="H1238">INDEX('Linha 03'!$C$4:$ZZ$1000,B1238,C1238)</f>
        <v>0</v>
      </c>
    </row>
    <row r="1239" spans="1:8" x14ac:dyDescent="0.25">
      <c r="A1239">
        <v>1237</v>
      </c>
      <c r="B1239">
        <f t="shared" si="38"/>
        <v>31</v>
      </c>
      <c r="C1239">
        <f t="shared" si="39"/>
        <v>7</v>
      </c>
      <c r="D1239" cm="1">
        <f t="array" ref="D1239">INDEX('Linha 03'!$A$4:$A$1000,B1239)</f>
        <v>20200005</v>
      </c>
      <c r="E1239" t="str" cm="1">
        <f t="array" ref="E1239">INDEX('Linha 03'!$B$4:$B$1000,B1239)</f>
        <v>Lava Roupas Aquafast Multi Acao Cx/06 X 2l</v>
      </c>
      <c r="F1239" cm="1">
        <f t="array" ref="F1239">INDEX('Linha 03'!$C$3:$ZZ$3,C1239)</f>
        <v>20040055</v>
      </c>
      <c r="G1239" t="str" cm="1">
        <f t="array" ref="G1239">INDEX('Linha 03'!$C$2:$ZZ$2,C1239)</f>
        <v>Amaciante Myata Azul Cx/06 X 2l</v>
      </c>
      <c r="H1239" s="5" cm="1">
        <f t="array" ref="H1239">INDEX('Linha 03'!$C$4:$ZZ$1000,B1239,C1239)</f>
        <v>0</v>
      </c>
    </row>
    <row r="1240" spans="1:8" x14ac:dyDescent="0.25">
      <c r="A1240">
        <v>1238</v>
      </c>
      <c r="B1240">
        <f t="shared" si="38"/>
        <v>31</v>
      </c>
      <c r="C1240">
        <f t="shared" si="39"/>
        <v>8</v>
      </c>
      <c r="D1240" cm="1">
        <f t="array" ref="D1240">INDEX('Linha 03'!$A$4:$A$1000,B1240)</f>
        <v>20200005</v>
      </c>
      <c r="E1240" t="str" cm="1">
        <f t="array" ref="E1240">INDEX('Linha 03'!$B$4:$B$1000,B1240)</f>
        <v>Lava Roupas Aquafast Multi Acao Cx/06 X 2l</v>
      </c>
      <c r="F1240" cm="1">
        <f t="array" ref="F1240">INDEX('Linha 03'!$C$3:$ZZ$3,C1240)</f>
        <v>20040057</v>
      </c>
      <c r="G1240" t="str" cm="1">
        <f t="array" ref="G1240">INDEX('Linha 03'!$C$2:$ZZ$2,C1240)</f>
        <v>Amaciante Myata Rosa Cx/06 X 2l</v>
      </c>
      <c r="H1240" s="5" cm="1">
        <f t="array" ref="H1240">INDEX('Linha 03'!$C$4:$ZZ$1000,B1240,C1240)</f>
        <v>0</v>
      </c>
    </row>
    <row r="1241" spans="1:8" x14ac:dyDescent="0.25">
      <c r="A1241">
        <v>1239</v>
      </c>
      <c r="B1241">
        <f t="shared" si="38"/>
        <v>31</v>
      </c>
      <c r="C1241">
        <f t="shared" si="39"/>
        <v>9</v>
      </c>
      <c r="D1241" cm="1">
        <f t="array" ref="D1241">INDEX('Linha 03'!$A$4:$A$1000,B1241)</f>
        <v>20200005</v>
      </c>
      <c r="E1241" t="str" cm="1">
        <f t="array" ref="E1241">INDEX('Linha 03'!$B$4:$B$1000,B1241)</f>
        <v>Lava Roupas Aquafast Multi Acao Cx/06 X 2l</v>
      </c>
      <c r="F1241" cm="1">
        <f t="array" ref="F1241">INDEX('Linha 03'!$C$3:$ZZ$3,C1241)</f>
        <v>20040084</v>
      </c>
      <c r="G1241" t="str" cm="1">
        <f t="array" ref="G1241">INDEX('Linha 03'!$C$2:$ZZ$2,C1241)</f>
        <v>Amaciante Aquafast Vermelho Seducao Cx C/06 X 2l</v>
      </c>
      <c r="H1241" s="5" cm="1">
        <f t="array" ref="H1241">INDEX('Linha 03'!$C$4:$ZZ$1000,B1241,C1241)</f>
        <v>0</v>
      </c>
    </row>
    <row r="1242" spans="1:8" x14ac:dyDescent="0.25">
      <c r="A1242">
        <v>1240</v>
      </c>
      <c r="B1242">
        <f t="shared" si="38"/>
        <v>31</v>
      </c>
      <c r="C1242">
        <f t="shared" si="39"/>
        <v>10</v>
      </c>
      <c r="D1242" cm="1">
        <f t="array" ref="D1242">INDEX('Linha 03'!$A$4:$A$1000,B1242)</f>
        <v>20200005</v>
      </c>
      <c r="E1242" t="str" cm="1">
        <f t="array" ref="E1242">INDEX('Linha 03'!$B$4:$B$1000,B1242)</f>
        <v>Lava Roupas Aquafast Multi Acao Cx/06 X 2l</v>
      </c>
      <c r="F1242" cm="1">
        <f t="array" ref="F1242">INDEX('Linha 03'!$C$3:$ZZ$3,C1242)</f>
        <v>20040089</v>
      </c>
      <c r="G1242" t="str" cm="1">
        <f t="array" ref="G1242">INDEX('Linha 03'!$C$2:$ZZ$2,C1242)</f>
        <v>Amaciante Aquafast Roxo Magia Cx/06 X 2l</v>
      </c>
      <c r="H1242" s="5" cm="1">
        <f t="array" ref="H1242">INDEX('Linha 03'!$C$4:$ZZ$1000,B1242,C1242)</f>
        <v>0</v>
      </c>
    </row>
    <row r="1243" spans="1:8" x14ac:dyDescent="0.25">
      <c r="A1243">
        <v>1241</v>
      </c>
      <c r="B1243">
        <f t="shared" si="38"/>
        <v>31</v>
      </c>
      <c r="C1243">
        <f t="shared" si="39"/>
        <v>11</v>
      </c>
      <c r="D1243" cm="1">
        <f t="array" ref="D1243">INDEX('Linha 03'!$A$4:$A$1000,B1243)</f>
        <v>20200005</v>
      </c>
      <c r="E1243" t="str" cm="1">
        <f t="array" ref="E1243">INDEX('Linha 03'!$B$4:$B$1000,B1243)</f>
        <v>Lava Roupas Aquafast Multi Acao Cx/06 X 2l</v>
      </c>
      <c r="F1243" cm="1">
        <f t="array" ref="F1243">INDEX('Linha 03'!$C$3:$ZZ$3,C1243)</f>
        <v>20040094</v>
      </c>
      <c r="G1243" t="str" cm="1">
        <f t="array" ref="G1243">INDEX('Linha 03'!$C$2:$ZZ$2,C1243)</f>
        <v>Amaciante Aquafast Energia Cx/06 X 2l</v>
      </c>
      <c r="H1243" s="5" cm="1">
        <f t="array" ref="H1243">INDEX('Linha 03'!$C$4:$ZZ$1000,B1243,C1243)</f>
        <v>0</v>
      </c>
    </row>
    <row r="1244" spans="1:8" x14ac:dyDescent="0.25">
      <c r="A1244">
        <v>1242</v>
      </c>
      <c r="B1244">
        <f t="shared" si="38"/>
        <v>31</v>
      </c>
      <c r="C1244">
        <f t="shared" si="39"/>
        <v>12</v>
      </c>
      <c r="D1244" cm="1">
        <f t="array" ref="D1244">INDEX('Linha 03'!$A$4:$A$1000,B1244)</f>
        <v>20200005</v>
      </c>
      <c r="E1244" t="str" cm="1">
        <f t="array" ref="E1244">INDEX('Linha 03'!$B$4:$B$1000,B1244)</f>
        <v>Lava Roupas Aquafast Multi Acao Cx/06 X 2l</v>
      </c>
      <c r="F1244" cm="1">
        <f t="array" ref="F1244">INDEX('Linha 03'!$C$3:$ZZ$3,C1244)</f>
        <v>20050010</v>
      </c>
      <c r="G1244" t="str" cm="1">
        <f t="array" ref="G1244">INDEX('Linha 03'!$C$2:$ZZ$2,C1244)</f>
        <v>Desinfetante Aquafast Campos Lavanda Cx/06 X 2l</v>
      </c>
      <c r="H1244" s="5" cm="1">
        <f t="array" ref="H1244">INDEX('Linha 03'!$C$4:$ZZ$1000,B1244,C1244)</f>
        <v>0</v>
      </c>
    </row>
    <row r="1245" spans="1:8" x14ac:dyDescent="0.25">
      <c r="A1245">
        <v>1243</v>
      </c>
      <c r="B1245">
        <f t="shared" si="38"/>
        <v>31</v>
      </c>
      <c r="C1245">
        <f t="shared" si="39"/>
        <v>13</v>
      </c>
      <c r="D1245" cm="1">
        <f t="array" ref="D1245">INDEX('Linha 03'!$A$4:$A$1000,B1245)</f>
        <v>20200005</v>
      </c>
      <c r="E1245" t="str" cm="1">
        <f t="array" ref="E1245">INDEX('Linha 03'!$B$4:$B$1000,B1245)</f>
        <v>Lava Roupas Aquafast Multi Acao Cx/06 X 2l</v>
      </c>
      <c r="F1245" cm="1">
        <f t="array" ref="F1245">INDEX('Linha 03'!$C$3:$ZZ$3,C1245)</f>
        <v>20050011</v>
      </c>
      <c r="G1245" t="str" cm="1">
        <f t="array" ref="G1245">INDEX('Linha 03'!$C$2:$ZZ$2,C1245)</f>
        <v>Desinfetante Aquafast Jardim Florido Cx/06 X 2l</v>
      </c>
      <c r="H1245" s="5" cm="1">
        <f t="array" ref="H1245">INDEX('Linha 03'!$C$4:$ZZ$1000,B1245,C1245)</f>
        <v>0</v>
      </c>
    </row>
    <row r="1246" spans="1:8" x14ac:dyDescent="0.25">
      <c r="A1246">
        <v>1244</v>
      </c>
      <c r="B1246">
        <f t="shared" si="38"/>
        <v>31</v>
      </c>
      <c r="C1246">
        <f t="shared" si="39"/>
        <v>14</v>
      </c>
      <c r="D1246" cm="1">
        <f t="array" ref="D1246">INDEX('Linha 03'!$A$4:$A$1000,B1246)</f>
        <v>20200005</v>
      </c>
      <c r="E1246" t="str" cm="1">
        <f t="array" ref="E1246">INDEX('Linha 03'!$B$4:$B$1000,B1246)</f>
        <v>Lava Roupas Aquafast Multi Acao Cx/06 X 2l</v>
      </c>
      <c r="F1246" cm="1">
        <f t="array" ref="F1246">INDEX('Linha 03'!$C$3:$ZZ$3,C1246)</f>
        <v>20050016</v>
      </c>
      <c r="G1246" t="str" cm="1">
        <f t="array" ref="G1246">INDEX('Linha 03'!$C$2:$ZZ$2,C1246)</f>
        <v>Desinfetante Aquafast Marine Cx/06 X 2l</v>
      </c>
      <c r="H1246" s="5" cm="1">
        <f t="array" ref="H1246">INDEX('Linha 03'!$C$4:$ZZ$1000,B1246,C1246)</f>
        <v>0</v>
      </c>
    </row>
    <row r="1247" spans="1:8" x14ac:dyDescent="0.25">
      <c r="A1247">
        <v>1245</v>
      </c>
      <c r="B1247">
        <f t="shared" si="38"/>
        <v>31</v>
      </c>
      <c r="C1247">
        <f t="shared" si="39"/>
        <v>15</v>
      </c>
      <c r="D1247" cm="1">
        <f t="array" ref="D1247">INDEX('Linha 03'!$A$4:$A$1000,B1247)</f>
        <v>20200005</v>
      </c>
      <c r="E1247" t="str" cm="1">
        <f t="array" ref="E1247">INDEX('Linha 03'!$B$4:$B$1000,B1247)</f>
        <v>Lava Roupas Aquafast Multi Acao Cx/06 X 2l</v>
      </c>
      <c r="F1247" cm="1">
        <f t="array" ref="F1247">INDEX('Linha 03'!$C$3:$ZZ$3,C1247)</f>
        <v>20050031</v>
      </c>
      <c r="G1247" t="str" cm="1">
        <f t="array" ref="G1247">INDEX('Linha 03'!$C$2:$ZZ$2,C1247)</f>
        <v>Desinfetante Ito Lavanda Cx/06 X 2l</v>
      </c>
      <c r="H1247" s="5" cm="1">
        <f t="array" ref="H1247">INDEX('Linha 03'!$C$4:$ZZ$1000,B1247,C1247)</f>
        <v>0</v>
      </c>
    </row>
    <row r="1248" spans="1:8" x14ac:dyDescent="0.25">
      <c r="A1248">
        <v>1246</v>
      </c>
      <c r="B1248">
        <f t="shared" si="38"/>
        <v>31</v>
      </c>
      <c r="C1248">
        <f t="shared" si="39"/>
        <v>16</v>
      </c>
      <c r="D1248" cm="1">
        <f t="array" ref="D1248">INDEX('Linha 03'!$A$4:$A$1000,B1248)</f>
        <v>20200005</v>
      </c>
      <c r="E1248" t="str" cm="1">
        <f t="array" ref="E1248">INDEX('Linha 03'!$B$4:$B$1000,B1248)</f>
        <v>Lava Roupas Aquafast Multi Acao Cx/06 X 2l</v>
      </c>
      <c r="F1248" cm="1">
        <f t="array" ref="F1248">INDEX('Linha 03'!$C$3:$ZZ$3,C1248)</f>
        <v>20050032</v>
      </c>
      <c r="G1248" t="str" cm="1">
        <f t="array" ref="G1248">INDEX('Linha 03'!$C$2:$ZZ$2,C1248)</f>
        <v>Desinfetante Ito Floral Cx/06 X 2l</v>
      </c>
      <c r="H1248" s="5" cm="1">
        <f t="array" ref="H1248">INDEX('Linha 03'!$C$4:$ZZ$1000,B1248,C1248)</f>
        <v>0</v>
      </c>
    </row>
    <row r="1249" spans="1:8" x14ac:dyDescent="0.25">
      <c r="A1249">
        <v>1247</v>
      </c>
      <c r="B1249">
        <f t="shared" si="38"/>
        <v>31</v>
      </c>
      <c r="C1249">
        <f t="shared" si="39"/>
        <v>17</v>
      </c>
      <c r="D1249" cm="1">
        <f t="array" ref="D1249">INDEX('Linha 03'!$A$4:$A$1000,B1249)</f>
        <v>20200005</v>
      </c>
      <c r="E1249" t="str" cm="1">
        <f t="array" ref="E1249">INDEX('Linha 03'!$B$4:$B$1000,B1249)</f>
        <v>Lava Roupas Aquafast Multi Acao Cx/06 X 2l</v>
      </c>
      <c r="F1249" cm="1">
        <f t="array" ref="F1249">INDEX('Linha 03'!$C$3:$ZZ$3,C1249)</f>
        <v>20050034</v>
      </c>
      <c r="G1249" t="str" cm="1">
        <f t="array" ref="G1249">INDEX('Linha 03'!$C$2:$ZZ$2,C1249)</f>
        <v>Desinfetante Ito Eucalipto Cx/06 X 2l</v>
      </c>
      <c r="H1249" s="5" cm="1">
        <f t="array" ref="H1249">INDEX('Linha 03'!$C$4:$ZZ$1000,B1249,C1249)</f>
        <v>0</v>
      </c>
    </row>
    <row r="1250" spans="1:8" x14ac:dyDescent="0.25">
      <c r="A1250">
        <v>1248</v>
      </c>
      <c r="B1250">
        <f t="shared" si="38"/>
        <v>31</v>
      </c>
      <c r="C1250">
        <f t="shared" si="39"/>
        <v>18</v>
      </c>
      <c r="D1250" cm="1">
        <f t="array" ref="D1250">INDEX('Linha 03'!$A$4:$A$1000,B1250)</f>
        <v>20200005</v>
      </c>
      <c r="E1250" t="str" cm="1">
        <f t="array" ref="E1250">INDEX('Linha 03'!$B$4:$B$1000,B1250)</f>
        <v>Lava Roupas Aquafast Multi Acao Cx/06 X 2l</v>
      </c>
      <c r="F1250" cm="1">
        <f t="array" ref="F1250">INDEX('Linha 03'!$C$3:$ZZ$3,C1250)</f>
        <v>20050077</v>
      </c>
      <c r="G1250" t="str" cm="1">
        <f t="array" ref="G1250">INDEX('Linha 03'!$C$2:$ZZ$2,C1250)</f>
        <v>Desinfetante Myata Lavanda Cx/06 X 2l</v>
      </c>
      <c r="H1250" s="5" cm="1">
        <f t="array" ref="H1250">INDEX('Linha 03'!$C$4:$ZZ$1000,B1250,C1250)</f>
        <v>0</v>
      </c>
    </row>
    <row r="1251" spans="1:8" x14ac:dyDescent="0.25">
      <c r="A1251">
        <v>1249</v>
      </c>
      <c r="B1251">
        <f t="shared" si="38"/>
        <v>31</v>
      </c>
      <c r="C1251">
        <f t="shared" si="39"/>
        <v>19</v>
      </c>
      <c r="D1251" cm="1">
        <f t="array" ref="D1251">INDEX('Linha 03'!$A$4:$A$1000,B1251)</f>
        <v>20200005</v>
      </c>
      <c r="E1251" t="str" cm="1">
        <f t="array" ref="E1251">INDEX('Linha 03'!$B$4:$B$1000,B1251)</f>
        <v>Lava Roupas Aquafast Multi Acao Cx/06 X 2l</v>
      </c>
      <c r="F1251" cm="1">
        <f t="array" ref="F1251">INDEX('Linha 03'!$C$3:$ZZ$3,C1251)</f>
        <v>20050078</v>
      </c>
      <c r="G1251" t="str" cm="1">
        <f t="array" ref="G1251">INDEX('Linha 03'!$C$2:$ZZ$2,C1251)</f>
        <v>Desinfetante Myata Floral Cx/06 X 2l</v>
      </c>
      <c r="H1251" s="5" cm="1">
        <f t="array" ref="H1251">INDEX('Linha 03'!$C$4:$ZZ$1000,B1251,C1251)</f>
        <v>0</v>
      </c>
    </row>
    <row r="1252" spans="1:8" x14ac:dyDescent="0.25">
      <c r="A1252">
        <v>1250</v>
      </c>
      <c r="B1252">
        <f t="shared" si="38"/>
        <v>31</v>
      </c>
      <c r="C1252">
        <f t="shared" si="39"/>
        <v>20</v>
      </c>
      <c r="D1252" cm="1">
        <f t="array" ref="D1252">INDEX('Linha 03'!$A$4:$A$1000,B1252)</f>
        <v>20200005</v>
      </c>
      <c r="E1252" t="str" cm="1">
        <f t="array" ref="E1252">INDEX('Linha 03'!$B$4:$B$1000,B1252)</f>
        <v>Lava Roupas Aquafast Multi Acao Cx/06 X 2l</v>
      </c>
      <c r="F1252" cm="1">
        <f t="array" ref="F1252">INDEX('Linha 03'!$C$3:$ZZ$3,C1252)</f>
        <v>20050115</v>
      </c>
      <c r="G1252" t="str" cm="1">
        <f t="array" ref="G1252">INDEX('Linha 03'!$C$2:$ZZ$2,C1252)</f>
        <v>Desinfetante Aquafast Paixao Cx/06 X 2l</v>
      </c>
      <c r="H1252" s="5" cm="1">
        <f t="array" ref="H1252">INDEX('Linha 03'!$C$4:$ZZ$1000,B1252,C1252)</f>
        <v>0</v>
      </c>
    </row>
    <row r="1253" spans="1:8" x14ac:dyDescent="0.25">
      <c r="A1253">
        <v>1251</v>
      </c>
      <c r="B1253">
        <f t="shared" si="38"/>
        <v>31</v>
      </c>
      <c r="C1253">
        <f t="shared" si="39"/>
        <v>21</v>
      </c>
      <c r="D1253" cm="1">
        <f t="array" ref="D1253">INDEX('Linha 03'!$A$4:$A$1000,B1253)</f>
        <v>20200005</v>
      </c>
      <c r="E1253" t="str" cm="1">
        <f t="array" ref="E1253">INDEX('Linha 03'!$B$4:$B$1000,B1253)</f>
        <v>Lava Roupas Aquafast Multi Acao Cx/06 X 2l</v>
      </c>
      <c r="F1253" cm="1">
        <f t="array" ref="F1253">INDEX('Linha 03'!$C$3:$ZZ$3,C1253)</f>
        <v>20050117</v>
      </c>
      <c r="G1253" t="str" cm="1">
        <f t="array" ref="G1253">INDEX('Linha 03'!$C$2:$ZZ$2,C1253)</f>
        <v>Desinfetante Aquafast Harmonia Natural Cx/06 X 2l</v>
      </c>
      <c r="H1253" s="5" cm="1">
        <f t="array" ref="H1253">INDEX('Linha 03'!$C$4:$ZZ$1000,B1253,C1253)</f>
        <v>0</v>
      </c>
    </row>
    <row r="1254" spans="1:8" x14ac:dyDescent="0.25">
      <c r="A1254">
        <v>1252</v>
      </c>
      <c r="B1254">
        <f t="shared" si="38"/>
        <v>31</v>
      </c>
      <c r="C1254">
        <f t="shared" si="39"/>
        <v>22</v>
      </c>
      <c r="D1254" cm="1">
        <f t="array" ref="D1254">INDEX('Linha 03'!$A$4:$A$1000,B1254)</f>
        <v>20200005</v>
      </c>
      <c r="E1254" t="str" cm="1">
        <f t="array" ref="E1254">INDEX('Linha 03'!$B$4:$B$1000,B1254)</f>
        <v>Lava Roupas Aquafast Multi Acao Cx/06 X 2l</v>
      </c>
      <c r="F1254" cm="1">
        <f t="array" ref="F1254">INDEX('Linha 03'!$C$3:$ZZ$3,C1254)</f>
        <v>20050123</v>
      </c>
      <c r="G1254" t="str" cm="1">
        <f t="array" ref="G1254">INDEX('Linha 03'!$C$2:$ZZ$2,C1254)</f>
        <v>Desinfetante Ito Harmonia Natural Cx/06 X 2l</v>
      </c>
      <c r="H1254" s="5" cm="1">
        <f t="array" ref="H1254">INDEX('Linha 03'!$C$4:$ZZ$1000,B1254,C1254)</f>
        <v>0</v>
      </c>
    </row>
    <row r="1255" spans="1:8" x14ac:dyDescent="0.25">
      <c r="A1255">
        <v>1253</v>
      </c>
      <c r="B1255">
        <f t="shared" si="38"/>
        <v>31</v>
      </c>
      <c r="C1255">
        <f t="shared" si="39"/>
        <v>23</v>
      </c>
      <c r="D1255" cm="1">
        <f t="array" ref="D1255">INDEX('Linha 03'!$A$4:$A$1000,B1255)</f>
        <v>20200005</v>
      </c>
      <c r="E1255" t="str" cm="1">
        <f t="array" ref="E1255">INDEX('Linha 03'!$B$4:$B$1000,B1255)</f>
        <v>Lava Roupas Aquafast Multi Acao Cx/06 X 2l</v>
      </c>
      <c r="F1255" cm="1">
        <f t="array" ref="F1255">INDEX('Linha 03'!$C$3:$ZZ$3,C1255)</f>
        <v>20050124</v>
      </c>
      <c r="G1255" t="str" cm="1">
        <f t="array" ref="G1255">INDEX('Linha 03'!$C$2:$ZZ$2,C1255)</f>
        <v>Desinfetante Myata Harmonia Natural Cx/06 X 2l</v>
      </c>
      <c r="H1255" s="5" cm="1">
        <f t="array" ref="H1255">INDEX('Linha 03'!$C$4:$ZZ$1000,B1255,C1255)</f>
        <v>0</v>
      </c>
    </row>
    <row r="1256" spans="1:8" x14ac:dyDescent="0.25">
      <c r="A1256">
        <v>1254</v>
      </c>
      <c r="B1256">
        <f t="shared" si="38"/>
        <v>31</v>
      </c>
      <c r="C1256">
        <f t="shared" si="39"/>
        <v>24</v>
      </c>
      <c r="D1256" cm="1">
        <f t="array" ref="D1256">INDEX('Linha 03'!$A$4:$A$1000,B1256)</f>
        <v>20200005</v>
      </c>
      <c r="E1256" t="str" cm="1">
        <f t="array" ref="E1256">INDEX('Linha 03'!$B$4:$B$1000,B1256)</f>
        <v>Lava Roupas Aquafast Multi Acao Cx/06 X 2l</v>
      </c>
      <c r="F1256" cm="1">
        <f t="array" ref="F1256">INDEX('Linha 03'!$C$3:$ZZ$3,C1256)</f>
        <v>20050142</v>
      </c>
      <c r="G1256" t="str" cm="1">
        <f t="array" ref="G1256">INDEX('Linha 03'!$C$2:$ZZ$2,C1256)</f>
        <v>Desinfetante Ito Marine Cx/06 X 2l</v>
      </c>
      <c r="H1256" s="5" cm="1">
        <f t="array" ref="H1256">INDEX('Linha 03'!$C$4:$ZZ$1000,B1256,C1256)</f>
        <v>0</v>
      </c>
    </row>
    <row r="1257" spans="1:8" x14ac:dyDescent="0.25">
      <c r="A1257">
        <v>1255</v>
      </c>
      <c r="B1257">
        <f t="shared" si="38"/>
        <v>31</v>
      </c>
      <c r="C1257">
        <f t="shared" si="39"/>
        <v>25</v>
      </c>
      <c r="D1257" cm="1">
        <f t="array" ref="D1257">INDEX('Linha 03'!$A$4:$A$1000,B1257)</f>
        <v>20200005</v>
      </c>
      <c r="E1257" t="str" cm="1">
        <f t="array" ref="E1257">INDEX('Linha 03'!$B$4:$B$1000,B1257)</f>
        <v>Lava Roupas Aquafast Multi Acao Cx/06 X 2l</v>
      </c>
      <c r="F1257" cm="1">
        <f t="array" ref="F1257">INDEX('Linha 03'!$C$3:$ZZ$3,C1257)</f>
        <v>20050159</v>
      </c>
      <c r="G1257" t="str" cm="1">
        <f t="array" ref="G1257">INDEX('Linha 03'!$C$2:$ZZ$2,C1257)</f>
        <v>Desinfetante Aquafast Cha Branco Cx/06 X 2l</v>
      </c>
      <c r="H1257" s="5" cm="1">
        <f t="array" ref="H1257">INDEX('Linha 03'!$C$4:$ZZ$1000,B1257,C1257)</f>
        <v>1.38888888888889E-2</v>
      </c>
    </row>
    <row r="1258" spans="1:8" x14ac:dyDescent="0.25">
      <c r="A1258">
        <v>1256</v>
      </c>
      <c r="B1258">
        <f t="shared" si="38"/>
        <v>31</v>
      </c>
      <c r="C1258">
        <f t="shared" si="39"/>
        <v>26</v>
      </c>
      <c r="D1258" cm="1">
        <f t="array" ref="D1258">INDEX('Linha 03'!$A$4:$A$1000,B1258)</f>
        <v>20200005</v>
      </c>
      <c r="E1258" t="str" cm="1">
        <f t="array" ref="E1258">INDEX('Linha 03'!$B$4:$B$1000,B1258)</f>
        <v>Lava Roupas Aquafast Multi Acao Cx/06 X 2l</v>
      </c>
      <c r="F1258" cm="1">
        <f t="array" ref="F1258">INDEX('Linha 03'!$C$3:$ZZ$3,C1258)</f>
        <v>20060007</v>
      </c>
      <c r="G1258" t="str" cm="1">
        <f t="array" ref="G1258">INDEX('Linha 03'!$C$2:$ZZ$2,C1258)</f>
        <v>Limp Perf Aquafast Magia Seducao Cx/06 X 2l (Promoc)</v>
      </c>
      <c r="H1258" s="5" cm="1">
        <f t="array" ref="H1258">INDEX('Linha 03'!$C$4:$ZZ$1000,B1258,C1258)</f>
        <v>0</v>
      </c>
    </row>
    <row r="1259" spans="1:8" x14ac:dyDescent="0.25">
      <c r="A1259">
        <v>1257</v>
      </c>
      <c r="B1259">
        <f t="shared" si="38"/>
        <v>31</v>
      </c>
      <c r="C1259">
        <f t="shared" si="39"/>
        <v>27</v>
      </c>
      <c r="D1259" cm="1">
        <f t="array" ref="D1259">INDEX('Linha 03'!$A$4:$A$1000,B1259)</f>
        <v>20200005</v>
      </c>
      <c r="E1259" t="str" cm="1">
        <f t="array" ref="E1259">INDEX('Linha 03'!$B$4:$B$1000,B1259)</f>
        <v>Lava Roupas Aquafast Multi Acao Cx/06 X 2l</v>
      </c>
      <c r="F1259" cm="1">
        <f t="array" ref="F1259">INDEX('Linha 03'!$C$3:$ZZ$3,C1259)</f>
        <v>20060009</v>
      </c>
      <c r="G1259" t="str" cm="1">
        <f t="array" ref="G1259">INDEX('Linha 03'!$C$2:$ZZ$2,C1259)</f>
        <v>Limp Perf Aquafast Frescor Da Manha Cx/06 X 2l (Promoc)</v>
      </c>
      <c r="H1259" s="5" cm="1">
        <f t="array" ref="H1259">INDEX('Linha 03'!$C$4:$ZZ$1000,B1259,C1259)</f>
        <v>0</v>
      </c>
    </row>
    <row r="1260" spans="1:8" x14ac:dyDescent="0.25">
      <c r="A1260">
        <v>1258</v>
      </c>
      <c r="B1260">
        <f t="shared" si="38"/>
        <v>31</v>
      </c>
      <c r="C1260">
        <f t="shared" si="39"/>
        <v>28</v>
      </c>
      <c r="D1260" cm="1">
        <f t="array" ref="D1260">INDEX('Linha 03'!$A$4:$A$1000,B1260)</f>
        <v>20200005</v>
      </c>
      <c r="E1260" t="str" cm="1">
        <f t="array" ref="E1260">INDEX('Linha 03'!$B$4:$B$1000,B1260)</f>
        <v>Lava Roupas Aquafast Multi Acao Cx/06 X 2l</v>
      </c>
      <c r="F1260" cm="1">
        <f t="array" ref="F1260">INDEX('Linha 03'!$C$3:$ZZ$3,C1260)</f>
        <v>20060017</v>
      </c>
      <c r="G1260" t="str" cm="1">
        <f t="array" ref="G1260">INDEX('Linha 03'!$C$2:$ZZ$2,C1260)</f>
        <v>Limp Perf Aquafast Doce Romance Cx/06 X 2l (Promoc)</v>
      </c>
      <c r="H1260" s="5" cm="1">
        <f t="array" ref="H1260">INDEX('Linha 03'!$C$4:$ZZ$1000,B1260,C1260)</f>
        <v>0</v>
      </c>
    </row>
    <row r="1261" spans="1:8" x14ac:dyDescent="0.25">
      <c r="A1261">
        <v>1259</v>
      </c>
      <c r="B1261">
        <f t="shared" si="38"/>
        <v>31</v>
      </c>
      <c r="C1261">
        <f t="shared" si="39"/>
        <v>29</v>
      </c>
      <c r="D1261" cm="1">
        <f t="array" ref="D1261">INDEX('Linha 03'!$A$4:$A$1000,B1261)</f>
        <v>20200005</v>
      </c>
      <c r="E1261" t="str" cm="1">
        <f t="array" ref="E1261">INDEX('Linha 03'!$B$4:$B$1000,B1261)</f>
        <v>Lava Roupas Aquafast Multi Acao Cx/06 X 2l</v>
      </c>
      <c r="F1261" cm="1">
        <f t="array" ref="F1261">INDEX('Linha 03'!$C$3:$ZZ$3,C1261)</f>
        <v>20060028</v>
      </c>
      <c r="G1261" t="str" cm="1">
        <f t="array" ref="G1261">INDEX('Linha 03'!$C$2:$ZZ$2,C1261)</f>
        <v>Limp Perf Aquafast Essencia Natural Cx06 X 2l</v>
      </c>
      <c r="H1261" s="5" cm="1">
        <f t="array" ref="H1261">INDEX('Linha 03'!$C$4:$ZZ$1000,B1261,C1261)</f>
        <v>0</v>
      </c>
    </row>
    <row r="1262" spans="1:8" x14ac:dyDescent="0.25">
      <c r="A1262">
        <v>1260</v>
      </c>
      <c r="B1262">
        <f t="shared" si="38"/>
        <v>31</v>
      </c>
      <c r="C1262">
        <f t="shared" si="39"/>
        <v>30</v>
      </c>
      <c r="D1262" cm="1">
        <f t="array" ref="D1262">INDEX('Linha 03'!$A$4:$A$1000,B1262)</f>
        <v>20200005</v>
      </c>
      <c r="E1262" t="str" cm="1">
        <f t="array" ref="E1262">INDEX('Linha 03'!$B$4:$B$1000,B1262)</f>
        <v>Lava Roupas Aquafast Multi Acao Cx/06 X 2l</v>
      </c>
      <c r="F1262" cm="1">
        <f t="array" ref="F1262">INDEX('Linha 03'!$C$3:$ZZ$3,C1262)</f>
        <v>20200003</v>
      </c>
      <c r="G1262" t="str" cm="1">
        <f t="array" ref="G1262">INDEX('Linha 03'!$C$2:$ZZ$2,C1262)</f>
        <v>Lava Roup. Aquafast Baby Cx/12 X 1l</v>
      </c>
      <c r="H1262" s="5" cm="1">
        <f t="array" ref="H1262">INDEX('Linha 03'!$C$4:$ZZ$1000,B1262,C1262)</f>
        <v>0</v>
      </c>
    </row>
    <row r="1263" spans="1:8" x14ac:dyDescent="0.25">
      <c r="A1263">
        <v>1261</v>
      </c>
      <c r="B1263">
        <f t="shared" si="38"/>
        <v>31</v>
      </c>
      <c r="C1263">
        <f t="shared" si="39"/>
        <v>31</v>
      </c>
      <c r="D1263" cm="1">
        <f t="array" ref="D1263">INDEX('Linha 03'!$A$4:$A$1000,B1263)</f>
        <v>20200005</v>
      </c>
      <c r="E1263" t="str" cm="1">
        <f t="array" ref="E1263">INDEX('Linha 03'!$B$4:$B$1000,B1263)</f>
        <v>Lava Roupas Aquafast Multi Acao Cx/06 X 2l</v>
      </c>
      <c r="F1263" cm="1">
        <f t="array" ref="F1263">INDEX('Linha 03'!$C$3:$ZZ$3,C1263)</f>
        <v>20200005</v>
      </c>
      <c r="G1263" t="str" cm="1">
        <f t="array" ref="G1263">INDEX('Linha 03'!$C$2:$ZZ$2,C1263)</f>
        <v>Lava Roupas Aquafast Multi Acao Cx/06 X 2l</v>
      </c>
      <c r="H1263" s="5" cm="1">
        <f t="array" ref="H1263">INDEX('Linha 03'!$C$4:$ZZ$1000,B1263,C1263)</f>
        <v>0</v>
      </c>
    </row>
    <row r="1264" spans="1:8" x14ac:dyDescent="0.25">
      <c r="A1264">
        <v>1262</v>
      </c>
      <c r="B1264">
        <f t="shared" si="38"/>
        <v>31</v>
      </c>
      <c r="C1264">
        <f t="shared" si="39"/>
        <v>32</v>
      </c>
      <c r="D1264" cm="1">
        <f t="array" ref="D1264">INDEX('Linha 03'!$A$4:$A$1000,B1264)</f>
        <v>20200005</v>
      </c>
      <c r="E1264" t="str" cm="1">
        <f t="array" ref="E1264">INDEX('Linha 03'!$B$4:$B$1000,B1264)</f>
        <v>Lava Roupas Aquafast Multi Acao Cx/06 X 2l</v>
      </c>
      <c r="F1264" cm="1">
        <f t="array" ref="F1264">INDEX('Linha 03'!$C$3:$ZZ$3,C1264)</f>
        <v>20200006</v>
      </c>
      <c r="G1264" t="str" cm="1">
        <f t="array" ref="G1264">INDEX('Linha 03'!$C$2:$ZZ$2,C1264)</f>
        <v>Lava Roupas Aquafast Glicerina Cx/06 X 2l</v>
      </c>
      <c r="H1264" s="5" cm="1">
        <f t="array" ref="H1264">INDEX('Linha 03'!$C$4:$ZZ$1000,B1264,C1264)</f>
        <v>0</v>
      </c>
    </row>
    <row r="1265" spans="1:8" x14ac:dyDescent="0.25">
      <c r="A1265">
        <v>1263</v>
      </c>
      <c r="B1265">
        <f t="shared" si="38"/>
        <v>31</v>
      </c>
      <c r="C1265">
        <f t="shared" si="39"/>
        <v>33</v>
      </c>
      <c r="D1265" cm="1">
        <f t="array" ref="D1265">INDEX('Linha 03'!$A$4:$A$1000,B1265)</f>
        <v>20200005</v>
      </c>
      <c r="E1265" t="str" cm="1">
        <f t="array" ref="E1265">INDEX('Linha 03'!$B$4:$B$1000,B1265)</f>
        <v>Lava Roupas Aquafast Multi Acao Cx/06 X 2l</v>
      </c>
      <c r="F1265" cm="1">
        <f t="array" ref="F1265">INDEX('Linha 03'!$C$3:$ZZ$3,C1265)</f>
        <v>20200015</v>
      </c>
      <c r="G1265" t="str" cm="1">
        <f t="array" ref="G1265">INDEX('Linha 03'!$C$2:$ZZ$2,C1265)</f>
        <v>Lava Roup. Aquafast Multiacao Cx/12 X 1l</v>
      </c>
      <c r="H1265" s="5" cm="1">
        <f t="array" ref="H1265">INDEX('Linha 03'!$C$4:$ZZ$1000,B1265,C1265)</f>
        <v>0</v>
      </c>
    </row>
    <row r="1266" spans="1:8" x14ac:dyDescent="0.25">
      <c r="A1266">
        <v>1264</v>
      </c>
      <c r="B1266">
        <f t="shared" si="38"/>
        <v>31</v>
      </c>
      <c r="C1266">
        <f t="shared" si="39"/>
        <v>34</v>
      </c>
      <c r="D1266" cm="1">
        <f t="array" ref="D1266">INDEX('Linha 03'!$A$4:$A$1000,B1266)</f>
        <v>20200005</v>
      </c>
      <c r="E1266" t="str" cm="1">
        <f t="array" ref="E1266">INDEX('Linha 03'!$B$4:$B$1000,B1266)</f>
        <v>Lava Roupas Aquafast Multi Acao Cx/06 X 2l</v>
      </c>
      <c r="F1266" cm="1">
        <f t="array" ref="F1266">INDEX('Linha 03'!$C$3:$ZZ$3,C1266)</f>
        <v>20200036</v>
      </c>
      <c r="G1266" t="str" cm="1">
        <f t="array" ref="G1266">INDEX('Linha 03'!$C$2:$ZZ$2,C1266)</f>
        <v>Lava Roupas Aquafast Ternura Cx/06 X 2l</v>
      </c>
      <c r="H1266" s="5" cm="1">
        <f t="array" ref="H1266">INDEX('Linha 03'!$C$4:$ZZ$1000,B1266,C1266)</f>
        <v>0</v>
      </c>
    </row>
    <row r="1267" spans="1:8" x14ac:dyDescent="0.25">
      <c r="A1267">
        <v>1265</v>
      </c>
      <c r="B1267">
        <f t="shared" si="38"/>
        <v>31</v>
      </c>
      <c r="C1267">
        <f t="shared" si="39"/>
        <v>35</v>
      </c>
      <c r="D1267" cm="1">
        <f t="array" ref="D1267">INDEX('Linha 03'!$A$4:$A$1000,B1267)</f>
        <v>20200005</v>
      </c>
      <c r="E1267" t="str" cm="1">
        <f t="array" ref="E1267">INDEX('Linha 03'!$B$4:$B$1000,B1267)</f>
        <v>Lava Roupas Aquafast Multi Acao Cx/06 X 2l</v>
      </c>
      <c r="F1267" cm="1">
        <f t="array" ref="F1267">INDEX('Linha 03'!$C$3:$ZZ$3,C1267)</f>
        <v>20200063</v>
      </c>
      <c r="G1267" t="str" cm="1">
        <f t="array" ref="G1267">INDEX('Linha 03'!$C$2:$ZZ$2,C1267)</f>
        <v>Lava Roup. Aquafast Tradicional Cx/12 X 1l</v>
      </c>
      <c r="H1267" s="5" cm="1">
        <f t="array" ref="H1267">INDEX('Linha 03'!$C$4:$ZZ$1000,B1267,C1267)</f>
        <v>0</v>
      </c>
    </row>
    <row r="1268" spans="1:8" x14ac:dyDescent="0.25">
      <c r="A1268">
        <v>1266</v>
      </c>
      <c r="B1268">
        <f t="shared" si="38"/>
        <v>31</v>
      </c>
      <c r="C1268">
        <f t="shared" si="39"/>
        <v>36</v>
      </c>
      <c r="D1268" cm="1">
        <f t="array" ref="D1268">INDEX('Linha 03'!$A$4:$A$1000,B1268)</f>
        <v>20200005</v>
      </c>
      <c r="E1268" t="str" cm="1">
        <f t="array" ref="E1268">INDEX('Linha 03'!$B$4:$B$1000,B1268)</f>
        <v>Lava Roupas Aquafast Multi Acao Cx/06 X 2l</v>
      </c>
      <c r="F1268" cm="1">
        <f t="array" ref="F1268">INDEX('Linha 03'!$C$3:$ZZ$3,C1268)</f>
        <v>20200064</v>
      </c>
      <c r="G1268" t="str" cm="1">
        <f t="array" ref="G1268">INDEX('Linha 03'!$C$2:$ZZ$2,C1268)</f>
        <v>Lava Roup. Aquafast Flores B. E Baunilha Cx/12 X 1l</v>
      </c>
      <c r="H1268" s="5" cm="1">
        <f t="array" ref="H1268">INDEX('Linha 03'!$C$4:$ZZ$1000,B1268,C1268)</f>
        <v>0</v>
      </c>
    </row>
    <row r="1269" spans="1:8" x14ac:dyDescent="0.25">
      <c r="A1269">
        <v>1267</v>
      </c>
      <c r="B1269">
        <f t="shared" si="38"/>
        <v>31</v>
      </c>
      <c r="C1269">
        <f t="shared" si="39"/>
        <v>37</v>
      </c>
      <c r="D1269" cm="1">
        <f t="array" ref="D1269">INDEX('Linha 03'!$A$4:$A$1000,B1269)</f>
        <v>20200005</v>
      </c>
      <c r="E1269" t="str" cm="1">
        <f t="array" ref="E1269">INDEX('Linha 03'!$B$4:$B$1000,B1269)</f>
        <v>Lava Roupas Aquafast Multi Acao Cx/06 X 2l</v>
      </c>
      <c r="F1269" cm="1">
        <f t="array" ref="F1269">INDEX('Linha 03'!$C$3:$ZZ$3,C1269)</f>
        <v>20200065</v>
      </c>
      <c r="G1269" t="str" cm="1">
        <f t="array" ref="G1269">INDEX('Linha 03'!$C$2:$ZZ$2,C1269)</f>
        <v>Lava Roupas Aquafast Flores B. E Baunilha Cx/06 X 2l</v>
      </c>
      <c r="H1269" s="5" cm="1">
        <f t="array" ref="H1269">INDEX('Linha 03'!$C$4:$ZZ$1000,B1269,C1269)</f>
        <v>0</v>
      </c>
    </row>
    <row r="1270" spans="1:8" x14ac:dyDescent="0.25">
      <c r="A1270">
        <v>1268</v>
      </c>
      <c r="B1270">
        <f t="shared" si="38"/>
        <v>31</v>
      </c>
      <c r="C1270">
        <f t="shared" si="39"/>
        <v>38</v>
      </c>
      <c r="D1270" cm="1">
        <f t="array" ref="D1270">INDEX('Linha 03'!$A$4:$A$1000,B1270)</f>
        <v>20200005</v>
      </c>
      <c r="E1270" t="str" cm="1">
        <f t="array" ref="E1270">INDEX('Linha 03'!$B$4:$B$1000,B1270)</f>
        <v>Lava Roupas Aquafast Multi Acao Cx/06 X 2l</v>
      </c>
      <c r="F1270" cm="1">
        <f t="array" ref="F1270">INDEX('Linha 03'!$C$3:$ZZ$3,C1270)</f>
        <v>20200072</v>
      </c>
      <c r="G1270" t="str" cm="1">
        <f t="array" ref="G1270">INDEX('Linha 03'!$C$2:$ZZ$2,C1270)</f>
        <v>Lava Roupas Aquafast Lavagem Rapida Total Clean Cx/12 X 1l</v>
      </c>
      <c r="H1270" s="5" cm="1">
        <f t="array" ref="H1270">INDEX('Linha 03'!$C$4:$ZZ$1000,B1270,C1270)</f>
        <v>0</v>
      </c>
    </row>
    <row r="1271" spans="1:8" x14ac:dyDescent="0.25">
      <c r="A1271">
        <v>1269</v>
      </c>
      <c r="B1271">
        <f t="shared" si="38"/>
        <v>31</v>
      </c>
      <c r="C1271">
        <f t="shared" si="39"/>
        <v>39</v>
      </c>
      <c r="D1271" cm="1">
        <f t="array" ref="D1271">INDEX('Linha 03'!$A$4:$A$1000,B1271)</f>
        <v>20200005</v>
      </c>
      <c r="E1271" t="str" cm="1">
        <f t="array" ref="E1271">INDEX('Linha 03'!$B$4:$B$1000,B1271)</f>
        <v>Lava Roupas Aquafast Multi Acao Cx/06 X 2l</v>
      </c>
      <c r="F1271" cm="1">
        <f t="array" ref="F1271">INDEX('Linha 03'!$C$3:$ZZ$3,C1271)</f>
        <v>20200074</v>
      </c>
      <c r="G1271" t="str" cm="1">
        <f t="array" ref="G1271">INDEX('Linha 03'!$C$2:$ZZ$2,C1271)</f>
        <v>Lava Roupas Aquafast Lavagem Rapida Fresh Clean Cx/12 X 1l</v>
      </c>
      <c r="H1271" s="5" cm="1">
        <f t="array" ref="H1271">INDEX('Linha 03'!$C$4:$ZZ$1000,B1271,C1271)</f>
        <v>0</v>
      </c>
    </row>
    <row r="1272" spans="1:8" x14ac:dyDescent="0.25">
      <c r="A1272">
        <v>1270</v>
      </c>
      <c r="B1272">
        <f t="shared" si="38"/>
        <v>31</v>
      </c>
      <c r="C1272">
        <f t="shared" si="39"/>
        <v>40</v>
      </c>
      <c r="D1272" cm="1">
        <f t="array" ref="D1272">INDEX('Linha 03'!$A$4:$A$1000,B1272)</f>
        <v>20200005</v>
      </c>
      <c r="E1272" t="str" cm="1">
        <f t="array" ref="E1272">INDEX('Linha 03'!$B$4:$B$1000,B1272)</f>
        <v>Lava Roupas Aquafast Multi Acao Cx/06 X 2l</v>
      </c>
      <c r="F1272" cm="1">
        <f t="array" ref="F1272">INDEX('Linha 03'!$C$3:$ZZ$3,C1272)</f>
        <v>20250005</v>
      </c>
      <c r="G1272" t="str" cm="1">
        <f t="array" ref="G1272">INDEX('Linha 03'!$C$2:$ZZ$2,C1272)</f>
        <v>Neutralizador De Odores Aquafast Floral Cx/06 X 2l</v>
      </c>
      <c r="H1272" s="5" cm="1">
        <f t="array" ref="H1272">INDEX('Linha 03'!$C$4:$ZZ$1000,B1272,C1272)</f>
        <v>0</v>
      </c>
    </row>
    <row r="1273" spans="1:8" x14ac:dyDescent="0.25">
      <c r="A1273">
        <v>1271</v>
      </c>
      <c r="B1273">
        <f t="shared" si="38"/>
        <v>31</v>
      </c>
      <c r="C1273">
        <f t="shared" si="39"/>
        <v>41</v>
      </c>
      <c r="D1273" cm="1">
        <f t="array" ref="D1273">INDEX('Linha 03'!$A$4:$A$1000,B1273)</f>
        <v>20200005</v>
      </c>
      <c r="E1273" t="str" cm="1">
        <f t="array" ref="E1273">INDEX('Linha 03'!$B$4:$B$1000,B1273)</f>
        <v>Lava Roupas Aquafast Multi Acao Cx/06 X 2l</v>
      </c>
      <c r="F1273" cm="1">
        <f t="array" ref="F1273">INDEX('Linha 03'!$C$3:$ZZ$3,C1273)</f>
        <v>20250007</v>
      </c>
      <c r="G1273" t="str" cm="1">
        <f t="array" ref="G1273">INDEX('Linha 03'!$C$2:$ZZ$2,C1273)</f>
        <v>Neutralizador De Odores Aquafast Marine Cx/06 2l</v>
      </c>
      <c r="H1273" s="5" cm="1">
        <f t="array" ref="H1273">INDEX('Linha 03'!$C$4:$ZZ$1000,B1273,C1273)</f>
        <v>0</v>
      </c>
    </row>
    <row r="1274" spans="1:8" x14ac:dyDescent="0.25">
      <c r="A1274">
        <v>1272</v>
      </c>
      <c r="B1274">
        <f t="shared" si="38"/>
        <v>32</v>
      </c>
      <c r="C1274">
        <f t="shared" si="39"/>
        <v>1</v>
      </c>
      <c r="D1274" cm="1">
        <f t="array" ref="D1274">INDEX('Linha 03'!$A$4:$A$1000,B1274)</f>
        <v>20200006</v>
      </c>
      <c r="E1274" t="str" cm="1">
        <f t="array" ref="E1274">INDEX('Linha 03'!$B$4:$B$1000,B1274)</f>
        <v>Lava Roupas Aquafast Glicerina Cx/06 X 2l</v>
      </c>
      <c r="F1274" cm="1">
        <f t="array" ref="F1274">INDEX('Linha 03'!$C$3:$ZZ$3,C1274)</f>
        <v>20040006</v>
      </c>
      <c r="G1274" t="str" cm="1">
        <f t="array" ref="G1274">INDEX('Linha 03'!$C$2:$ZZ$2,C1274)</f>
        <v>Amaciante Aquafast Azul Fresc. Manha Cx/06 X 2l</v>
      </c>
      <c r="H1274" s="5" cm="1">
        <f t="array" ref="H1274">INDEX('Linha 03'!$C$4:$ZZ$1000,B1274,C1274)</f>
        <v>0</v>
      </c>
    </row>
    <row r="1275" spans="1:8" x14ac:dyDescent="0.25">
      <c r="A1275">
        <v>1273</v>
      </c>
      <c r="B1275">
        <f t="shared" si="38"/>
        <v>32</v>
      </c>
      <c r="C1275">
        <f t="shared" si="39"/>
        <v>2</v>
      </c>
      <c r="D1275" cm="1">
        <f t="array" ref="D1275">INDEX('Linha 03'!$A$4:$A$1000,B1275)</f>
        <v>20200006</v>
      </c>
      <c r="E1275" t="str" cm="1">
        <f t="array" ref="E1275">INDEX('Linha 03'!$B$4:$B$1000,B1275)</f>
        <v>Lava Roupas Aquafast Glicerina Cx/06 X 2l</v>
      </c>
      <c r="F1275" cm="1">
        <f t="array" ref="F1275">INDEX('Linha 03'!$C$3:$ZZ$3,C1275)</f>
        <v>20040008</v>
      </c>
      <c r="G1275" t="str" cm="1">
        <f t="array" ref="G1275">INDEX('Linha 03'!$C$2:$ZZ$2,C1275)</f>
        <v>Amaciante Aquafast Rosa Jard. Florid Cx/06 X 2l</v>
      </c>
      <c r="H1275" s="5" cm="1">
        <f t="array" ref="H1275">INDEX('Linha 03'!$C$4:$ZZ$1000,B1275,C1275)</f>
        <v>0</v>
      </c>
    </row>
    <row r="1276" spans="1:8" x14ac:dyDescent="0.25">
      <c r="A1276">
        <v>1274</v>
      </c>
      <c r="B1276">
        <f t="shared" si="38"/>
        <v>32</v>
      </c>
      <c r="C1276">
        <f t="shared" si="39"/>
        <v>3</v>
      </c>
      <c r="D1276" cm="1">
        <f t="array" ref="D1276">INDEX('Linha 03'!$A$4:$A$1000,B1276)</f>
        <v>20200006</v>
      </c>
      <c r="E1276" t="str" cm="1">
        <f t="array" ref="E1276">INDEX('Linha 03'!$B$4:$B$1000,B1276)</f>
        <v>Lava Roupas Aquafast Glicerina Cx/06 X 2l</v>
      </c>
      <c r="F1276" cm="1">
        <f t="array" ref="F1276">INDEX('Linha 03'!$C$3:$ZZ$3,C1276)</f>
        <v>20040009</v>
      </c>
      <c r="G1276" t="str" cm="1">
        <f t="array" ref="G1276">INDEX('Linha 03'!$C$2:$ZZ$2,C1276)</f>
        <v>Amaciante Aquafast Branco Pura Caric. Cx/06 X 2l</v>
      </c>
      <c r="H1276" s="5" cm="1">
        <f t="array" ref="H1276">INDEX('Linha 03'!$C$4:$ZZ$1000,B1276,C1276)</f>
        <v>0</v>
      </c>
    </row>
    <row r="1277" spans="1:8" x14ac:dyDescent="0.25">
      <c r="A1277">
        <v>1275</v>
      </c>
      <c r="B1277">
        <f t="shared" si="38"/>
        <v>32</v>
      </c>
      <c r="C1277">
        <f t="shared" si="39"/>
        <v>4</v>
      </c>
      <c r="D1277" cm="1">
        <f t="array" ref="D1277">INDEX('Linha 03'!$A$4:$A$1000,B1277)</f>
        <v>20200006</v>
      </c>
      <c r="E1277" t="str" cm="1">
        <f t="array" ref="E1277">INDEX('Linha 03'!$B$4:$B$1000,B1277)</f>
        <v>Lava Roupas Aquafast Glicerina Cx/06 X 2l</v>
      </c>
      <c r="F1277" cm="1">
        <f t="array" ref="F1277">INDEX('Linha 03'!$C$3:$ZZ$3,C1277)</f>
        <v>20040026</v>
      </c>
      <c r="G1277" t="str" cm="1">
        <f t="array" ref="G1277">INDEX('Linha 03'!$C$2:$ZZ$2,C1277)</f>
        <v>Amaciante Ito Azul Cx/06 X 2l</v>
      </c>
      <c r="H1277" s="5" cm="1">
        <f t="array" ref="H1277">INDEX('Linha 03'!$C$4:$ZZ$1000,B1277,C1277)</f>
        <v>0</v>
      </c>
    </row>
    <row r="1278" spans="1:8" x14ac:dyDescent="0.25">
      <c r="A1278">
        <v>1276</v>
      </c>
      <c r="B1278">
        <f t="shared" si="38"/>
        <v>32</v>
      </c>
      <c r="C1278">
        <f t="shared" si="39"/>
        <v>5</v>
      </c>
      <c r="D1278" cm="1">
        <f t="array" ref="D1278">INDEX('Linha 03'!$A$4:$A$1000,B1278)</f>
        <v>20200006</v>
      </c>
      <c r="E1278" t="str" cm="1">
        <f t="array" ref="E1278">INDEX('Linha 03'!$B$4:$B$1000,B1278)</f>
        <v>Lava Roupas Aquafast Glicerina Cx/06 X 2l</v>
      </c>
      <c r="F1278" cm="1">
        <f t="array" ref="F1278">INDEX('Linha 03'!$C$3:$ZZ$3,C1278)</f>
        <v>20040028</v>
      </c>
      <c r="G1278" t="str" cm="1">
        <f t="array" ref="G1278">INDEX('Linha 03'!$C$2:$ZZ$2,C1278)</f>
        <v>Amaciante Ito Rosa Cx/06 X 2l</v>
      </c>
      <c r="H1278" s="5" cm="1">
        <f t="array" ref="H1278">INDEX('Linha 03'!$C$4:$ZZ$1000,B1278,C1278)</f>
        <v>0</v>
      </c>
    </row>
    <row r="1279" spans="1:8" x14ac:dyDescent="0.25">
      <c r="A1279">
        <v>1277</v>
      </c>
      <c r="B1279">
        <f t="shared" si="38"/>
        <v>32</v>
      </c>
      <c r="C1279">
        <f t="shared" si="39"/>
        <v>6</v>
      </c>
      <c r="D1279" cm="1">
        <f t="array" ref="D1279">INDEX('Linha 03'!$A$4:$A$1000,B1279)</f>
        <v>20200006</v>
      </c>
      <c r="E1279" t="str" cm="1">
        <f t="array" ref="E1279">INDEX('Linha 03'!$B$4:$B$1000,B1279)</f>
        <v>Lava Roupas Aquafast Glicerina Cx/06 X 2l</v>
      </c>
      <c r="F1279" cm="1">
        <f t="array" ref="F1279">INDEX('Linha 03'!$C$3:$ZZ$3,C1279)</f>
        <v>20040029</v>
      </c>
      <c r="G1279" t="str" cm="1">
        <f t="array" ref="G1279">INDEX('Linha 03'!$C$2:$ZZ$2,C1279)</f>
        <v>Amaciante Ito Branco Cx/06 X 2l</v>
      </c>
      <c r="H1279" s="5" cm="1">
        <f t="array" ref="H1279">INDEX('Linha 03'!$C$4:$ZZ$1000,B1279,C1279)</f>
        <v>0</v>
      </c>
    </row>
    <row r="1280" spans="1:8" x14ac:dyDescent="0.25">
      <c r="A1280">
        <v>1278</v>
      </c>
      <c r="B1280">
        <f t="shared" si="38"/>
        <v>32</v>
      </c>
      <c r="C1280">
        <f t="shared" si="39"/>
        <v>7</v>
      </c>
      <c r="D1280" cm="1">
        <f t="array" ref="D1280">INDEX('Linha 03'!$A$4:$A$1000,B1280)</f>
        <v>20200006</v>
      </c>
      <c r="E1280" t="str" cm="1">
        <f t="array" ref="E1280">INDEX('Linha 03'!$B$4:$B$1000,B1280)</f>
        <v>Lava Roupas Aquafast Glicerina Cx/06 X 2l</v>
      </c>
      <c r="F1280" cm="1">
        <f t="array" ref="F1280">INDEX('Linha 03'!$C$3:$ZZ$3,C1280)</f>
        <v>20040055</v>
      </c>
      <c r="G1280" t="str" cm="1">
        <f t="array" ref="G1280">INDEX('Linha 03'!$C$2:$ZZ$2,C1280)</f>
        <v>Amaciante Myata Azul Cx/06 X 2l</v>
      </c>
      <c r="H1280" s="5" cm="1">
        <f t="array" ref="H1280">INDEX('Linha 03'!$C$4:$ZZ$1000,B1280,C1280)</f>
        <v>0</v>
      </c>
    </row>
    <row r="1281" spans="1:8" x14ac:dyDescent="0.25">
      <c r="A1281">
        <v>1279</v>
      </c>
      <c r="B1281">
        <f t="shared" si="38"/>
        <v>32</v>
      </c>
      <c r="C1281">
        <f t="shared" si="39"/>
        <v>8</v>
      </c>
      <c r="D1281" cm="1">
        <f t="array" ref="D1281">INDEX('Linha 03'!$A$4:$A$1000,B1281)</f>
        <v>20200006</v>
      </c>
      <c r="E1281" t="str" cm="1">
        <f t="array" ref="E1281">INDEX('Linha 03'!$B$4:$B$1000,B1281)</f>
        <v>Lava Roupas Aquafast Glicerina Cx/06 X 2l</v>
      </c>
      <c r="F1281" cm="1">
        <f t="array" ref="F1281">INDEX('Linha 03'!$C$3:$ZZ$3,C1281)</f>
        <v>20040057</v>
      </c>
      <c r="G1281" t="str" cm="1">
        <f t="array" ref="G1281">INDEX('Linha 03'!$C$2:$ZZ$2,C1281)</f>
        <v>Amaciante Myata Rosa Cx/06 X 2l</v>
      </c>
      <c r="H1281" s="5" cm="1">
        <f t="array" ref="H1281">INDEX('Linha 03'!$C$4:$ZZ$1000,B1281,C1281)</f>
        <v>0</v>
      </c>
    </row>
    <row r="1282" spans="1:8" x14ac:dyDescent="0.25">
      <c r="A1282">
        <v>1280</v>
      </c>
      <c r="B1282">
        <f t="shared" si="38"/>
        <v>32</v>
      </c>
      <c r="C1282">
        <f t="shared" si="39"/>
        <v>9</v>
      </c>
      <c r="D1282" cm="1">
        <f t="array" ref="D1282">INDEX('Linha 03'!$A$4:$A$1000,B1282)</f>
        <v>20200006</v>
      </c>
      <c r="E1282" t="str" cm="1">
        <f t="array" ref="E1282">INDEX('Linha 03'!$B$4:$B$1000,B1282)</f>
        <v>Lava Roupas Aquafast Glicerina Cx/06 X 2l</v>
      </c>
      <c r="F1282" cm="1">
        <f t="array" ref="F1282">INDEX('Linha 03'!$C$3:$ZZ$3,C1282)</f>
        <v>20040084</v>
      </c>
      <c r="G1282" t="str" cm="1">
        <f t="array" ref="G1282">INDEX('Linha 03'!$C$2:$ZZ$2,C1282)</f>
        <v>Amaciante Aquafast Vermelho Seducao Cx C/06 X 2l</v>
      </c>
      <c r="H1282" s="5" cm="1">
        <f t="array" ref="H1282">INDEX('Linha 03'!$C$4:$ZZ$1000,B1282,C1282)</f>
        <v>0</v>
      </c>
    </row>
    <row r="1283" spans="1:8" x14ac:dyDescent="0.25">
      <c r="A1283">
        <v>1281</v>
      </c>
      <c r="B1283">
        <f t="shared" si="38"/>
        <v>32</v>
      </c>
      <c r="C1283">
        <f t="shared" si="39"/>
        <v>10</v>
      </c>
      <c r="D1283" cm="1">
        <f t="array" ref="D1283">INDEX('Linha 03'!$A$4:$A$1000,B1283)</f>
        <v>20200006</v>
      </c>
      <c r="E1283" t="str" cm="1">
        <f t="array" ref="E1283">INDEX('Linha 03'!$B$4:$B$1000,B1283)</f>
        <v>Lava Roupas Aquafast Glicerina Cx/06 X 2l</v>
      </c>
      <c r="F1283" cm="1">
        <f t="array" ref="F1283">INDEX('Linha 03'!$C$3:$ZZ$3,C1283)</f>
        <v>20040089</v>
      </c>
      <c r="G1283" t="str" cm="1">
        <f t="array" ref="G1283">INDEX('Linha 03'!$C$2:$ZZ$2,C1283)</f>
        <v>Amaciante Aquafast Roxo Magia Cx/06 X 2l</v>
      </c>
      <c r="H1283" s="5" cm="1">
        <f t="array" ref="H1283">INDEX('Linha 03'!$C$4:$ZZ$1000,B1283,C1283)</f>
        <v>0</v>
      </c>
    </row>
    <row r="1284" spans="1:8" x14ac:dyDescent="0.25">
      <c r="A1284">
        <v>1282</v>
      </c>
      <c r="B1284">
        <f t="shared" ref="B1284:B1347" si="40">INT((A1284-1)/$B$1)+1</f>
        <v>32</v>
      </c>
      <c r="C1284">
        <f t="shared" ref="C1284:C1347" si="41">MOD(A1284-1,$B$1)+1</f>
        <v>11</v>
      </c>
      <c r="D1284" cm="1">
        <f t="array" ref="D1284">INDEX('Linha 03'!$A$4:$A$1000,B1284)</f>
        <v>20200006</v>
      </c>
      <c r="E1284" t="str" cm="1">
        <f t="array" ref="E1284">INDEX('Linha 03'!$B$4:$B$1000,B1284)</f>
        <v>Lava Roupas Aquafast Glicerina Cx/06 X 2l</v>
      </c>
      <c r="F1284" cm="1">
        <f t="array" ref="F1284">INDEX('Linha 03'!$C$3:$ZZ$3,C1284)</f>
        <v>20040094</v>
      </c>
      <c r="G1284" t="str" cm="1">
        <f t="array" ref="G1284">INDEX('Linha 03'!$C$2:$ZZ$2,C1284)</f>
        <v>Amaciante Aquafast Energia Cx/06 X 2l</v>
      </c>
      <c r="H1284" s="5" cm="1">
        <f t="array" ref="H1284">INDEX('Linha 03'!$C$4:$ZZ$1000,B1284,C1284)</f>
        <v>0</v>
      </c>
    </row>
    <row r="1285" spans="1:8" x14ac:dyDescent="0.25">
      <c r="A1285">
        <v>1283</v>
      </c>
      <c r="B1285">
        <f t="shared" si="40"/>
        <v>32</v>
      </c>
      <c r="C1285">
        <f t="shared" si="41"/>
        <v>12</v>
      </c>
      <c r="D1285" cm="1">
        <f t="array" ref="D1285">INDEX('Linha 03'!$A$4:$A$1000,B1285)</f>
        <v>20200006</v>
      </c>
      <c r="E1285" t="str" cm="1">
        <f t="array" ref="E1285">INDEX('Linha 03'!$B$4:$B$1000,B1285)</f>
        <v>Lava Roupas Aquafast Glicerina Cx/06 X 2l</v>
      </c>
      <c r="F1285" cm="1">
        <f t="array" ref="F1285">INDEX('Linha 03'!$C$3:$ZZ$3,C1285)</f>
        <v>20050010</v>
      </c>
      <c r="G1285" t="str" cm="1">
        <f t="array" ref="G1285">INDEX('Linha 03'!$C$2:$ZZ$2,C1285)</f>
        <v>Desinfetante Aquafast Campos Lavanda Cx/06 X 2l</v>
      </c>
      <c r="H1285" s="5" cm="1">
        <f t="array" ref="H1285">INDEX('Linha 03'!$C$4:$ZZ$1000,B1285,C1285)</f>
        <v>0</v>
      </c>
    </row>
    <row r="1286" spans="1:8" x14ac:dyDescent="0.25">
      <c r="A1286">
        <v>1284</v>
      </c>
      <c r="B1286">
        <f t="shared" si="40"/>
        <v>32</v>
      </c>
      <c r="C1286">
        <f t="shared" si="41"/>
        <v>13</v>
      </c>
      <c r="D1286" cm="1">
        <f t="array" ref="D1286">INDEX('Linha 03'!$A$4:$A$1000,B1286)</f>
        <v>20200006</v>
      </c>
      <c r="E1286" t="str" cm="1">
        <f t="array" ref="E1286">INDEX('Linha 03'!$B$4:$B$1000,B1286)</f>
        <v>Lava Roupas Aquafast Glicerina Cx/06 X 2l</v>
      </c>
      <c r="F1286" cm="1">
        <f t="array" ref="F1286">INDEX('Linha 03'!$C$3:$ZZ$3,C1286)</f>
        <v>20050011</v>
      </c>
      <c r="G1286" t="str" cm="1">
        <f t="array" ref="G1286">INDEX('Linha 03'!$C$2:$ZZ$2,C1286)</f>
        <v>Desinfetante Aquafast Jardim Florido Cx/06 X 2l</v>
      </c>
      <c r="H1286" s="5" cm="1">
        <f t="array" ref="H1286">INDEX('Linha 03'!$C$4:$ZZ$1000,B1286,C1286)</f>
        <v>0</v>
      </c>
    </row>
    <row r="1287" spans="1:8" x14ac:dyDescent="0.25">
      <c r="A1287">
        <v>1285</v>
      </c>
      <c r="B1287">
        <f t="shared" si="40"/>
        <v>32</v>
      </c>
      <c r="C1287">
        <f t="shared" si="41"/>
        <v>14</v>
      </c>
      <c r="D1287" cm="1">
        <f t="array" ref="D1287">INDEX('Linha 03'!$A$4:$A$1000,B1287)</f>
        <v>20200006</v>
      </c>
      <c r="E1287" t="str" cm="1">
        <f t="array" ref="E1287">INDEX('Linha 03'!$B$4:$B$1000,B1287)</f>
        <v>Lava Roupas Aquafast Glicerina Cx/06 X 2l</v>
      </c>
      <c r="F1287" cm="1">
        <f t="array" ref="F1287">INDEX('Linha 03'!$C$3:$ZZ$3,C1287)</f>
        <v>20050016</v>
      </c>
      <c r="G1287" t="str" cm="1">
        <f t="array" ref="G1287">INDEX('Linha 03'!$C$2:$ZZ$2,C1287)</f>
        <v>Desinfetante Aquafast Marine Cx/06 X 2l</v>
      </c>
      <c r="H1287" s="5" cm="1">
        <f t="array" ref="H1287">INDEX('Linha 03'!$C$4:$ZZ$1000,B1287,C1287)</f>
        <v>0</v>
      </c>
    </row>
    <row r="1288" spans="1:8" x14ac:dyDescent="0.25">
      <c r="A1288">
        <v>1286</v>
      </c>
      <c r="B1288">
        <f t="shared" si="40"/>
        <v>32</v>
      </c>
      <c r="C1288">
        <f t="shared" si="41"/>
        <v>15</v>
      </c>
      <c r="D1288" cm="1">
        <f t="array" ref="D1288">INDEX('Linha 03'!$A$4:$A$1000,B1288)</f>
        <v>20200006</v>
      </c>
      <c r="E1288" t="str" cm="1">
        <f t="array" ref="E1288">INDEX('Linha 03'!$B$4:$B$1000,B1288)</f>
        <v>Lava Roupas Aquafast Glicerina Cx/06 X 2l</v>
      </c>
      <c r="F1288" cm="1">
        <f t="array" ref="F1288">INDEX('Linha 03'!$C$3:$ZZ$3,C1288)</f>
        <v>20050031</v>
      </c>
      <c r="G1288" t="str" cm="1">
        <f t="array" ref="G1288">INDEX('Linha 03'!$C$2:$ZZ$2,C1288)</f>
        <v>Desinfetante Ito Lavanda Cx/06 X 2l</v>
      </c>
      <c r="H1288" s="5" cm="1">
        <f t="array" ref="H1288">INDEX('Linha 03'!$C$4:$ZZ$1000,B1288,C1288)</f>
        <v>0</v>
      </c>
    </row>
    <row r="1289" spans="1:8" x14ac:dyDescent="0.25">
      <c r="A1289">
        <v>1287</v>
      </c>
      <c r="B1289">
        <f t="shared" si="40"/>
        <v>32</v>
      </c>
      <c r="C1289">
        <f t="shared" si="41"/>
        <v>16</v>
      </c>
      <c r="D1289" cm="1">
        <f t="array" ref="D1289">INDEX('Linha 03'!$A$4:$A$1000,B1289)</f>
        <v>20200006</v>
      </c>
      <c r="E1289" t="str" cm="1">
        <f t="array" ref="E1289">INDEX('Linha 03'!$B$4:$B$1000,B1289)</f>
        <v>Lava Roupas Aquafast Glicerina Cx/06 X 2l</v>
      </c>
      <c r="F1289" cm="1">
        <f t="array" ref="F1289">INDEX('Linha 03'!$C$3:$ZZ$3,C1289)</f>
        <v>20050032</v>
      </c>
      <c r="G1289" t="str" cm="1">
        <f t="array" ref="G1289">INDEX('Linha 03'!$C$2:$ZZ$2,C1289)</f>
        <v>Desinfetante Ito Floral Cx/06 X 2l</v>
      </c>
      <c r="H1289" s="5" cm="1">
        <f t="array" ref="H1289">INDEX('Linha 03'!$C$4:$ZZ$1000,B1289,C1289)</f>
        <v>0</v>
      </c>
    </row>
    <row r="1290" spans="1:8" x14ac:dyDescent="0.25">
      <c r="A1290">
        <v>1288</v>
      </c>
      <c r="B1290">
        <f t="shared" si="40"/>
        <v>32</v>
      </c>
      <c r="C1290">
        <f t="shared" si="41"/>
        <v>17</v>
      </c>
      <c r="D1290" cm="1">
        <f t="array" ref="D1290">INDEX('Linha 03'!$A$4:$A$1000,B1290)</f>
        <v>20200006</v>
      </c>
      <c r="E1290" t="str" cm="1">
        <f t="array" ref="E1290">INDEX('Linha 03'!$B$4:$B$1000,B1290)</f>
        <v>Lava Roupas Aquafast Glicerina Cx/06 X 2l</v>
      </c>
      <c r="F1290" cm="1">
        <f t="array" ref="F1290">INDEX('Linha 03'!$C$3:$ZZ$3,C1290)</f>
        <v>20050034</v>
      </c>
      <c r="G1290" t="str" cm="1">
        <f t="array" ref="G1290">INDEX('Linha 03'!$C$2:$ZZ$2,C1290)</f>
        <v>Desinfetante Ito Eucalipto Cx/06 X 2l</v>
      </c>
      <c r="H1290" s="5" cm="1">
        <f t="array" ref="H1290">INDEX('Linha 03'!$C$4:$ZZ$1000,B1290,C1290)</f>
        <v>0</v>
      </c>
    </row>
    <row r="1291" spans="1:8" x14ac:dyDescent="0.25">
      <c r="A1291">
        <v>1289</v>
      </c>
      <c r="B1291">
        <f t="shared" si="40"/>
        <v>32</v>
      </c>
      <c r="C1291">
        <f t="shared" si="41"/>
        <v>18</v>
      </c>
      <c r="D1291" cm="1">
        <f t="array" ref="D1291">INDEX('Linha 03'!$A$4:$A$1000,B1291)</f>
        <v>20200006</v>
      </c>
      <c r="E1291" t="str" cm="1">
        <f t="array" ref="E1291">INDEX('Linha 03'!$B$4:$B$1000,B1291)</f>
        <v>Lava Roupas Aquafast Glicerina Cx/06 X 2l</v>
      </c>
      <c r="F1291" cm="1">
        <f t="array" ref="F1291">INDEX('Linha 03'!$C$3:$ZZ$3,C1291)</f>
        <v>20050077</v>
      </c>
      <c r="G1291" t="str" cm="1">
        <f t="array" ref="G1291">INDEX('Linha 03'!$C$2:$ZZ$2,C1291)</f>
        <v>Desinfetante Myata Lavanda Cx/06 X 2l</v>
      </c>
      <c r="H1291" s="5" cm="1">
        <f t="array" ref="H1291">INDEX('Linha 03'!$C$4:$ZZ$1000,B1291,C1291)</f>
        <v>0</v>
      </c>
    </row>
    <row r="1292" spans="1:8" x14ac:dyDescent="0.25">
      <c r="A1292">
        <v>1290</v>
      </c>
      <c r="B1292">
        <f t="shared" si="40"/>
        <v>32</v>
      </c>
      <c r="C1292">
        <f t="shared" si="41"/>
        <v>19</v>
      </c>
      <c r="D1292" cm="1">
        <f t="array" ref="D1292">INDEX('Linha 03'!$A$4:$A$1000,B1292)</f>
        <v>20200006</v>
      </c>
      <c r="E1292" t="str" cm="1">
        <f t="array" ref="E1292">INDEX('Linha 03'!$B$4:$B$1000,B1292)</f>
        <v>Lava Roupas Aquafast Glicerina Cx/06 X 2l</v>
      </c>
      <c r="F1292" cm="1">
        <f t="array" ref="F1292">INDEX('Linha 03'!$C$3:$ZZ$3,C1292)</f>
        <v>20050078</v>
      </c>
      <c r="G1292" t="str" cm="1">
        <f t="array" ref="G1292">INDEX('Linha 03'!$C$2:$ZZ$2,C1292)</f>
        <v>Desinfetante Myata Floral Cx/06 X 2l</v>
      </c>
      <c r="H1292" s="5" cm="1">
        <f t="array" ref="H1292">INDEX('Linha 03'!$C$4:$ZZ$1000,B1292,C1292)</f>
        <v>0</v>
      </c>
    </row>
    <row r="1293" spans="1:8" x14ac:dyDescent="0.25">
      <c r="A1293">
        <v>1291</v>
      </c>
      <c r="B1293">
        <f t="shared" si="40"/>
        <v>32</v>
      </c>
      <c r="C1293">
        <f t="shared" si="41"/>
        <v>20</v>
      </c>
      <c r="D1293" cm="1">
        <f t="array" ref="D1293">INDEX('Linha 03'!$A$4:$A$1000,B1293)</f>
        <v>20200006</v>
      </c>
      <c r="E1293" t="str" cm="1">
        <f t="array" ref="E1293">INDEX('Linha 03'!$B$4:$B$1000,B1293)</f>
        <v>Lava Roupas Aquafast Glicerina Cx/06 X 2l</v>
      </c>
      <c r="F1293" cm="1">
        <f t="array" ref="F1293">INDEX('Linha 03'!$C$3:$ZZ$3,C1293)</f>
        <v>20050115</v>
      </c>
      <c r="G1293" t="str" cm="1">
        <f t="array" ref="G1293">INDEX('Linha 03'!$C$2:$ZZ$2,C1293)</f>
        <v>Desinfetante Aquafast Paixao Cx/06 X 2l</v>
      </c>
      <c r="H1293" s="5" cm="1">
        <f t="array" ref="H1293">INDEX('Linha 03'!$C$4:$ZZ$1000,B1293,C1293)</f>
        <v>0</v>
      </c>
    </row>
    <row r="1294" spans="1:8" x14ac:dyDescent="0.25">
      <c r="A1294">
        <v>1292</v>
      </c>
      <c r="B1294">
        <f t="shared" si="40"/>
        <v>32</v>
      </c>
      <c r="C1294">
        <f t="shared" si="41"/>
        <v>21</v>
      </c>
      <c r="D1294" cm="1">
        <f t="array" ref="D1294">INDEX('Linha 03'!$A$4:$A$1000,B1294)</f>
        <v>20200006</v>
      </c>
      <c r="E1294" t="str" cm="1">
        <f t="array" ref="E1294">INDEX('Linha 03'!$B$4:$B$1000,B1294)</f>
        <v>Lava Roupas Aquafast Glicerina Cx/06 X 2l</v>
      </c>
      <c r="F1294" cm="1">
        <f t="array" ref="F1294">INDEX('Linha 03'!$C$3:$ZZ$3,C1294)</f>
        <v>20050117</v>
      </c>
      <c r="G1294" t="str" cm="1">
        <f t="array" ref="G1294">INDEX('Linha 03'!$C$2:$ZZ$2,C1294)</f>
        <v>Desinfetante Aquafast Harmonia Natural Cx/06 X 2l</v>
      </c>
      <c r="H1294" s="5" cm="1">
        <f t="array" ref="H1294">INDEX('Linha 03'!$C$4:$ZZ$1000,B1294,C1294)</f>
        <v>0</v>
      </c>
    </row>
    <row r="1295" spans="1:8" x14ac:dyDescent="0.25">
      <c r="A1295">
        <v>1293</v>
      </c>
      <c r="B1295">
        <f t="shared" si="40"/>
        <v>32</v>
      </c>
      <c r="C1295">
        <f t="shared" si="41"/>
        <v>22</v>
      </c>
      <c r="D1295" cm="1">
        <f t="array" ref="D1295">INDEX('Linha 03'!$A$4:$A$1000,B1295)</f>
        <v>20200006</v>
      </c>
      <c r="E1295" t="str" cm="1">
        <f t="array" ref="E1295">INDEX('Linha 03'!$B$4:$B$1000,B1295)</f>
        <v>Lava Roupas Aquafast Glicerina Cx/06 X 2l</v>
      </c>
      <c r="F1295" cm="1">
        <f t="array" ref="F1295">INDEX('Linha 03'!$C$3:$ZZ$3,C1295)</f>
        <v>20050123</v>
      </c>
      <c r="G1295" t="str" cm="1">
        <f t="array" ref="G1295">INDEX('Linha 03'!$C$2:$ZZ$2,C1295)</f>
        <v>Desinfetante Ito Harmonia Natural Cx/06 X 2l</v>
      </c>
      <c r="H1295" s="5" cm="1">
        <f t="array" ref="H1295">INDEX('Linha 03'!$C$4:$ZZ$1000,B1295,C1295)</f>
        <v>0</v>
      </c>
    </row>
    <row r="1296" spans="1:8" x14ac:dyDescent="0.25">
      <c r="A1296">
        <v>1294</v>
      </c>
      <c r="B1296">
        <f t="shared" si="40"/>
        <v>32</v>
      </c>
      <c r="C1296">
        <f t="shared" si="41"/>
        <v>23</v>
      </c>
      <c r="D1296" cm="1">
        <f t="array" ref="D1296">INDEX('Linha 03'!$A$4:$A$1000,B1296)</f>
        <v>20200006</v>
      </c>
      <c r="E1296" t="str" cm="1">
        <f t="array" ref="E1296">INDEX('Linha 03'!$B$4:$B$1000,B1296)</f>
        <v>Lava Roupas Aquafast Glicerina Cx/06 X 2l</v>
      </c>
      <c r="F1296" cm="1">
        <f t="array" ref="F1296">INDEX('Linha 03'!$C$3:$ZZ$3,C1296)</f>
        <v>20050124</v>
      </c>
      <c r="G1296" t="str" cm="1">
        <f t="array" ref="G1296">INDEX('Linha 03'!$C$2:$ZZ$2,C1296)</f>
        <v>Desinfetante Myata Harmonia Natural Cx/06 X 2l</v>
      </c>
      <c r="H1296" s="5" cm="1">
        <f t="array" ref="H1296">INDEX('Linha 03'!$C$4:$ZZ$1000,B1296,C1296)</f>
        <v>0</v>
      </c>
    </row>
    <row r="1297" spans="1:8" x14ac:dyDescent="0.25">
      <c r="A1297">
        <v>1295</v>
      </c>
      <c r="B1297">
        <f t="shared" si="40"/>
        <v>32</v>
      </c>
      <c r="C1297">
        <f t="shared" si="41"/>
        <v>24</v>
      </c>
      <c r="D1297" cm="1">
        <f t="array" ref="D1297">INDEX('Linha 03'!$A$4:$A$1000,B1297)</f>
        <v>20200006</v>
      </c>
      <c r="E1297" t="str" cm="1">
        <f t="array" ref="E1297">INDEX('Linha 03'!$B$4:$B$1000,B1297)</f>
        <v>Lava Roupas Aquafast Glicerina Cx/06 X 2l</v>
      </c>
      <c r="F1297" cm="1">
        <f t="array" ref="F1297">INDEX('Linha 03'!$C$3:$ZZ$3,C1297)</f>
        <v>20050142</v>
      </c>
      <c r="G1297" t="str" cm="1">
        <f t="array" ref="G1297">INDEX('Linha 03'!$C$2:$ZZ$2,C1297)</f>
        <v>Desinfetante Ito Marine Cx/06 X 2l</v>
      </c>
      <c r="H1297" s="5" cm="1">
        <f t="array" ref="H1297">INDEX('Linha 03'!$C$4:$ZZ$1000,B1297,C1297)</f>
        <v>0</v>
      </c>
    </row>
    <row r="1298" spans="1:8" x14ac:dyDescent="0.25">
      <c r="A1298">
        <v>1296</v>
      </c>
      <c r="B1298">
        <f t="shared" si="40"/>
        <v>32</v>
      </c>
      <c r="C1298">
        <f t="shared" si="41"/>
        <v>25</v>
      </c>
      <c r="D1298" cm="1">
        <f t="array" ref="D1298">INDEX('Linha 03'!$A$4:$A$1000,B1298)</f>
        <v>20200006</v>
      </c>
      <c r="E1298" t="str" cm="1">
        <f t="array" ref="E1298">INDEX('Linha 03'!$B$4:$B$1000,B1298)</f>
        <v>Lava Roupas Aquafast Glicerina Cx/06 X 2l</v>
      </c>
      <c r="F1298" cm="1">
        <f t="array" ref="F1298">INDEX('Linha 03'!$C$3:$ZZ$3,C1298)</f>
        <v>20050159</v>
      </c>
      <c r="G1298" t="str" cm="1">
        <f t="array" ref="G1298">INDEX('Linha 03'!$C$2:$ZZ$2,C1298)</f>
        <v>Desinfetante Aquafast Cha Branco Cx/06 X 2l</v>
      </c>
      <c r="H1298" s="5" cm="1">
        <f t="array" ref="H1298">INDEX('Linha 03'!$C$4:$ZZ$1000,B1298,C1298)</f>
        <v>1.38888888888889E-2</v>
      </c>
    </row>
    <row r="1299" spans="1:8" x14ac:dyDescent="0.25">
      <c r="A1299">
        <v>1297</v>
      </c>
      <c r="B1299">
        <f t="shared" si="40"/>
        <v>32</v>
      </c>
      <c r="C1299">
        <f t="shared" si="41"/>
        <v>26</v>
      </c>
      <c r="D1299" cm="1">
        <f t="array" ref="D1299">INDEX('Linha 03'!$A$4:$A$1000,B1299)</f>
        <v>20200006</v>
      </c>
      <c r="E1299" t="str" cm="1">
        <f t="array" ref="E1299">INDEX('Linha 03'!$B$4:$B$1000,B1299)</f>
        <v>Lava Roupas Aquafast Glicerina Cx/06 X 2l</v>
      </c>
      <c r="F1299" cm="1">
        <f t="array" ref="F1299">INDEX('Linha 03'!$C$3:$ZZ$3,C1299)</f>
        <v>20060007</v>
      </c>
      <c r="G1299" t="str" cm="1">
        <f t="array" ref="G1299">INDEX('Linha 03'!$C$2:$ZZ$2,C1299)</f>
        <v>Limp Perf Aquafast Magia Seducao Cx/06 X 2l (Promoc)</v>
      </c>
      <c r="H1299" s="5" cm="1">
        <f t="array" ref="H1299">INDEX('Linha 03'!$C$4:$ZZ$1000,B1299,C1299)</f>
        <v>0</v>
      </c>
    </row>
    <row r="1300" spans="1:8" x14ac:dyDescent="0.25">
      <c r="A1300">
        <v>1298</v>
      </c>
      <c r="B1300">
        <f t="shared" si="40"/>
        <v>32</v>
      </c>
      <c r="C1300">
        <f t="shared" si="41"/>
        <v>27</v>
      </c>
      <c r="D1300" cm="1">
        <f t="array" ref="D1300">INDEX('Linha 03'!$A$4:$A$1000,B1300)</f>
        <v>20200006</v>
      </c>
      <c r="E1300" t="str" cm="1">
        <f t="array" ref="E1300">INDEX('Linha 03'!$B$4:$B$1000,B1300)</f>
        <v>Lava Roupas Aquafast Glicerina Cx/06 X 2l</v>
      </c>
      <c r="F1300" cm="1">
        <f t="array" ref="F1300">INDEX('Linha 03'!$C$3:$ZZ$3,C1300)</f>
        <v>20060009</v>
      </c>
      <c r="G1300" t="str" cm="1">
        <f t="array" ref="G1300">INDEX('Linha 03'!$C$2:$ZZ$2,C1300)</f>
        <v>Limp Perf Aquafast Frescor Da Manha Cx/06 X 2l (Promoc)</v>
      </c>
      <c r="H1300" s="5" cm="1">
        <f t="array" ref="H1300">INDEX('Linha 03'!$C$4:$ZZ$1000,B1300,C1300)</f>
        <v>0</v>
      </c>
    </row>
    <row r="1301" spans="1:8" x14ac:dyDescent="0.25">
      <c r="A1301">
        <v>1299</v>
      </c>
      <c r="B1301">
        <f t="shared" si="40"/>
        <v>32</v>
      </c>
      <c r="C1301">
        <f t="shared" si="41"/>
        <v>28</v>
      </c>
      <c r="D1301" cm="1">
        <f t="array" ref="D1301">INDEX('Linha 03'!$A$4:$A$1000,B1301)</f>
        <v>20200006</v>
      </c>
      <c r="E1301" t="str" cm="1">
        <f t="array" ref="E1301">INDEX('Linha 03'!$B$4:$B$1000,B1301)</f>
        <v>Lava Roupas Aquafast Glicerina Cx/06 X 2l</v>
      </c>
      <c r="F1301" cm="1">
        <f t="array" ref="F1301">INDEX('Linha 03'!$C$3:$ZZ$3,C1301)</f>
        <v>20060017</v>
      </c>
      <c r="G1301" t="str" cm="1">
        <f t="array" ref="G1301">INDEX('Linha 03'!$C$2:$ZZ$2,C1301)</f>
        <v>Limp Perf Aquafast Doce Romance Cx/06 X 2l (Promoc)</v>
      </c>
      <c r="H1301" s="5" cm="1">
        <f t="array" ref="H1301">INDEX('Linha 03'!$C$4:$ZZ$1000,B1301,C1301)</f>
        <v>0</v>
      </c>
    </row>
    <row r="1302" spans="1:8" x14ac:dyDescent="0.25">
      <c r="A1302">
        <v>1300</v>
      </c>
      <c r="B1302">
        <f t="shared" si="40"/>
        <v>32</v>
      </c>
      <c r="C1302">
        <f t="shared" si="41"/>
        <v>29</v>
      </c>
      <c r="D1302" cm="1">
        <f t="array" ref="D1302">INDEX('Linha 03'!$A$4:$A$1000,B1302)</f>
        <v>20200006</v>
      </c>
      <c r="E1302" t="str" cm="1">
        <f t="array" ref="E1302">INDEX('Linha 03'!$B$4:$B$1000,B1302)</f>
        <v>Lava Roupas Aquafast Glicerina Cx/06 X 2l</v>
      </c>
      <c r="F1302" cm="1">
        <f t="array" ref="F1302">INDEX('Linha 03'!$C$3:$ZZ$3,C1302)</f>
        <v>20060028</v>
      </c>
      <c r="G1302" t="str" cm="1">
        <f t="array" ref="G1302">INDEX('Linha 03'!$C$2:$ZZ$2,C1302)</f>
        <v>Limp Perf Aquafast Essencia Natural Cx06 X 2l</v>
      </c>
      <c r="H1302" s="5" cm="1">
        <f t="array" ref="H1302">INDEX('Linha 03'!$C$4:$ZZ$1000,B1302,C1302)</f>
        <v>0</v>
      </c>
    </row>
    <row r="1303" spans="1:8" x14ac:dyDescent="0.25">
      <c r="A1303">
        <v>1301</v>
      </c>
      <c r="B1303">
        <f t="shared" si="40"/>
        <v>32</v>
      </c>
      <c r="C1303">
        <f t="shared" si="41"/>
        <v>30</v>
      </c>
      <c r="D1303" cm="1">
        <f t="array" ref="D1303">INDEX('Linha 03'!$A$4:$A$1000,B1303)</f>
        <v>20200006</v>
      </c>
      <c r="E1303" t="str" cm="1">
        <f t="array" ref="E1303">INDEX('Linha 03'!$B$4:$B$1000,B1303)</f>
        <v>Lava Roupas Aquafast Glicerina Cx/06 X 2l</v>
      </c>
      <c r="F1303" cm="1">
        <f t="array" ref="F1303">INDEX('Linha 03'!$C$3:$ZZ$3,C1303)</f>
        <v>20200003</v>
      </c>
      <c r="G1303" t="str" cm="1">
        <f t="array" ref="G1303">INDEX('Linha 03'!$C$2:$ZZ$2,C1303)</f>
        <v>Lava Roup. Aquafast Baby Cx/12 X 1l</v>
      </c>
      <c r="H1303" s="5" cm="1">
        <f t="array" ref="H1303">INDEX('Linha 03'!$C$4:$ZZ$1000,B1303,C1303)</f>
        <v>0</v>
      </c>
    </row>
    <row r="1304" spans="1:8" x14ac:dyDescent="0.25">
      <c r="A1304">
        <v>1302</v>
      </c>
      <c r="B1304">
        <f t="shared" si="40"/>
        <v>32</v>
      </c>
      <c r="C1304">
        <f t="shared" si="41"/>
        <v>31</v>
      </c>
      <c r="D1304" cm="1">
        <f t="array" ref="D1304">INDEX('Linha 03'!$A$4:$A$1000,B1304)</f>
        <v>20200006</v>
      </c>
      <c r="E1304" t="str" cm="1">
        <f t="array" ref="E1304">INDEX('Linha 03'!$B$4:$B$1000,B1304)</f>
        <v>Lava Roupas Aquafast Glicerina Cx/06 X 2l</v>
      </c>
      <c r="F1304" cm="1">
        <f t="array" ref="F1304">INDEX('Linha 03'!$C$3:$ZZ$3,C1304)</f>
        <v>20200005</v>
      </c>
      <c r="G1304" t="str" cm="1">
        <f t="array" ref="G1304">INDEX('Linha 03'!$C$2:$ZZ$2,C1304)</f>
        <v>Lava Roupas Aquafast Multi Acao Cx/06 X 2l</v>
      </c>
      <c r="H1304" s="5" cm="1">
        <f t="array" ref="H1304">INDEX('Linha 03'!$C$4:$ZZ$1000,B1304,C1304)</f>
        <v>0</v>
      </c>
    </row>
    <row r="1305" spans="1:8" x14ac:dyDescent="0.25">
      <c r="A1305">
        <v>1303</v>
      </c>
      <c r="B1305">
        <f t="shared" si="40"/>
        <v>32</v>
      </c>
      <c r="C1305">
        <f t="shared" si="41"/>
        <v>32</v>
      </c>
      <c r="D1305" cm="1">
        <f t="array" ref="D1305">INDEX('Linha 03'!$A$4:$A$1000,B1305)</f>
        <v>20200006</v>
      </c>
      <c r="E1305" t="str" cm="1">
        <f t="array" ref="E1305">INDEX('Linha 03'!$B$4:$B$1000,B1305)</f>
        <v>Lava Roupas Aquafast Glicerina Cx/06 X 2l</v>
      </c>
      <c r="F1305" cm="1">
        <f t="array" ref="F1305">INDEX('Linha 03'!$C$3:$ZZ$3,C1305)</f>
        <v>20200006</v>
      </c>
      <c r="G1305" t="str" cm="1">
        <f t="array" ref="G1305">INDEX('Linha 03'!$C$2:$ZZ$2,C1305)</f>
        <v>Lava Roupas Aquafast Glicerina Cx/06 X 2l</v>
      </c>
      <c r="H1305" s="5" cm="1">
        <f t="array" ref="H1305">INDEX('Linha 03'!$C$4:$ZZ$1000,B1305,C1305)</f>
        <v>0</v>
      </c>
    </row>
    <row r="1306" spans="1:8" x14ac:dyDescent="0.25">
      <c r="A1306">
        <v>1304</v>
      </c>
      <c r="B1306">
        <f t="shared" si="40"/>
        <v>32</v>
      </c>
      <c r="C1306">
        <f t="shared" si="41"/>
        <v>33</v>
      </c>
      <c r="D1306" cm="1">
        <f t="array" ref="D1306">INDEX('Linha 03'!$A$4:$A$1000,B1306)</f>
        <v>20200006</v>
      </c>
      <c r="E1306" t="str" cm="1">
        <f t="array" ref="E1306">INDEX('Linha 03'!$B$4:$B$1000,B1306)</f>
        <v>Lava Roupas Aquafast Glicerina Cx/06 X 2l</v>
      </c>
      <c r="F1306" cm="1">
        <f t="array" ref="F1306">INDEX('Linha 03'!$C$3:$ZZ$3,C1306)</f>
        <v>20200015</v>
      </c>
      <c r="G1306" t="str" cm="1">
        <f t="array" ref="G1306">INDEX('Linha 03'!$C$2:$ZZ$2,C1306)</f>
        <v>Lava Roup. Aquafast Multiacao Cx/12 X 1l</v>
      </c>
      <c r="H1306" s="5" cm="1">
        <f t="array" ref="H1306">INDEX('Linha 03'!$C$4:$ZZ$1000,B1306,C1306)</f>
        <v>0</v>
      </c>
    </row>
    <row r="1307" spans="1:8" x14ac:dyDescent="0.25">
      <c r="A1307">
        <v>1305</v>
      </c>
      <c r="B1307">
        <f t="shared" si="40"/>
        <v>32</v>
      </c>
      <c r="C1307">
        <f t="shared" si="41"/>
        <v>34</v>
      </c>
      <c r="D1307" cm="1">
        <f t="array" ref="D1307">INDEX('Linha 03'!$A$4:$A$1000,B1307)</f>
        <v>20200006</v>
      </c>
      <c r="E1307" t="str" cm="1">
        <f t="array" ref="E1307">INDEX('Linha 03'!$B$4:$B$1000,B1307)</f>
        <v>Lava Roupas Aquafast Glicerina Cx/06 X 2l</v>
      </c>
      <c r="F1307" cm="1">
        <f t="array" ref="F1307">INDEX('Linha 03'!$C$3:$ZZ$3,C1307)</f>
        <v>20200036</v>
      </c>
      <c r="G1307" t="str" cm="1">
        <f t="array" ref="G1307">INDEX('Linha 03'!$C$2:$ZZ$2,C1307)</f>
        <v>Lava Roupas Aquafast Ternura Cx/06 X 2l</v>
      </c>
      <c r="H1307" s="5" cm="1">
        <f t="array" ref="H1307">INDEX('Linha 03'!$C$4:$ZZ$1000,B1307,C1307)</f>
        <v>0</v>
      </c>
    </row>
    <row r="1308" spans="1:8" x14ac:dyDescent="0.25">
      <c r="A1308">
        <v>1306</v>
      </c>
      <c r="B1308">
        <f t="shared" si="40"/>
        <v>32</v>
      </c>
      <c r="C1308">
        <f t="shared" si="41"/>
        <v>35</v>
      </c>
      <c r="D1308" cm="1">
        <f t="array" ref="D1308">INDEX('Linha 03'!$A$4:$A$1000,B1308)</f>
        <v>20200006</v>
      </c>
      <c r="E1308" t="str" cm="1">
        <f t="array" ref="E1308">INDEX('Linha 03'!$B$4:$B$1000,B1308)</f>
        <v>Lava Roupas Aquafast Glicerina Cx/06 X 2l</v>
      </c>
      <c r="F1308" cm="1">
        <f t="array" ref="F1308">INDEX('Linha 03'!$C$3:$ZZ$3,C1308)</f>
        <v>20200063</v>
      </c>
      <c r="G1308" t="str" cm="1">
        <f t="array" ref="G1308">INDEX('Linha 03'!$C$2:$ZZ$2,C1308)</f>
        <v>Lava Roup. Aquafast Tradicional Cx/12 X 1l</v>
      </c>
      <c r="H1308" s="5" cm="1">
        <f t="array" ref="H1308">INDEX('Linha 03'!$C$4:$ZZ$1000,B1308,C1308)</f>
        <v>0</v>
      </c>
    </row>
    <row r="1309" spans="1:8" x14ac:dyDescent="0.25">
      <c r="A1309">
        <v>1307</v>
      </c>
      <c r="B1309">
        <f t="shared" si="40"/>
        <v>32</v>
      </c>
      <c r="C1309">
        <f t="shared" si="41"/>
        <v>36</v>
      </c>
      <c r="D1309" cm="1">
        <f t="array" ref="D1309">INDEX('Linha 03'!$A$4:$A$1000,B1309)</f>
        <v>20200006</v>
      </c>
      <c r="E1309" t="str" cm="1">
        <f t="array" ref="E1309">INDEX('Linha 03'!$B$4:$B$1000,B1309)</f>
        <v>Lava Roupas Aquafast Glicerina Cx/06 X 2l</v>
      </c>
      <c r="F1309" cm="1">
        <f t="array" ref="F1309">INDEX('Linha 03'!$C$3:$ZZ$3,C1309)</f>
        <v>20200064</v>
      </c>
      <c r="G1309" t="str" cm="1">
        <f t="array" ref="G1309">INDEX('Linha 03'!$C$2:$ZZ$2,C1309)</f>
        <v>Lava Roup. Aquafast Flores B. E Baunilha Cx/12 X 1l</v>
      </c>
      <c r="H1309" s="5" cm="1">
        <f t="array" ref="H1309">INDEX('Linha 03'!$C$4:$ZZ$1000,B1309,C1309)</f>
        <v>0</v>
      </c>
    </row>
    <row r="1310" spans="1:8" x14ac:dyDescent="0.25">
      <c r="A1310">
        <v>1308</v>
      </c>
      <c r="B1310">
        <f t="shared" si="40"/>
        <v>32</v>
      </c>
      <c r="C1310">
        <f t="shared" si="41"/>
        <v>37</v>
      </c>
      <c r="D1310" cm="1">
        <f t="array" ref="D1310">INDEX('Linha 03'!$A$4:$A$1000,B1310)</f>
        <v>20200006</v>
      </c>
      <c r="E1310" t="str" cm="1">
        <f t="array" ref="E1310">INDEX('Linha 03'!$B$4:$B$1000,B1310)</f>
        <v>Lava Roupas Aquafast Glicerina Cx/06 X 2l</v>
      </c>
      <c r="F1310" cm="1">
        <f t="array" ref="F1310">INDEX('Linha 03'!$C$3:$ZZ$3,C1310)</f>
        <v>20200065</v>
      </c>
      <c r="G1310" t="str" cm="1">
        <f t="array" ref="G1310">INDEX('Linha 03'!$C$2:$ZZ$2,C1310)</f>
        <v>Lava Roupas Aquafast Flores B. E Baunilha Cx/06 X 2l</v>
      </c>
      <c r="H1310" s="5" cm="1">
        <f t="array" ref="H1310">INDEX('Linha 03'!$C$4:$ZZ$1000,B1310,C1310)</f>
        <v>0</v>
      </c>
    </row>
    <row r="1311" spans="1:8" x14ac:dyDescent="0.25">
      <c r="A1311">
        <v>1309</v>
      </c>
      <c r="B1311">
        <f t="shared" si="40"/>
        <v>32</v>
      </c>
      <c r="C1311">
        <f t="shared" si="41"/>
        <v>38</v>
      </c>
      <c r="D1311" cm="1">
        <f t="array" ref="D1311">INDEX('Linha 03'!$A$4:$A$1000,B1311)</f>
        <v>20200006</v>
      </c>
      <c r="E1311" t="str" cm="1">
        <f t="array" ref="E1311">INDEX('Linha 03'!$B$4:$B$1000,B1311)</f>
        <v>Lava Roupas Aquafast Glicerina Cx/06 X 2l</v>
      </c>
      <c r="F1311" cm="1">
        <f t="array" ref="F1311">INDEX('Linha 03'!$C$3:$ZZ$3,C1311)</f>
        <v>20200072</v>
      </c>
      <c r="G1311" t="str" cm="1">
        <f t="array" ref="G1311">INDEX('Linha 03'!$C$2:$ZZ$2,C1311)</f>
        <v>Lava Roupas Aquafast Lavagem Rapida Total Clean Cx/12 X 1l</v>
      </c>
      <c r="H1311" s="5" cm="1">
        <f t="array" ref="H1311">INDEX('Linha 03'!$C$4:$ZZ$1000,B1311,C1311)</f>
        <v>0</v>
      </c>
    </row>
    <row r="1312" spans="1:8" x14ac:dyDescent="0.25">
      <c r="A1312">
        <v>1310</v>
      </c>
      <c r="B1312">
        <f t="shared" si="40"/>
        <v>32</v>
      </c>
      <c r="C1312">
        <f t="shared" si="41"/>
        <v>39</v>
      </c>
      <c r="D1312" cm="1">
        <f t="array" ref="D1312">INDEX('Linha 03'!$A$4:$A$1000,B1312)</f>
        <v>20200006</v>
      </c>
      <c r="E1312" t="str" cm="1">
        <f t="array" ref="E1312">INDEX('Linha 03'!$B$4:$B$1000,B1312)</f>
        <v>Lava Roupas Aquafast Glicerina Cx/06 X 2l</v>
      </c>
      <c r="F1312" cm="1">
        <f t="array" ref="F1312">INDEX('Linha 03'!$C$3:$ZZ$3,C1312)</f>
        <v>20200074</v>
      </c>
      <c r="G1312" t="str" cm="1">
        <f t="array" ref="G1312">INDEX('Linha 03'!$C$2:$ZZ$2,C1312)</f>
        <v>Lava Roupas Aquafast Lavagem Rapida Fresh Clean Cx/12 X 1l</v>
      </c>
      <c r="H1312" s="5" cm="1">
        <f t="array" ref="H1312">INDEX('Linha 03'!$C$4:$ZZ$1000,B1312,C1312)</f>
        <v>0</v>
      </c>
    </row>
    <row r="1313" spans="1:8" x14ac:dyDescent="0.25">
      <c r="A1313">
        <v>1311</v>
      </c>
      <c r="B1313">
        <f t="shared" si="40"/>
        <v>32</v>
      </c>
      <c r="C1313">
        <f t="shared" si="41"/>
        <v>40</v>
      </c>
      <c r="D1313" cm="1">
        <f t="array" ref="D1313">INDEX('Linha 03'!$A$4:$A$1000,B1313)</f>
        <v>20200006</v>
      </c>
      <c r="E1313" t="str" cm="1">
        <f t="array" ref="E1313">INDEX('Linha 03'!$B$4:$B$1000,B1313)</f>
        <v>Lava Roupas Aquafast Glicerina Cx/06 X 2l</v>
      </c>
      <c r="F1313" cm="1">
        <f t="array" ref="F1313">INDEX('Linha 03'!$C$3:$ZZ$3,C1313)</f>
        <v>20250005</v>
      </c>
      <c r="G1313" t="str" cm="1">
        <f t="array" ref="G1313">INDEX('Linha 03'!$C$2:$ZZ$2,C1313)</f>
        <v>Neutralizador De Odores Aquafast Floral Cx/06 X 2l</v>
      </c>
      <c r="H1313" s="5" cm="1">
        <f t="array" ref="H1313">INDEX('Linha 03'!$C$4:$ZZ$1000,B1313,C1313)</f>
        <v>0</v>
      </c>
    </row>
    <row r="1314" spans="1:8" x14ac:dyDescent="0.25">
      <c r="A1314">
        <v>1312</v>
      </c>
      <c r="B1314">
        <f t="shared" si="40"/>
        <v>32</v>
      </c>
      <c r="C1314">
        <f t="shared" si="41"/>
        <v>41</v>
      </c>
      <c r="D1314" cm="1">
        <f t="array" ref="D1314">INDEX('Linha 03'!$A$4:$A$1000,B1314)</f>
        <v>20200006</v>
      </c>
      <c r="E1314" t="str" cm="1">
        <f t="array" ref="E1314">INDEX('Linha 03'!$B$4:$B$1000,B1314)</f>
        <v>Lava Roupas Aquafast Glicerina Cx/06 X 2l</v>
      </c>
      <c r="F1314" cm="1">
        <f t="array" ref="F1314">INDEX('Linha 03'!$C$3:$ZZ$3,C1314)</f>
        <v>20250007</v>
      </c>
      <c r="G1314" t="str" cm="1">
        <f t="array" ref="G1314">INDEX('Linha 03'!$C$2:$ZZ$2,C1314)</f>
        <v>Neutralizador De Odores Aquafast Marine Cx/06 2l</v>
      </c>
      <c r="H1314" s="5" cm="1">
        <f t="array" ref="H1314">INDEX('Linha 03'!$C$4:$ZZ$1000,B1314,C1314)</f>
        <v>0</v>
      </c>
    </row>
    <row r="1315" spans="1:8" x14ac:dyDescent="0.25">
      <c r="A1315">
        <v>1313</v>
      </c>
      <c r="B1315">
        <f t="shared" si="40"/>
        <v>33</v>
      </c>
      <c r="C1315">
        <f t="shared" si="41"/>
        <v>1</v>
      </c>
      <c r="D1315" cm="1">
        <f t="array" ref="D1315">INDEX('Linha 03'!$A$4:$A$1000,B1315)</f>
        <v>20200015</v>
      </c>
      <c r="E1315" t="str" cm="1">
        <f t="array" ref="E1315">INDEX('Linha 03'!$B$4:$B$1000,B1315)</f>
        <v>Lava Roup. Aquafast Multiacao Cx/12 X 1l</v>
      </c>
      <c r="F1315" cm="1">
        <f t="array" ref="F1315">INDEX('Linha 03'!$C$3:$ZZ$3,C1315)</f>
        <v>20040006</v>
      </c>
      <c r="G1315" t="str" cm="1">
        <f t="array" ref="G1315">INDEX('Linha 03'!$C$2:$ZZ$2,C1315)</f>
        <v>Amaciante Aquafast Azul Fresc. Manha Cx/06 X 2l</v>
      </c>
      <c r="H1315" s="5" cm="1">
        <f t="array" ref="H1315">INDEX('Linha 03'!$C$4:$ZZ$1000,B1315,C1315)</f>
        <v>0</v>
      </c>
    </row>
    <row r="1316" spans="1:8" x14ac:dyDescent="0.25">
      <c r="A1316">
        <v>1314</v>
      </c>
      <c r="B1316">
        <f t="shared" si="40"/>
        <v>33</v>
      </c>
      <c r="C1316">
        <f t="shared" si="41"/>
        <v>2</v>
      </c>
      <c r="D1316" cm="1">
        <f t="array" ref="D1316">INDEX('Linha 03'!$A$4:$A$1000,B1316)</f>
        <v>20200015</v>
      </c>
      <c r="E1316" t="str" cm="1">
        <f t="array" ref="E1316">INDEX('Linha 03'!$B$4:$B$1000,B1316)</f>
        <v>Lava Roup. Aquafast Multiacao Cx/12 X 1l</v>
      </c>
      <c r="F1316" cm="1">
        <f t="array" ref="F1316">INDEX('Linha 03'!$C$3:$ZZ$3,C1316)</f>
        <v>20040008</v>
      </c>
      <c r="G1316" t="str" cm="1">
        <f t="array" ref="G1316">INDEX('Linha 03'!$C$2:$ZZ$2,C1316)</f>
        <v>Amaciante Aquafast Rosa Jard. Florid Cx/06 X 2l</v>
      </c>
      <c r="H1316" s="5" cm="1">
        <f t="array" ref="H1316">INDEX('Linha 03'!$C$4:$ZZ$1000,B1316,C1316)</f>
        <v>0</v>
      </c>
    </row>
    <row r="1317" spans="1:8" x14ac:dyDescent="0.25">
      <c r="A1317">
        <v>1315</v>
      </c>
      <c r="B1317">
        <f t="shared" si="40"/>
        <v>33</v>
      </c>
      <c r="C1317">
        <f t="shared" si="41"/>
        <v>3</v>
      </c>
      <c r="D1317" cm="1">
        <f t="array" ref="D1317">INDEX('Linha 03'!$A$4:$A$1000,B1317)</f>
        <v>20200015</v>
      </c>
      <c r="E1317" t="str" cm="1">
        <f t="array" ref="E1317">INDEX('Linha 03'!$B$4:$B$1000,B1317)</f>
        <v>Lava Roup. Aquafast Multiacao Cx/12 X 1l</v>
      </c>
      <c r="F1317" cm="1">
        <f t="array" ref="F1317">INDEX('Linha 03'!$C$3:$ZZ$3,C1317)</f>
        <v>20040009</v>
      </c>
      <c r="G1317" t="str" cm="1">
        <f t="array" ref="G1317">INDEX('Linha 03'!$C$2:$ZZ$2,C1317)</f>
        <v>Amaciante Aquafast Branco Pura Caric. Cx/06 X 2l</v>
      </c>
      <c r="H1317" s="5" cm="1">
        <f t="array" ref="H1317">INDEX('Linha 03'!$C$4:$ZZ$1000,B1317,C1317)</f>
        <v>0</v>
      </c>
    </row>
    <row r="1318" spans="1:8" x14ac:dyDescent="0.25">
      <c r="A1318">
        <v>1316</v>
      </c>
      <c r="B1318">
        <f t="shared" si="40"/>
        <v>33</v>
      </c>
      <c r="C1318">
        <f t="shared" si="41"/>
        <v>4</v>
      </c>
      <c r="D1318" cm="1">
        <f t="array" ref="D1318">INDEX('Linha 03'!$A$4:$A$1000,B1318)</f>
        <v>20200015</v>
      </c>
      <c r="E1318" t="str" cm="1">
        <f t="array" ref="E1318">INDEX('Linha 03'!$B$4:$B$1000,B1318)</f>
        <v>Lava Roup. Aquafast Multiacao Cx/12 X 1l</v>
      </c>
      <c r="F1318" cm="1">
        <f t="array" ref="F1318">INDEX('Linha 03'!$C$3:$ZZ$3,C1318)</f>
        <v>20040026</v>
      </c>
      <c r="G1318" t="str" cm="1">
        <f t="array" ref="G1318">INDEX('Linha 03'!$C$2:$ZZ$2,C1318)</f>
        <v>Amaciante Ito Azul Cx/06 X 2l</v>
      </c>
      <c r="H1318" s="5" cm="1">
        <f t="array" ref="H1318">INDEX('Linha 03'!$C$4:$ZZ$1000,B1318,C1318)</f>
        <v>0</v>
      </c>
    </row>
    <row r="1319" spans="1:8" x14ac:dyDescent="0.25">
      <c r="A1319">
        <v>1317</v>
      </c>
      <c r="B1319">
        <f t="shared" si="40"/>
        <v>33</v>
      </c>
      <c r="C1319">
        <f t="shared" si="41"/>
        <v>5</v>
      </c>
      <c r="D1319" cm="1">
        <f t="array" ref="D1319">INDEX('Linha 03'!$A$4:$A$1000,B1319)</f>
        <v>20200015</v>
      </c>
      <c r="E1319" t="str" cm="1">
        <f t="array" ref="E1319">INDEX('Linha 03'!$B$4:$B$1000,B1319)</f>
        <v>Lava Roup. Aquafast Multiacao Cx/12 X 1l</v>
      </c>
      <c r="F1319" cm="1">
        <f t="array" ref="F1319">INDEX('Linha 03'!$C$3:$ZZ$3,C1319)</f>
        <v>20040028</v>
      </c>
      <c r="G1319" t="str" cm="1">
        <f t="array" ref="G1319">INDEX('Linha 03'!$C$2:$ZZ$2,C1319)</f>
        <v>Amaciante Ito Rosa Cx/06 X 2l</v>
      </c>
      <c r="H1319" s="5" cm="1">
        <f t="array" ref="H1319">INDEX('Linha 03'!$C$4:$ZZ$1000,B1319,C1319)</f>
        <v>0</v>
      </c>
    </row>
    <row r="1320" spans="1:8" x14ac:dyDescent="0.25">
      <c r="A1320">
        <v>1318</v>
      </c>
      <c r="B1320">
        <f t="shared" si="40"/>
        <v>33</v>
      </c>
      <c r="C1320">
        <f t="shared" si="41"/>
        <v>6</v>
      </c>
      <c r="D1320" cm="1">
        <f t="array" ref="D1320">INDEX('Linha 03'!$A$4:$A$1000,B1320)</f>
        <v>20200015</v>
      </c>
      <c r="E1320" t="str" cm="1">
        <f t="array" ref="E1320">INDEX('Linha 03'!$B$4:$B$1000,B1320)</f>
        <v>Lava Roup. Aquafast Multiacao Cx/12 X 1l</v>
      </c>
      <c r="F1320" cm="1">
        <f t="array" ref="F1320">INDEX('Linha 03'!$C$3:$ZZ$3,C1320)</f>
        <v>20040029</v>
      </c>
      <c r="G1320" t="str" cm="1">
        <f t="array" ref="G1320">INDEX('Linha 03'!$C$2:$ZZ$2,C1320)</f>
        <v>Amaciante Ito Branco Cx/06 X 2l</v>
      </c>
      <c r="H1320" s="5" cm="1">
        <f t="array" ref="H1320">INDEX('Linha 03'!$C$4:$ZZ$1000,B1320,C1320)</f>
        <v>0</v>
      </c>
    </row>
    <row r="1321" spans="1:8" x14ac:dyDescent="0.25">
      <c r="A1321">
        <v>1319</v>
      </c>
      <c r="B1321">
        <f t="shared" si="40"/>
        <v>33</v>
      </c>
      <c r="C1321">
        <f t="shared" si="41"/>
        <v>7</v>
      </c>
      <c r="D1321" cm="1">
        <f t="array" ref="D1321">INDEX('Linha 03'!$A$4:$A$1000,B1321)</f>
        <v>20200015</v>
      </c>
      <c r="E1321" t="str" cm="1">
        <f t="array" ref="E1321">INDEX('Linha 03'!$B$4:$B$1000,B1321)</f>
        <v>Lava Roup. Aquafast Multiacao Cx/12 X 1l</v>
      </c>
      <c r="F1321" cm="1">
        <f t="array" ref="F1321">INDEX('Linha 03'!$C$3:$ZZ$3,C1321)</f>
        <v>20040055</v>
      </c>
      <c r="G1321" t="str" cm="1">
        <f t="array" ref="G1321">INDEX('Linha 03'!$C$2:$ZZ$2,C1321)</f>
        <v>Amaciante Myata Azul Cx/06 X 2l</v>
      </c>
      <c r="H1321" s="5" cm="1">
        <f t="array" ref="H1321">INDEX('Linha 03'!$C$4:$ZZ$1000,B1321,C1321)</f>
        <v>0</v>
      </c>
    </row>
    <row r="1322" spans="1:8" x14ac:dyDescent="0.25">
      <c r="A1322">
        <v>1320</v>
      </c>
      <c r="B1322">
        <f t="shared" si="40"/>
        <v>33</v>
      </c>
      <c r="C1322">
        <f t="shared" si="41"/>
        <v>8</v>
      </c>
      <c r="D1322" cm="1">
        <f t="array" ref="D1322">INDEX('Linha 03'!$A$4:$A$1000,B1322)</f>
        <v>20200015</v>
      </c>
      <c r="E1322" t="str" cm="1">
        <f t="array" ref="E1322">INDEX('Linha 03'!$B$4:$B$1000,B1322)</f>
        <v>Lava Roup. Aquafast Multiacao Cx/12 X 1l</v>
      </c>
      <c r="F1322" cm="1">
        <f t="array" ref="F1322">INDEX('Linha 03'!$C$3:$ZZ$3,C1322)</f>
        <v>20040057</v>
      </c>
      <c r="G1322" t="str" cm="1">
        <f t="array" ref="G1322">INDEX('Linha 03'!$C$2:$ZZ$2,C1322)</f>
        <v>Amaciante Myata Rosa Cx/06 X 2l</v>
      </c>
      <c r="H1322" s="5" cm="1">
        <f t="array" ref="H1322">INDEX('Linha 03'!$C$4:$ZZ$1000,B1322,C1322)</f>
        <v>0</v>
      </c>
    </row>
    <row r="1323" spans="1:8" x14ac:dyDescent="0.25">
      <c r="A1323">
        <v>1321</v>
      </c>
      <c r="B1323">
        <f t="shared" si="40"/>
        <v>33</v>
      </c>
      <c r="C1323">
        <f t="shared" si="41"/>
        <v>9</v>
      </c>
      <c r="D1323" cm="1">
        <f t="array" ref="D1323">INDEX('Linha 03'!$A$4:$A$1000,B1323)</f>
        <v>20200015</v>
      </c>
      <c r="E1323" t="str" cm="1">
        <f t="array" ref="E1323">INDEX('Linha 03'!$B$4:$B$1000,B1323)</f>
        <v>Lava Roup. Aquafast Multiacao Cx/12 X 1l</v>
      </c>
      <c r="F1323" cm="1">
        <f t="array" ref="F1323">INDEX('Linha 03'!$C$3:$ZZ$3,C1323)</f>
        <v>20040084</v>
      </c>
      <c r="G1323" t="str" cm="1">
        <f t="array" ref="G1323">INDEX('Linha 03'!$C$2:$ZZ$2,C1323)</f>
        <v>Amaciante Aquafast Vermelho Seducao Cx C/06 X 2l</v>
      </c>
      <c r="H1323" s="5" cm="1">
        <f t="array" ref="H1323">INDEX('Linha 03'!$C$4:$ZZ$1000,B1323,C1323)</f>
        <v>0</v>
      </c>
    </row>
    <row r="1324" spans="1:8" x14ac:dyDescent="0.25">
      <c r="A1324">
        <v>1322</v>
      </c>
      <c r="B1324">
        <f t="shared" si="40"/>
        <v>33</v>
      </c>
      <c r="C1324">
        <f t="shared" si="41"/>
        <v>10</v>
      </c>
      <c r="D1324" cm="1">
        <f t="array" ref="D1324">INDEX('Linha 03'!$A$4:$A$1000,B1324)</f>
        <v>20200015</v>
      </c>
      <c r="E1324" t="str" cm="1">
        <f t="array" ref="E1324">INDEX('Linha 03'!$B$4:$B$1000,B1324)</f>
        <v>Lava Roup. Aquafast Multiacao Cx/12 X 1l</v>
      </c>
      <c r="F1324" cm="1">
        <f t="array" ref="F1324">INDEX('Linha 03'!$C$3:$ZZ$3,C1324)</f>
        <v>20040089</v>
      </c>
      <c r="G1324" t="str" cm="1">
        <f t="array" ref="G1324">INDEX('Linha 03'!$C$2:$ZZ$2,C1324)</f>
        <v>Amaciante Aquafast Roxo Magia Cx/06 X 2l</v>
      </c>
      <c r="H1324" s="5" cm="1">
        <f t="array" ref="H1324">INDEX('Linha 03'!$C$4:$ZZ$1000,B1324,C1324)</f>
        <v>0</v>
      </c>
    </row>
    <row r="1325" spans="1:8" x14ac:dyDescent="0.25">
      <c r="A1325">
        <v>1323</v>
      </c>
      <c r="B1325">
        <f t="shared" si="40"/>
        <v>33</v>
      </c>
      <c r="C1325">
        <f t="shared" si="41"/>
        <v>11</v>
      </c>
      <c r="D1325" cm="1">
        <f t="array" ref="D1325">INDEX('Linha 03'!$A$4:$A$1000,B1325)</f>
        <v>20200015</v>
      </c>
      <c r="E1325" t="str" cm="1">
        <f t="array" ref="E1325">INDEX('Linha 03'!$B$4:$B$1000,B1325)</f>
        <v>Lava Roup. Aquafast Multiacao Cx/12 X 1l</v>
      </c>
      <c r="F1325" cm="1">
        <f t="array" ref="F1325">INDEX('Linha 03'!$C$3:$ZZ$3,C1325)</f>
        <v>20040094</v>
      </c>
      <c r="G1325" t="str" cm="1">
        <f t="array" ref="G1325">INDEX('Linha 03'!$C$2:$ZZ$2,C1325)</f>
        <v>Amaciante Aquafast Energia Cx/06 X 2l</v>
      </c>
      <c r="H1325" s="5" cm="1">
        <f t="array" ref="H1325">INDEX('Linha 03'!$C$4:$ZZ$1000,B1325,C1325)</f>
        <v>0</v>
      </c>
    </row>
    <row r="1326" spans="1:8" x14ac:dyDescent="0.25">
      <c r="A1326">
        <v>1324</v>
      </c>
      <c r="B1326">
        <f t="shared" si="40"/>
        <v>33</v>
      </c>
      <c r="C1326">
        <f t="shared" si="41"/>
        <v>12</v>
      </c>
      <c r="D1326" cm="1">
        <f t="array" ref="D1326">INDEX('Linha 03'!$A$4:$A$1000,B1326)</f>
        <v>20200015</v>
      </c>
      <c r="E1326" t="str" cm="1">
        <f t="array" ref="E1326">INDEX('Linha 03'!$B$4:$B$1000,B1326)</f>
        <v>Lava Roup. Aquafast Multiacao Cx/12 X 1l</v>
      </c>
      <c r="F1326" cm="1">
        <f t="array" ref="F1326">INDEX('Linha 03'!$C$3:$ZZ$3,C1326)</f>
        <v>20050010</v>
      </c>
      <c r="G1326" t="str" cm="1">
        <f t="array" ref="G1326">INDEX('Linha 03'!$C$2:$ZZ$2,C1326)</f>
        <v>Desinfetante Aquafast Campos Lavanda Cx/06 X 2l</v>
      </c>
      <c r="H1326" s="5" cm="1">
        <f t="array" ref="H1326">INDEX('Linha 03'!$C$4:$ZZ$1000,B1326,C1326)</f>
        <v>0</v>
      </c>
    </row>
    <row r="1327" spans="1:8" x14ac:dyDescent="0.25">
      <c r="A1327">
        <v>1325</v>
      </c>
      <c r="B1327">
        <f t="shared" si="40"/>
        <v>33</v>
      </c>
      <c r="C1327">
        <f t="shared" si="41"/>
        <v>13</v>
      </c>
      <c r="D1327" cm="1">
        <f t="array" ref="D1327">INDEX('Linha 03'!$A$4:$A$1000,B1327)</f>
        <v>20200015</v>
      </c>
      <c r="E1327" t="str" cm="1">
        <f t="array" ref="E1327">INDEX('Linha 03'!$B$4:$B$1000,B1327)</f>
        <v>Lava Roup. Aquafast Multiacao Cx/12 X 1l</v>
      </c>
      <c r="F1327" cm="1">
        <f t="array" ref="F1327">INDEX('Linha 03'!$C$3:$ZZ$3,C1327)</f>
        <v>20050011</v>
      </c>
      <c r="G1327" t="str" cm="1">
        <f t="array" ref="G1327">INDEX('Linha 03'!$C$2:$ZZ$2,C1327)</f>
        <v>Desinfetante Aquafast Jardim Florido Cx/06 X 2l</v>
      </c>
      <c r="H1327" s="5" cm="1">
        <f t="array" ref="H1327">INDEX('Linha 03'!$C$4:$ZZ$1000,B1327,C1327)</f>
        <v>0</v>
      </c>
    </row>
    <row r="1328" spans="1:8" x14ac:dyDescent="0.25">
      <c r="A1328">
        <v>1326</v>
      </c>
      <c r="B1328">
        <f t="shared" si="40"/>
        <v>33</v>
      </c>
      <c r="C1328">
        <f t="shared" si="41"/>
        <v>14</v>
      </c>
      <c r="D1328" cm="1">
        <f t="array" ref="D1328">INDEX('Linha 03'!$A$4:$A$1000,B1328)</f>
        <v>20200015</v>
      </c>
      <c r="E1328" t="str" cm="1">
        <f t="array" ref="E1328">INDEX('Linha 03'!$B$4:$B$1000,B1328)</f>
        <v>Lava Roup. Aquafast Multiacao Cx/12 X 1l</v>
      </c>
      <c r="F1328" cm="1">
        <f t="array" ref="F1328">INDEX('Linha 03'!$C$3:$ZZ$3,C1328)</f>
        <v>20050016</v>
      </c>
      <c r="G1328" t="str" cm="1">
        <f t="array" ref="G1328">INDEX('Linha 03'!$C$2:$ZZ$2,C1328)</f>
        <v>Desinfetante Aquafast Marine Cx/06 X 2l</v>
      </c>
      <c r="H1328" s="5" cm="1">
        <f t="array" ref="H1328">INDEX('Linha 03'!$C$4:$ZZ$1000,B1328,C1328)</f>
        <v>0</v>
      </c>
    </row>
    <row r="1329" spans="1:8" x14ac:dyDescent="0.25">
      <c r="A1329">
        <v>1327</v>
      </c>
      <c r="B1329">
        <f t="shared" si="40"/>
        <v>33</v>
      </c>
      <c r="C1329">
        <f t="shared" si="41"/>
        <v>15</v>
      </c>
      <c r="D1329" cm="1">
        <f t="array" ref="D1329">INDEX('Linha 03'!$A$4:$A$1000,B1329)</f>
        <v>20200015</v>
      </c>
      <c r="E1329" t="str" cm="1">
        <f t="array" ref="E1329">INDEX('Linha 03'!$B$4:$B$1000,B1329)</f>
        <v>Lava Roup. Aquafast Multiacao Cx/12 X 1l</v>
      </c>
      <c r="F1329" cm="1">
        <f t="array" ref="F1329">INDEX('Linha 03'!$C$3:$ZZ$3,C1329)</f>
        <v>20050031</v>
      </c>
      <c r="G1329" t="str" cm="1">
        <f t="array" ref="G1329">INDEX('Linha 03'!$C$2:$ZZ$2,C1329)</f>
        <v>Desinfetante Ito Lavanda Cx/06 X 2l</v>
      </c>
      <c r="H1329" s="5" cm="1">
        <f t="array" ref="H1329">INDEX('Linha 03'!$C$4:$ZZ$1000,B1329,C1329)</f>
        <v>0</v>
      </c>
    </row>
    <row r="1330" spans="1:8" x14ac:dyDescent="0.25">
      <c r="A1330">
        <v>1328</v>
      </c>
      <c r="B1330">
        <f t="shared" si="40"/>
        <v>33</v>
      </c>
      <c r="C1330">
        <f t="shared" si="41"/>
        <v>16</v>
      </c>
      <c r="D1330" cm="1">
        <f t="array" ref="D1330">INDEX('Linha 03'!$A$4:$A$1000,B1330)</f>
        <v>20200015</v>
      </c>
      <c r="E1330" t="str" cm="1">
        <f t="array" ref="E1330">INDEX('Linha 03'!$B$4:$B$1000,B1330)</f>
        <v>Lava Roup. Aquafast Multiacao Cx/12 X 1l</v>
      </c>
      <c r="F1330" cm="1">
        <f t="array" ref="F1330">INDEX('Linha 03'!$C$3:$ZZ$3,C1330)</f>
        <v>20050032</v>
      </c>
      <c r="G1330" t="str" cm="1">
        <f t="array" ref="G1330">INDEX('Linha 03'!$C$2:$ZZ$2,C1330)</f>
        <v>Desinfetante Ito Floral Cx/06 X 2l</v>
      </c>
      <c r="H1330" s="5" cm="1">
        <f t="array" ref="H1330">INDEX('Linha 03'!$C$4:$ZZ$1000,B1330,C1330)</f>
        <v>0</v>
      </c>
    </row>
    <row r="1331" spans="1:8" x14ac:dyDescent="0.25">
      <c r="A1331">
        <v>1329</v>
      </c>
      <c r="B1331">
        <f t="shared" si="40"/>
        <v>33</v>
      </c>
      <c r="C1331">
        <f t="shared" si="41"/>
        <v>17</v>
      </c>
      <c r="D1331" cm="1">
        <f t="array" ref="D1331">INDEX('Linha 03'!$A$4:$A$1000,B1331)</f>
        <v>20200015</v>
      </c>
      <c r="E1331" t="str" cm="1">
        <f t="array" ref="E1331">INDEX('Linha 03'!$B$4:$B$1000,B1331)</f>
        <v>Lava Roup. Aquafast Multiacao Cx/12 X 1l</v>
      </c>
      <c r="F1331" cm="1">
        <f t="array" ref="F1331">INDEX('Linha 03'!$C$3:$ZZ$3,C1331)</f>
        <v>20050034</v>
      </c>
      <c r="G1331" t="str" cm="1">
        <f t="array" ref="G1331">INDEX('Linha 03'!$C$2:$ZZ$2,C1331)</f>
        <v>Desinfetante Ito Eucalipto Cx/06 X 2l</v>
      </c>
      <c r="H1331" s="5" cm="1">
        <f t="array" ref="H1331">INDEX('Linha 03'!$C$4:$ZZ$1000,B1331,C1331)</f>
        <v>0</v>
      </c>
    </row>
    <row r="1332" spans="1:8" x14ac:dyDescent="0.25">
      <c r="A1332">
        <v>1330</v>
      </c>
      <c r="B1332">
        <f t="shared" si="40"/>
        <v>33</v>
      </c>
      <c r="C1332">
        <f t="shared" si="41"/>
        <v>18</v>
      </c>
      <c r="D1332" cm="1">
        <f t="array" ref="D1332">INDEX('Linha 03'!$A$4:$A$1000,B1332)</f>
        <v>20200015</v>
      </c>
      <c r="E1332" t="str" cm="1">
        <f t="array" ref="E1332">INDEX('Linha 03'!$B$4:$B$1000,B1332)</f>
        <v>Lava Roup. Aquafast Multiacao Cx/12 X 1l</v>
      </c>
      <c r="F1332" cm="1">
        <f t="array" ref="F1332">INDEX('Linha 03'!$C$3:$ZZ$3,C1332)</f>
        <v>20050077</v>
      </c>
      <c r="G1332" t="str" cm="1">
        <f t="array" ref="G1332">INDEX('Linha 03'!$C$2:$ZZ$2,C1332)</f>
        <v>Desinfetante Myata Lavanda Cx/06 X 2l</v>
      </c>
      <c r="H1332" s="5" cm="1">
        <f t="array" ref="H1332">INDEX('Linha 03'!$C$4:$ZZ$1000,B1332,C1332)</f>
        <v>0</v>
      </c>
    </row>
    <row r="1333" spans="1:8" x14ac:dyDescent="0.25">
      <c r="A1333">
        <v>1331</v>
      </c>
      <c r="B1333">
        <f t="shared" si="40"/>
        <v>33</v>
      </c>
      <c r="C1333">
        <f t="shared" si="41"/>
        <v>19</v>
      </c>
      <c r="D1333" cm="1">
        <f t="array" ref="D1333">INDEX('Linha 03'!$A$4:$A$1000,B1333)</f>
        <v>20200015</v>
      </c>
      <c r="E1333" t="str" cm="1">
        <f t="array" ref="E1333">INDEX('Linha 03'!$B$4:$B$1000,B1333)</f>
        <v>Lava Roup. Aquafast Multiacao Cx/12 X 1l</v>
      </c>
      <c r="F1333" cm="1">
        <f t="array" ref="F1333">INDEX('Linha 03'!$C$3:$ZZ$3,C1333)</f>
        <v>20050078</v>
      </c>
      <c r="G1333" t="str" cm="1">
        <f t="array" ref="G1333">INDEX('Linha 03'!$C$2:$ZZ$2,C1333)</f>
        <v>Desinfetante Myata Floral Cx/06 X 2l</v>
      </c>
      <c r="H1333" s="5" cm="1">
        <f t="array" ref="H1333">INDEX('Linha 03'!$C$4:$ZZ$1000,B1333,C1333)</f>
        <v>0</v>
      </c>
    </row>
    <row r="1334" spans="1:8" x14ac:dyDescent="0.25">
      <c r="A1334">
        <v>1332</v>
      </c>
      <c r="B1334">
        <f t="shared" si="40"/>
        <v>33</v>
      </c>
      <c r="C1334">
        <f t="shared" si="41"/>
        <v>20</v>
      </c>
      <c r="D1334" cm="1">
        <f t="array" ref="D1334">INDEX('Linha 03'!$A$4:$A$1000,B1334)</f>
        <v>20200015</v>
      </c>
      <c r="E1334" t="str" cm="1">
        <f t="array" ref="E1334">INDEX('Linha 03'!$B$4:$B$1000,B1334)</f>
        <v>Lava Roup. Aquafast Multiacao Cx/12 X 1l</v>
      </c>
      <c r="F1334" cm="1">
        <f t="array" ref="F1334">INDEX('Linha 03'!$C$3:$ZZ$3,C1334)</f>
        <v>20050115</v>
      </c>
      <c r="G1334" t="str" cm="1">
        <f t="array" ref="G1334">INDEX('Linha 03'!$C$2:$ZZ$2,C1334)</f>
        <v>Desinfetante Aquafast Paixao Cx/06 X 2l</v>
      </c>
      <c r="H1334" s="5" cm="1">
        <f t="array" ref="H1334">INDEX('Linha 03'!$C$4:$ZZ$1000,B1334,C1334)</f>
        <v>0</v>
      </c>
    </row>
    <row r="1335" spans="1:8" x14ac:dyDescent="0.25">
      <c r="A1335">
        <v>1333</v>
      </c>
      <c r="B1335">
        <f t="shared" si="40"/>
        <v>33</v>
      </c>
      <c r="C1335">
        <f t="shared" si="41"/>
        <v>21</v>
      </c>
      <c r="D1335" cm="1">
        <f t="array" ref="D1335">INDEX('Linha 03'!$A$4:$A$1000,B1335)</f>
        <v>20200015</v>
      </c>
      <c r="E1335" t="str" cm="1">
        <f t="array" ref="E1335">INDEX('Linha 03'!$B$4:$B$1000,B1335)</f>
        <v>Lava Roup. Aquafast Multiacao Cx/12 X 1l</v>
      </c>
      <c r="F1335" cm="1">
        <f t="array" ref="F1335">INDEX('Linha 03'!$C$3:$ZZ$3,C1335)</f>
        <v>20050117</v>
      </c>
      <c r="G1335" t="str" cm="1">
        <f t="array" ref="G1335">INDEX('Linha 03'!$C$2:$ZZ$2,C1335)</f>
        <v>Desinfetante Aquafast Harmonia Natural Cx/06 X 2l</v>
      </c>
      <c r="H1335" s="5" cm="1">
        <f t="array" ref="H1335">INDEX('Linha 03'!$C$4:$ZZ$1000,B1335,C1335)</f>
        <v>0</v>
      </c>
    </row>
    <row r="1336" spans="1:8" x14ac:dyDescent="0.25">
      <c r="A1336">
        <v>1334</v>
      </c>
      <c r="B1336">
        <f t="shared" si="40"/>
        <v>33</v>
      </c>
      <c r="C1336">
        <f t="shared" si="41"/>
        <v>22</v>
      </c>
      <c r="D1336" cm="1">
        <f t="array" ref="D1336">INDEX('Linha 03'!$A$4:$A$1000,B1336)</f>
        <v>20200015</v>
      </c>
      <c r="E1336" t="str" cm="1">
        <f t="array" ref="E1336">INDEX('Linha 03'!$B$4:$B$1000,B1336)</f>
        <v>Lava Roup. Aquafast Multiacao Cx/12 X 1l</v>
      </c>
      <c r="F1336" cm="1">
        <f t="array" ref="F1336">INDEX('Linha 03'!$C$3:$ZZ$3,C1336)</f>
        <v>20050123</v>
      </c>
      <c r="G1336" t="str" cm="1">
        <f t="array" ref="G1336">INDEX('Linha 03'!$C$2:$ZZ$2,C1336)</f>
        <v>Desinfetante Ito Harmonia Natural Cx/06 X 2l</v>
      </c>
      <c r="H1336" s="5" cm="1">
        <f t="array" ref="H1336">INDEX('Linha 03'!$C$4:$ZZ$1000,B1336,C1336)</f>
        <v>0</v>
      </c>
    </row>
    <row r="1337" spans="1:8" x14ac:dyDescent="0.25">
      <c r="A1337">
        <v>1335</v>
      </c>
      <c r="B1337">
        <f t="shared" si="40"/>
        <v>33</v>
      </c>
      <c r="C1337">
        <f t="shared" si="41"/>
        <v>23</v>
      </c>
      <c r="D1337" cm="1">
        <f t="array" ref="D1337">INDEX('Linha 03'!$A$4:$A$1000,B1337)</f>
        <v>20200015</v>
      </c>
      <c r="E1337" t="str" cm="1">
        <f t="array" ref="E1337">INDEX('Linha 03'!$B$4:$B$1000,B1337)</f>
        <v>Lava Roup. Aquafast Multiacao Cx/12 X 1l</v>
      </c>
      <c r="F1337" cm="1">
        <f t="array" ref="F1337">INDEX('Linha 03'!$C$3:$ZZ$3,C1337)</f>
        <v>20050124</v>
      </c>
      <c r="G1337" t="str" cm="1">
        <f t="array" ref="G1337">INDEX('Linha 03'!$C$2:$ZZ$2,C1337)</f>
        <v>Desinfetante Myata Harmonia Natural Cx/06 X 2l</v>
      </c>
      <c r="H1337" s="5" cm="1">
        <f t="array" ref="H1337">INDEX('Linha 03'!$C$4:$ZZ$1000,B1337,C1337)</f>
        <v>0</v>
      </c>
    </row>
    <row r="1338" spans="1:8" x14ac:dyDescent="0.25">
      <c r="A1338">
        <v>1336</v>
      </c>
      <c r="B1338">
        <f t="shared" si="40"/>
        <v>33</v>
      </c>
      <c r="C1338">
        <f t="shared" si="41"/>
        <v>24</v>
      </c>
      <c r="D1338" cm="1">
        <f t="array" ref="D1338">INDEX('Linha 03'!$A$4:$A$1000,B1338)</f>
        <v>20200015</v>
      </c>
      <c r="E1338" t="str" cm="1">
        <f t="array" ref="E1338">INDEX('Linha 03'!$B$4:$B$1000,B1338)</f>
        <v>Lava Roup. Aquafast Multiacao Cx/12 X 1l</v>
      </c>
      <c r="F1338" cm="1">
        <f t="array" ref="F1338">INDEX('Linha 03'!$C$3:$ZZ$3,C1338)</f>
        <v>20050142</v>
      </c>
      <c r="G1338" t="str" cm="1">
        <f t="array" ref="G1338">INDEX('Linha 03'!$C$2:$ZZ$2,C1338)</f>
        <v>Desinfetante Ito Marine Cx/06 X 2l</v>
      </c>
      <c r="H1338" s="5" cm="1">
        <f t="array" ref="H1338">INDEX('Linha 03'!$C$4:$ZZ$1000,B1338,C1338)</f>
        <v>0</v>
      </c>
    </row>
    <row r="1339" spans="1:8" x14ac:dyDescent="0.25">
      <c r="A1339">
        <v>1337</v>
      </c>
      <c r="B1339">
        <f t="shared" si="40"/>
        <v>33</v>
      </c>
      <c r="C1339">
        <f t="shared" si="41"/>
        <v>25</v>
      </c>
      <c r="D1339" cm="1">
        <f t="array" ref="D1339">INDEX('Linha 03'!$A$4:$A$1000,B1339)</f>
        <v>20200015</v>
      </c>
      <c r="E1339" t="str" cm="1">
        <f t="array" ref="E1339">INDEX('Linha 03'!$B$4:$B$1000,B1339)</f>
        <v>Lava Roup. Aquafast Multiacao Cx/12 X 1l</v>
      </c>
      <c r="F1339" cm="1">
        <f t="array" ref="F1339">INDEX('Linha 03'!$C$3:$ZZ$3,C1339)</f>
        <v>20050159</v>
      </c>
      <c r="G1339" t="str" cm="1">
        <f t="array" ref="G1339">INDEX('Linha 03'!$C$2:$ZZ$2,C1339)</f>
        <v>Desinfetante Aquafast Cha Branco Cx/06 X 2l</v>
      </c>
      <c r="H1339" s="5" cm="1">
        <f t="array" ref="H1339">INDEX('Linha 03'!$C$4:$ZZ$1000,B1339,C1339)</f>
        <v>1.38888888888889E-2</v>
      </c>
    </row>
    <row r="1340" spans="1:8" x14ac:dyDescent="0.25">
      <c r="A1340">
        <v>1338</v>
      </c>
      <c r="B1340">
        <f t="shared" si="40"/>
        <v>33</v>
      </c>
      <c r="C1340">
        <f t="shared" si="41"/>
        <v>26</v>
      </c>
      <c r="D1340" cm="1">
        <f t="array" ref="D1340">INDEX('Linha 03'!$A$4:$A$1000,B1340)</f>
        <v>20200015</v>
      </c>
      <c r="E1340" t="str" cm="1">
        <f t="array" ref="E1340">INDEX('Linha 03'!$B$4:$B$1000,B1340)</f>
        <v>Lava Roup. Aquafast Multiacao Cx/12 X 1l</v>
      </c>
      <c r="F1340" cm="1">
        <f t="array" ref="F1340">INDEX('Linha 03'!$C$3:$ZZ$3,C1340)</f>
        <v>20060007</v>
      </c>
      <c r="G1340" t="str" cm="1">
        <f t="array" ref="G1340">INDEX('Linha 03'!$C$2:$ZZ$2,C1340)</f>
        <v>Limp Perf Aquafast Magia Seducao Cx/06 X 2l (Promoc)</v>
      </c>
      <c r="H1340" s="5" cm="1">
        <f t="array" ref="H1340">INDEX('Linha 03'!$C$4:$ZZ$1000,B1340,C1340)</f>
        <v>0</v>
      </c>
    </row>
    <row r="1341" spans="1:8" x14ac:dyDescent="0.25">
      <c r="A1341">
        <v>1339</v>
      </c>
      <c r="B1341">
        <f t="shared" si="40"/>
        <v>33</v>
      </c>
      <c r="C1341">
        <f t="shared" si="41"/>
        <v>27</v>
      </c>
      <c r="D1341" cm="1">
        <f t="array" ref="D1341">INDEX('Linha 03'!$A$4:$A$1000,B1341)</f>
        <v>20200015</v>
      </c>
      <c r="E1341" t="str" cm="1">
        <f t="array" ref="E1341">INDEX('Linha 03'!$B$4:$B$1000,B1341)</f>
        <v>Lava Roup. Aquafast Multiacao Cx/12 X 1l</v>
      </c>
      <c r="F1341" cm="1">
        <f t="array" ref="F1341">INDEX('Linha 03'!$C$3:$ZZ$3,C1341)</f>
        <v>20060009</v>
      </c>
      <c r="G1341" t="str" cm="1">
        <f t="array" ref="G1341">INDEX('Linha 03'!$C$2:$ZZ$2,C1341)</f>
        <v>Limp Perf Aquafast Frescor Da Manha Cx/06 X 2l (Promoc)</v>
      </c>
      <c r="H1341" s="5" cm="1">
        <f t="array" ref="H1341">INDEX('Linha 03'!$C$4:$ZZ$1000,B1341,C1341)</f>
        <v>0</v>
      </c>
    </row>
    <row r="1342" spans="1:8" x14ac:dyDescent="0.25">
      <c r="A1342">
        <v>1340</v>
      </c>
      <c r="B1342">
        <f t="shared" si="40"/>
        <v>33</v>
      </c>
      <c r="C1342">
        <f t="shared" si="41"/>
        <v>28</v>
      </c>
      <c r="D1342" cm="1">
        <f t="array" ref="D1342">INDEX('Linha 03'!$A$4:$A$1000,B1342)</f>
        <v>20200015</v>
      </c>
      <c r="E1342" t="str" cm="1">
        <f t="array" ref="E1342">INDEX('Linha 03'!$B$4:$B$1000,B1342)</f>
        <v>Lava Roup. Aquafast Multiacao Cx/12 X 1l</v>
      </c>
      <c r="F1342" cm="1">
        <f t="array" ref="F1342">INDEX('Linha 03'!$C$3:$ZZ$3,C1342)</f>
        <v>20060017</v>
      </c>
      <c r="G1342" t="str" cm="1">
        <f t="array" ref="G1342">INDEX('Linha 03'!$C$2:$ZZ$2,C1342)</f>
        <v>Limp Perf Aquafast Doce Romance Cx/06 X 2l (Promoc)</v>
      </c>
      <c r="H1342" s="5" cm="1">
        <f t="array" ref="H1342">INDEX('Linha 03'!$C$4:$ZZ$1000,B1342,C1342)</f>
        <v>0</v>
      </c>
    </row>
    <row r="1343" spans="1:8" x14ac:dyDescent="0.25">
      <c r="A1343">
        <v>1341</v>
      </c>
      <c r="B1343">
        <f t="shared" si="40"/>
        <v>33</v>
      </c>
      <c r="C1343">
        <f t="shared" si="41"/>
        <v>29</v>
      </c>
      <c r="D1343" cm="1">
        <f t="array" ref="D1343">INDEX('Linha 03'!$A$4:$A$1000,B1343)</f>
        <v>20200015</v>
      </c>
      <c r="E1343" t="str" cm="1">
        <f t="array" ref="E1343">INDEX('Linha 03'!$B$4:$B$1000,B1343)</f>
        <v>Lava Roup. Aquafast Multiacao Cx/12 X 1l</v>
      </c>
      <c r="F1343" cm="1">
        <f t="array" ref="F1343">INDEX('Linha 03'!$C$3:$ZZ$3,C1343)</f>
        <v>20060028</v>
      </c>
      <c r="G1343" t="str" cm="1">
        <f t="array" ref="G1343">INDEX('Linha 03'!$C$2:$ZZ$2,C1343)</f>
        <v>Limp Perf Aquafast Essencia Natural Cx06 X 2l</v>
      </c>
      <c r="H1343" s="5" cm="1">
        <f t="array" ref="H1343">INDEX('Linha 03'!$C$4:$ZZ$1000,B1343,C1343)</f>
        <v>0</v>
      </c>
    </row>
    <row r="1344" spans="1:8" x14ac:dyDescent="0.25">
      <c r="A1344">
        <v>1342</v>
      </c>
      <c r="B1344">
        <f t="shared" si="40"/>
        <v>33</v>
      </c>
      <c r="C1344">
        <f t="shared" si="41"/>
        <v>30</v>
      </c>
      <c r="D1344" cm="1">
        <f t="array" ref="D1344">INDEX('Linha 03'!$A$4:$A$1000,B1344)</f>
        <v>20200015</v>
      </c>
      <c r="E1344" t="str" cm="1">
        <f t="array" ref="E1344">INDEX('Linha 03'!$B$4:$B$1000,B1344)</f>
        <v>Lava Roup. Aquafast Multiacao Cx/12 X 1l</v>
      </c>
      <c r="F1344" cm="1">
        <f t="array" ref="F1344">INDEX('Linha 03'!$C$3:$ZZ$3,C1344)</f>
        <v>20200003</v>
      </c>
      <c r="G1344" t="str" cm="1">
        <f t="array" ref="G1344">INDEX('Linha 03'!$C$2:$ZZ$2,C1344)</f>
        <v>Lava Roup. Aquafast Baby Cx/12 X 1l</v>
      </c>
      <c r="H1344" s="5" cm="1">
        <f t="array" ref="H1344">INDEX('Linha 03'!$C$4:$ZZ$1000,B1344,C1344)</f>
        <v>0</v>
      </c>
    </row>
    <row r="1345" spans="1:8" x14ac:dyDescent="0.25">
      <c r="A1345">
        <v>1343</v>
      </c>
      <c r="B1345">
        <f t="shared" si="40"/>
        <v>33</v>
      </c>
      <c r="C1345">
        <f t="shared" si="41"/>
        <v>31</v>
      </c>
      <c r="D1345" cm="1">
        <f t="array" ref="D1345">INDEX('Linha 03'!$A$4:$A$1000,B1345)</f>
        <v>20200015</v>
      </c>
      <c r="E1345" t="str" cm="1">
        <f t="array" ref="E1345">INDEX('Linha 03'!$B$4:$B$1000,B1345)</f>
        <v>Lava Roup. Aquafast Multiacao Cx/12 X 1l</v>
      </c>
      <c r="F1345" cm="1">
        <f t="array" ref="F1345">INDEX('Linha 03'!$C$3:$ZZ$3,C1345)</f>
        <v>20200005</v>
      </c>
      <c r="G1345" t="str" cm="1">
        <f t="array" ref="G1345">INDEX('Linha 03'!$C$2:$ZZ$2,C1345)</f>
        <v>Lava Roupas Aquafast Multi Acao Cx/06 X 2l</v>
      </c>
      <c r="H1345" s="5" cm="1">
        <f t="array" ref="H1345">INDEX('Linha 03'!$C$4:$ZZ$1000,B1345,C1345)</f>
        <v>0</v>
      </c>
    </row>
    <row r="1346" spans="1:8" x14ac:dyDescent="0.25">
      <c r="A1346">
        <v>1344</v>
      </c>
      <c r="B1346">
        <f t="shared" si="40"/>
        <v>33</v>
      </c>
      <c r="C1346">
        <f t="shared" si="41"/>
        <v>32</v>
      </c>
      <c r="D1346" cm="1">
        <f t="array" ref="D1346">INDEX('Linha 03'!$A$4:$A$1000,B1346)</f>
        <v>20200015</v>
      </c>
      <c r="E1346" t="str" cm="1">
        <f t="array" ref="E1346">INDEX('Linha 03'!$B$4:$B$1000,B1346)</f>
        <v>Lava Roup. Aquafast Multiacao Cx/12 X 1l</v>
      </c>
      <c r="F1346" cm="1">
        <f t="array" ref="F1346">INDEX('Linha 03'!$C$3:$ZZ$3,C1346)</f>
        <v>20200006</v>
      </c>
      <c r="G1346" t="str" cm="1">
        <f t="array" ref="G1346">INDEX('Linha 03'!$C$2:$ZZ$2,C1346)</f>
        <v>Lava Roupas Aquafast Glicerina Cx/06 X 2l</v>
      </c>
      <c r="H1346" s="5" cm="1">
        <f t="array" ref="H1346">INDEX('Linha 03'!$C$4:$ZZ$1000,B1346,C1346)</f>
        <v>0</v>
      </c>
    </row>
    <row r="1347" spans="1:8" x14ac:dyDescent="0.25">
      <c r="A1347">
        <v>1345</v>
      </c>
      <c r="B1347">
        <f t="shared" si="40"/>
        <v>33</v>
      </c>
      <c r="C1347">
        <f t="shared" si="41"/>
        <v>33</v>
      </c>
      <c r="D1347" cm="1">
        <f t="array" ref="D1347">INDEX('Linha 03'!$A$4:$A$1000,B1347)</f>
        <v>20200015</v>
      </c>
      <c r="E1347" t="str" cm="1">
        <f t="array" ref="E1347">INDEX('Linha 03'!$B$4:$B$1000,B1347)</f>
        <v>Lava Roup. Aquafast Multiacao Cx/12 X 1l</v>
      </c>
      <c r="F1347" cm="1">
        <f t="array" ref="F1347">INDEX('Linha 03'!$C$3:$ZZ$3,C1347)</f>
        <v>20200015</v>
      </c>
      <c r="G1347" t="str" cm="1">
        <f t="array" ref="G1347">INDEX('Linha 03'!$C$2:$ZZ$2,C1347)</f>
        <v>Lava Roup. Aquafast Multiacao Cx/12 X 1l</v>
      </c>
      <c r="H1347" s="5" cm="1">
        <f t="array" ref="H1347">INDEX('Linha 03'!$C$4:$ZZ$1000,B1347,C1347)</f>
        <v>0</v>
      </c>
    </row>
    <row r="1348" spans="1:8" x14ac:dyDescent="0.25">
      <c r="A1348">
        <v>1346</v>
      </c>
      <c r="B1348">
        <f t="shared" ref="B1348:B1411" si="42">INT((A1348-1)/$B$1)+1</f>
        <v>33</v>
      </c>
      <c r="C1348">
        <f t="shared" ref="C1348:C1411" si="43">MOD(A1348-1,$B$1)+1</f>
        <v>34</v>
      </c>
      <c r="D1348" cm="1">
        <f t="array" ref="D1348">INDEX('Linha 03'!$A$4:$A$1000,B1348)</f>
        <v>20200015</v>
      </c>
      <c r="E1348" t="str" cm="1">
        <f t="array" ref="E1348">INDEX('Linha 03'!$B$4:$B$1000,B1348)</f>
        <v>Lava Roup. Aquafast Multiacao Cx/12 X 1l</v>
      </c>
      <c r="F1348" cm="1">
        <f t="array" ref="F1348">INDEX('Linha 03'!$C$3:$ZZ$3,C1348)</f>
        <v>20200036</v>
      </c>
      <c r="G1348" t="str" cm="1">
        <f t="array" ref="G1348">INDEX('Linha 03'!$C$2:$ZZ$2,C1348)</f>
        <v>Lava Roupas Aquafast Ternura Cx/06 X 2l</v>
      </c>
      <c r="H1348" s="5" cm="1">
        <f t="array" ref="H1348">INDEX('Linha 03'!$C$4:$ZZ$1000,B1348,C1348)</f>
        <v>0</v>
      </c>
    </row>
    <row r="1349" spans="1:8" x14ac:dyDescent="0.25">
      <c r="A1349">
        <v>1347</v>
      </c>
      <c r="B1349">
        <f t="shared" si="42"/>
        <v>33</v>
      </c>
      <c r="C1349">
        <f t="shared" si="43"/>
        <v>35</v>
      </c>
      <c r="D1349" cm="1">
        <f t="array" ref="D1349">INDEX('Linha 03'!$A$4:$A$1000,B1349)</f>
        <v>20200015</v>
      </c>
      <c r="E1349" t="str" cm="1">
        <f t="array" ref="E1349">INDEX('Linha 03'!$B$4:$B$1000,B1349)</f>
        <v>Lava Roup. Aquafast Multiacao Cx/12 X 1l</v>
      </c>
      <c r="F1349" cm="1">
        <f t="array" ref="F1349">INDEX('Linha 03'!$C$3:$ZZ$3,C1349)</f>
        <v>20200063</v>
      </c>
      <c r="G1349" t="str" cm="1">
        <f t="array" ref="G1349">INDEX('Linha 03'!$C$2:$ZZ$2,C1349)</f>
        <v>Lava Roup. Aquafast Tradicional Cx/12 X 1l</v>
      </c>
      <c r="H1349" s="5" cm="1">
        <f t="array" ref="H1349">INDEX('Linha 03'!$C$4:$ZZ$1000,B1349,C1349)</f>
        <v>0</v>
      </c>
    </row>
    <row r="1350" spans="1:8" x14ac:dyDescent="0.25">
      <c r="A1350">
        <v>1348</v>
      </c>
      <c r="B1350">
        <f t="shared" si="42"/>
        <v>33</v>
      </c>
      <c r="C1350">
        <f t="shared" si="43"/>
        <v>36</v>
      </c>
      <c r="D1350" cm="1">
        <f t="array" ref="D1350">INDEX('Linha 03'!$A$4:$A$1000,B1350)</f>
        <v>20200015</v>
      </c>
      <c r="E1350" t="str" cm="1">
        <f t="array" ref="E1350">INDEX('Linha 03'!$B$4:$B$1000,B1350)</f>
        <v>Lava Roup. Aquafast Multiacao Cx/12 X 1l</v>
      </c>
      <c r="F1350" cm="1">
        <f t="array" ref="F1350">INDEX('Linha 03'!$C$3:$ZZ$3,C1350)</f>
        <v>20200064</v>
      </c>
      <c r="G1350" t="str" cm="1">
        <f t="array" ref="G1350">INDEX('Linha 03'!$C$2:$ZZ$2,C1350)</f>
        <v>Lava Roup. Aquafast Flores B. E Baunilha Cx/12 X 1l</v>
      </c>
      <c r="H1350" s="5" cm="1">
        <f t="array" ref="H1350">INDEX('Linha 03'!$C$4:$ZZ$1000,B1350,C1350)</f>
        <v>0</v>
      </c>
    </row>
    <row r="1351" spans="1:8" x14ac:dyDescent="0.25">
      <c r="A1351">
        <v>1349</v>
      </c>
      <c r="B1351">
        <f t="shared" si="42"/>
        <v>33</v>
      </c>
      <c r="C1351">
        <f t="shared" si="43"/>
        <v>37</v>
      </c>
      <c r="D1351" cm="1">
        <f t="array" ref="D1351">INDEX('Linha 03'!$A$4:$A$1000,B1351)</f>
        <v>20200015</v>
      </c>
      <c r="E1351" t="str" cm="1">
        <f t="array" ref="E1351">INDEX('Linha 03'!$B$4:$B$1000,B1351)</f>
        <v>Lava Roup. Aquafast Multiacao Cx/12 X 1l</v>
      </c>
      <c r="F1351" cm="1">
        <f t="array" ref="F1351">INDEX('Linha 03'!$C$3:$ZZ$3,C1351)</f>
        <v>20200065</v>
      </c>
      <c r="G1351" t="str" cm="1">
        <f t="array" ref="G1351">INDEX('Linha 03'!$C$2:$ZZ$2,C1351)</f>
        <v>Lava Roupas Aquafast Flores B. E Baunilha Cx/06 X 2l</v>
      </c>
      <c r="H1351" s="5" cm="1">
        <f t="array" ref="H1351">INDEX('Linha 03'!$C$4:$ZZ$1000,B1351,C1351)</f>
        <v>0</v>
      </c>
    </row>
    <row r="1352" spans="1:8" x14ac:dyDescent="0.25">
      <c r="A1352">
        <v>1350</v>
      </c>
      <c r="B1352">
        <f t="shared" si="42"/>
        <v>33</v>
      </c>
      <c r="C1352">
        <f t="shared" si="43"/>
        <v>38</v>
      </c>
      <c r="D1352" cm="1">
        <f t="array" ref="D1352">INDEX('Linha 03'!$A$4:$A$1000,B1352)</f>
        <v>20200015</v>
      </c>
      <c r="E1352" t="str" cm="1">
        <f t="array" ref="E1352">INDEX('Linha 03'!$B$4:$B$1000,B1352)</f>
        <v>Lava Roup. Aquafast Multiacao Cx/12 X 1l</v>
      </c>
      <c r="F1352" cm="1">
        <f t="array" ref="F1352">INDEX('Linha 03'!$C$3:$ZZ$3,C1352)</f>
        <v>20200072</v>
      </c>
      <c r="G1352" t="str" cm="1">
        <f t="array" ref="G1352">INDEX('Linha 03'!$C$2:$ZZ$2,C1352)</f>
        <v>Lava Roupas Aquafast Lavagem Rapida Total Clean Cx/12 X 1l</v>
      </c>
      <c r="H1352" s="5" cm="1">
        <f t="array" ref="H1352">INDEX('Linha 03'!$C$4:$ZZ$1000,B1352,C1352)</f>
        <v>0</v>
      </c>
    </row>
    <row r="1353" spans="1:8" x14ac:dyDescent="0.25">
      <c r="A1353">
        <v>1351</v>
      </c>
      <c r="B1353">
        <f t="shared" si="42"/>
        <v>33</v>
      </c>
      <c r="C1353">
        <f t="shared" si="43"/>
        <v>39</v>
      </c>
      <c r="D1353" cm="1">
        <f t="array" ref="D1353">INDEX('Linha 03'!$A$4:$A$1000,B1353)</f>
        <v>20200015</v>
      </c>
      <c r="E1353" t="str" cm="1">
        <f t="array" ref="E1353">INDEX('Linha 03'!$B$4:$B$1000,B1353)</f>
        <v>Lava Roup. Aquafast Multiacao Cx/12 X 1l</v>
      </c>
      <c r="F1353" cm="1">
        <f t="array" ref="F1353">INDEX('Linha 03'!$C$3:$ZZ$3,C1353)</f>
        <v>20200074</v>
      </c>
      <c r="G1353" t="str" cm="1">
        <f t="array" ref="G1353">INDEX('Linha 03'!$C$2:$ZZ$2,C1353)</f>
        <v>Lava Roupas Aquafast Lavagem Rapida Fresh Clean Cx/12 X 1l</v>
      </c>
      <c r="H1353" s="5" cm="1">
        <f t="array" ref="H1353">INDEX('Linha 03'!$C$4:$ZZ$1000,B1353,C1353)</f>
        <v>0</v>
      </c>
    </row>
    <row r="1354" spans="1:8" x14ac:dyDescent="0.25">
      <c r="A1354">
        <v>1352</v>
      </c>
      <c r="B1354">
        <f t="shared" si="42"/>
        <v>33</v>
      </c>
      <c r="C1354">
        <f t="shared" si="43"/>
        <v>40</v>
      </c>
      <c r="D1354" cm="1">
        <f t="array" ref="D1354">INDEX('Linha 03'!$A$4:$A$1000,B1354)</f>
        <v>20200015</v>
      </c>
      <c r="E1354" t="str" cm="1">
        <f t="array" ref="E1354">INDEX('Linha 03'!$B$4:$B$1000,B1354)</f>
        <v>Lava Roup. Aquafast Multiacao Cx/12 X 1l</v>
      </c>
      <c r="F1354" cm="1">
        <f t="array" ref="F1354">INDEX('Linha 03'!$C$3:$ZZ$3,C1354)</f>
        <v>20250005</v>
      </c>
      <c r="G1354" t="str" cm="1">
        <f t="array" ref="G1354">INDEX('Linha 03'!$C$2:$ZZ$2,C1354)</f>
        <v>Neutralizador De Odores Aquafast Floral Cx/06 X 2l</v>
      </c>
      <c r="H1354" s="5" cm="1">
        <f t="array" ref="H1354">INDEX('Linha 03'!$C$4:$ZZ$1000,B1354,C1354)</f>
        <v>0</v>
      </c>
    </row>
    <row r="1355" spans="1:8" x14ac:dyDescent="0.25">
      <c r="A1355">
        <v>1353</v>
      </c>
      <c r="B1355">
        <f t="shared" si="42"/>
        <v>33</v>
      </c>
      <c r="C1355">
        <f t="shared" si="43"/>
        <v>41</v>
      </c>
      <c r="D1355" cm="1">
        <f t="array" ref="D1355">INDEX('Linha 03'!$A$4:$A$1000,B1355)</f>
        <v>20200015</v>
      </c>
      <c r="E1355" t="str" cm="1">
        <f t="array" ref="E1355">INDEX('Linha 03'!$B$4:$B$1000,B1355)</f>
        <v>Lava Roup. Aquafast Multiacao Cx/12 X 1l</v>
      </c>
      <c r="F1355" cm="1">
        <f t="array" ref="F1355">INDEX('Linha 03'!$C$3:$ZZ$3,C1355)</f>
        <v>20250007</v>
      </c>
      <c r="G1355" t="str" cm="1">
        <f t="array" ref="G1355">INDEX('Linha 03'!$C$2:$ZZ$2,C1355)</f>
        <v>Neutralizador De Odores Aquafast Marine Cx/06 2l</v>
      </c>
      <c r="H1355" s="5" cm="1">
        <f t="array" ref="H1355">INDEX('Linha 03'!$C$4:$ZZ$1000,B1355,C1355)</f>
        <v>0</v>
      </c>
    </row>
    <row r="1356" spans="1:8" x14ac:dyDescent="0.25">
      <c r="A1356">
        <v>1354</v>
      </c>
      <c r="B1356">
        <f t="shared" si="42"/>
        <v>34</v>
      </c>
      <c r="C1356">
        <f t="shared" si="43"/>
        <v>1</v>
      </c>
      <c r="D1356" cm="1">
        <f t="array" ref="D1356">INDEX('Linha 03'!$A$4:$A$1000,B1356)</f>
        <v>20200036</v>
      </c>
      <c r="E1356" t="str" cm="1">
        <f t="array" ref="E1356">INDEX('Linha 03'!$B$4:$B$1000,B1356)</f>
        <v>Lava Roupas Aquafast Ternura Cx/06 X 2l</v>
      </c>
      <c r="F1356" cm="1">
        <f t="array" ref="F1356">INDEX('Linha 03'!$C$3:$ZZ$3,C1356)</f>
        <v>20040006</v>
      </c>
      <c r="G1356" t="str" cm="1">
        <f t="array" ref="G1356">INDEX('Linha 03'!$C$2:$ZZ$2,C1356)</f>
        <v>Amaciante Aquafast Azul Fresc. Manha Cx/06 X 2l</v>
      </c>
      <c r="H1356" s="5" cm="1">
        <f t="array" ref="H1356">INDEX('Linha 03'!$C$4:$ZZ$1000,B1356,C1356)</f>
        <v>0</v>
      </c>
    </row>
    <row r="1357" spans="1:8" x14ac:dyDescent="0.25">
      <c r="A1357">
        <v>1355</v>
      </c>
      <c r="B1357">
        <f t="shared" si="42"/>
        <v>34</v>
      </c>
      <c r="C1357">
        <f t="shared" si="43"/>
        <v>2</v>
      </c>
      <c r="D1357" cm="1">
        <f t="array" ref="D1357">INDEX('Linha 03'!$A$4:$A$1000,B1357)</f>
        <v>20200036</v>
      </c>
      <c r="E1357" t="str" cm="1">
        <f t="array" ref="E1357">INDEX('Linha 03'!$B$4:$B$1000,B1357)</f>
        <v>Lava Roupas Aquafast Ternura Cx/06 X 2l</v>
      </c>
      <c r="F1357" cm="1">
        <f t="array" ref="F1357">INDEX('Linha 03'!$C$3:$ZZ$3,C1357)</f>
        <v>20040008</v>
      </c>
      <c r="G1357" t="str" cm="1">
        <f t="array" ref="G1357">INDEX('Linha 03'!$C$2:$ZZ$2,C1357)</f>
        <v>Amaciante Aquafast Rosa Jard. Florid Cx/06 X 2l</v>
      </c>
      <c r="H1357" s="5" cm="1">
        <f t="array" ref="H1357">INDEX('Linha 03'!$C$4:$ZZ$1000,B1357,C1357)</f>
        <v>0</v>
      </c>
    </row>
    <row r="1358" spans="1:8" x14ac:dyDescent="0.25">
      <c r="A1358">
        <v>1356</v>
      </c>
      <c r="B1358">
        <f t="shared" si="42"/>
        <v>34</v>
      </c>
      <c r="C1358">
        <f t="shared" si="43"/>
        <v>3</v>
      </c>
      <c r="D1358" cm="1">
        <f t="array" ref="D1358">INDEX('Linha 03'!$A$4:$A$1000,B1358)</f>
        <v>20200036</v>
      </c>
      <c r="E1358" t="str" cm="1">
        <f t="array" ref="E1358">INDEX('Linha 03'!$B$4:$B$1000,B1358)</f>
        <v>Lava Roupas Aquafast Ternura Cx/06 X 2l</v>
      </c>
      <c r="F1358" cm="1">
        <f t="array" ref="F1358">INDEX('Linha 03'!$C$3:$ZZ$3,C1358)</f>
        <v>20040009</v>
      </c>
      <c r="G1358" t="str" cm="1">
        <f t="array" ref="G1358">INDEX('Linha 03'!$C$2:$ZZ$2,C1358)</f>
        <v>Amaciante Aquafast Branco Pura Caric. Cx/06 X 2l</v>
      </c>
      <c r="H1358" s="5" cm="1">
        <f t="array" ref="H1358">INDEX('Linha 03'!$C$4:$ZZ$1000,B1358,C1358)</f>
        <v>0</v>
      </c>
    </row>
    <row r="1359" spans="1:8" x14ac:dyDescent="0.25">
      <c r="A1359">
        <v>1357</v>
      </c>
      <c r="B1359">
        <f t="shared" si="42"/>
        <v>34</v>
      </c>
      <c r="C1359">
        <f t="shared" si="43"/>
        <v>4</v>
      </c>
      <c r="D1359" cm="1">
        <f t="array" ref="D1359">INDEX('Linha 03'!$A$4:$A$1000,B1359)</f>
        <v>20200036</v>
      </c>
      <c r="E1359" t="str" cm="1">
        <f t="array" ref="E1359">INDEX('Linha 03'!$B$4:$B$1000,B1359)</f>
        <v>Lava Roupas Aquafast Ternura Cx/06 X 2l</v>
      </c>
      <c r="F1359" cm="1">
        <f t="array" ref="F1359">INDEX('Linha 03'!$C$3:$ZZ$3,C1359)</f>
        <v>20040026</v>
      </c>
      <c r="G1359" t="str" cm="1">
        <f t="array" ref="G1359">INDEX('Linha 03'!$C$2:$ZZ$2,C1359)</f>
        <v>Amaciante Ito Azul Cx/06 X 2l</v>
      </c>
      <c r="H1359" s="5" cm="1">
        <f t="array" ref="H1359">INDEX('Linha 03'!$C$4:$ZZ$1000,B1359,C1359)</f>
        <v>0</v>
      </c>
    </row>
    <row r="1360" spans="1:8" x14ac:dyDescent="0.25">
      <c r="A1360">
        <v>1358</v>
      </c>
      <c r="B1360">
        <f t="shared" si="42"/>
        <v>34</v>
      </c>
      <c r="C1360">
        <f t="shared" si="43"/>
        <v>5</v>
      </c>
      <c r="D1360" cm="1">
        <f t="array" ref="D1360">INDEX('Linha 03'!$A$4:$A$1000,B1360)</f>
        <v>20200036</v>
      </c>
      <c r="E1360" t="str" cm="1">
        <f t="array" ref="E1360">INDEX('Linha 03'!$B$4:$B$1000,B1360)</f>
        <v>Lava Roupas Aquafast Ternura Cx/06 X 2l</v>
      </c>
      <c r="F1360" cm="1">
        <f t="array" ref="F1360">INDEX('Linha 03'!$C$3:$ZZ$3,C1360)</f>
        <v>20040028</v>
      </c>
      <c r="G1360" t="str" cm="1">
        <f t="array" ref="G1360">INDEX('Linha 03'!$C$2:$ZZ$2,C1360)</f>
        <v>Amaciante Ito Rosa Cx/06 X 2l</v>
      </c>
      <c r="H1360" s="5" cm="1">
        <f t="array" ref="H1360">INDEX('Linha 03'!$C$4:$ZZ$1000,B1360,C1360)</f>
        <v>0</v>
      </c>
    </row>
    <row r="1361" spans="1:8" x14ac:dyDescent="0.25">
      <c r="A1361">
        <v>1359</v>
      </c>
      <c r="B1361">
        <f t="shared" si="42"/>
        <v>34</v>
      </c>
      <c r="C1361">
        <f t="shared" si="43"/>
        <v>6</v>
      </c>
      <c r="D1361" cm="1">
        <f t="array" ref="D1361">INDEX('Linha 03'!$A$4:$A$1000,B1361)</f>
        <v>20200036</v>
      </c>
      <c r="E1361" t="str" cm="1">
        <f t="array" ref="E1361">INDEX('Linha 03'!$B$4:$B$1000,B1361)</f>
        <v>Lava Roupas Aquafast Ternura Cx/06 X 2l</v>
      </c>
      <c r="F1361" cm="1">
        <f t="array" ref="F1361">INDEX('Linha 03'!$C$3:$ZZ$3,C1361)</f>
        <v>20040029</v>
      </c>
      <c r="G1361" t="str" cm="1">
        <f t="array" ref="G1361">INDEX('Linha 03'!$C$2:$ZZ$2,C1361)</f>
        <v>Amaciante Ito Branco Cx/06 X 2l</v>
      </c>
      <c r="H1361" s="5" cm="1">
        <f t="array" ref="H1361">INDEX('Linha 03'!$C$4:$ZZ$1000,B1361,C1361)</f>
        <v>0</v>
      </c>
    </row>
    <row r="1362" spans="1:8" x14ac:dyDescent="0.25">
      <c r="A1362">
        <v>1360</v>
      </c>
      <c r="B1362">
        <f t="shared" si="42"/>
        <v>34</v>
      </c>
      <c r="C1362">
        <f t="shared" si="43"/>
        <v>7</v>
      </c>
      <c r="D1362" cm="1">
        <f t="array" ref="D1362">INDEX('Linha 03'!$A$4:$A$1000,B1362)</f>
        <v>20200036</v>
      </c>
      <c r="E1362" t="str" cm="1">
        <f t="array" ref="E1362">INDEX('Linha 03'!$B$4:$B$1000,B1362)</f>
        <v>Lava Roupas Aquafast Ternura Cx/06 X 2l</v>
      </c>
      <c r="F1362" cm="1">
        <f t="array" ref="F1362">INDEX('Linha 03'!$C$3:$ZZ$3,C1362)</f>
        <v>20040055</v>
      </c>
      <c r="G1362" t="str" cm="1">
        <f t="array" ref="G1362">INDEX('Linha 03'!$C$2:$ZZ$2,C1362)</f>
        <v>Amaciante Myata Azul Cx/06 X 2l</v>
      </c>
      <c r="H1362" s="5" cm="1">
        <f t="array" ref="H1362">INDEX('Linha 03'!$C$4:$ZZ$1000,B1362,C1362)</f>
        <v>0</v>
      </c>
    </row>
    <row r="1363" spans="1:8" x14ac:dyDescent="0.25">
      <c r="A1363">
        <v>1361</v>
      </c>
      <c r="B1363">
        <f t="shared" si="42"/>
        <v>34</v>
      </c>
      <c r="C1363">
        <f t="shared" si="43"/>
        <v>8</v>
      </c>
      <c r="D1363" cm="1">
        <f t="array" ref="D1363">INDEX('Linha 03'!$A$4:$A$1000,B1363)</f>
        <v>20200036</v>
      </c>
      <c r="E1363" t="str" cm="1">
        <f t="array" ref="E1363">INDEX('Linha 03'!$B$4:$B$1000,B1363)</f>
        <v>Lava Roupas Aquafast Ternura Cx/06 X 2l</v>
      </c>
      <c r="F1363" cm="1">
        <f t="array" ref="F1363">INDEX('Linha 03'!$C$3:$ZZ$3,C1363)</f>
        <v>20040057</v>
      </c>
      <c r="G1363" t="str" cm="1">
        <f t="array" ref="G1363">INDEX('Linha 03'!$C$2:$ZZ$2,C1363)</f>
        <v>Amaciante Myata Rosa Cx/06 X 2l</v>
      </c>
      <c r="H1363" s="5" cm="1">
        <f t="array" ref="H1363">INDEX('Linha 03'!$C$4:$ZZ$1000,B1363,C1363)</f>
        <v>0</v>
      </c>
    </row>
    <row r="1364" spans="1:8" x14ac:dyDescent="0.25">
      <c r="A1364">
        <v>1362</v>
      </c>
      <c r="B1364">
        <f t="shared" si="42"/>
        <v>34</v>
      </c>
      <c r="C1364">
        <f t="shared" si="43"/>
        <v>9</v>
      </c>
      <c r="D1364" cm="1">
        <f t="array" ref="D1364">INDEX('Linha 03'!$A$4:$A$1000,B1364)</f>
        <v>20200036</v>
      </c>
      <c r="E1364" t="str" cm="1">
        <f t="array" ref="E1364">INDEX('Linha 03'!$B$4:$B$1000,B1364)</f>
        <v>Lava Roupas Aquafast Ternura Cx/06 X 2l</v>
      </c>
      <c r="F1364" cm="1">
        <f t="array" ref="F1364">INDEX('Linha 03'!$C$3:$ZZ$3,C1364)</f>
        <v>20040084</v>
      </c>
      <c r="G1364" t="str" cm="1">
        <f t="array" ref="G1364">INDEX('Linha 03'!$C$2:$ZZ$2,C1364)</f>
        <v>Amaciante Aquafast Vermelho Seducao Cx C/06 X 2l</v>
      </c>
      <c r="H1364" s="5" cm="1">
        <f t="array" ref="H1364">INDEX('Linha 03'!$C$4:$ZZ$1000,B1364,C1364)</f>
        <v>0</v>
      </c>
    </row>
    <row r="1365" spans="1:8" x14ac:dyDescent="0.25">
      <c r="A1365">
        <v>1363</v>
      </c>
      <c r="B1365">
        <f t="shared" si="42"/>
        <v>34</v>
      </c>
      <c r="C1365">
        <f t="shared" si="43"/>
        <v>10</v>
      </c>
      <c r="D1365" cm="1">
        <f t="array" ref="D1365">INDEX('Linha 03'!$A$4:$A$1000,B1365)</f>
        <v>20200036</v>
      </c>
      <c r="E1365" t="str" cm="1">
        <f t="array" ref="E1365">INDEX('Linha 03'!$B$4:$B$1000,B1365)</f>
        <v>Lava Roupas Aquafast Ternura Cx/06 X 2l</v>
      </c>
      <c r="F1365" cm="1">
        <f t="array" ref="F1365">INDEX('Linha 03'!$C$3:$ZZ$3,C1365)</f>
        <v>20040089</v>
      </c>
      <c r="G1365" t="str" cm="1">
        <f t="array" ref="G1365">INDEX('Linha 03'!$C$2:$ZZ$2,C1365)</f>
        <v>Amaciante Aquafast Roxo Magia Cx/06 X 2l</v>
      </c>
      <c r="H1365" s="5" cm="1">
        <f t="array" ref="H1365">INDEX('Linha 03'!$C$4:$ZZ$1000,B1365,C1365)</f>
        <v>0</v>
      </c>
    </row>
    <row r="1366" spans="1:8" x14ac:dyDescent="0.25">
      <c r="A1366">
        <v>1364</v>
      </c>
      <c r="B1366">
        <f t="shared" si="42"/>
        <v>34</v>
      </c>
      <c r="C1366">
        <f t="shared" si="43"/>
        <v>11</v>
      </c>
      <c r="D1366" cm="1">
        <f t="array" ref="D1366">INDEX('Linha 03'!$A$4:$A$1000,B1366)</f>
        <v>20200036</v>
      </c>
      <c r="E1366" t="str" cm="1">
        <f t="array" ref="E1366">INDEX('Linha 03'!$B$4:$B$1000,B1366)</f>
        <v>Lava Roupas Aquafast Ternura Cx/06 X 2l</v>
      </c>
      <c r="F1366" cm="1">
        <f t="array" ref="F1366">INDEX('Linha 03'!$C$3:$ZZ$3,C1366)</f>
        <v>20040094</v>
      </c>
      <c r="G1366" t="str" cm="1">
        <f t="array" ref="G1366">INDEX('Linha 03'!$C$2:$ZZ$2,C1366)</f>
        <v>Amaciante Aquafast Energia Cx/06 X 2l</v>
      </c>
      <c r="H1366" s="5" cm="1">
        <f t="array" ref="H1366">INDEX('Linha 03'!$C$4:$ZZ$1000,B1366,C1366)</f>
        <v>0</v>
      </c>
    </row>
    <row r="1367" spans="1:8" x14ac:dyDescent="0.25">
      <c r="A1367">
        <v>1365</v>
      </c>
      <c r="B1367">
        <f t="shared" si="42"/>
        <v>34</v>
      </c>
      <c r="C1367">
        <f t="shared" si="43"/>
        <v>12</v>
      </c>
      <c r="D1367" cm="1">
        <f t="array" ref="D1367">INDEX('Linha 03'!$A$4:$A$1000,B1367)</f>
        <v>20200036</v>
      </c>
      <c r="E1367" t="str" cm="1">
        <f t="array" ref="E1367">INDEX('Linha 03'!$B$4:$B$1000,B1367)</f>
        <v>Lava Roupas Aquafast Ternura Cx/06 X 2l</v>
      </c>
      <c r="F1367" cm="1">
        <f t="array" ref="F1367">INDEX('Linha 03'!$C$3:$ZZ$3,C1367)</f>
        <v>20050010</v>
      </c>
      <c r="G1367" t="str" cm="1">
        <f t="array" ref="G1367">INDEX('Linha 03'!$C$2:$ZZ$2,C1367)</f>
        <v>Desinfetante Aquafast Campos Lavanda Cx/06 X 2l</v>
      </c>
      <c r="H1367" s="5" cm="1">
        <f t="array" ref="H1367">INDEX('Linha 03'!$C$4:$ZZ$1000,B1367,C1367)</f>
        <v>0</v>
      </c>
    </row>
    <row r="1368" spans="1:8" x14ac:dyDescent="0.25">
      <c r="A1368">
        <v>1366</v>
      </c>
      <c r="B1368">
        <f t="shared" si="42"/>
        <v>34</v>
      </c>
      <c r="C1368">
        <f t="shared" si="43"/>
        <v>13</v>
      </c>
      <c r="D1368" cm="1">
        <f t="array" ref="D1368">INDEX('Linha 03'!$A$4:$A$1000,B1368)</f>
        <v>20200036</v>
      </c>
      <c r="E1368" t="str" cm="1">
        <f t="array" ref="E1368">INDEX('Linha 03'!$B$4:$B$1000,B1368)</f>
        <v>Lava Roupas Aquafast Ternura Cx/06 X 2l</v>
      </c>
      <c r="F1368" cm="1">
        <f t="array" ref="F1368">INDEX('Linha 03'!$C$3:$ZZ$3,C1368)</f>
        <v>20050011</v>
      </c>
      <c r="G1368" t="str" cm="1">
        <f t="array" ref="G1368">INDEX('Linha 03'!$C$2:$ZZ$2,C1368)</f>
        <v>Desinfetante Aquafast Jardim Florido Cx/06 X 2l</v>
      </c>
      <c r="H1368" s="5" cm="1">
        <f t="array" ref="H1368">INDEX('Linha 03'!$C$4:$ZZ$1000,B1368,C1368)</f>
        <v>0</v>
      </c>
    </row>
    <row r="1369" spans="1:8" x14ac:dyDescent="0.25">
      <c r="A1369">
        <v>1367</v>
      </c>
      <c r="B1369">
        <f t="shared" si="42"/>
        <v>34</v>
      </c>
      <c r="C1369">
        <f t="shared" si="43"/>
        <v>14</v>
      </c>
      <c r="D1369" cm="1">
        <f t="array" ref="D1369">INDEX('Linha 03'!$A$4:$A$1000,B1369)</f>
        <v>20200036</v>
      </c>
      <c r="E1369" t="str" cm="1">
        <f t="array" ref="E1369">INDEX('Linha 03'!$B$4:$B$1000,B1369)</f>
        <v>Lava Roupas Aquafast Ternura Cx/06 X 2l</v>
      </c>
      <c r="F1369" cm="1">
        <f t="array" ref="F1369">INDEX('Linha 03'!$C$3:$ZZ$3,C1369)</f>
        <v>20050016</v>
      </c>
      <c r="G1369" t="str" cm="1">
        <f t="array" ref="G1369">INDEX('Linha 03'!$C$2:$ZZ$2,C1369)</f>
        <v>Desinfetante Aquafast Marine Cx/06 X 2l</v>
      </c>
      <c r="H1369" s="5" cm="1">
        <f t="array" ref="H1369">INDEX('Linha 03'!$C$4:$ZZ$1000,B1369,C1369)</f>
        <v>0</v>
      </c>
    </row>
    <row r="1370" spans="1:8" x14ac:dyDescent="0.25">
      <c r="A1370">
        <v>1368</v>
      </c>
      <c r="B1370">
        <f t="shared" si="42"/>
        <v>34</v>
      </c>
      <c r="C1370">
        <f t="shared" si="43"/>
        <v>15</v>
      </c>
      <c r="D1370" cm="1">
        <f t="array" ref="D1370">INDEX('Linha 03'!$A$4:$A$1000,B1370)</f>
        <v>20200036</v>
      </c>
      <c r="E1370" t="str" cm="1">
        <f t="array" ref="E1370">INDEX('Linha 03'!$B$4:$B$1000,B1370)</f>
        <v>Lava Roupas Aquafast Ternura Cx/06 X 2l</v>
      </c>
      <c r="F1370" cm="1">
        <f t="array" ref="F1370">INDEX('Linha 03'!$C$3:$ZZ$3,C1370)</f>
        <v>20050031</v>
      </c>
      <c r="G1370" t="str" cm="1">
        <f t="array" ref="G1370">INDEX('Linha 03'!$C$2:$ZZ$2,C1370)</f>
        <v>Desinfetante Ito Lavanda Cx/06 X 2l</v>
      </c>
      <c r="H1370" s="5" cm="1">
        <f t="array" ref="H1370">INDEX('Linha 03'!$C$4:$ZZ$1000,B1370,C1370)</f>
        <v>0</v>
      </c>
    </row>
    <row r="1371" spans="1:8" x14ac:dyDescent="0.25">
      <c r="A1371">
        <v>1369</v>
      </c>
      <c r="B1371">
        <f t="shared" si="42"/>
        <v>34</v>
      </c>
      <c r="C1371">
        <f t="shared" si="43"/>
        <v>16</v>
      </c>
      <c r="D1371" cm="1">
        <f t="array" ref="D1371">INDEX('Linha 03'!$A$4:$A$1000,B1371)</f>
        <v>20200036</v>
      </c>
      <c r="E1371" t="str" cm="1">
        <f t="array" ref="E1371">INDEX('Linha 03'!$B$4:$B$1000,B1371)</f>
        <v>Lava Roupas Aquafast Ternura Cx/06 X 2l</v>
      </c>
      <c r="F1371" cm="1">
        <f t="array" ref="F1371">INDEX('Linha 03'!$C$3:$ZZ$3,C1371)</f>
        <v>20050032</v>
      </c>
      <c r="G1371" t="str" cm="1">
        <f t="array" ref="G1371">INDEX('Linha 03'!$C$2:$ZZ$2,C1371)</f>
        <v>Desinfetante Ito Floral Cx/06 X 2l</v>
      </c>
      <c r="H1371" s="5" cm="1">
        <f t="array" ref="H1371">INDEX('Linha 03'!$C$4:$ZZ$1000,B1371,C1371)</f>
        <v>0</v>
      </c>
    </row>
    <row r="1372" spans="1:8" x14ac:dyDescent="0.25">
      <c r="A1372">
        <v>1370</v>
      </c>
      <c r="B1372">
        <f t="shared" si="42"/>
        <v>34</v>
      </c>
      <c r="C1372">
        <f t="shared" si="43"/>
        <v>17</v>
      </c>
      <c r="D1372" cm="1">
        <f t="array" ref="D1372">INDEX('Linha 03'!$A$4:$A$1000,B1372)</f>
        <v>20200036</v>
      </c>
      <c r="E1372" t="str" cm="1">
        <f t="array" ref="E1372">INDEX('Linha 03'!$B$4:$B$1000,B1372)</f>
        <v>Lava Roupas Aquafast Ternura Cx/06 X 2l</v>
      </c>
      <c r="F1372" cm="1">
        <f t="array" ref="F1372">INDEX('Linha 03'!$C$3:$ZZ$3,C1372)</f>
        <v>20050034</v>
      </c>
      <c r="G1372" t="str" cm="1">
        <f t="array" ref="G1372">INDEX('Linha 03'!$C$2:$ZZ$2,C1372)</f>
        <v>Desinfetante Ito Eucalipto Cx/06 X 2l</v>
      </c>
      <c r="H1372" s="5" cm="1">
        <f t="array" ref="H1372">INDEX('Linha 03'!$C$4:$ZZ$1000,B1372,C1372)</f>
        <v>0</v>
      </c>
    </row>
    <row r="1373" spans="1:8" x14ac:dyDescent="0.25">
      <c r="A1373">
        <v>1371</v>
      </c>
      <c r="B1373">
        <f t="shared" si="42"/>
        <v>34</v>
      </c>
      <c r="C1373">
        <f t="shared" si="43"/>
        <v>18</v>
      </c>
      <c r="D1373" cm="1">
        <f t="array" ref="D1373">INDEX('Linha 03'!$A$4:$A$1000,B1373)</f>
        <v>20200036</v>
      </c>
      <c r="E1373" t="str" cm="1">
        <f t="array" ref="E1373">INDEX('Linha 03'!$B$4:$B$1000,B1373)</f>
        <v>Lava Roupas Aquafast Ternura Cx/06 X 2l</v>
      </c>
      <c r="F1373" cm="1">
        <f t="array" ref="F1373">INDEX('Linha 03'!$C$3:$ZZ$3,C1373)</f>
        <v>20050077</v>
      </c>
      <c r="G1373" t="str" cm="1">
        <f t="array" ref="G1373">INDEX('Linha 03'!$C$2:$ZZ$2,C1373)</f>
        <v>Desinfetante Myata Lavanda Cx/06 X 2l</v>
      </c>
      <c r="H1373" s="5" cm="1">
        <f t="array" ref="H1373">INDEX('Linha 03'!$C$4:$ZZ$1000,B1373,C1373)</f>
        <v>0</v>
      </c>
    </row>
    <row r="1374" spans="1:8" x14ac:dyDescent="0.25">
      <c r="A1374">
        <v>1372</v>
      </c>
      <c r="B1374">
        <f t="shared" si="42"/>
        <v>34</v>
      </c>
      <c r="C1374">
        <f t="shared" si="43"/>
        <v>19</v>
      </c>
      <c r="D1374" cm="1">
        <f t="array" ref="D1374">INDEX('Linha 03'!$A$4:$A$1000,B1374)</f>
        <v>20200036</v>
      </c>
      <c r="E1374" t="str" cm="1">
        <f t="array" ref="E1374">INDEX('Linha 03'!$B$4:$B$1000,B1374)</f>
        <v>Lava Roupas Aquafast Ternura Cx/06 X 2l</v>
      </c>
      <c r="F1374" cm="1">
        <f t="array" ref="F1374">INDEX('Linha 03'!$C$3:$ZZ$3,C1374)</f>
        <v>20050078</v>
      </c>
      <c r="G1374" t="str" cm="1">
        <f t="array" ref="G1374">INDEX('Linha 03'!$C$2:$ZZ$2,C1374)</f>
        <v>Desinfetante Myata Floral Cx/06 X 2l</v>
      </c>
      <c r="H1374" s="5" cm="1">
        <f t="array" ref="H1374">INDEX('Linha 03'!$C$4:$ZZ$1000,B1374,C1374)</f>
        <v>0</v>
      </c>
    </row>
    <row r="1375" spans="1:8" x14ac:dyDescent="0.25">
      <c r="A1375">
        <v>1373</v>
      </c>
      <c r="B1375">
        <f t="shared" si="42"/>
        <v>34</v>
      </c>
      <c r="C1375">
        <f t="shared" si="43"/>
        <v>20</v>
      </c>
      <c r="D1375" cm="1">
        <f t="array" ref="D1375">INDEX('Linha 03'!$A$4:$A$1000,B1375)</f>
        <v>20200036</v>
      </c>
      <c r="E1375" t="str" cm="1">
        <f t="array" ref="E1375">INDEX('Linha 03'!$B$4:$B$1000,B1375)</f>
        <v>Lava Roupas Aquafast Ternura Cx/06 X 2l</v>
      </c>
      <c r="F1375" cm="1">
        <f t="array" ref="F1375">INDEX('Linha 03'!$C$3:$ZZ$3,C1375)</f>
        <v>20050115</v>
      </c>
      <c r="G1375" t="str" cm="1">
        <f t="array" ref="G1375">INDEX('Linha 03'!$C$2:$ZZ$2,C1375)</f>
        <v>Desinfetante Aquafast Paixao Cx/06 X 2l</v>
      </c>
      <c r="H1375" s="5" cm="1">
        <f t="array" ref="H1375">INDEX('Linha 03'!$C$4:$ZZ$1000,B1375,C1375)</f>
        <v>0</v>
      </c>
    </row>
    <row r="1376" spans="1:8" x14ac:dyDescent="0.25">
      <c r="A1376">
        <v>1374</v>
      </c>
      <c r="B1376">
        <f t="shared" si="42"/>
        <v>34</v>
      </c>
      <c r="C1376">
        <f t="shared" si="43"/>
        <v>21</v>
      </c>
      <c r="D1376" cm="1">
        <f t="array" ref="D1376">INDEX('Linha 03'!$A$4:$A$1000,B1376)</f>
        <v>20200036</v>
      </c>
      <c r="E1376" t="str" cm="1">
        <f t="array" ref="E1376">INDEX('Linha 03'!$B$4:$B$1000,B1376)</f>
        <v>Lava Roupas Aquafast Ternura Cx/06 X 2l</v>
      </c>
      <c r="F1376" cm="1">
        <f t="array" ref="F1376">INDEX('Linha 03'!$C$3:$ZZ$3,C1376)</f>
        <v>20050117</v>
      </c>
      <c r="G1376" t="str" cm="1">
        <f t="array" ref="G1376">INDEX('Linha 03'!$C$2:$ZZ$2,C1376)</f>
        <v>Desinfetante Aquafast Harmonia Natural Cx/06 X 2l</v>
      </c>
      <c r="H1376" s="5" cm="1">
        <f t="array" ref="H1376">INDEX('Linha 03'!$C$4:$ZZ$1000,B1376,C1376)</f>
        <v>0</v>
      </c>
    </row>
    <row r="1377" spans="1:8" x14ac:dyDescent="0.25">
      <c r="A1377">
        <v>1375</v>
      </c>
      <c r="B1377">
        <f t="shared" si="42"/>
        <v>34</v>
      </c>
      <c r="C1377">
        <f t="shared" si="43"/>
        <v>22</v>
      </c>
      <c r="D1377" cm="1">
        <f t="array" ref="D1377">INDEX('Linha 03'!$A$4:$A$1000,B1377)</f>
        <v>20200036</v>
      </c>
      <c r="E1377" t="str" cm="1">
        <f t="array" ref="E1377">INDEX('Linha 03'!$B$4:$B$1000,B1377)</f>
        <v>Lava Roupas Aquafast Ternura Cx/06 X 2l</v>
      </c>
      <c r="F1377" cm="1">
        <f t="array" ref="F1377">INDEX('Linha 03'!$C$3:$ZZ$3,C1377)</f>
        <v>20050123</v>
      </c>
      <c r="G1377" t="str" cm="1">
        <f t="array" ref="G1377">INDEX('Linha 03'!$C$2:$ZZ$2,C1377)</f>
        <v>Desinfetante Ito Harmonia Natural Cx/06 X 2l</v>
      </c>
      <c r="H1377" s="5" cm="1">
        <f t="array" ref="H1377">INDEX('Linha 03'!$C$4:$ZZ$1000,B1377,C1377)</f>
        <v>0</v>
      </c>
    </row>
    <row r="1378" spans="1:8" x14ac:dyDescent="0.25">
      <c r="A1378">
        <v>1376</v>
      </c>
      <c r="B1378">
        <f t="shared" si="42"/>
        <v>34</v>
      </c>
      <c r="C1378">
        <f t="shared" si="43"/>
        <v>23</v>
      </c>
      <c r="D1378" cm="1">
        <f t="array" ref="D1378">INDEX('Linha 03'!$A$4:$A$1000,B1378)</f>
        <v>20200036</v>
      </c>
      <c r="E1378" t="str" cm="1">
        <f t="array" ref="E1378">INDEX('Linha 03'!$B$4:$B$1000,B1378)</f>
        <v>Lava Roupas Aquafast Ternura Cx/06 X 2l</v>
      </c>
      <c r="F1378" cm="1">
        <f t="array" ref="F1378">INDEX('Linha 03'!$C$3:$ZZ$3,C1378)</f>
        <v>20050124</v>
      </c>
      <c r="G1378" t="str" cm="1">
        <f t="array" ref="G1378">INDEX('Linha 03'!$C$2:$ZZ$2,C1378)</f>
        <v>Desinfetante Myata Harmonia Natural Cx/06 X 2l</v>
      </c>
      <c r="H1378" s="5" cm="1">
        <f t="array" ref="H1378">INDEX('Linha 03'!$C$4:$ZZ$1000,B1378,C1378)</f>
        <v>0</v>
      </c>
    </row>
    <row r="1379" spans="1:8" x14ac:dyDescent="0.25">
      <c r="A1379">
        <v>1377</v>
      </c>
      <c r="B1379">
        <f t="shared" si="42"/>
        <v>34</v>
      </c>
      <c r="C1379">
        <f t="shared" si="43"/>
        <v>24</v>
      </c>
      <c r="D1379" cm="1">
        <f t="array" ref="D1379">INDEX('Linha 03'!$A$4:$A$1000,B1379)</f>
        <v>20200036</v>
      </c>
      <c r="E1379" t="str" cm="1">
        <f t="array" ref="E1379">INDEX('Linha 03'!$B$4:$B$1000,B1379)</f>
        <v>Lava Roupas Aquafast Ternura Cx/06 X 2l</v>
      </c>
      <c r="F1379" cm="1">
        <f t="array" ref="F1379">INDEX('Linha 03'!$C$3:$ZZ$3,C1379)</f>
        <v>20050142</v>
      </c>
      <c r="G1379" t="str" cm="1">
        <f t="array" ref="G1379">INDEX('Linha 03'!$C$2:$ZZ$2,C1379)</f>
        <v>Desinfetante Ito Marine Cx/06 X 2l</v>
      </c>
      <c r="H1379" s="5" cm="1">
        <f t="array" ref="H1379">INDEX('Linha 03'!$C$4:$ZZ$1000,B1379,C1379)</f>
        <v>0</v>
      </c>
    </row>
    <row r="1380" spans="1:8" x14ac:dyDescent="0.25">
      <c r="A1380">
        <v>1378</v>
      </c>
      <c r="B1380">
        <f t="shared" si="42"/>
        <v>34</v>
      </c>
      <c r="C1380">
        <f t="shared" si="43"/>
        <v>25</v>
      </c>
      <c r="D1380" cm="1">
        <f t="array" ref="D1380">INDEX('Linha 03'!$A$4:$A$1000,B1380)</f>
        <v>20200036</v>
      </c>
      <c r="E1380" t="str" cm="1">
        <f t="array" ref="E1380">INDEX('Linha 03'!$B$4:$B$1000,B1380)</f>
        <v>Lava Roupas Aquafast Ternura Cx/06 X 2l</v>
      </c>
      <c r="F1380" cm="1">
        <f t="array" ref="F1380">INDEX('Linha 03'!$C$3:$ZZ$3,C1380)</f>
        <v>20050159</v>
      </c>
      <c r="G1380" t="str" cm="1">
        <f t="array" ref="G1380">INDEX('Linha 03'!$C$2:$ZZ$2,C1380)</f>
        <v>Desinfetante Aquafast Cha Branco Cx/06 X 2l</v>
      </c>
      <c r="H1380" s="5" cm="1">
        <f t="array" ref="H1380">INDEX('Linha 03'!$C$4:$ZZ$1000,B1380,C1380)</f>
        <v>1.38888888888889E-2</v>
      </c>
    </row>
    <row r="1381" spans="1:8" x14ac:dyDescent="0.25">
      <c r="A1381">
        <v>1379</v>
      </c>
      <c r="B1381">
        <f t="shared" si="42"/>
        <v>34</v>
      </c>
      <c r="C1381">
        <f t="shared" si="43"/>
        <v>26</v>
      </c>
      <c r="D1381" cm="1">
        <f t="array" ref="D1381">INDEX('Linha 03'!$A$4:$A$1000,B1381)</f>
        <v>20200036</v>
      </c>
      <c r="E1381" t="str" cm="1">
        <f t="array" ref="E1381">INDEX('Linha 03'!$B$4:$B$1000,B1381)</f>
        <v>Lava Roupas Aquafast Ternura Cx/06 X 2l</v>
      </c>
      <c r="F1381" cm="1">
        <f t="array" ref="F1381">INDEX('Linha 03'!$C$3:$ZZ$3,C1381)</f>
        <v>20060007</v>
      </c>
      <c r="G1381" t="str" cm="1">
        <f t="array" ref="G1381">INDEX('Linha 03'!$C$2:$ZZ$2,C1381)</f>
        <v>Limp Perf Aquafast Magia Seducao Cx/06 X 2l (Promoc)</v>
      </c>
      <c r="H1381" s="5" cm="1">
        <f t="array" ref="H1381">INDEX('Linha 03'!$C$4:$ZZ$1000,B1381,C1381)</f>
        <v>0</v>
      </c>
    </row>
    <row r="1382" spans="1:8" x14ac:dyDescent="0.25">
      <c r="A1382">
        <v>1380</v>
      </c>
      <c r="B1382">
        <f t="shared" si="42"/>
        <v>34</v>
      </c>
      <c r="C1382">
        <f t="shared" si="43"/>
        <v>27</v>
      </c>
      <c r="D1382" cm="1">
        <f t="array" ref="D1382">INDEX('Linha 03'!$A$4:$A$1000,B1382)</f>
        <v>20200036</v>
      </c>
      <c r="E1382" t="str" cm="1">
        <f t="array" ref="E1382">INDEX('Linha 03'!$B$4:$B$1000,B1382)</f>
        <v>Lava Roupas Aquafast Ternura Cx/06 X 2l</v>
      </c>
      <c r="F1382" cm="1">
        <f t="array" ref="F1382">INDEX('Linha 03'!$C$3:$ZZ$3,C1382)</f>
        <v>20060009</v>
      </c>
      <c r="G1382" t="str" cm="1">
        <f t="array" ref="G1382">INDEX('Linha 03'!$C$2:$ZZ$2,C1382)</f>
        <v>Limp Perf Aquafast Frescor Da Manha Cx/06 X 2l (Promoc)</v>
      </c>
      <c r="H1382" s="5" cm="1">
        <f t="array" ref="H1382">INDEX('Linha 03'!$C$4:$ZZ$1000,B1382,C1382)</f>
        <v>0</v>
      </c>
    </row>
    <row r="1383" spans="1:8" x14ac:dyDescent="0.25">
      <c r="A1383">
        <v>1381</v>
      </c>
      <c r="B1383">
        <f t="shared" si="42"/>
        <v>34</v>
      </c>
      <c r="C1383">
        <f t="shared" si="43"/>
        <v>28</v>
      </c>
      <c r="D1383" cm="1">
        <f t="array" ref="D1383">INDEX('Linha 03'!$A$4:$A$1000,B1383)</f>
        <v>20200036</v>
      </c>
      <c r="E1383" t="str" cm="1">
        <f t="array" ref="E1383">INDEX('Linha 03'!$B$4:$B$1000,B1383)</f>
        <v>Lava Roupas Aquafast Ternura Cx/06 X 2l</v>
      </c>
      <c r="F1383" cm="1">
        <f t="array" ref="F1383">INDEX('Linha 03'!$C$3:$ZZ$3,C1383)</f>
        <v>20060017</v>
      </c>
      <c r="G1383" t="str" cm="1">
        <f t="array" ref="G1383">INDEX('Linha 03'!$C$2:$ZZ$2,C1383)</f>
        <v>Limp Perf Aquafast Doce Romance Cx/06 X 2l (Promoc)</v>
      </c>
      <c r="H1383" s="5" cm="1">
        <f t="array" ref="H1383">INDEX('Linha 03'!$C$4:$ZZ$1000,B1383,C1383)</f>
        <v>0</v>
      </c>
    </row>
    <row r="1384" spans="1:8" x14ac:dyDescent="0.25">
      <c r="A1384">
        <v>1382</v>
      </c>
      <c r="B1384">
        <f t="shared" si="42"/>
        <v>34</v>
      </c>
      <c r="C1384">
        <f t="shared" si="43"/>
        <v>29</v>
      </c>
      <c r="D1384" cm="1">
        <f t="array" ref="D1384">INDEX('Linha 03'!$A$4:$A$1000,B1384)</f>
        <v>20200036</v>
      </c>
      <c r="E1384" t="str" cm="1">
        <f t="array" ref="E1384">INDEX('Linha 03'!$B$4:$B$1000,B1384)</f>
        <v>Lava Roupas Aquafast Ternura Cx/06 X 2l</v>
      </c>
      <c r="F1384" cm="1">
        <f t="array" ref="F1384">INDEX('Linha 03'!$C$3:$ZZ$3,C1384)</f>
        <v>20060028</v>
      </c>
      <c r="G1384" t="str" cm="1">
        <f t="array" ref="G1384">INDEX('Linha 03'!$C$2:$ZZ$2,C1384)</f>
        <v>Limp Perf Aquafast Essencia Natural Cx06 X 2l</v>
      </c>
      <c r="H1384" s="5" cm="1">
        <f t="array" ref="H1384">INDEX('Linha 03'!$C$4:$ZZ$1000,B1384,C1384)</f>
        <v>0</v>
      </c>
    </row>
    <row r="1385" spans="1:8" x14ac:dyDescent="0.25">
      <c r="A1385">
        <v>1383</v>
      </c>
      <c r="B1385">
        <f t="shared" si="42"/>
        <v>34</v>
      </c>
      <c r="C1385">
        <f t="shared" si="43"/>
        <v>30</v>
      </c>
      <c r="D1385" cm="1">
        <f t="array" ref="D1385">INDEX('Linha 03'!$A$4:$A$1000,B1385)</f>
        <v>20200036</v>
      </c>
      <c r="E1385" t="str" cm="1">
        <f t="array" ref="E1385">INDEX('Linha 03'!$B$4:$B$1000,B1385)</f>
        <v>Lava Roupas Aquafast Ternura Cx/06 X 2l</v>
      </c>
      <c r="F1385" cm="1">
        <f t="array" ref="F1385">INDEX('Linha 03'!$C$3:$ZZ$3,C1385)</f>
        <v>20200003</v>
      </c>
      <c r="G1385" t="str" cm="1">
        <f t="array" ref="G1385">INDEX('Linha 03'!$C$2:$ZZ$2,C1385)</f>
        <v>Lava Roup. Aquafast Baby Cx/12 X 1l</v>
      </c>
      <c r="H1385" s="5" cm="1">
        <f t="array" ref="H1385">INDEX('Linha 03'!$C$4:$ZZ$1000,B1385,C1385)</f>
        <v>0</v>
      </c>
    </row>
    <row r="1386" spans="1:8" x14ac:dyDescent="0.25">
      <c r="A1386">
        <v>1384</v>
      </c>
      <c r="B1386">
        <f t="shared" si="42"/>
        <v>34</v>
      </c>
      <c r="C1386">
        <f t="shared" si="43"/>
        <v>31</v>
      </c>
      <c r="D1386" cm="1">
        <f t="array" ref="D1386">INDEX('Linha 03'!$A$4:$A$1000,B1386)</f>
        <v>20200036</v>
      </c>
      <c r="E1386" t="str" cm="1">
        <f t="array" ref="E1386">INDEX('Linha 03'!$B$4:$B$1000,B1386)</f>
        <v>Lava Roupas Aquafast Ternura Cx/06 X 2l</v>
      </c>
      <c r="F1386" cm="1">
        <f t="array" ref="F1386">INDEX('Linha 03'!$C$3:$ZZ$3,C1386)</f>
        <v>20200005</v>
      </c>
      <c r="G1386" t="str" cm="1">
        <f t="array" ref="G1386">INDEX('Linha 03'!$C$2:$ZZ$2,C1386)</f>
        <v>Lava Roupas Aquafast Multi Acao Cx/06 X 2l</v>
      </c>
      <c r="H1386" s="5" cm="1">
        <f t="array" ref="H1386">INDEX('Linha 03'!$C$4:$ZZ$1000,B1386,C1386)</f>
        <v>0</v>
      </c>
    </row>
    <row r="1387" spans="1:8" x14ac:dyDescent="0.25">
      <c r="A1387">
        <v>1385</v>
      </c>
      <c r="B1387">
        <f t="shared" si="42"/>
        <v>34</v>
      </c>
      <c r="C1387">
        <f t="shared" si="43"/>
        <v>32</v>
      </c>
      <c r="D1387" cm="1">
        <f t="array" ref="D1387">INDEX('Linha 03'!$A$4:$A$1000,B1387)</f>
        <v>20200036</v>
      </c>
      <c r="E1387" t="str" cm="1">
        <f t="array" ref="E1387">INDEX('Linha 03'!$B$4:$B$1000,B1387)</f>
        <v>Lava Roupas Aquafast Ternura Cx/06 X 2l</v>
      </c>
      <c r="F1387" cm="1">
        <f t="array" ref="F1387">INDEX('Linha 03'!$C$3:$ZZ$3,C1387)</f>
        <v>20200006</v>
      </c>
      <c r="G1387" t="str" cm="1">
        <f t="array" ref="G1387">INDEX('Linha 03'!$C$2:$ZZ$2,C1387)</f>
        <v>Lava Roupas Aquafast Glicerina Cx/06 X 2l</v>
      </c>
      <c r="H1387" s="5" cm="1">
        <f t="array" ref="H1387">INDEX('Linha 03'!$C$4:$ZZ$1000,B1387,C1387)</f>
        <v>0</v>
      </c>
    </row>
    <row r="1388" spans="1:8" x14ac:dyDescent="0.25">
      <c r="A1388">
        <v>1386</v>
      </c>
      <c r="B1388">
        <f t="shared" si="42"/>
        <v>34</v>
      </c>
      <c r="C1388">
        <f t="shared" si="43"/>
        <v>33</v>
      </c>
      <c r="D1388" cm="1">
        <f t="array" ref="D1388">INDEX('Linha 03'!$A$4:$A$1000,B1388)</f>
        <v>20200036</v>
      </c>
      <c r="E1388" t="str" cm="1">
        <f t="array" ref="E1388">INDEX('Linha 03'!$B$4:$B$1000,B1388)</f>
        <v>Lava Roupas Aquafast Ternura Cx/06 X 2l</v>
      </c>
      <c r="F1388" cm="1">
        <f t="array" ref="F1388">INDEX('Linha 03'!$C$3:$ZZ$3,C1388)</f>
        <v>20200015</v>
      </c>
      <c r="G1388" t="str" cm="1">
        <f t="array" ref="G1388">INDEX('Linha 03'!$C$2:$ZZ$2,C1388)</f>
        <v>Lava Roup. Aquafast Multiacao Cx/12 X 1l</v>
      </c>
      <c r="H1388" s="5" cm="1">
        <f t="array" ref="H1388">INDEX('Linha 03'!$C$4:$ZZ$1000,B1388,C1388)</f>
        <v>0</v>
      </c>
    </row>
    <row r="1389" spans="1:8" x14ac:dyDescent="0.25">
      <c r="A1389">
        <v>1387</v>
      </c>
      <c r="B1389">
        <f t="shared" si="42"/>
        <v>34</v>
      </c>
      <c r="C1389">
        <f t="shared" si="43"/>
        <v>34</v>
      </c>
      <c r="D1389" cm="1">
        <f t="array" ref="D1389">INDEX('Linha 03'!$A$4:$A$1000,B1389)</f>
        <v>20200036</v>
      </c>
      <c r="E1389" t="str" cm="1">
        <f t="array" ref="E1389">INDEX('Linha 03'!$B$4:$B$1000,B1389)</f>
        <v>Lava Roupas Aquafast Ternura Cx/06 X 2l</v>
      </c>
      <c r="F1389" cm="1">
        <f t="array" ref="F1389">INDEX('Linha 03'!$C$3:$ZZ$3,C1389)</f>
        <v>20200036</v>
      </c>
      <c r="G1389" t="str" cm="1">
        <f t="array" ref="G1389">INDEX('Linha 03'!$C$2:$ZZ$2,C1389)</f>
        <v>Lava Roupas Aquafast Ternura Cx/06 X 2l</v>
      </c>
      <c r="H1389" s="5" cm="1">
        <f t="array" ref="H1389">INDEX('Linha 03'!$C$4:$ZZ$1000,B1389,C1389)</f>
        <v>0</v>
      </c>
    </row>
    <row r="1390" spans="1:8" x14ac:dyDescent="0.25">
      <c r="A1390">
        <v>1388</v>
      </c>
      <c r="B1390">
        <f t="shared" si="42"/>
        <v>34</v>
      </c>
      <c r="C1390">
        <f t="shared" si="43"/>
        <v>35</v>
      </c>
      <c r="D1390" cm="1">
        <f t="array" ref="D1390">INDEX('Linha 03'!$A$4:$A$1000,B1390)</f>
        <v>20200036</v>
      </c>
      <c r="E1390" t="str" cm="1">
        <f t="array" ref="E1390">INDEX('Linha 03'!$B$4:$B$1000,B1390)</f>
        <v>Lava Roupas Aquafast Ternura Cx/06 X 2l</v>
      </c>
      <c r="F1390" cm="1">
        <f t="array" ref="F1390">INDEX('Linha 03'!$C$3:$ZZ$3,C1390)</f>
        <v>20200063</v>
      </c>
      <c r="G1390" t="str" cm="1">
        <f t="array" ref="G1390">INDEX('Linha 03'!$C$2:$ZZ$2,C1390)</f>
        <v>Lava Roup. Aquafast Tradicional Cx/12 X 1l</v>
      </c>
      <c r="H1390" s="5" cm="1">
        <f t="array" ref="H1390">INDEX('Linha 03'!$C$4:$ZZ$1000,B1390,C1390)</f>
        <v>0</v>
      </c>
    </row>
    <row r="1391" spans="1:8" x14ac:dyDescent="0.25">
      <c r="A1391">
        <v>1389</v>
      </c>
      <c r="B1391">
        <f t="shared" si="42"/>
        <v>34</v>
      </c>
      <c r="C1391">
        <f t="shared" si="43"/>
        <v>36</v>
      </c>
      <c r="D1391" cm="1">
        <f t="array" ref="D1391">INDEX('Linha 03'!$A$4:$A$1000,B1391)</f>
        <v>20200036</v>
      </c>
      <c r="E1391" t="str" cm="1">
        <f t="array" ref="E1391">INDEX('Linha 03'!$B$4:$B$1000,B1391)</f>
        <v>Lava Roupas Aquafast Ternura Cx/06 X 2l</v>
      </c>
      <c r="F1391" cm="1">
        <f t="array" ref="F1391">INDEX('Linha 03'!$C$3:$ZZ$3,C1391)</f>
        <v>20200064</v>
      </c>
      <c r="G1391" t="str" cm="1">
        <f t="array" ref="G1391">INDEX('Linha 03'!$C$2:$ZZ$2,C1391)</f>
        <v>Lava Roup. Aquafast Flores B. E Baunilha Cx/12 X 1l</v>
      </c>
      <c r="H1391" s="5" cm="1">
        <f t="array" ref="H1391">INDEX('Linha 03'!$C$4:$ZZ$1000,B1391,C1391)</f>
        <v>0</v>
      </c>
    </row>
    <row r="1392" spans="1:8" x14ac:dyDescent="0.25">
      <c r="A1392">
        <v>1390</v>
      </c>
      <c r="B1392">
        <f t="shared" si="42"/>
        <v>34</v>
      </c>
      <c r="C1392">
        <f t="shared" si="43"/>
        <v>37</v>
      </c>
      <c r="D1392" cm="1">
        <f t="array" ref="D1392">INDEX('Linha 03'!$A$4:$A$1000,B1392)</f>
        <v>20200036</v>
      </c>
      <c r="E1392" t="str" cm="1">
        <f t="array" ref="E1392">INDEX('Linha 03'!$B$4:$B$1000,B1392)</f>
        <v>Lava Roupas Aquafast Ternura Cx/06 X 2l</v>
      </c>
      <c r="F1392" cm="1">
        <f t="array" ref="F1392">INDEX('Linha 03'!$C$3:$ZZ$3,C1392)</f>
        <v>20200065</v>
      </c>
      <c r="G1392" t="str" cm="1">
        <f t="array" ref="G1392">INDEX('Linha 03'!$C$2:$ZZ$2,C1392)</f>
        <v>Lava Roupas Aquafast Flores B. E Baunilha Cx/06 X 2l</v>
      </c>
      <c r="H1392" s="5" cm="1">
        <f t="array" ref="H1392">INDEX('Linha 03'!$C$4:$ZZ$1000,B1392,C1392)</f>
        <v>0</v>
      </c>
    </row>
    <row r="1393" spans="1:8" x14ac:dyDescent="0.25">
      <c r="A1393">
        <v>1391</v>
      </c>
      <c r="B1393">
        <f t="shared" si="42"/>
        <v>34</v>
      </c>
      <c r="C1393">
        <f t="shared" si="43"/>
        <v>38</v>
      </c>
      <c r="D1393" cm="1">
        <f t="array" ref="D1393">INDEX('Linha 03'!$A$4:$A$1000,B1393)</f>
        <v>20200036</v>
      </c>
      <c r="E1393" t="str" cm="1">
        <f t="array" ref="E1393">INDEX('Linha 03'!$B$4:$B$1000,B1393)</f>
        <v>Lava Roupas Aquafast Ternura Cx/06 X 2l</v>
      </c>
      <c r="F1393" cm="1">
        <f t="array" ref="F1393">INDEX('Linha 03'!$C$3:$ZZ$3,C1393)</f>
        <v>20200072</v>
      </c>
      <c r="G1393" t="str" cm="1">
        <f t="array" ref="G1393">INDEX('Linha 03'!$C$2:$ZZ$2,C1393)</f>
        <v>Lava Roupas Aquafast Lavagem Rapida Total Clean Cx/12 X 1l</v>
      </c>
      <c r="H1393" s="5" cm="1">
        <f t="array" ref="H1393">INDEX('Linha 03'!$C$4:$ZZ$1000,B1393,C1393)</f>
        <v>0</v>
      </c>
    </row>
    <row r="1394" spans="1:8" x14ac:dyDescent="0.25">
      <c r="A1394">
        <v>1392</v>
      </c>
      <c r="B1394">
        <f t="shared" si="42"/>
        <v>34</v>
      </c>
      <c r="C1394">
        <f t="shared" si="43"/>
        <v>39</v>
      </c>
      <c r="D1394" cm="1">
        <f t="array" ref="D1394">INDEX('Linha 03'!$A$4:$A$1000,B1394)</f>
        <v>20200036</v>
      </c>
      <c r="E1394" t="str" cm="1">
        <f t="array" ref="E1394">INDEX('Linha 03'!$B$4:$B$1000,B1394)</f>
        <v>Lava Roupas Aquafast Ternura Cx/06 X 2l</v>
      </c>
      <c r="F1394" cm="1">
        <f t="array" ref="F1394">INDEX('Linha 03'!$C$3:$ZZ$3,C1394)</f>
        <v>20200074</v>
      </c>
      <c r="G1394" t="str" cm="1">
        <f t="array" ref="G1394">INDEX('Linha 03'!$C$2:$ZZ$2,C1394)</f>
        <v>Lava Roupas Aquafast Lavagem Rapida Fresh Clean Cx/12 X 1l</v>
      </c>
      <c r="H1394" s="5" cm="1">
        <f t="array" ref="H1394">INDEX('Linha 03'!$C$4:$ZZ$1000,B1394,C1394)</f>
        <v>0</v>
      </c>
    </row>
    <row r="1395" spans="1:8" x14ac:dyDescent="0.25">
      <c r="A1395">
        <v>1393</v>
      </c>
      <c r="B1395">
        <f t="shared" si="42"/>
        <v>34</v>
      </c>
      <c r="C1395">
        <f t="shared" si="43"/>
        <v>40</v>
      </c>
      <c r="D1395" cm="1">
        <f t="array" ref="D1395">INDEX('Linha 03'!$A$4:$A$1000,B1395)</f>
        <v>20200036</v>
      </c>
      <c r="E1395" t="str" cm="1">
        <f t="array" ref="E1395">INDEX('Linha 03'!$B$4:$B$1000,B1395)</f>
        <v>Lava Roupas Aquafast Ternura Cx/06 X 2l</v>
      </c>
      <c r="F1395" cm="1">
        <f t="array" ref="F1395">INDEX('Linha 03'!$C$3:$ZZ$3,C1395)</f>
        <v>20250005</v>
      </c>
      <c r="G1395" t="str" cm="1">
        <f t="array" ref="G1395">INDEX('Linha 03'!$C$2:$ZZ$2,C1395)</f>
        <v>Neutralizador De Odores Aquafast Floral Cx/06 X 2l</v>
      </c>
      <c r="H1395" s="5" cm="1">
        <f t="array" ref="H1395">INDEX('Linha 03'!$C$4:$ZZ$1000,B1395,C1395)</f>
        <v>0</v>
      </c>
    </row>
    <row r="1396" spans="1:8" x14ac:dyDescent="0.25">
      <c r="A1396">
        <v>1394</v>
      </c>
      <c r="B1396">
        <f t="shared" si="42"/>
        <v>34</v>
      </c>
      <c r="C1396">
        <f t="shared" si="43"/>
        <v>41</v>
      </c>
      <c r="D1396" cm="1">
        <f t="array" ref="D1396">INDEX('Linha 03'!$A$4:$A$1000,B1396)</f>
        <v>20200036</v>
      </c>
      <c r="E1396" t="str" cm="1">
        <f t="array" ref="E1396">INDEX('Linha 03'!$B$4:$B$1000,B1396)</f>
        <v>Lava Roupas Aquafast Ternura Cx/06 X 2l</v>
      </c>
      <c r="F1396" cm="1">
        <f t="array" ref="F1396">INDEX('Linha 03'!$C$3:$ZZ$3,C1396)</f>
        <v>20250007</v>
      </c>
      <c r="G1396" t="str" cm="1">
        <f t="array" ref="G1396">INDEX('Linha 03'!$C$2:$ZZ$2,C1396)</f>
        <v>Neutralizador De Odores Aquafast Marine Cx/06 2l</v>
      </c>
      <c r="H1396" s="5" cm="1">
        <f t="array" ref="H1396">INDEX('Linha 03'!$C$4:$ZZ$1000,B1396,C1396)</f>
        <v>0</v>
      </c>
    </row>
    <row r="1397" spans="1:8" x14ac:dyDescent="0.25">
      <c r="A1397">
        <v>1395</v>
      </c>
      <c r="B1397">
        <f t="shared" si="42"/>
        <v>35</v>
      </c>
      <c r="C1397">
        <f t="shared" si="43"/>
        <v>1</v>
      </c>
      <c r="D1397" cm="1">
        <f t="array" ref="D1397">INDEX('Linha 03'!$A$4:$A$1000,B1397)</f>
        <v>20200063</v>
      </c>
      <c r="E1397" t="str" cm="1">
        <f t="array" ref="E1397">INDEX('Linha 03'!$B$4:$B$1000,B1397)</f>
        <v>Lava Roup. Aquafast Tradicional Cx/12 X 1l</v>
      </c>
      <c r="F1397" cm="1">
        <f t="array" ref="F1397">INDEX('Linha 03'!$C$3:$ZZ$3,C1397)</f>
        <v>20040006</v>
      </c>
      <c r="G1397" t="str" cm="1">
        <f t="array" ref="G1397">INDEX('Linha 03'!$C$2:$ZZ$2,C1397)</f>
        <v>Amaciante Aquafast Azul Fresc. Manha Cx/06 X 2l</v>
      </c>
      <c r="H1397" s="5" cm="1">
        <f t="array" ref="H1397">INDEX('Linha 03'!$C$4:$ZZ$1000,B1397,C1397)</f>
        <v>0</v>
      </c>
    </row>
    <row r="1398" spans="1:8" x14ac:dyDescent="0.25">
      <c r="A1398">
        <v>1396</v>
      </c>
      <c r="B1398">
        <f t="shared" si="42"/>
        <v>35</v>
      </c>
      <c r="C1398">
        <f t="shared" si="43"/>
        <v>2</v>
      </c>
      <c r="D1398" cm="1">
        <f t="array" ref="D1398">INDEX('Linha 03'!$A$4:$A$1000,B1398)</f>
        <v>20200063</v>
      </c>
      <c r="E1398" t="str" cm="1">
        <f t="array" ref="E1398">INDEX('Linha 03'!$B$4:$B$1000,B1398)</f>
        <v>Lava Roup. Aquafast Tradicional Cx/12 X 1l</v>
      </c>
      <c r="F1398" cm="1">
        <f t="array" ref="F1398">INDEX('Linha 03'!$C$3:$ZZ$3,C1398)</f>
        <v>20040008</v>
      </c>
      <c r="G1398" t="str" cm="1">
        <f t="array" ref="G1398">INDEX('Linha 03'!$C$2:$ZZ$2,C1398)</f>
        <v>Amaciante Aquafast Rosa Jard. Florid Cx/06 X 2l</v>
      </c>
      <c r="H1398" s="5" cm="1">
        <f t="array" ref="H1398">INDEX('Linha 03'!$C$4:$ZZ$1000,B1398,C1398)</f>
        <v>0</v>
      </c>
    </row>
    <row r="1399" spans="1:8" x14ac:dyDescent="0.25">
      <c r="A1399">
        <v>1397</v>
      </c>
      <c r="B1399">
        <f t="shared" si="42"/>
        <v>35</v>
      </c>
      <c r="C1399">
        <f t="shared" si="43"/>
        <v>3</v>
      </c>
      <c r="D1399" cm="1">
        <f t="array" ref="D1399">INDEX('Linha 03'!$A$4:$A$1000,B1399)</f>
        <v>20200063</v>
      </c>
      <c r="E1399" t="str" cm="1">
        <f t="array" ref="E1399">INDEX('Linha 03'!$B$4:$B$1000,B1399)</f>
        <v>Lava Roup. Aquafast Tradicional Cx/12 X 1l</v>
      </c>
      <c r="F1399" cm="1">
        <f t="array" ref="F1399">INDEX('Linha 03'!$C$3:$ZZ$3,C1399)</f>
        <v>20040009</v>
      </c>
      <c r="G1399" t="str" cm="1">
        <f t="array" ref="G1399">INDEX('Linha 03'!$C$2:$ZZ$2,C1399)</f>
        <v>Amaciante Aquafast Branco Pura Caric. Cx/06 X 2l</v>
      </c>
      <c r="H1399" s="5" cm="1">
        <f t="array" ref="H1399">INDEX('Linha 03'!$C$4:$ZZ$1000,B1399,C1399)</f>
        <v>0</v>
      </c>
    </row>
    <row r="1400" spans="1:8" x14ac:dyDescent="0.25">
      <c r="A1400">
        <v>1398</v>
      </c>
      <c r="B1400">
        <f t="shared" si="42"/>
        <v>35</v>
      </c>
      <c r="C1400">
        <f t="shared" si="43"/>
        <v>4</v>
      </c>
      <c r="D1400" cm="1">
        <f t="array" ref="D1400">INDEX('Linha 03'!$A$4:$A$1000,B1400)</f>
        <v>20200063</v>
      </c>
      <c r="E1400" t="str" cm="1">
        <f t="array" ref="E1400">INDEX('Linha 03'!$B$4:$B$1000,B1400)</f>
        <v>Lava Roup. Aquafast Tradicional Cx/12 X 1l</v>
      </c>
      <c r="F1400" cm="1">
        <f t="array" ref="F1400">INDEX('Linha 03'!$C$3:$ZZ$3,C1400)</f>
        <v>20040026</v>
      </c>
      <c r="G1400" t="str" cm="1">
        <f t="array" ref="G1400">INDEX('Linha 03'!$C$2:$ZZ$2,C1400)</f>
        <v>Amaciante Ito Azul Cx/06 X 2l</v>
      </c>
      <c r="H1400" s="5" cm="1">
        <f t="array" ref="H1400">INDEX('Linha 03'!$C$4:$ZZ$1000,B1400,C1400)</f>
        <v>0</v>
      </c>
    </row>
    <row r="1401" spans="1:8" x14ac:dyDescent="0.25">
      <c r="A1401">
        <v>1399</v>
      </c>
      <c r="B1401">
        <f t="shared" si="42"/>
        <v>35</v>
      </c>
      <c r="C1401">
        <f t="shared" si="43"/>
        <v>5</v>
      </c>
      <c r="D1401" cm="1">
        <f t="array" ref="D1401">INDEX('Linha 03'!$A$4:$A$1000,B1401)</f>
        <v>20200063</v>
      </c>
      <c r="E1401" t="str" cm="1">
        <f t="array" ref="E1401">INDEX('Linha 03'!$B$4:$B$1000,B1401)</f>
        <v>Lava Roup. Aquafast Tradicional Cx/12 X 1l</v>
      </c>
      <c r="F1401" cm="1">
        <f t="array" ref="F1401">INDEX('Linha 03'!$C$3:$ZZ$3,C1401)</f>
        <v>20040028</v>
      </c>
      <c r="G1401" t="str" cm="1">
        <f t="array" ref="G1401">INDEX('Linha 03'!$C$2:$ZZ$2,C1401)</f>
        <v>Amaciante Ito Rosa Cx/06 X 2l</v>
      </c>
      <c r="H1401" s="5" cm="1">
        <f t="array" ref="H1401">INDEX('Linha 03'!$C$4:$ZZ$1000,B1401,C1401)</f>
        <v>0</v>
      </c>
    </row>
    <row r="1402" spans="1:8" x14ac:dyDescent="0.25">
      <c r="A1402">
        <v>1400</v>
      </c>
      <c r="B1402">
        <f t="shared" si="42"/>
        <v>35</v>
      </c>
      <c r="C1402">
        <f t="shared" si="43"/>
        <v>6</v>
      </c>
      <c r="D1402" cm="1">
        <f t="array" ref="D1402">INDEX('Linha 03'!$A$4:$A$1000,B1402)</f>
        <v>20200063</v>
      </c>
      <c r="E1402" t="str" cm="1">
        <f t="array" ref="E1402">INDEX('Linha 03'!$B$4:$B$1000,B1402)</f>
        <v>Lava Roup. Aquafast Tradicional Cx/12 X 1l</v>
      </c>
      <c r="F1402" cm="1">
        <f t="array" ref="F1402">INDEX('Linha 03'!$C$3:$ZZ$3,C1402)</f>
        <v>20040029</v>
      </c>
      <c r="G1402" t="str" cm="1">
        <f t="array" ref="G1402">INDEX('Linha 03'!$C$2:$ZZ$2,C1402)</f>
        <v>Amaciante Ito Branco Cx/06 X 2l</v>
      </c>
      <c r="H1402" s="5" cm="1">
        <f t="array" ref="H1402">INDEX('Linha 03'!$C$4:$ZZ$1000,B1402,C1402)</f>
        <v>0</v>
      </c>
    </row>
    <row r="1403" spans="1:8" x14ac:dyDescent="0.25">
      <c r="A1403">
        <v>1401</v>
      </c>
      <c r="B1403">
        <f t="shared" si="42"/>
        <v>35</v>
      </c>
      <c r="C1403">
        <f t="shared" si="43"/>
        <v>7</v>
      </c>
      <c r="D1403" cm="1">
        <f t="array" ref="D1403">INDEX('Linha 03'!$A$4:$A$1000,B1403)</f>
        <v>20200063</v>
      </c>
      <c r="E1403" t="str" cm="1">
        <f t="array" ref="E1403">INDEX('Linha 03'!$B$4:$B$1000,B1403)</f>
        <v>Lava Roup. Aquafast Tradicional Cx/12 X 1l</v>
      </c>
      <c r="F1403" cm="1">
        <f t="array" ref="F1403">INDEX('Linha 03'!$C$3:$ZZ$3,C1403)</f>
        <v>20040055</v>
      </c>
      <c r="G1403" t="str" cm="1">
        <f t="array" ref="G1403">INDEX('Linha 03'!$C$2:$ZZ$2,C1403)</f>
        <v>Amaciante Myata Azul Cx/06 X 2l</v>
      </c>
      <c r="H1403" s="5" cm="1">
        <f t="array" ref="H1403">INDEX('Linha 03'!$C$4:$ZZ$1000,B1403,C1403)</f>
        <v>0</v>
      </c>
    </row>
    <row r="1404" spans="1:8" x14ac:dyDescent="0.25">
      <c r="A1404">
        <v>1402</v>
      </c>
      <c r="B1404">
        <f t="shared" si="42"/>
        <v>35</v>
      </c>
      <c r="C1404">
        <f t="shared" si="43"/>
        <v>8</v>
      </c>
      <c r="D1404" cm="1">
        <f t="array" ref="D1404">INDEX('Linha 03'!$A$4:$A$1000,B1404)</f>
        <v>20200063</v>
      </c>
      <c r="E1404" t="str" cm="1">
        <f t="array" ref="E1404">INDEX('Linha 03'!$B$4:$B$1000,B1404)</f>
        <v>Lava Roup. Aquafast Tradicional Cx/12 X 1l</v>
      </c>
      <c r="F1404" cm="1">
        <f t="array" ref="F1404">INDEX('Linha 03'!$C$3:$ZZ$3,C1404)</f>
        <v>20040057</v>
      </c>
      <c r="G1404" t="str" cm="1">
        <f t="array" ref="G1404">INDEX('Linha 03'!$C$2:$ZZ$2,C1404)</f>
        <v>Amaciante Myata Rosa Cx/06 X 2l</v>
      </c>
      <c r="H1404" s="5" cm="1">
        <f t="array" ref="H1404">INDEX('Linha 03'!$C$4:$ZZ$1000,B1404,C1404)</f>
        <v>0</v>
      </c>
    </row>
    <row r="1405" spans="1:8" x14ac:dyDescent="0.25">
      <c r="A1405">
        <v>1403</v>
      </c>
      <c r="B1405">
        <f t="shared" si="42"/>
        <v>35</v>
      </c>
      <c r="C1405">
        <f t="shared" si="43"/>
        <v>9</v>
      </c>
      <c r="D1405" cm="1">
        <f t="array" ref="D1405">INDEX('Linha 03'!$A$4:$A$1000,B1405)</f>
        <v>20200063</v>
      </c>
      <c r="E1405" t="str" cm="1">
        <f t="array" ref="E1405">INDEX('Linha 03'!$B$4:$B$1000,B1405)</f>
        <v>Lava Roup. Aquafast Tradicional Cx/12 X 1l</v>
      </c>
      <c r="F1405" cm="1">
        <f t="array" ref="F1405">INDEX('Linha 03'!$C$3:$ZZ$3,C1405)</f>
        <v>20040084</v>
      </c>
      <c r="G1405" t="str" cm="1">
        <f t="array" ref="G1405">INDEX('Linha 03'!$C$2:$ZZ$2,C1405)</f>
        <v>Amaciante Aquafast Vermelho Seducao Cx C/06 X 2l</v>
      </c>
      <c r="H1405" s="5" cm="1">
        <f t="array" ref="H1405">INDEX('Linha 03'!$C$4:$ZZ$1000,B1405,C1405)</f>
        <v>0</v>
      </c>
    </row>
    <row r="1406" spans="1:8" x14ac:dyDescent="0.25">
      <c r="A1406">
        <v>1404</v>
      </c>
      <c r="B1406">
        <f t="shared" si="42"/>
        <v>35</v>
      </c>
      <c r="C1406">
        <f t="shared" si="43"/>
        <v>10</v>
      </c>
      <c r="D1406" cm="1">
        <f t="array" ref="D1406">INDEX('Linha 03'!$A$4:$A$1000,B1406)</f>
        <v>20200063</v>
      </c>
      <c r="E1406" t="str" cm="1">
        <f t="array" ref="E1406">INDEX('Linha 03'!$B$4:$B$1000,B1406)</f>
        <v>Lava Roup. Aquafast Tradicional Cx/12 X 1l</v>
      </c>
      <c r="F1406" cm="1">
        <f t="array" ref="F1406">INDEX('Linha 03'!$C$3:$ZZ$3,C1406)</f>
        <v>20040089</v>
      </c>
      <c r="G1406" t="str" cm="1">
        <f t="array" ref="G1406">INDEX('Linha 03'!$C$2:$ZZ$2,C1406)</f>
        <v>Amaciante Aquafast Roxo Magia Cx/06 X 2l</v>
      </c>
      <c r="H1406" s="5" cm="1">
        <f t="array" ref="H1406">INDEX('Linha 03'!$C$4:$ZZ$1000,B1406,C1406)</f>
        <v>0</v>
      </c>
    </row>
    <row r="1407" spans="1:8" x14ac:dyDescent="0.25">
      <c r="A1407">
        <v>1405</v>
      </c>
      <c r="B1407">
        <f t="shared" si="42"/>
        <v>35</v>
      </c>
      <c r="C1407">
        <f t="shared" si="43"/>
        <v>11</v>
      </c>
      <c r="D1407" cm="1">
        <f t="array" ref="D1407">INDEX('Linha 03'!$A$4:$A$1000,B1407)</f>
        <v>20200063</v>
      </c>
      <c r="E1407" t="str" cm="1">
        <f t="array" ref="E1407">INDEX('Linha 03'!$B$4:$B$1000,B1407)</f>
        <v>Lava Roup. Aquafast Tradicional Cx/12 X 1l</v>
      </c>
      <c r="F1407" cm="1">
        <f t="array" ref="F1407">INDEX('Linha 03'!$C$3:$ZZ$3,C1407)</f>
        <v>20040094</v>
      </c>
      <c r="G1407" t="str" cm="1">
        <f t="array" ref="G1407">INDEX('Linha 03'!$C$2:$ZZ$2,C1407)</f>
        <v>Amaciante Aquafast Energia Cx/06 X 2l</v>
      </c>
      <c r="H1407" s="5" cm="1">
        <f t="array" ref="H1407">INDEX('Linha 03'!$C$4:$ZZ$1000,B1407,C1407)</f>
        <v>0</v>
      </c>
    </row>
    <row r="1408" spans="1:8" x14ac:dyDescent="0.25">
      <c r="A1408">
        <v>1406</v>
      </c>
      <c r="B1408">
        <f t="shared" si="42"/>
        <v>35</v>
      </c>
      <c r="C1408">
        <f t="shared" si="43"/>
        <v>12</v>
      </c>
      <c r="D1408" cm="1">
        <f t="array" ref="D1408">INDEX('Linha 03'!$A$4:$A$1000,B1408)</f>
        <v>20200063</v>
      </c>
      <c r="E1408" t="str" cm="1">
        <f t="array" ref="E1408">INDEX('Linha 03'!$B$4:$B$1000,B1408)</f>
        <v>Lava Roup. Aquafast Tradicional Cx/12 X 1l</v>
      </c>
      <c r="F1408" cm="1">
        <f t="array" ref="F1408">INDEX('Linha 03'!$C$3:$ZZ$3,C1408)</f>
        <v>20050010</v>
      </c>
      <c r="G1408" t="str" cm="1">
        <f t="array" ref="G1408">INDEX('Linha 03'!$C$2:$ZZ$2,C1408)</f>
        <v>Desinfetante Aquafast Campos Lavanda Cx/06 X 2l</v>
      </c>
      <c r="H1408" s="5" cm="1">
        <f t="array" ref="H1408">INDEX('Linha 03'!$C$4:$ZZ$1000,B1408,C1408)</f>
        <v>0</v>
      </c>
    </row>
    <row r="1409" spans="1:8" x14ac:dyDescent="0.25">
      <c r="A1409">
        <v>1407</v>
      </c>
      <c r="B1409">
        <f t="shared" si="42"/>
        <v>35</v>
      </c>
      <c r="C1409">
        <f t="shared" si="43"/>
        <v>13</v>
      </c>
      <c r="D1409" cm="1">
        <f t="array" ref="D1409">INDEX('Linha 03'!$A$4:$A$1000,B1409)</f>
        <v>20200063</v>
      </c>
      <c r="E1409" t="str" cm="1">
        <f t="array" ref="E1409">INDEX('Linha 03'!$B$4:$B$1000,B1409)</f>
        <v>Lava Roup. Aquafast Tradicional Cx/12 X 1l</v>
      </c>
      <c r="F1409" cm="1">
        <f t="array" ref="F1409">INDEX('Linha 03'!$C$3:$ZZ$3,C1409)</f>
        <v>20050011</v>
      </c>
      <c r="G1409" t="str" cm="1">
        <f t="array" ref="G1409">INDEX('Linha 03'!$C$2:$ZZ$2,C1409)</f>
        <v>Desinfetante Aquafast Jardim Florido Cx/06 X 2l</v>
      </c>
      <c r="H1409" s="5" cm="1">
        <f t="array" ref="H1409">INDEX('Linha 03'!$C$4:$ZZ$1000,B1409,C1409)</f>
        <v>0</v>
      </c>
    </row>
    <row r="1410" spans="1:8" x14ac:dyDescent="0.25">
      <c r="A1410">
        <v>1408</v>
      </c>
      <c r="B1410">
        <f t="shared" si="42"/>
        <v>35</v>
      </c>
      <c r="C1410">
        <f t="shared" si="43"/>
        <v>14</v>
      </c>
      <c r="D1410" cm="1">
        <f t="array" ref="D1410">INDEX('Linha 03'!$A$4:$A$1000,B1410)</f>
        <v>20200063</v>
      </c>
      <c r="E1410" t="str" cm="1">
        <f t="array" ref="E1410">INDEX('Linha 03'!$B$4:$B$1000,B1410)</f>
        <v>Lava Roup. Aquafast Tradicional Cx/12 X 1l</v>
      </c>
      <c r="F1410" cm="1">
        <f t="array" ref="F1410">INDEX('Linha 03'!$C$3:$ZZ$3,C1410)</f>
        <v>20050016</v>
      </c>
      <c r="G1410" t="str" cm="1">
        <f t="array" ref="G1410">INDEX('Linha 03'!$C$2:$ZZ$2,C1410)</f>
        <v>Desinfetante Aquafast Marine Cx/06 X 2l</v>
      </c>
      <c r="H1410" s="5" cm="1">
        <f t="array" ref="H1410">INDEX('Linha 03'!$C$4:$ZZ$1000,B1410,C1410)</f>
        <v>0</v>
      </c>
    </row>
    <row r="1411" spans="1:8" x14ac:dyDescent="0.25">
      <c r="A1411">
        <v>1409</v>
      </c>
      <c r="B1411">
        <f t="shared" si="42"/>
        <v>35</v>
      </c>
      <c r="C1411">
        <f t="shared" si="43"/>
        <v>15</v>
      </c>
      <c r="D1411" cm="1">
        <f t="array" ref="D1411">INDEX('Linha 03'!$A$4:$A$1000,B1411)</f>
        <v>20200063</v>
      </c>
      <c r="E1411" t="str" cm="1">
        <f t="array" ref="E1411">INDEX('Linha 03'!$B$4:$B$1000,B1411)</f>
        <v>Lava Roup. Aquafast Tradicional Cx/12 X 1l</v>
      </c>
      <c r="F1411" cm="1">
        <f t="array" ref="F1411">INDEX('Linha 03'!$C$3:$ZZ$3,C1411)</f>
        <v>20050031</v>
      </c>
      <c r="G1411" t="str" cm="1">
        <f t="array" ref="G1411">INDEX('Linha 03'!$C$2:$ZZ$2,C1411)</f>
        <v>Desinfetante Ito Lavanda Cx/06 X 2l</v>
      </c>
      <c r="H1411" s="5" cm="1">
        <f t="array" ref="H1411">INDEX('Linha 03'!$C$4:$ZZ$1000,B1411,C1411)</f>
        <v>0</v>
      </c>
    </row>
    <row r="1412" spans="1:8" x14ac:dyDescent="0.25">
      <c r="A1412">
        <v>1410</v>
      </c>
      <c r="B1412">
        <f t="shared" ref="B1412:B1475" si="44">INT((A1412-1)/$B$1)+1</f>
        <v>35</v>
      </c>
      <c r="C1412">
        <f t="shared" ref="C1412:C1475" si="45">MOD(A1412-1,$B$1)+1</f>
        <v>16</v>
      </c>
      <c r="D1412" cm="1">
        <f t="array" ref="D1412">INDEX('Linha 03'!$A$4:$A$1000,B1412)</f>
        <v>20200063</v>
      </c>
      <c r="E1412" t="str" cm="1">
        <f t="array" ref="E1412">INDEX('Linha 03'!$B$4:$B$1000,B1412)</f>
        <v>Lava Roup. Aquafast Tradicional Cx/12 X 1l</v>
      </c>
      <c r="F1412" cm="1">
        <f t="array" ref="F1412">INDEX('Linha 03'!$C$3:$ZZ$3,C1412)</f>
        <v>20050032</v>
      </c>
      <c r="G1412" t="str" cm="1">
        <f t="array" ref="G1412">INDEX('Linha 03'!$C$2:$ZZ$2,C1412)</f>
        <v>Desinfetante Ito Floral Cx/06 X 2l</v>
      </c>
      <c r="H1412" s="5" cm="1">
        <f t="array" ref="H1412">INDEX('Linha 03'!$C$4:$ZZ$1000,B1412,C1412)</f>
        <v>0</v>
      </c>
    </row>
    <row r="1413" spans="1:8" x14ac:dyDescent="0.25">
      <c r="A1413">
        <v>1411</v>
      </c>
      <c r="B1413">
        <f t="shared" si="44"/>
        <v>35</v>
      </c>
      <c r="C1413">
        <f t="shared" si="45"/>
        <v>17</v>
      </c>
      <c r="D1413" cm="1">
        <f t="array" ref="D1413">INDEX('Linha 03'!$A$4:$A$1000,B1413)</f>
        <v>20200063</v>
      </c>
      <c r="E1413" t="str" cm="1">
        <f t="array" ref="E1413">INDEX('Linha 03'!$B$4:$B$1000,B1413)</f>
        <v>Lava Roup. Aquafast Tradicional Cx/12 X 1l</v>
      </c>
      <c r="F1413" cm="1">
        <f t="array" ref="F1413">INDEX('Linha 03'!$C$3:$ZZ$3,C1413)</f>
        <v>20050034</v>
      </c>
      <c r="G1413" t="str" cm="1">
        <f t="array" ref="G1413">INDEX('Linha 03'!$C$2:$ZZ$2,C1413)</f>
        <v>Desinfetante Ito Eucalipto Cx/06 X 2l</v>
      </c>
      <c r="H1413" s="5" cm="1">
        <f t="array" ref="H1413">INDEX('Linha 03'!$C$4:$ZZ$1000,B1413,C1413)</f>
        <v>0</v>
      </c>
    </row>
    <row r="1414" spans="1:8" x14ac:dyDescent="0.25">
      <c r="A1414">
        <v>1412</v>
      </c>
      <c r="B1414">
        <f t="shared" si="44"/>
        <v>35</v>
      </c>
      <c r="C1414">
        <f t="shared" si="45"/>
        <v>18</v>
      </c>
      <c r="D1414" cm="1">
        <f t="array" ref="D1414">INDEX('Linha 03'!$A$4:$A$1000,B1414)</f>
        <v>20200063</v>
      </c>
      <c r="E1414" t="str" cm="1">
        <f t="array" ref="E1414">INDEX('Linha 03'!$B$4:$B$1000,B1414)</f>
        <v>Lava Roup. Aquafast Tradicional Cx/12 X 1l</v>
      </c>
      <c r="F1414" cm="1">
        <f t="array" ref="F1414">INDEX('Linha 03'!$C$3:$ZZ$3,C1414)</f>
        <v>20050077</v>
      </c>
      <c r="G1414" t="str" cm="1">
        <f t="array" ref="G1414">INDEX('Linha 03'!$C$2:$ZZ$2,C1414)</f>
        <v>Desinfetante Myata Lavanda Cx/06 X 2l</v>
      </c>
      <c r="H1414" s="5" cm="1">
        <f t="array" ref="H1414">INDEX('Linha 03'!$C$4:$ZZ$1000,B1414,C1414)</f>
        <v>0</v>
      </c>
    </row>
    <row r="1415" spans="1:8" x14ac:dyDescent="0.25">
      <c r="A1415">
        <v>1413</v>
      </c>
      <c r="B1415">
        <f t="shared" si="44"/>
        <v>35</v>
      </c>
      <c r="C1415">
        <f t="shared" si="45"/>
        <v>19</v>
      </c>
      <c r="D1415" cm="1">
        <f t="array" ref="D1415">INDEX('Linha 03'!$A$4:$A$1000,B1415)</f>
        <v>20200063</v>
      </c>
      <c r="E1415" t="str" cm="1">
        <f t="array" ref="E1415">INDEX('Linha 03'!$B$4:$B$1000,B1415)</f>
        <v>Lava Roup. Aquafast Tradicional Cx/12 X 1l</v>
      </c>
      <c r="F1415" cm="1">
        <f t="array" ref="F1415">INDEX('Linha 03'!$C$3:$ZZ$3,C1415)</f>
        <v>20050078</v>
      </c>
      <c r="G1415" t="str" cm="1">
        <f t="array" ref="G1415">INDEX('Linha 03'!$C$2:$ZZ$2,C1415)</f>
        <v>Desinfetante Myata Floral Cx/06 X 2l</v>
      </c>
      <c r="H1415" s="5" cm="1">
        <f t="array" ref="H1415">INDEX('Linha 03'!$C$4:$ZZ$1000,B1415,C1415)</f>
        <v>0</v>
      </c>
    </row>
    <row r="1416" spans="1:8" x14ac:dyDescent="0.25">
      <c r="A1416">
        <v>1414</v>
      </c>
      <c r="B1416">
        <f t="shared" si="44"/>
        <v>35</v>
      </c>
      <c r="C1416">
        <f t="shared" si="45"/>
        <v>20</v>
      </c>
      <c r="D1416" cm="1">
        <f t="array" ref="D1416">INDEX('Linha 03'!$A$4:$A$1000,B1416)</f>
        <v>20200063</v>
      </c>
      <c r="E1416" t="str" cm="1">
        <f t="array" ref="E1416">INDEX('Linha 03'!$B$4:$B$1000,B1416)</f>
        <v>Lava Roup. Aquafast Tradicional Cx/12 X 1l</v>
      </c>
      <c r="F1416" cm="1">
        <f t="array" ref="F1416">INDEX('Linha 03'!$C$3:$ZZ$3,C1416)</f>
        <v>20050115</v>
      </c>
      <c r="G1416" t="str" cm="1">
        <f t="array" ref="G1416">INDEX('Linha 03'!$C$2:$ZZ$2,C1416)</f>
        <v>Desinfetante Aquafast Paixao Cx/06 X 2l</v>
      </c>
      <c r="H1416" s="5" cm="1">
        <f t="array" ref="H1416">INDEX('Linha 03'!$C$4:$ZZ$1000,B1416,C1416)</f>
        <v>0</v>
      </c>
    </row>
    <row r="1417" spans="1:8" x14ac:dyDescent="0.25">
      <c r="A1417">
        <v>1415</v>
      </c>
      <c r="B1417">
        <f t="shared" si="44"/>
        <v>35</v>
      </c>
      <c r="C1417">
        <f t="shared" si="45"/>
        <v>21</v>
      </c>
      <c r="D1417" cm="1">
        <f t="array" ref="D1417">INDEX('Linha 03'!$A$4:$A$1000,B1417)</f>
        <v>20200063</v>
      </c>
      <c r="E1417" t="str" cm="1">
        <f t="array" ref="E1417">INDEX('Linha 03'!$B$4:$B$1000,B1417)</f>
        <v>Lava Roup. Aquafast Tradicional Cx/12 X 1l</v>
      </c>
      <c r="F1417" cm="1">
        <f t="array" ref="F1417">INDEX('Linha 03'!$C$3:$ZZ$3,C1417)</f>
        <v>20050117</v>
      </c>
      <c r="G1417" t="str" cm="1">
        <f t="array" ref="G1417">INDEX('Linha 03'!$C$2:$ZZ$2,C1417)</f>
        <v>Desinfetante Aquafast Harmonia Natural Cx/06 X 2l</v>
      </c>
      <c r="H1417" s="5" cm="1">
        <f t="array" ref="H1417">INDEX('Linha 03'!$C$4:$ZZ$1000,B1417,C1417)</f>
        <v>0</v>
      </c>
    </row>
    <row r="1418" spans="1:8" x14ac:dyDescent="0.25">
      <c r="A1418">
        <v>1416</v>
      </c>
      <c r="B1418">
        <f t="shared" si="44"/>
        <v>35</v>
      </c>
      <c r="C1418">
        <f t="shared" si="45"/>
        <v>22</v>
      </c>
      <c r="D1418" cm="1">
        <f t="array" ref="D1418">INDEX('Linha 03'!$A$4:$A$1000,B1418)</f>
        <v>20200063</v>
      </c>
      <c r="E1418" t="str" cm="1">
        <f t="array" ref="E1418">INDEX('Linha 03'!$B$4:$B$1000,B1418)</f>
        <v>Lava Roup. Aquafast Tradicional Cx/12 X 1l</v>
      </c>
      <c r="F1418" cm="1">
        <f t="array" ref="F1418">INDEX('Linha 03'!$C$3:$ZZ$3,C1418)</f>
        <v>20050123</v>
      </c>
      <c r="G1418" t="str" cm="1">
        <f t="array" ref="G1418">INDEX('Linha 03'!$C$2:$ZZ$2,C1418)</f>
        <v>Desinfetante Ito Harmonia Natural Cx/06 X 2l</v>
      </c>
      <c r="H1418" s="5" cm="1">
        <f t="array" ref="H1418">INDEX('Linha 03'!$C$4:$ZZ$1000,B1418,C1418)</f>
        <v>0</v>
      </c>
    </row>
    <row r="1419" spans="1:8" x14ac:dyDescent="0.25">
      <c r="A1419">
        <v>1417</v>
      </c>
      <c r="B1419">
        <f t="shared" si="44"/>
        <v>35</v>
      </c>
      <c r="C1419">
        <f t="shared" si="45"/>
        <v>23</v>
      </c>
      <c r="D1419" cm="1">
        <f t="array" ref="D1419">INDEX('Linha 03'!$A$4:$A$1000,B1419)</f>
        <v>20200063</v>
      </c>
      <c r="E1419" t="str" cm="1">
        <f t="array" ref="E1419">INDEX('Linha 03'!$B$4:$B$1000,B1419)</f>
        <v>Lava Roup. Aquafast Tradicional Cx/12 X 1l</v>
      </c>
      <c r="F1419" cm="1">
        <f t="array" ref="F1419">INDEX('Linha 03'!$C$3:$ZZ$3,C1419)</f>
        <v>20050124</v>
      </c>
      <c r="G1419" t="str" cm="1">
        <f t="array" ref="G1419">INDEX('Linha 03'!$C$2:$ZZ$2,C1419)</f>
        <v>Desinfetante Myata Harmonia Natural Cx/06 X 2l</v>
      </c>
      <c r="H1419" s="5" cm="1">
        <f t="array" ref="H1419">INDEX('Linha 03'!$C$4:$ZZ$1000,B1419,C1419)</f>
        <v>0</v>
      </c>
    </row>
    <row r="1420" spans="1:8" x14ac:dyDescent="0.25">
      <c r="A1420">
        <v>1418</v>
      </c>
      <c r="B1420">
        <f t="shared" si="44"/>
        <v>35</v>
      </c>
      <c r="C1420">
        <f t="shared" si="45"/>
        <v>24</v>
      </c>
      <c r="D1420" cm="1">
        <f t="array" ref="D1420">INDEX('Linha 03'!$A$4:$A$1000,B1420)</f>
        <v>20200063</v>
      </c>
      <c r="E1420" t="str" cm="1">
        <f t="array" ref="E1420">INDEX('Linha 03'!$B$4:$B$1000,B1420)</f>
        <v>Lava Roup. Aquafast Tradicional Cx/12 X 1l</v>
      </c>
      <c r="F1420" cm="1">
        <f t="array" ref="F1420">INDEX('Linha 03'!$C$3:$ZZ$3,C1420)</f>
        <v>20050142</v>
      </c>
      <c r="G1420" t="str" cm="1">
        <f t="array" ref="G1420">INDEX('Linha 03'!$C$2:$ZZ$2,C1420)</f>
        <v>Desinfetante Ito Marine Cx/06 X 2l</v>
      </c>
      <c r="H1420" s="5" cm="1">
        <f t="array" ref="H1420">INDEX('Linha 03'!$C$4:$ZZ$1000,B1420,C1420)</f>
        <v>0</v>
      </c>
    </row>
    <row r="1421" spans="1:8" x14ac:dyDescent="0.25">
      <c r="A1421">
        <v>1419</v>
      </c>
      <c r="B1421">
        <f t="shared" si="44"/>
        <v>35</v>
      </c>
      <c r="C1421">
        <f t="shared" si="45"/>
        <v>25</v>
      </c>
      <c r="D1421" cm="1">
        <f t="array" ref="D1421">INDEX('Linha 03'!$A$4:$A$1000,B1421)</f>
        <v>20200063</v>
      </c>
      <c r="E1421" t="str" cm="1">
        <f t="array" ref="E1421">INDEX('Linha 03'!$B$4:$B$1000,B1421)</f>
        <v>Lava Roup. Aquafast Tradicional Cx/12 X 1l</v>
      </c>
      <c r="F1421" cm="1">
        <f t="array" ref="F1421">INDEX('Linha 03'!$C$3:$ZZ$3,C1421)</f>
        <v>20050159</v>
      </c>
      <c r="G1421" t="str" cm="1">
        <f t="array" ref="G1421">INDEX('Linha 03'!$C$2:$ZZ$2,C1421)</f>
        <v>Desinfetante Aquafast Cha Branco Cx/06 X 2l</v>
      </c>
      <c r="H1421" s="5" cm="1">
        <f t="array" ref="H1421">INDEX('Linha 03'!$C$4:$ZZ$1000,B1421,C1421)</f>
        <v>1.38888888888889E-2</v>
      </c>
    </row>
    <row r="1422" spans="1:8" x14ac:dyDescent="0.25">
      <c r="A1422">
        <v>1420</v>
      </c>
      <c r="B1422">
        <f t="shared" si="44"/>
        <v>35</v>
      </c>
      <c r="C1422">
        <f t="shared" si="45"/>
        <v>26</v>
      </c>
      <c r="D1422" cm="1">
        <f t="array" ref="D1422">INDEX('Linha 03'!$A$4:$A$1000,B1422)</f>
        <v>20200063</v>
      </c>
      <c r="E1422" t="str" cm="1">
        <f t="array" ref="E1422">INDEX('Linha 03'!$B$4:$B$1000,B1422)</f>
        <v>Lava Roup. Aquafast Tradicional Cx/12 X 1l</v>
      </c>
      <c r="F1422" cm="1">
        <f t="array" ref="F1422">INDEX('Linha 03'!$C$3:$ZZ$3,C1422)</f>
        <v>20060007</v>
      </c>
      <c r="G1422" t="str" cm="1">
        <f t="array" ref="G1422">INDEX('Linha 03'!$C$2:$ZZ$2,C1422)</f>
        <v>Limp Perf Aquafast Magia Seducao Cx/06 X 2l (Promoc)</v>
      </c>
      <c r="H1422" s="5" cm="1">
        <f t="array" ref="H1422">INDEX('Linha 03'!$C$4:$ZZ$1000,B1422,C1422)</f>
        <v>0</v>
      </c>
    </row>
    <row r="1423" spans="1:8" x14ac:dyDescent="0.25">
      <c r="A1423">
        <v>1421</v>
      </c>
      <c r="B1423">
        <f t="shared" si="44"/>
        <v>35</v>
      </c>
      <c r="C1423">
        <f t="shared" si="45"/>
        <v>27</v>
      </c>
      <c r="D1423" cm="1">
        <f t="array" ref="D1423">INDEX('Linha 03'!$A$4:$A$1000,B1423)</f>
        <v>20200063</v>
      </c>
      <c r="E1423" t="str" cm="1">
        <f t="array" ref="E1423">INDEX('Linha 03'!$B$4:$B$1000,B1423)</f>
        <v>Lava Roup. Aquafast Tradicional Cx/12 X 1l</v>
      </c>
      <c r="F1423" cm="1">
        <f t="array" ref="F1423">INDEX('Linha 03'!$C$3:$ZZ$3,C1423)</f>
        <v>20060009</v>
      </c>
      <c r="G1423" t="str" cm="1">
        <f t="array" ref="G1423">INDEX('Linha 03'!$C$2:$ZZ$2,C1423)</f>
        <v>Limp Perf Aquafast Frescor Da Manha Cx/06 X 2l (Promoc)</v>
      </c>
      <c r="H1423" s="5" cm="1">
        <f t="array" ref="H1423">INDEX('Linha 03'!$C$4:$ZZ$1000,B1423,C1423)</f>
        <v>0</v>
      </c>
    </row>
    <row r="1424" spans="1:8" x14ac:dyDescent="0.25">
      <c r="A1424">
        <v>1422</v>
      </c>
      <c r="B1424">
        <f t="shared" si="44"/>
        <v>35</v>
      </c>
      <c r="C1424">
        <f t="shared" si="45"/>
        <v>28</v>
      </c>
      <c r="D1424" cm="1">
        <f t="array" ref="D1424">INDEX('Linha 03'!$A$4:$A$1000,B1424)</f>
        <v>20200063</v>
      </c>
      <c r="E1424" t="str" cm="1">
        <f t="array" ref="E1424">INDEX('Linha 03'!$B$4:$B$1000,B1424)</f>
        <v>Lava Roup. Aquafast Tradicional Cx/12 X 1l</v>
      </c>
      <c r="F1424" cm="1">
        <f t="array" ref="F1424">INDEX('Linha 03'!$C$3:$ZZ$3,C1424)</f>
        <v>20060017</v>
      </c>
      <c r="G1424" t="str" cm="1">
        <f t="array" ref="G1424">INDEX('Linha 03'!$C$2:$ZZ$2,C1424)</f>
        <v>Limp Perf Aquafast Doce Romance Cx/06 X 2l (Promoc)</v>
      </c>
      <c r="H1424" s="5" cm="1">
        <f t="array" ref="H1424">INDEX('Linha 03'!$C$4:$ZZ$1000,B1424,C1424)</f>
        <v>0</v>
      </c>
    </row>
    <row r="1425" spans="1:8" x14ac:dyDescent="0.25">
      <c r="A1425">
        <v>1423</v>
      </c>
      <c r="B1425">
        <f t="shared" si="44"/>
        <v>35</v>
      </c>
      <c r="C1425">
        <f t="shared" si="45"/>
        <v>29</v>
      </c>
      <c r="D1425" cm="1">
        <f t="array" ref="D1425">INDEX('Linha 03'!$A$4:$A$1000,B1425)</f>
        <v>20200063</v>
      </c>
      <c r="E1425" t="str" cm="1">
        <f t="array" ref="E1425">INDEX('Linha 03'!$B$4:$B$1000,B1425)</f>
        <v>Lava Roup. Aquafast Tradicional Cx/12 X 1l</v>
      </c>
      <c r="F1425" cm="1">
        <f t="array" ref="F1425">INDEX('Linha 03'!$C$3:$ZZ$3,C1425)</f>
        <v>20060028</v>
      </c>
      <c r="G1425" t="str" cm="1">
        <f t="array" ref="G1425">INDEX('Linha 03'!$C$2:$ZZ$2,C1425)</f>
        <v>Limp Perf Aquafast Essencia Natural Cx06 X 2l</v>
      </c>
      <c r="H1425" s="5" cm="1">
        <f t="array" ref="H1425">INDEX('Linha 03'!$C$4:$ZZ$1000,B1425,C1425)</f>
        <v>0</v>
      </c>
    </row>
    <row r="1426" spans="1:8" x14ac:dyDescent="0.25">
      <c r="A1426">
        <v>1424</v>
      </c>
      <c r="B1426">
        <f t="shared" si="44"/>
        <v>35</v>
      </c>
      <c r="C1426">
        <f t="shared" si="45"/>
        <v>30</v>
      </c>
      <c r="D1426" cm="1">
        <f t="array" ref="D1426">INDEX('Linha 03'!$A$4:$A$1000,B1426)</f>
        <v>20200063</v>
      </c>
      <c r="E1426" t="str" cm="1">
        <f t="array" ref="E1426">INDEX('Linha 03'!$B$4:$B$1000,B1426)</f>
        <v>Lava Roup. Aquafast Tradicional Cx/12 X 1l</v>
      </c>
      <c r="F1426" cm="1">
        <f t="array" ref="F1426">INDEX('Linha 03'!$C$3:$ZZ$3,C1426)</f>
        <v>20200003</v>
      </c>
      <c r="G1426" t="str" cm="1">
        <f t="array" ref="G1426">INDEX('Linha 03'!$C$2:$ZZ$2,C1426)</f>
        <v>Lava Roup. Aquafast Baby Cx/12 X 1l</v>
      </c>
      <c r="H1426" s="5" cm="1">
        <f t="array" ref="H1426">INDEX('Linha 03'!$C$4:$ZZ$1000,B1426,C1426)</f>
        <v>0</v>
      </c>
    </row>
    <row r="1427" spans="1:8" x14ac:dyDescent="0.25">
      <c r="A1427">
        <v>1425</v>
      </c>
      <c r="B1427">
        <f t="shared" si="44"/>
        <v>35</v>
      </c>
      <c r="C1427">
        <f t="shared" si="45"/>
        <v>31</v>
      </c>
      <c r="D1427" cm="1">
        <f t="array" ref="D1427">INDEX('Linha 03'!$A$4:$A$1000,B1427)</f>
        <v>20200063</v>
      </c>
      <c r="E1427" t="str" cm="1">
        <f t="array" ref="E1427">INDEX('Linha 03'!$B$4:$B$1000,B1427)</f>
        <v>Lava Roup. Aquafast Tradicional Cx/12 X 1l</v>
      </c>
      <c r="F1427" cm="1">
        <f t="array" ref="F1427">INDEX('Linha 03'!$C$3:$ZZ$3,C1427)</f>
        <v>20200005</v>
      </c>
      <c r="G1427" t="str" cm="1">
        <f t="array" ref="G1427">INDEX('Linha 03'!$C$2:$ZZ$2,C1427)</f>
        <v>Lava Roupas Aquafast Multi Acao Cx/06 X 2l</v>
      </c>
      <c r="H1427" s="5" cm="1">
        <f t="array" ref="H1427">INDEX('Linha 03'!$C$4:$ZZ$1000,B1427,C1427)</f>
        <v>0</v>
      </c>
    </row>
    <row r="1428" spans="1:8" x14ac:dyDescent="0.25">
      <c r="A1428">
        <v>1426</v>
      </c>
      <c r="B1428">
        <f t="shared" si="44"/>
        <v>35</v>
      </c>
      <c r="C1428">
        <f t="shared" si="45"/>
        <v>32</v>
      </c>
      <c r="D1428" cm="1">
        <f t="array" ref="D1428">INDEX('Linha 03'!$A$4:$A$1000,B1428)</f>
        <v>20200063</v>
      </c>
      <c r="E1428" t="str" cm="1">
        <f t="array" ref="E1428">INDEX('Linha 03'!$B$4:$B$1000,B1428)</f>
        <v>Lava Roup. Aquafast Tradicional Cx/12 X 1l</v>
      </c>
      <c r="F1428" cm="1">
        <f t="array" ref="F1428">INDEX('Linha 03'!$C$3:$ZZ$3,C1428)</f>
        <v>20200006</v>
      </c>
      <c r="G1428" t="str" cm="1">
        <f t="array" ref="G1428">INDEX('Linha 03'!$C$2:$ZZ$2,C1428)</f>
        <v>Lava Roupas Aquafast Glicerina Cx/06 X 2l</v>
      </c>
      <c r="H1428" s="5" cm="1">
        <f t="array" ref="H1428">INDEX('Linha 03'!$C$4:$ZZ$1000,B1428,C1428)</f>
        <v>0</v>
      </c>
    </row>
    <row r="1429" spans="1:8" x14ac:dyDescent="0.25">
      <c r="A1429">
        <v>1427</v>
      </c>
      <c r="B1429">
        <f t="shared" si="44"/>
        <v>35</v>
      </c>
      <c r="C1429">
        <f t="shared" si="45"/>
        <v>33</v>
      </c>
      <c r="D1429" cm="1">
        <f t="array" ref="D1429">INDEX('Linha 03'!$A$4:$A$1000,B1429)</f>
        <v>20200063</v>
      </c>
      <c r="E1429" t="str" cm="1">
        <f t="array" ref="E1429">INDEX('Linha 03'!$B$4:$B$1000,B1429)</f>
        <v>Lava Roup. Aquafast Tradicional Cx/12 X 1l</v>
      </c>
      <c r="F1429" cm="1">
        <f t="array" ref="F1429">INDEX('Linha 03'!$C$3:$ZZ$3,C1429)</f>
        <v>20200015</v>
      </c>
      <c r="G1429" t="str" cm="1">
        <f t="array" ref="G1429">INDEX('Linha 03'!$C$2:$ZZ$2,C1429)</f>
        <v>Lava Roup. Aquafast Multiacao Cx/12 X 1l</v>
      </c>
      <c r="H1429" s="5" cm="1">
        <f t="array" ref="H1429">INDEX('Linha 03'!$C$4:$ZZ$1000,B1429,C1429)</f>
        <v>0</v>
      </c>
    </row>
    <row r="1430" spans="1:8" x14ac:dyDescent="0.25">
      <c r="A1430">
        <v>1428</v>
      </c>
      <c r="B1430">
        <f t="shared" si="44"/>
        <v>35</v>
      </c>
      <c r="C1430">
        <f t="shared" si="45"/>
        <v>34</v>
      </c>
      <c r="D1430" cm="1">
        <f t="array" ref="D1430">INDEX('Linha 03'!$A$4:$A$1000,B1430)</f>
        <v>20200063</v>
      </c>
      <c r="E1430" t="str" cm="1">
        <f t="array" ref="E1430">INDEX('Linha 03'!$B$4:$B$1000,B1430)</f>
        <v>Lava Roup. Aquafast Tradicional Cx/12 X 1l</v>
      </c>
      <c r="F1430" cm="1">
        <f t="array" ref="F1430">INDEX('Linha 03'!$C$3:$ZZ$3,C1430)</f>
        <v>20200036</v>
      </c>
      <c r="G1430" t="str" cm="1">
        <f t="array" ref="G1430">INDEX('Linha 03'!$C$2:$ZZ$2,C1430)</f>
        <v>Lava Roupas Aquafast Ternura Cx/06 X 2l</v>
      </c>
      <c r="H1430" s="5" cm="1">
        <f t="array" ref="H1430">INDEX('Linha 03'!$C$4:$ZZ$1000,B1430,C1430)</f>
        <v>0</v>
      </c>
    </row>
    <row r="1431" spans="1:8" x14ac:dyDescent="0.25">
      <c r="A1431">
        <v>1429</v>
      </c>
      <c r="B1431">
        <f t="shared" si="44"/>
        <v>35</v>
      </c>
      <c r="C1431">
        <f t="shared" si="45"/>
        <v>35</v>
      </c>
      <c r="D1431" cm="1">
        <f t="array" ref="D1431">INDEX('Linha 03'!$A$4:$A$1000,B1431)</f>
        <v>20200063</v>
      </c>
      <c r="E1431" t="str" cm="1">
        <f t="array" ref="E1431">INDEX('Linha 03'!$B$4:$B$1000,B1431)</f>
        <v>Lava Roup. Aquafast Tradicional Cx/12 X 1l</v>
      </c>
      <c r="F1431" cm="1">
        <f t="array" ref="F1431">INDEX('Linha 03'!$C$3:$ZZ$3,C1431)</f>
        <v>20200063</v>
      </c>
      <c r="G1431" t="str" cm="1">
        <f t="array" ref="G1431">INDEX('Linha 03'!$C$2:$ZZ$2,C1431)</f>
        <v>Lava Roup. Aquafast Tradicional Cx/12 X 1l</v>
      </c>
      <c r="H1431" s="5" cm="1">
        <f t="array" ref="H1431">INDEX('Linha 03'!$C$4:$ZZ$1000,B1431,C1431)</f>
        <v>0</v>
      </c>
    </row>
    <row r="1432" spans="1:8" x14ac:dyDescent="0.25">
      <c r="A1432">
        <v>1430</v>
      </c>
      <c r="B1432">
        <f t="shared" si="44"/>
        <v>35</v>
      </c>
      <c r="C1432">
        <f t="shared" si="45"/>
        <v>36</v>
      </c>
      <c r="D1432" cm="1">
        <f t="array" ref="D1432">INDEX('Linha 03'!$A$4:$A$1000,B1432)</f>
        <v>20200063</v>
      </c>
      <c r="E1432" t="str" cm="1">
        <f t="array" ref="E1432">INDEX('Linha 03'!$B$4:$B$1000,B1432)</f>
        <v>Lava Roup. Aquafast Tradicional Cx/12 X 1l</v>
      </c>
      <c r="F1432" cm="1">
        <f t="array" ref="F1432">INDEX('Linha 03'!$C$3:$ZZ$3,C1432)</f>
        <v>20200064</v>
      </c>
      <c r="G1432" t="str" cm="1">
        <f t="array" ref="G1432">INDEX('Linha 03'!$C$2:$ZZ$2,C1432)</f>
        <v>Lava Roup. Aquafast Flores B. E Baunilha Cx/12 X 1l</v>
      </c>
      <c r="H1432" s="5" cm="1">
        <f t="array" ref="H1432">INDEX('Linha 03'!$C$4:$ZZ$1000,B1432,C1432)</f>
        <v>0</v>
      </c>
    </row>
    <row r="1433" spans="1:8" x14ac:dyDescent="0.25">
      <c r="A1433">
        <v>1431</v>
      </c>
      <c r="B1433">
        <f t="shared" si="44"/>
        <v>35</v>
      </c>
      <c r="C1433">
        <f t="shared" si="45"/>
        <v>37</v>
      </c>
      <c r="D1433" cm="1">
        <f t="array" ref="D1433">INDEX('Linha 03'!$A$4:$A$1000,B1433)</f>
        <v>20200063</v>
      </c>
      <c r="E1433" t="str" cm="1">
        <f t="array" ref="E1433">INDEX('Linha 03'!$B$4:$B$1000,B1433)</f>
        <v>Lava Roup. Aquafast Tradicional Cx/12 X 1l</v>
      </c>
      <c r="F1433" cm="1">
        <f t="array" ref="F1433">INDEX('Linha 03'!$C$3:$ZZ$3,C1433)</f>
        <v>20200065</v>
      </c>
      <c r="G1433" t="str" cm="1">
        <f t="array" ref="G1433">INDEX('Linha 03'!$C$2:$ZZ$2,C1433)</f>
        <v>Lava Roupas Aquafast Flores B. E Baunilha Cx/06 X 2l</v>
      </c>
      <c r="H1433" s="5" cm="1">
        <f t="array" ref="H1433">INDEX('Linha 03'!$C$4:$ZZ$1000,B1433,C1433)</f>
        <v>0</v>
      </c>
    </row>
    <row r="1434" spans="1:8" x14ac:dyDescent="0.25">
      <c r="A1434">
        <v>1432</v>
      </c>
      <c r="B1434">
        <f t="shared" si="44"/>
        <v>35</v>
      </c>
      <c r="C1434">
        <f t="shared" si="45"/>
        <v>38</v>
      </c>
      <c r="D1434" cm="1">
        <f t="array" ref="D1434">INDEX('Linha 03'!$A$4:$A$1000,B1434)</f>
        <v>20200063</v>
      </c>
      <c r="E1434" t="str" cm="1">
        <f t="array" ref="E1434">INDEX('Linha 03'!$B$4:$B$1000,B1434)</f>
        <v>Lava Roup. Aquafast Tradicional Cx/12 X 1l</v>
      </c>
      <c r="F1434" cm="1">
        <f t="array" ref="F1434">INDEX('Linha 03'!$C$3:$ZZ$3,C1434)</f>
        <v>20200072</v>
      </c>
      <c r="G1434" t="str" cm="1">
        <f t="array" ref="G1434">INDEX('Linha 03'!$C$2:$ZZ$2,C1434)</f>
        <v>Lava Roupas Aquafast Lavagem Rapida Total Clean Cx/12 X 1l</v>
      </c>
      <c r="H1434" s="5" cm="1">
        <f t="array" ref="H1434">INDEX('Linha 03'!$C$4:$ZZ$1000,B1434,C1434)</f>
        <v>0</v>
      </c>
    </row>
    <row r="1435" spans="1:8" x14ac:dyDescent="0.25">
      <c r="A1435">
        <v>1433</v>
      </c>
      <c r="B1435">
        <f t="shared" si="44"/>
        <v>35</v>
      </c>
      <c r="C1435">
        <f t="shared" si="45"/>
        <v>39</v>
      </c>
      <c r="D1435" cm="1">
        <f t="array" ref="D1435">INDEX('Linha 03'!$A$4:$A$1000,B1435)</f>
        <v>20200063</v>
      </c>
      <c r="E1435" t="str" cm="1">
        <f t="array" ref="E1435">INDEX('Linha 03'!$B$4:$B$1000,B1435)</f>
        <v>Lava Roup. Aquafast Tradicional Cx/12 X 1l</v>
      </c>
      <c r="F1435" cm="1">
        <f t="array" ref="F1435">INDEX('Linha 03'!$C$3:$ZZ$3,C1435)</f>
        <v>20200074</v>
      </c>
      <c r="G1435" t="str" cm="1">
        <f t="array" ref="G1435">INDEX('Linha 03'!$C$2:$ZZ$2,C1435)</f>
        <v>Lava Roupas Aquafast Lavagem Rapida Fresh Clean Cx/12 X 1l</v>
      </c>
      <c r="H1435" s="5" cm="1">
        <f t="array" ref="H1435">INDEX('Linha 03'!$C$4:$ZZ$1000,B1435,C1435)</f>
        <v>0</v>
      </c>
    </row>
    <row r="1436" spans="1:8" x14ac:dyDescent="0.25">
      <c r="A1436">
        <v>1434</v>
      </c>
      <c r="B1436">
        <f t="shared" si="44"/>
        <v>35</v>
      </c>
      <c r="C1436">
        <f t="shared" si="45"/>
        <v>40</v>
      </c>
      <c r="D1436" cm="1">
        <f t="array" ref="D1436">INDEX('Linha 03'!$A$4:$A$1000,B1436)</f>
        <v>20200063</v>
      </c>
      <c r="E1436" t="str" cm="1">
        <f t="array" ref="E1436">INDEX('Linha 03'!$B$4:$B$1000,B1436)</f>
        <v>Lava Roup. Aquafast Tradicional Cx/12 X 1l</v>
      </c>
      <c r="F1436" cm="1">
        <f t="array" ref="F1436">INDEX('Linha 03'!$C$3:$ZZ$3,C1436)</f>
        <v>20250005</v>
      </c>
      <c r="G1436" t="str" cm="1">
        <f t="array" ref="G1436">INDEX('Linha 03'!$C$2:$ZZ$2,C1436)</f>
        <v>Neutralizador De Odores Aquafast Floral Cx/06 X 2l</v>
      </c>
      <c r="H1436" s="5" cm="1">
        <f t="array" ref="H1436">INDEX('Linha 03'!$C$4:$ZZ$1000,B1436,C1436)</f>
        <v>0</v>
      </c>
    </row>
    <row r="1437" spans="1:8" x14ac:dyDescent="0.25">
      <c r="A1437">
        <v>1435</v>
      </c>
      <c r="B1437">
        <f t="shared" si="44"/>
        <v>35</v>
      </c>
      <c r="C1437">
        <f t="shared" si="45"/>
        <v>41</v>
      </c>
      <c r="D1437" cm="1">
        <f t="array" ref="D1437">INDEX('Linha 03'!$A$4:$A$1000,B1437)</f>
        <v>20200063</v>
      </c>
      <c r="E1437" t="str" cm="1">
        <f t="array" ref="E1437">INDEX('Linha 03'!$B$4:$B$1000,B1437)</f>
        <v>Lava Roup. Aquafast Tradicional Cx/12 X 1l</v>
      </c>
      <c r="F1437" cm="1">
        <f t="array" ref="F1437">INDEX('Linha 03'!$C$3:$ZZ$3,C1437)</f>
        <v>20250007</v>
      </c>
      <c r="G1437" t="str" cm="1">
        <f t="array" ref="G1437">INDEX('Linha 03'!$C$2:$ZZ$2,C1437)</f>
        <v>Neutralizador De Odores Aquafast Marine Cx/06 2l</v>
      </c>
      <c r="H1437" s="5" cm="1">
        <f t="array" ref="H1437">INDEX('Linha 03'!$C$4:$ZZ$1000,B1437,C1437)</f>
        <v>0</v>
      </c>
    </row>
    <row r="1438" spans="1:8" x14ac:dyDescent="0.25">
      <c r="A1438">
        <v>1436</v>
      </c>
      <c r="B1438">
        <f t="shared" si="44"/>
        <v>36</v>
      </c>
      <c r="C1438">
        <f t="shared" si="45"/>
        <v>1</v>
      </c>
      <c r="D1438" cm="1">
        <f t="array" ref="D1438">INDEX('Linha 03'!$A$4:$A$1000,B1438)</f>
        <v>20200064</v>
      </c>
      <c r="E1438" t="str" cm="1">
        <f t="array" ref="E1438">INDEX('Linha 03'!$B$4:$B$1000,B1438)</f>
        <v>Lava Roup. Aquafast Flores B. E Baunilha Cx/12 X 1l</v>
      </c>
      <c r="F1438" cm="1">
        <f t="array" ref="F1438">INDEX('Linha 03'!$C$3:$ZZ$3,C1438)</f>
        <v>20040006</v>
      </c>
      <c r="G1438" t="str" cm="1">
        <f t="array" ref="G1438">INDEX('Linha 03'!$C$2:$ZZ$2,C1438)</f>
        <v>Amaciante Aquafast Azul Fresc. Manha Cx/06 X 2l</v>
      </c>
      <c r="H1438" s="5" cm="1">
        <f t="array" ref="H1438">INDEX('Linha 03'!$C$4:$ZZ$1000,B1438,C1438)</f>
        <v>0</v>
      </c>
    </row>
    <row r="1439" spans="1:8" x14ac:dyDescent="0.25">
      <c r="A1439">
        <v>1437</v>
      </c>
      <c r="B1439">
        <f t="shared" si="44"/>
        <v>36</v>
      </c>
      <c r="C1439">
        <f t="shared" si="45"/>
        <v>2</v>
      </c>
      <c r="D1439" cm="1">
        <f t="array" ref="D1439">INDEX('Linha 03'!$A$4:$A$1000,B1439)</f>
        <v>20200064</v>
      </c>
      <c r="E1439" t="str" cm="1">
        <f t="array" ref="E1439">INDEX('Linha 03'!$B$4:$B$1000,B1439)</f>
        <v>Lava Roup. Aquafast Flores B. E Baunilha Cx/12 X 1l</v>
      </c>
      <c r="F1439" cm="1">
        <f t="array" ref="F1439">INDEX('Linha 03'!$C$3:$ZZ$3,C1439)</f>
        <v>20040008</v>
      </c>
      <c r="G1439" t="str" cm="1">
        <f t="array" ref="G1439">INDEX('Linha 03'!$C$2:$ZZ$2,C1439)</f>
        <v>Amaciante Aquafast Rosa Jard. Florid Cx/06 X 2l</v>
      </c>
      <c r="H1439" s="5" cm="1">
        <f t="array" ref="H1439">INDEX('Linha 03'!$C$4:$ZZ$1000,B1439,C1439)</f>
        <v>0</v>
      </c>
    </row>
    <row r="1440" spans="1:8" x14ac:dyDescent="0.25">
      <c r="A1440">
        <v>1438</v>
      </c>
      <c r="B1440">
        <f t="shared" si="44"/>
        <v>36</v>
      </c>
      <c r="C1440">
        <f t="shared" si="45"/>
        <v>3</v>
      </c>
      <c r="D1440" cm="1">
        <f t="array" ref="D1440">INDEX('Linha 03'!$A$4:$A$1000,B1440)</f>
        <v>20200064</v>
      </c>
      <c r="E1440" t="str" cm="1">
        <f t="array" ref="E1440">INDEX('Linha 03'!$B$4:$B$1000,B1440)</f>
        <v>Lava Roup. Aquafast Flores B. E Baunilha Cx/12 X 1l</v>
      </c>
      <c r="F1440" cm="1">
        <f t="array" ref="F1440">INDEX('Linha 03'!$C$3:$ZZ$3,C1440)</f>
        <v>20040009</v>
      </c>
      <c r="G1440" t="str" cm="1">
        <f t="array" ref="G1440">INDEX('Linha 03'!$C$2:$ZZ$2,C1440)</f>
        <v>Amaciante Aquafast Branco Pura Caric. Cx/06 X 2l</v>
      </c>
      <c r="H1440" s="5" cm="1">
        <f t="array" ref="H1440">INDEX('Linha 03'!$C$4:$ZZ$1000,B1440,C1440)</f>
        <v>0</v>
      </c>
    </row>
    <row r="1441" spans="1:8" x14ac:dyDescent="0.25">
      <c r="A1441">
        <v>1439</v>
      </c>
      <c r="B1441">
        <f t="shared" si="44"/>
        <v>36</v>
      </c>
      <c r="C1441">
        <f t="shared" si="45"/>
        <v>4</v>
      </c>
      <c r="D1441" cm="1">
        <f t="array" ref="D1441">INDEX('Linha 03'!$A$4:$A$1000,B1441)</f>
        <v>20200064</v>
      </c>
      <c r="E1441" t="str" cm="1">
        <f t="array" ref="E1441">INDEX('Linha 03'!$B$4:$B$1000,B1441)</f>
        <v>Lava Roup. Aquafast Flores B. E Baunilha Cx/12 X 1l</v>
      </c>
      <c r="F1441" cm="1">
        <f t="array" ref="F1441">INDEX('Linha 03'!$C$3:$ZZ$3,C1441)</f>
        <v>20040026</v>
      </c>
      <c r="G1441" t="str" cm="1">
        <f t="array" ref="G1441">INDEX('Linha 03'!$C$2:$ZZ$2,C1441)</f>
        <v>Amaciante Ito Azul Cx/06 X 2l</v>
      </c>
      <c r="H1441" s="5" cm="1">
        <f t="array" ref="H1441">INDEX('Linha 03'!$C$4:$ZZ$1000,B1441,C1441)</f>
        <v>0</v>
      </c>
    </row>
    <row r="1442" spans="1:8" x14ac:dyDescent="0.25">
      <c r="A1442">
        <v>1440</v>
      </c>
      <c r="B1442">
        <f t="shared" si="44"/>
        <v>36</v>
      </c>
      <c r="C1442">
        <f t="shared" si="45"/>
        <v>5</v>
      </c>
      <c r="D1442" cm="1">
        <f t="array" ref="D1442">INDEX('Linha 03'!$A$4:$A$1000,B1442)</f>
        <v>20200064</v>
      </c>
      <c r="E1442" t="str" cm="1">
        <f t="array" ref="E1442">INDEX('Linha 03'!$B$4:$B$1000,B1442)</f>
        <v>Lava Roup. Aquafast Flores B. E Baunilha Cx/12 X 1l</v>
      </c>
      <c r="F1442" cm="1">
        <f t="array" ref="F1442">INDEX('Linha 03'!$C$3:$ZZ$3,C1442)</f>
        <v>20040028</v>
      </c>
      <c r="G1442" t="str" cm="1">
        <f t="array" ref="G1442">INDEX('Linha 03'!$C$2:$ZZ$2,C1442)</f>
        <v>Amaciante Ito Rosa Cx/06 X 2l</v>
      </c>
      <c r="H1442" s="5" cm="1">
        <f t="array" ref="H1442">INDEX('Linha 03'!$C$4:$ZZ$1000,B1442,C1442)</f>
        <v>0</v>
      </c>
    </row>
    <row r="1443" spans="1:8" x14ac:dyDescent="0.25">
      <c r="A1443">
        <v>1441</v>
      </c>
      <c r="B1443">
        <f t="shared" si="44"/>
        <v>36</v>
      </c>
      <c r="C1443">
        <f t="shared" si="45"/>
        <v>6</v>
      </c>
      <c r="D1443" cm="1">
        <f t="array" ref="D1443">INDEX('Linha 03'!$A$4:$A$1000,B1443)</f>
        <v>20200064</v>
      </c>
      <c r="E1443" t="str" cm="1">
        <f t="array" ref="E1443">INDEX('Linha 03'!$B$4:$B$1000,B1443)</f>
        <v>Lava Roup. Aquafast Flores B. E Baunilha Cx/12 X 1l</v>
      </c>
      <c r="F1443" cm="1">
        <f t="array" ref="F1443">INDEX('Linha 03'!$C$3:$ZZ$3,C1443)</f>
        <v>20040029</v>
      </c>
      <c r="G1443" t="str" cm="1">
        <f t="array" ref="G1443">INDEX('Linha 03'!$C$2:$ZZ$2,C1443)</f>
        <v>Amaciante Ito Branco Cx/06 X 2l</v>
      </c>
      <c r="H1443" s="5" cm="1">
        <f t="array" ref="H1443">INDEX('Linha 03'!$C$4:$ZZ$1000,B1443,C1443)</f>
        <v>0</v>
      </c>
    </row>
    <row r="1444" spans="1:8" x14ac:dyDescent="0.25">
      <c r="A1444">
        <v>1442</v>
      </c>
      <c r="B1444">
        <f t="shared" si="44"/>
        <v>36</v>
      </c>
      <c r="C1444">
        <f t="shared" si="45"/>
        <v>7</v>
      </c>
      <c r="D1444" cm="1">
        <f t="array" ref="D1444">INDEX('Linha 03'!$A$4:$A$1000,B1444)</f>
        <v>20200064</v>
      </c>
      <c r="E1444" t="str" cm="1">
        <f t="array" ref="E1444">INDEX('Linha 03'!$B$4:$B$1000,B1444)</f>
        <v>Lava Roup. Aquafast Flores B. E Baunilha Cx/12 X 1l</v>
      </c>
      <c r="F1444" cm="1">
        <f t="array" ref="F1444">INDEX('Linha 03'!$C$3:$ZZ$3,C1444)</f>
        <v>20040055</v>
      </c>
      <c r="G1444" t="str" cm="1">
        <f t="array" ref="G1444">INDEX('Linha 03'!$C$2:$ZZ$2,C1444)</f>
        <v>Amaciante Myata Azul Cx/06 X 2l</v>
      </c>
      <c r="H1444" s="5" cm="1">
        <f t="array" ref="H1444">INDEX('Linha 03'!$C$4:$ZZ$1000,B1444,C1444)</f>
        <v>0</v>
      </c>
    </row>
    <row r="1445" spans="1:8" x14ac:dyDescent="0.25">
      <c r="A1445">
        <v>1443</v>
      </c>
      <c r="B1445">
        <f t="shared" si="44"/>
        <v>36</v>
      </c>
      <c r="C1445">
        <f t="shared" si="45"/>
        <v>8</v>
      </c>
      <c r="D1445" cm="1">
        <f t="array" ref="D1445">INDEX('Linha 03'!$A$4:$A$1000,B1445)</f>
        <v>20200064</v>
      </c>
      <c r="E1445" t="str" cm="1">
        <f t="array" ref="E1445">INDEX('Linha 03'!$B$4:$B$1000,B1445)</f>
        <v>Lava Roup. Aquafast Flores B. E Baunilha Cx/12 X 1l</v>
      </c>
      <c r="F1445" cm="1">
        <f t="array" ref="F1445">INDEX('Linha 03'!$C$3:$ZZ$3,C1445)</f>
        <v>20040057</v>
      </c>
      <c r="G1445" t="str" cm="1">
        <f t="array" ref="G1445">INDEX('Linha 03'!$C$2:$ZZ$2,C1445)</f>
        <v>Amaciante Myata Rosa Cx/06 X 2l</v>
      </c>
      <c r="H1445" s="5" cm="1">
        <f t="array" ref="H1445">INDEX('Linha 03'!$C$4:$ZZ$1000,B1445,C1445)</f>
        <v>0</v>
      </c>
    </row>
    <row r="1446" spans="1:8" x14ac:dyDescent="0.25">
      <c r="A1446">
        <v>1444</v>
      </c>
      <c r="B1446">
        <f t="shared" si="44"/>
        <v>36</v>
      </c>
      <c r="C1446">
        <f t="shared" si="45"/>
        <v>9</v>
      </c>
      <c r="D1446" cm="1">
        <f t="array" ref="D1446">INDEX('Linha 03'!$A$4:$A$1000,B1446)</f>
        <v>20200064</v>
      </c>
      <c r="E1446" t="str" cm="1">
        <f t="array" ref="E1446">INDEX('Linha 03'!$B$4:$B$1000,B1446)</f>
        <v>Lava Roup. Aquafast Flores B. E Baunilha Cx/12 X 1l</v>
      </c>
      <c r="F1446" cm="1">
        <f t="array" ref="F1446">INDEX('Linha 03'!$C$3:$ZZ$3,C1446)</f>
        <v>20040084</v>
      </c>
      <c r="G1446" t="str" cm="1">
        <f t="array" ref="G1446">INDEX('Linha 03'!$C$2:$ZZ$2,C1446)</f>
        <v>Amaciante Aquafast Vermelho Seducao Cx C/06 X 2l</v>
      </c>
      <c r="H1446" s="5" cm="1">
        <f t="array" ref="H1446">INDEX('Linha 03'!$C$4:$ZZ$1000,B1446,C1446)</f>
        <v>0</v>
      </c>
    </row>
    <row r="1447" spans="1:8" x14ac:dyDescent="0.25">
      <c r="A1447">
        <v>1445</v>
      </c>
      <c r="B1447">
        <f t="shared" si="44"/>
        <v>36</v>
      </c>
      <c r="C1447">
        <f t="shared" si="45"/>
        <v>10</v>
      </c>
      <c r="D1447" cm="1">
        <f t="array" ref="D1447">INDEX('Linha 03'!$A$4:$A$1000,B1447)</f>
        <v>20200064</v>
      </c>
      <c r="E1447" t="str" cm="1">
        <f t="array" ref="E1447">INDEX('Linha 03'!$B$4:$B$1000,B1447)</f>
        <v>Lava Roup. Aquafast Flores B. E Baunilha Cx/12 X 1l</v>
      </c>
      <c r="F1447" cm="1">
        <f t="array" ref="F1447">INDEX('Linha 03'!$C$3:$ZZ$3,C1447)</f>
        <v>20040089</v>
      </c>
      <c r="G1447" t="str" cm="1">
        <f t="array" ref="G1447">INDEX('Linha 03'!$C$2:$ZZ$2,C1447)</f>
        <v>Amaciante Aquafast Roxo Magia Cx/06 X 2l</v>
      </c>
      <c r="H1447" s="5" cm="1">
        <f t="array" ref="H1447">INDEX('Linha 03'!$C$4:$ZZ$1000,B1447,C1447)</f>
        <v>0</v>
      </c>
    </row>
    <row r="1448" spans="1:8" x14ac:dyDescent="0.25">
      <c r="A1448">
        <v>1446</v>
      </c>
      <c r="B1448">
        <f t="shared" si="44"/>
        <v>36</v>
      </c>
      <c r="C1448">
        <f t="shared" si="45"/>
        <v>11</v>
      </c>
      <c r="D1448" cm="1">
        <f t="array" ref="D1448">INDEX('Linha 03'!$A$4:$A$1000,B1448)</f>
        <v>20200064</v>
      </c>
      <c r="E1448" t="str" cm="1">
        <f t="array" ref="E1448">INDEX('Linha 03'!$B$4:$B$1000,B1448)</f>
        <v>Lava Roup. Aquafast Flores B. E Baunilha Cx/12 X 1l</v>
      </c>
      <c r="F1448" cm="1">
        <f t="array" ref="F1448">INDEX('Linha 03'!$C$3:$ZZ$3,C1448)</f>
        <v>20040094</v>
      </c>
      <c r="G1448" t="str" cm="1">
        <f t="array" ref="G1448">INDEX('Linha 03'!$C$2:$ZZ$2,C1448)</f>
        <v>Amaciante Aquafast Energia Cx/06 X 2l</v>
      </c>
      <c r="H1448" s="5" cm="1">
        <f t="array" ref="H1448">INDEX('Linha 03'!$C$4:$ZZ$1000,B1448,C1448)</f>
        <v>0</v>
      </c>
    </row>
    <row r="1449" spans="1:8" x14ac:dyDescent="0.25">
      <c r="A1449">
        <v>1447</v>
      </c>
      <c r="B1449">
        <f t="shared" si="44"/>
        <v>36</v>
      </c>
      <c r="C1449">
        <f t="shared" si="45"/>
        <v>12</v>
      </c>
      <c r="D1449" cm="1">
        <f t="array" ref="D1449">INDEX('Linha 03'!$A$4:$A$1000,B1449)</f>
        <v>20200064</v>
      </c>
      <c r="E1449" t="str" cm="1">
        <f t="array" ref="E1449">INDEX('Linha 03'!$B$4:$B$1000,B1449)</f>
        <v>Lava Roup. Aquafast Flores B. E Baunilha Cx/12 X 1l</v>
      </c>
      <c r="F1449" cm="1">
        <f t="array" ref="F1449">INDEX('Linha 03'!$C$3:$ZZ$3,C1449)</f>
        <v>20050010</v>
      </c>
      <c r="G1449" t="str" cm="1">
        <f t="array" ref="G1449">INDEX('Linha 03'!$C$2:$ZZ$2,C1449)</f>
        <v>Desinfetante Aquafast Campos Lavanda Cx/06 X 2l</v>
      </c>
      <c r="H1449" s="5" cm="1">
        <f t="array" ref="H1449">INDEX('Linha 03'!$C$4:$ZZ$1000,B1449,C1449)</f>
        <v>0</v>
      </c>
    </row>
    <row r="1450" spans="1:8" x14ac:dyDescent="0.25">
      <c r="A1450">
        <v>1448</v>
      </c>
      <c r="B1450">
        <f t="shared" si="44"/>
        <v>36</v>
      </c>
      <c r="C1450">
        <f t="shared" si="45"/>
        <v>13</v>
      </c>
      <c r="D1450" cm="1">
        <f t="array" ref="D1450">INDEX('Linha 03'!$A$4:$A$1000,B1450)</f>
        <v>20200064</v>
      </c>
      <c r="E1450" t="str" cm="1">
        <f t="array" ref="E1450">INDEX('Linha 03'!$B$4:$B$1000,B1450)</f>
        <v>Lava Roup. Aquafast Flores B. E Baunilha Cx/12 X 1l</v>
      </c>
      <c r="F1450" cm="1">
        <f t="array" ref="F1450">INDEX('Linha 03'!$C$3:$ZZ$3,C1450)</f>
        <v>20050011</v>
      </c>
      <c r="G1450" t="str" cm="1">
        <f t="array" ref="G1450">INDEX('Linha 03'!$C$2:$ZZ$2,C1450)</f>
        <v>Desinfetante Aquafast Jardim Florido Cx/06 X 2l</v>
      </c>
      <c r="H1450" s="5" cm="1">
        <f t="array" ref="H1450">INDEX('Linha 03'!$C$4:$ZZ$1000,B1450,C1450)</f>
        <v>0</v>
      </c>
    </row>
    <row r="1451" spans="1:8" x14ac:dyDescent="0.25">
      <c r="A1451">
        <v>1449</v>
      </c>
      <c r="B1451">
        <f t="shared" si="44"/>
        <v>36</v>
      </c>
      <c r="C1451">
        <f t="shared" si="45"/>
        <v>14</v>
      </c>
      <c r="D1451" cm="1">
        <f t="array" ref="D1451">INDEX('Linha 03'!$A$4:$A$1000,B1451)</f>
        <v>20200064</v>
      </c>
      <c r="E1451" t="str" cm="1">
        <f t="array" ref="E1451">INDEX('Linha 03'!$B$4:$B$1000,B1451)</f>
        <v>Lava Roup. Aquafast Flores B. E Baunilha Cx/12 X 1l</v>
      </c>
      <c r="F1451" cm="1">
        <f t="array" ref="F1451">INDEX('Linha 03'!$C$3:$ZZ$3,C1451)</f>
        <v>20050016</v>
      </c>
      <c r="G1451" t="str" cm="1">
        <f t="array" ref="G1451">INDEX('Linha 03'!$C$2:$ZZ$2,C1451)</f>
        <v>Desinfetante Aquafast Marine Cx/06 X 2l</v>
      </c>
      <c r="H1451" s="5" cm="1">
        <f t="array" ref="H1451">INDEX('Linha 03'!$C$4:$ZZ$1000,B1451,C1451)</f>
        <v>0</v>
      </c>
    </row>
    <row r="1452" spans="1:8" x14ac:dyDescent="0.25">
      <c r="A1452">
        <v>1450</v>
      </c>
      <c r="B1452">
        <f t="shared" si="44"/>
        <v>36</v>
      </c>
      <c r="C1452">
        <f t="shared" si="45"/>
        <v>15</v>
      </c>
      <c r="D1452" cm="1">
        <f t="array" ref="D1452">INDEX('Linha 03'!$A$4:$A$1000,B1452)</f>
        <v>20200064</v>
      </c>
      <c r="E1452" t="str" cm="1">
        <f t="array" ref="E1452">INDEX('Linha 03'!$B$4:$B$1000,B1452)</f>
        <v>Lava Roup. Aquafast Flores B. E Baunilha Cx/12 X 1l</v>
      </c>
      <c r="F1452" cm="1">
        <f t="array" ref="F1452">INDEX('Linha 03'!$C$3:$ZZ$3,C1452)</f>
        <v>20050031</v>
      </c>
      <c r="G1452" t="str" cm="1">
        <f t="array" ref="G1452">INDEX('Linha 03'!$C$2:$ZZ$2,C1452)</f>
        <v>Desinfetante Ito Lavanda Cx/06 X 2l</v>
      </c>
      <c r="H1452" s="5" cm="1">
        <f t="array" ref="H1452">INDEX('Linha 03'!$C$4:$ZZ$1000,B1452,C1452)</f>
        <v>0</v>
      </c>
    </row>
    <row r="1453" spans="1:8" x14ac:dyDescent="0.25">
      <c r="A1453">
        <v>1451</v>
      </c>
      <c r="B1453">
        <f t="shared" si="44"/>
        <v>36</v>
      </c>
      <c r="C1453">
        <f t="shared" si="45"/>
        <v>16</v>
      </c>
      <c r="D1453" cm="1">
        <f t="array" ref="D1453">INDEX('Linha 03'!$A$4:$A$1000,B1453)</f>
        <v>20200064</v>
      </c>
      <c r="E1453" t="str" cm="1">
        <f t="array" ref="E1453">INDEX('Linha 03'!$B$4:$B$1000,B1453)</f>
        <v>Lava Roup. Aquafast Flores B. E Baunilha Cx/12 X 1l</v>
      </c>
      <c r="F1453" cm="1">
        <f t="array" ref="F1453">INDEX('Linha 03'!$C$3:$ZZ$3,C1453)</f>
        <v>20050032</v>
      </c>
      <c r="G1453" t="str" cm="1">
        <f t="array" ref="G1453">INDEX('Linha 03'!$C$2:$ZZ$2,C1453)</f>
        <v>Desinfetante Ito Floral Cx/06 X 2l</v>
      </c>
      <c r="H1453" s="5" cm="1">
        <f t="array" ref="H1453">INDEX('Linha 03'!$C$4:$ZZ$1000,B1453,C1453)</f>
        <v>0</v>
      </c>
    </row>
    <row r="1454" spans="1:8" x14ac:dyDescent="0.25">
      <c r="A1454">
        <v>1452</v>
      </c>
      <c r="B1454">
        <f t="shared" si="44"/>
        <v>36</v>
      </c>
      <c r="C1454">
        <f t="shared" si="45"/>
        <v>17</v>
      </c>
      <c r="D1454" cm="1">
        <f t="array" ref="D1454">INDEX('Linha 03'!$A$4:$A$1000,B1454)</f>
        <v>20200064</v>
      </c>
      <c r="E1454" t="str" cm="1">
        <f t="array" ref="E1454">INDEX('Linha 03'!$B$4:$B$1000,B1454)</f>
        <v>Lava Roup. Aquafast Flores B. E Baunilha Cx/12 X 1l</v>
      </c>
      <c r="F1454" cm="1">
        <f t="array" ref="F1454">INDEX('Linha 03'!$C$3:$ZZ$3,C1454)</f>
        <v>20050034</v>
      </c>
      <c r="G1454" t="str" cm="1">
        <f t="array" ref="G1454">INDEX('Linha 03'!$C$2:$ZZ$2,C1454)</f>
        <v>Desinfetante Ito Eucalipto Cx/06 X 2l</v>
      </c>
      <c r="H1454" s="5" cm="1">
        <f t="array" ref="H1454">INDEX('Linha 03'!$C$4:$ZZ$1000,B1454,C1454)</f>
        <v>0</v>
      </c>
    </row>
    <row r="1455" spans="1:8" x14ac:dyDescent="0.25">
      <c r="A1455">
        <v>1453</v>
      </c>
      <c r="B1455">
        <f t="shared" si="44"/>
        <v>36</v>
      </c>
      <c r="C1455">
        <f t="shared" si="45"/>
        <v>18</v>
      </c>
      <c r="D1455" cm="1">
        <f t="array" ref="D1455">INDEX('Linha 03'!$A$4:$A$1000,B1455)</f>
        <v>20200064</v>
      </c>
      <c r="E1455" t="str" cm="1">
        <f t="array" ref="E1455">INDEX('Linha 03'!$B$4:$B$1000,B1455)</f>
        <v>Lava Roup. Aquafast Flores B. E Baunilha Cx/12 X 1l</v>
      </c>
      <c r="F1455" cm="1">
        <f t="array" ref="F1455">INDEX('Linha 03'!$C$3:$ZZ$3,C1455)</f>
        <v>20050077</v>
      </c>
      <c r="G1455" t="str" cm="1">
        <f t="array" ref="G1455">INDEX('Linha 03'!$C$2:$ZZ$2,C1455)</f>
        <v>Desinfetante Myata Lavanda Cx/06 X 2l</v>
      </c>
      <c r="H1455" s="5" cm="1">
        <f t="array" ref="H1455">INDEX('Linha 03'!$C$4:$ZZ$1000,B1455,C1455)</f>
        <v>0</v>
      </c>
    </row>
    <row r="1456" spans="1:8" x14ac:dyDescent="0.25">
      <c r="A1456">
        <v>1454</v>
      </c>
      <c r="B1456">
        <f t="shared" si="44"/>
        <v>36</v>
      </c>
      <c r="C1456">
        <f t="shared" si="45"/>
        <v>19</v>
      </c>
      <c r="D1456" cm="1">
        <f t="array" ref="D1456">INDEX('Linha 03'!$A$4:$A$1000,B1456)</f>
        <v>20200064</v>
      </c>
      <c r="E1456" t="str" cm="1">
        <f t="array" ref="E1456">INDEX('Linha 03'!$B$4:$B$1000,B1456)</f>
        <v>Lava Roup. Aquafast Flores B. E Baunilha Cx/12 X 1l</v>
      </c>
      <c r="F1456" cm="1">
        <f t="array" ref="F1456">INDEX('Linha 03'!$C$3:$ZZ$3,C1456)</f>
        <v>20050078</v>
      </c>
      <c r="G1456" t="str" cm="1">
        <f t="array" ref="G1456">INDEX('Linha 03'!$C$2:$ZZ$2,C1456)</f>
        <v>Desinfetante Myata Floral Cx/06 X 2l</v>
      </c>
      <c r="H1456" s="5" cm="1">
        <f t="array" ref="H1456">INDEX('Linha 03'!$C$4:$ZZ$1000,B1456,C1456)</f>
        <v>0</v>
      </c>
    </row>
    <row r="1457" spans="1:8" x14ac:dyDescent="0.25">
      <c r="A1457">
        <v>1455</v>
      </c>
      <c r="B1457">
        <f t="shared" si="44"/>
        <v>36</v>
      </c>
      <c r="C1457">
        <f t="shared" si="45"/>
        <v>20</v>
      </c>
      <c r="D1457" cm="1">
        <f t="array" ref="D1457">INDEX('Linha 03'!$A$4:$A$1000,B1457)</f>
        <v>20200064</v>
      </c>
      <c r="E1457" t="str" cm="1">
        <f t="array" ref="E1457">INDEX('Linha 03'!$B$4:$B$1000,B1457)</f>
        <v>Lava Roup. Aquafast Flores B. E Baunilha Cx/12 X 1l</v>
      </c>
      <c r="F1457" cm="1">
        <f t="array" ref="F1457">INDEX('Linha 03'!$C$3:$ZZ$3,C1457)</f>
        <v>20050115</v>
      </c>
      <c r="G1457" t="str" cm="1">
        <f t="array" ref="G1457">INDEX('Linha 03'!$C$2:$ZZ$2,C1457)</f>
        <v>Desinfetante Aquafast Paixao Cx/06 X 2l</v>
      </c>
      <c r="H1457" s="5" cm="1">
        <f t="array" ref="H1457">INDEX('Linha 03'!$C$4:$ZZ$1000,B1457,C1457)</f>
        <v>0</v>
      </c>
    </row>
    <row r="1458" spans="1:8" x14ac:dyDescent="0.25">
      <c r="A1458">
        <v>1456</v>
      </c>
      <c r="B1458">
        <f t="shared" si="44"/>
        <v>36</v>
      </c>
      <c r="C1458">
        <f t="shared" si="45"/>
        <v>21</v>
      </c>
      <c r="D1458" cm="1">
        <f t="array" ref="D1458">INDEX('Linha 03'!$A$4:$A$1000,B1458)</f>
        <v>20200064</v>
      </c>
      <c r="E1458" t="str" cm="1">
        <f t="array" ref="E1458">INDEX('Linha 03'!$B$4:$B$1000,B1458)</f>
        <v>Lava Roup. Aquafast Flores B. E Baunilha Cx/12 X 1l</v>
      </c>
      <c r="F1458" cm="1">
        <f t="array" ref="F1458">INDEX('Linha 03'!$C$3:$ZZ$3,C1458)</f>
        <v>20050117</v>
      </c>
      <c r="G1458" t="str" cm="1">
        <f t="array" ref="G1458">INDEX('Linha 03'!$C$2:$ZZ$2,C1458)</f>
        <v>Desinfetante Aquafast Harmonia Natural Cx/06 X 2l</v>
      </c>
      <c r="H1458" s="5" cm="1">
        <f t="array" ref="H1458">INDEX('Linha 03'!$C$4:$ZZ$1000,B1458,C1458)</f>
        <v>0</v>
      </c>
    </row>
    <row r="1459" spans="1:8" x14ac:dyDescent="0.25">
      <c r="A1459">
        <v>1457</v>
      </c>
      <c r="B1459">
        <f t="shared" si="44"/>
        <v>36</v>
      </c>
      <c r="C1459">
        <f t="shared" si="45"/>
        <v>22</v>
      </c>
      <c r="D1459" cm="1">
        <f t="array" ref="D1459">INDEX('Linha 03'!$A$4:$A$1000,B1459)</f>
        <v>20200064</v>
      </c>
      <c r="E1459" t="str" cm="1">
        <f t="array" ref="E1459">INDEX('Linha 03'!$B$4:$B$1000,B1459)</f>
        <v>Lava Roup. Aquafast Flores B. E Baunilha Cx/12 X 1l</v>
      </c>
      <c r="F1459" cm="1">
        <f t="array" ref="F1459">INDEX('Linha 03'!$C$3:$ZZ$3,C1459)</f>
        <v>20050123</v>
      </c>
      <c r="G1459" t="str" cm="1">
        <f t="array" ref="G1459">INDEX('Linha 03'!$C$2:$ZZ$2,C1459)</f>
        <v>Desinfetante Ito Harmonia Natural Cx/06 X 2l</v>
      </c>
      <c r="H1459" s="5" cm="1">
        <f t="array" ref="H1459">INDEX('Linha 03'!$C$4:$ZZ$1000,B1459,C1459)</f>
        <v>0</v>
      </c>
    </row>
    <row r="1460" spans="1:8" x14ac:dyDescent="0.25">
      <c r="A1460">
        <v>1458</v>
      </c>
      <c r="B1460">
        <f t="shared" si="44"/>
        <v>36</v>
      </c>
      <c r="C1460">
        <f t="shared" si="45"/>
        <v>23</v>
      </c>
      <c r="D1460" cm="1">
        <f t="array" ref="D1460">INDEX('Linha 03'!$A$4:$A$1000,B1460)</f>
        <v>20200064</v>
      </c>
      <c r="E1460" t="str" cm="1">
        <f t="array" ref="E1460">INDEX('Linha 03'!$B$4:$B$1000,B1460)</f>
        <v>Lava Roup. Aquafast Flores B. E Baunilha Cx/12 X 1l</v>
      </c>
      <c r="F1460" cm="1">
        <f t="array" ref="F1460">INDEX('Linha 03'!$C$3:$ZZ$3,C1460)</f>
        <v>20050124</v>
      </c>
      <c r="G1460" t="str" cm="1">
        <f t="array" ref="G1460">INDEX('Linha 03'!$C$2:$ZZ$2,C1460)</f>
        <v>Desinfetante Myata Harmonia Natural Cx/06 X 2l</v>
      </c>
      <c r="H1460" s="5" cm="1">
        <f t="array" ref="H1460">INDEX('Linha 03'!$C$4:$ZZ$1000,B1460,C1460)</f>
        <v>0</v>
      </c>
    </row>
    <row r="1461" spans="1:8" x14ac:dyDescent="0.25">
      <c r="A1461">
        <v>1459</v>
      </c>
      <c r="B1461">
        <f t="shared" si="44"/>
        <v>36</v>
      </c>
      <c r="C1461">
        <f t="shared" si="45"/>
        <v>24</v>
      </c>
      <c r="D1461" cm="1">
        <f t="array" ref="D1461">INDEX('Linha 03'!$A$4:$A$1000,B1461)</f>
        <v>20200064</v>
      </c>
      <c r="E1461" t="str" cm="1">
        <f t="array" ref="E1461">INDEX('Linha 03'!$B$4:$B$1000,B1461)</f>
        <v>Lava Roup. Aquafast Flores B. E Baunilha Cx/12 X 1l</v>
      </c>
      <c r="F1461" cm="1">
        <f t="array" ref="F1461">INDEX('Linha 03'!$C$3:$ZZ$3,C1461)</f>
        <v>20050142</v>
      </c>
      <c r="G1461" t="str" cm="1">
        <f t="array" ref="G1461">INDEX('Linha 03'!$C$2:$ZZ$2,C1461)</f>
        <v>Desinfetante Ito Marine Cx/06 X 2l</v>
      </c>
      <c r="H1461" s="5" cm="1">
        <f t="array" ref="H1461">INDEX('Linha 03'!$C$4:$ZZ$1000,B1461,C1461)</f>
        <v>0</v>
      </c>
    </row>
    <row r="1462" spans="1:8" x14ac:dyDescent="0.25">
      <c r="A1462">
        <v>1460</v>
      </c>
      <c r="B1462">
        <f t="shared" si="44"/>
        <v>36</v>
      </c>
      <c r="C1462">
        <f t="shared" si="45"/>
        <v>25</v>
      </c>
      <c r="D1462" cm="1">
        <f t="array" ref="D1462">INDEX('Linha 03'!$A$4:$A$1000,B1462)</f>
        <v>20200064</v>
      </c>
      <c r="E1462" t="str" cm="1">
        <f t="array" ref="E1462">INDEX('Linha 03'!$B$4:$B$1000,B1462)</f>
        <v>Lava Roup. Aquafast Flores B. E Baunilha Cx/12 X 1l</v>
      </c>
      <c r="F1462" cm="1">
        <f t="array" ref="F1462">INDEX('Linha 03'!$C$3:$ZZ$3,C1462)</f>
        <v>20050159</v>
      </c>
      <c r="G1462" t="str" cm="1">
        <f t="array" ref="G1462">INDEX('Linha 03'!$C$2:$ZZ$2,C1462)</f>
        <v>Desinfetante Aquafast Cha Branco Cx/06 X 2l</v>
      </c>
      <c r="H1462" s="5" cm="1">
        <f t="array" ref="H1462">INDEX('Linha 03'!$C$4:$ZZ$1000,B1462,C1462)</f>
        <v>1.38888888888889E-2</v>
      </c>
    </row>
    <row r="1463" spans="1:8" x14ac:dyDescent="0.25">
      <c r="A1463">
        <v>1461</v>
      </c>
      <c r="B1463">
        <f t="shared" si="44"/>
        <v>36</v>
      </c>
      <c r="C1463">
        <f t="shared" si="45"/>
        <v>26</v>
      </c>
      <c r="D1463" cm="1">
        <f t="array" ref="D1463">INDEX('Linha 03'!$A$4:$A$1000,B1463)</f>
        <v>20200064</v>
      </c>
      <c r="E1463" t="str" cm="1">
        <f t="array" ref="E1463">INDEX('Linha 03'!$B$4:$B$1000,B1463)</f>
        <v>Lava Roup. Aquafast Flores B. E Baunilha Cx/12 X 1l</v>
      </c>
      <c r="F1463" cm="1">
        <f t="array" ref="F1463">INDEX('Linha 03'!$C$3:$ZZ$3,C1463)</f>
        <v>20060007</v>
      </c>
      <c r="G1463" t="str" cm="1">
        <f t="array" ref="G1463">INDEX('Linha 03'!$C$2:$ZZ$2,C1463)</f>
        <v>Limp Perf Aquafast Magia Seducao Cx/06 X 2l (Promoc)</v>
      </c>
      <c r="H1463" s="5" cm="1">
        <f t="array" ref="H1463">INDEX('Linha 03'!$C$4:$ZZ$1000,B1463,C1463)</f>
        <v>0</v>
      </c>
    </row>
    <row r="1464" spans="1:8" x14ac:dyDescent="0.25">
      <c r="A1464">
        <v>1462</v>
      </c>
      <c r="B1464">
        <f t="shared" si="44"/>
        <v>36</v>
      </c>
      <c r="C1464">
        <f t="shared" si="45"/>
        <v>27</v>
      </c>
      <c r="D1464" cm="1">
        <f t="array" ref="D1464">INDEX('Linha 03'!$A$4:$A$1000,B1464)</f>
        <v>20200064</v>
      </c>
      <c r="E1464" t="str" cm="1">
        <f t="array" ref="E1464">INDEX('Linha 03'!$B$4:$B$1000,B1464)</f>
        <v>Lava Roup. Aquafast Flores B. E Baunilha Cx/12 X 1l</v>
      </c>
      <c r="F1464" cm="1">
        <f t="array" ref="F1464">INDEX('Linha 03'!$C$3:$ZZ$3,C1464)</f>
        <v>20060009</v>
      </c>
      <c r="G1464" t="str" cm="1">
        <f t="array" ref="G1464">INDEX('Linha 03'!$C$2:$ZZ$2,C1464)</f>
        <v>Limp Perf Aquafast Frescor Da Manha Cx/06 X 2l (Promoc)</v>
      </c>
      <c r="H1464" s="5" cm="1">
        <f t="array" ref="H1464">INDEX('Linha 03'!$C$4:$ZZ$1000,B1464,C1464)</f>
        <v>0</v>
      </c>
    </row>
    <row r="1465" spans="1:8" x14ac:dyDescent="0.25">
      <c r="A1465">
        <v>1463</v>
      </c>
      <c r="B1465">
        <f t="shared" si="44"/>
        <v>36</v>
      </c>
      <c r="C1465">
        <f t="shared" si="45"/>
        <v>28</v>
      </c>
      <c r="D1465" cm="1">
        <f t="array" ref="D1465">INDEX('Linha 03'!$A$4:$A$1000,B1465)</f>
        <v>20200064</v>
      </c>
      <c r="E1465" t="str" cm="1">
        <f t="array" ref="E1465">INDEX('Linha 03'!$B$4:$B$1000,B1465)</f>
        <v>Lava Roup. Aquafast Flores B. E Baunilha Cx/12 X 1l</v>
      </c>
      <c r="F1465" cm="1">
        <f t="array" ref="F1465">INDEX('Linha 03'!$C$3:$ZZ$3,C1465)</f>
        <v>20060017</v>
      </c>
      <c r="G1465" t="str" cm="1">
        <f t="array" ref="G1465">INDEX('Linha 03'!$C$2:$ZZ$2,C1465)</f>
        <v>Limp Perf Aquafast Doce Romance Cx/06 X 2l (Promoc)</v>
      </c>
      <c r="H1465" s="5" cm="1">
        <f t="array" ref="H1465">INDEX('Linha 03'!$C$4:$ZZ$1000,B1465,C1465)</f>
        <v>0</v>
      </c>
    </row>
    <row r="1466" spans="1:8" x14ac:dyDescent="0.25">
      <c r="A1466">
        <v>1464</v>
      </c>
      <c r="B1466">
        <f t="shared" si="44"/>
        <v>36</v>
      </c>
      <c r="C1466">
        <f t="shared" si="45"/>
        <v>29</v>
      </c>
      <c r="D1466" cm="1">
        <f t="array" ref="D1466">INDEX('Linha 03'!$A$4:$A$1000,B1466)</f>
        <v>20200064</v>
      </c>
      <c r="E1466" t="str" cm="1">
        <f t="array" ref="E1466">INDEX('Linha 03'!$B$4:$B$1000,B1466)</f>
        <v>Lava Roup. Aquafast Flores B. E Baunilha Cx/12 X 1l</v>
      </c>
      <c r="F1466" cm="1">
        <f t="array" ref="F1466">INDEX('Linha 03'!$C$3:$ZZ$3,C1466)</f>
        <v>20060028</v>
      </c>
      <c r="G1466" t="str" cm="1">
        <f t="array" ref="G1466">INDEX('Linha 03'!$C$2:$ZZ$2,C1466)</f>
        <v>Limp Perf Aquafast Essencia Natural Cx06 X 2l</v>
      </c>
      <c r="H1466" s="5" cm="1">
        <f t="array" ref="H1466">INDEX('Linha 03'!$C$4:$ZZ$1000,B1466,C1466)</f>
        <v>0</v>
      </c>
    </row>
    <row r="1467" spans="1:8" x14ac:dyDescent="0.25">
      <c r="A1467">
        <v>1465</v>
      </c>
      <c r="B1467">
        <f t="shared" si="44"/>
        <v>36</v>
      </c>
      <c r="C1467">
        <f t="shared" si="45"/>
        <v>30</v>
      </c>
      <c r="D1467" cm="1">
        <f t="array" ref="D1467">INDEX('Linha 03'!$A$4:$A$1000,B1467)</f>
        <v>20200064</v>
      </c>
      <c r="E1467" t="str" cm="1">
        <f t="array" ref="E1467">INDEX('Linha 03'!$B$4:$B$1000,B1467)</f>
        <v>Lava Roup. Aquafast Flores B. E Baunilha Cx/12 X 1l</v>
      </c>
      <c r="F1467" cm="1">
        <f t="array" ref="F1467">INDEX('Linha 03'!$C$3:$ZZ$3,C1467)</f>
        <v>20200003</v>
      </c>
      <c r="G1467" t="str" cm="1">
        <f t="array" ref="G1467">INDEX('Linha 03'!$C$2:$ZZ$2,C1467)</f>
        <v>Lava Roup. Aquafast Baby Cx/12 X 1l</v>
      </c>
      <c r="H1467" s="5" cm="1">
        <f t="array" ref="H1467">INDEX('Linha 03'!$C$4:$ZZ$1000,B1467,C1467)</f>
        <v>0</v>
      </c>
    </row>
    <row r="1468" spans="1:8" x14ac:dyDescent="0.25">
      <c r="A1468">
        <v>1466</v>
      </c>
      <c r="B1468">
        <f t="shared" si="44"/>
        <v>36</v>
      </c>
      <c r="C1468">
        <f t="shared" si="45"/>
        <v>31</v>
      </c>
      <c r="D1468" cm="1">
        <f t="array" ref="D1468">INDEX('Linha 03'!$A$4:$A$1000,B1468)</f>
        <v>20200064</v>
      </c>
      <c r="E1468" t="str" cm="1">
        <f t="array" ref="E1468">INDEX('Linha 03'!$B$4:$B$1000,B1468)</f>
        <v>Lava Roup. Aquafast Flores B. E Baunilha Cx/12 X 1l</v>
      </c>
      <c r="F1468" cm="1">
        <f t="array" ref="F1468">INDEX('Linha 03'!$C$3:$ZZ$3,C1468)</f>
        <v>20200005</v>
      </c>
      <c r="G1468" t="str" cm="1">
        <f t="array" ref="G1468">INDEX('Linha 03'!$C$2:$ZZ$2,C1468)</f>
        <v>Lava Roupas Aquafast Multi Acao Cx/06 X 2l</v>
      </c>
      <c r="H1468" s="5" cm="1">
        <f t="array" ref="H1468">INDEX('Linha 03'!$C$4:$ZZ$1000,B1468,C1468)</f>
        <v>0</v>
      </c>
    </row>
    <row r="1469" spans="1:8" x14ac:dyDescent="0.25">
      <c r="A1469">
        <v>1467</v>
      </c>
      <c r="B1469">
        <f t="shared" si="44"/>
        <v>36</v>
      </c>
      <c r="C1469">
        <f t="shared" si="45"/>
        <v>32</v>
      </c>
      <c r="D1469" cm="1">
        <f t="array" ref="D1469">INDEX('Linha 03'!$A$4:$A$1000,B1469)</f>
        <v>20200064</v>
      </c>
      <c r="E1469" t="str" cm="1">
        <f t="array" ref="E1469">INDEX('Linha 03'!$B$4:$B$1000,B1469)</f>
        <v>Lava Roup. Aquafast Flores B. E Baunilha Cx/12 X 1l</v>
      </c>
      <c r="F1469" cm="1">
        <f t="array" ref="F1469">INDEX('Linha 03'!$C$3:$ZZ$3,C1469)</f>
        <v>20200006</v>
      </c>
      <c r="G1469" t="str" cm="1">
        <f t="array" ref="G1469">INDEX('Linha 03'!$C$2:$ZZ$2,C1469)</f>
        <v>Lava Roupas Aquafast Glicerina Cx/06 X 2l</v>
      </c>
      <c r="H1469" s="5" cm="1">
        <f t="array" ref="H1469">INDEX('Linha 03'!$C$4:$ZZ$1000,B1469,C1469)</f>
        <v>0</v>
      </c>
    </row>
    <row r="1470" spans="1:8" x14ac:dyDescent="0.25">
      <c r="A1470">
        <v>1468</v>
      </c>
      <c r="B1470">
        <f t="shared" si="44"/>
        <v>36</v>
      </c>
      <c r="C1470">
        <f t="shared" si="45"/>
        <v>33</v>
      </c>
      <c r="D1470" cm="1">
        <f t="array" ref="D1470">INDEX('Linha 03'!$A$4:$A$1000,B1470)</f>
        <v>20200064</v>
      </c>
      <c r="E1470" t="str" cm="1">
        <f t="array" ref="E1470">INDEX('Linha 03'!$B$4:$B$1000,B1470)</f>
        <v>Lava Roup. Aquafast Flores B. E Baunilha Cx/12 X 1l</v>
      </c>
      <c r="F1470" cm="1">
        <f t="array" ref="F1470">INDEX('Linha 03'!$C$3:$ZZ$3,C1470)</f>
        <v>20200015</v>
      </c>
      <c r="G1470" t="str" cm="1">
        <f t="array" ref="G1470">INDEX('Linha 03'!$C$2:$ZZ$2,C1470)</f>
        <v>Lava Roup. Aquafast Multiacao Cx/12 X 1l</v>
      </c>
      <c r="H1470" s="5" cm="1">
        <f t="array" ref="H1470">INDEX('Linha 03'!$C$4:$ZZ$1000,B1470,C1470)</f>
        <v>0</v>
      </c>
    </row>
    <row r="1471" spans="1:8" x14ac:dyDescent="0.25">
      <c r="A1471">
        <v>1469</v>
      </c>
      <c r="B1471">
        <f t="shared" si="44"/>
        <v>36</v>
      </c>
      <c r="C1471">
        <f t="shared" si="45"/>
        <v>34</v>
      </c>
      <c r="D1471" cm="1">
        <f t="array" ref="D1471">INDEX('Linha 03'!$A$4:$A$1000,B1471)</f>
        <v>20200064</v>
      </c>
      <c r="E1471" t="str" cm="1">
        <f t="array" ref="E1471">INDEX('Linha 03'!$B$4:$B$1000,B1471)</f>
        <v>Lava Roup. Aquafast Flores B. E Baunilha Cx/12 X 1l</v>
      </c>
      <c r="F1471" cm="1">
        <f t="array" ref="F1471">INDEX('Linha 03'!$C$3:$ZZ$3,C1471)</f>
        <v>20200036</v>
      </c>
      <c r="G1471" t="str" cm="1">
        <f t="array" ref="G1471">INDEX('Linha 03'!$C$2:$ZZ$2,C1471)</f>
        <v>Lava Roupas Aquafast Ternura Cx/06 X 2l</v>
      </c>
      <c r="H1471" s="5" cm="1">
        <f t="array" ref="H1471">INDEX('Linha 03'!$C$4:$ZZ$1000,B1471,C1471)</f>
        <v>0</v>
      </c>
    </row>
    <row r="1472" spans="1:8" x14ac:dyDescent="0.25">
      <c r="A1472">
        <v>1470</v>
      </c>
      <c r="B1472">
        <f t="shared" si="44"/>
        <v>36</v>
      </c>
      <c r="C1472">
        <f t="shared" si="45"/>
        <v>35</v>
      </c>
      <c r="D1472" cm="1">
        <f t="array" ref="D1472">INDEX('Linha 03'!$A$4:$A$1000,B1472)</f>
        <v>20200064</v>
      </c>
      <c r="E1472" t="str" cm="1">
        <f t="array" ref="E1472">INDEX('Linha 03'!$B$4:$B$1000,B1472)</f>
        <v>Lava Roup. Aquafast Flores B. E Baunilha Cx/12 X 1l</v>
      </c>
      <c r="F1472" cm="1">
        <f t="array" ref="F1472">INDEX('Linha 03'!$C$3:$ZZ$3,C1472)</f>
        <v>20200063</v>
      </c>
      <c r="G1472" t="str" cm="1">
        <f t="array" ref="G1472">INDEX('Linha 03'!$C$2:$ZZ$2,C1472)</f>
        <v>Lava Roup. Aquafast Tradicional Cx/12 X 1l</v>
      </c>
      <c r="H1472" s="5" cm="1">
        <f t="array" ref="H1472">INDEX('Linha 03'!$C$4:$ZZ$1000,B1472,C1472)</f>
        <v>0</v>
      </c>
    </row>
    <row r="1473" spans="1:8" x14ac:dyDescent="0.25">
      <c r="A1473">
        <v>1471</v>
      </c>
      <c r="B1473">
        <f t="shared" si="44"/>
        <v>36</v>
      </c>
      <c r="C1473">
        <f t="shared" si="45"/>
        <v>36</v>
      </c>
      <c r="D1473" cm="1">
        <f t="array" ref="D1473">INDEX('Linha 03'!$A$4:$A$1000,B1473)</f>
        <v>20200064</v>
      </c>
      <c r="E1473" t="str" cm="1">
        <f t="array" ref="E1473">INDEX('Linha 03'!$B$4:$B$1000,B1473)</f>
        <v>Lava Roup. Aquafast Flores B. E Baunilha Cx/12 X 1l</v>
      </c>
      <c r="F1473" cm="1">
        <f t="array" ref="F1473">INDEX('Linha 03'!$C$3:$ZZ$3,C1473)</f>
        <v>20200064</v>
      </c>
      <c r="G1473" t="str" cm="1">
        <f t="array" ref="G1473">INDEX('Linha 03'!$C$2:$ZZ$2,C1473)</f>
        <v>Lava Roup. Aquafast Flores B. E Baunilha Cx/12 X 1l</v>
      </c>
      <c r="H1473" s="5" cm="1">
        <f t="array" ref="H1473">INDEX('Linha 03'!$C$4:$ZZ$1000,B1473,C1473)</f>
        <v>0</v>
      </c>
    </row>
    <row r="1474" spans="1:8" x14ac:dyDescent="0.25">
      <c r="A1474">
        <v>1472</v>
      </c>
      <c r="B1474">
        <f t="shared" si="44"/>
        <v>36</v>
      </c>
      <c r="C1474">
        <f t="shared" si="45"/>
        <v>37</v>
      </c>
      <c r="D1474" cm="1">
        <f t="array" ref="D1474">INDEX('Linha 03'!$A$4:$A$1000,B1474)</f>
        <v>20200064</v>
      </c>
      <c r="E1474" t="str" cm="1">
        <f t="array" ref="E1474">INDEX('Linha 03'!$B$4:$B$1000,B1474)</f>
        <v>Lava Roup. Aquafast Flores B. E Baunilha Cx/12 X 1l</v>
      </c>
      <c r="F1474" cm="1">
        <f t="array" ref="F1474">INDEX('Linha 03'!$C$3:$ZZ$3,C1474)</f>
        <v>20200065</v>
      </c>
      <c r="G1474" t="str" cm="1">
        <f t="array" ref="G1474">INDEX('Linha 03'!$C$2:$ZZ$2,C1474)</f>
        <v>Lava Roupas Aquafast Flores B. E Baunilha Cx/06 X 2l</v>
      </c>
      <c r="H1474" s="5" cm="1">
        <f t="array" ref="H1474">INDEX('Linha 03'!$C$4:$ZZ$1000,B1474,C1474)</f>
        <v>0</v>
      </c>
    </row>
    <row r="1475" spans="1:8" x14ac:dyDescent="0.25">
      <c r="A1475">
        <v>1473</v>
      </c>
      <c r="B1475">
        <f t="shared" si="44"/>
        <v>36</v>
      </c>
      <c r="C1475">
        <f t="shared" si="45"/>
        <v>38</v>
      </c>
      <c r="D1475" cm="1">
        <f t="array" ref="D1475">INDEX('Linha 03'!$A$4:$A$1000,B1475)</f>
        <v>20200064</v>
      </c>
      <c r="E1475" t="str" cm="1">
        <f t="array" ref="E1475">INDEX('Linha 03'!$B$4:$B$1000,B1475)</f>
        <v>Lava Roup. Aquafast Flores B. E Baunilha Cx/12 X 1l</v>
      </c>
      <c r="F1475" cm="1">
        <f t="array" ref="F1475">INDEX('Linha 03'!$C$3:$ZZ$3,C1475)</f>
        <v>20200072</v>
      </c>
      <c r="G1475" t="str" cm="1">
        <f t="array" ref="G1475">INDEX('Linha 03'!$C$2:$ZZ$2,C1475)</f>
        <v>Lava Roupas Aquafast Lavagem Rapida Total Clean Cx/12 X 1l</v>
      </c>
      <c r="H1475" s="5" cm="1">
        <f t="array" ref="H1475">INDEX('Linha 03'!$C$4:$ZZ$1000,B1475,C1475)</f>
        <v>0</v>
      </c>
    </row>
    <row r="1476" spans="1:8" x14ac:dyDescent="0.25">
      <c r="A1476">
        <v>1474</v>
      </c>
      <c r="B1476">
        <f t="shared" ref="B1476:B1539" si="46">INT((A1476-1)/$B$1)+1</f>
        <v>36</v>
      </c>
      <c r="C1476">
        <f t="shared" ref="C1476:C1539" si="47">MOD(A1476-1,$B$1)+1</f>
        <v>39</v>
      </c>
      <c r="D1476" cm="1">
        <f t="array" ref="D1476">INDEX('Linha 03'!$A$4:$A$1000,B1476)</f>
        <v>20200064</v>
      </c>
      <c r="E1476" t="str" cm="1">
        <f t="array" ref="E1476">INDEX('Linha 03'!$B$4:$B$1000,B1476)</f>
        <v>Lava Roup. Aquafast Flores B. E Baunilha Cx/12 X 1l</v>
      </c>
      <c r="F1476" cm="1">
        <f t="array" ref="F1476">INDEX('Linha 03'!$C$3:$ZZ$3,C1476)</f>
        <v>20200074</v>
      </c>
      <c r="G1476" t="str" cm="1">
        <f t="array" ref="G1476">INDEX('Linha 03'!$C$2:$ZZ$2,C1476)</f>
        <v>Lava Roupas Aquafast Lavagem Rapida Fresh Clean Cx/12 X 1l</v>
      </c>
      <c r="H1476" s="5" cm="1">
        <f t="array" ref="H1476">INDEX('Linha 03'!$C$4:$ZZ$1000,B1476,C1476)</f>
        <v>0</v>
      </c>
    </row>
    <row r="1477" spans="1:8" x14ac:dyDescent="0.25">
      <c r="A1477">
        <v>1475</v>
      </c>
      <c r="B1477">
        <f t="shared" si="46"/>
        <v>36</v>
      </c>
      <c r="C1477">
        <f t="shared" si="47"/>
        <v>40</v>
      </c>
      <c r="D1477" cm="1">
        <f t="array" ref="D1477">INDEX('Linha 03'!$A$4:$A$1000,B1477)</f>
        <v>20200064</v>
      </c>
      <c r="E1477" t="str" cm="1">
        <f t="array" ref="E1477">INDEX('Linha 03'!$B$4:$B$1000,B1477)</f>
        <v>Lava Roup. Aquafast Flores B. E Baunilha Cx/12 X 1l</v>
      </c>
      <c r="F1477" cm="1">
        <f t="array" ref="F1477">INDEX('Linha 03'!$C$3:$ZZ$3,C1477)</f>
        <v>20250005</v>
      </c>
      <c r="G1477" t="str" cm="1">
        <f t="array" ref="G1477">INDEX('Linha 03'!$C$2:$ZZ$2,C1477)</f>
        <v>Neutralizador De Odores Aquafast Floral Cx/06 X 2l</v>
      </c>
      <c r="H1477" s="5" cm="1">
        <f t="array" ref="H1477">INDEX('Linha 03'!$C$4:$ZZ$1000,B1477,C1477)</f>
        <v>0</v>
      </c>
    </row>
    <row r="1478" spans="1:8" x14ac:dyDescent="0.25">
      <c r="A1478">
        <v>1476</v>
      </c>
      <c r="B1478">
        <f t="shared" si="46"/>
        <v>36</v>
      </c>
      <c r="C1478">
        <f t="shared" si="47"/>
        <v>41</v>
      </c>
      <c r="D1478" cm="1">
        <f t="array" ref="D1478">INDEX('Linha 03'!$A$4:$A$1000,B1478)</f>
        <v>20200064</v>
      </c>
      <c r="E1478" t="str" cm="1">
        <f t="array" ref="E1478">INDEX('Linha 03'!$B$4:$B$1000,B1478)</f>
        <v>Lava Roup. Aquafast Flores B. E Baunilha Cx/12 X 1l</v>
      </c>
      <c r="F1478" cm="1">
        <f t="array" ref="F1478">INDEX('Linha 03'!$C$3:$ZZ$3,C1478)</f>
        <v>20250007</v>
      </c>
      <c r="G1478" t="str" cm="1">
        <f t="array" ref="G1478">INDEX('Linha 03'!$C$2:$ZZ$2,C1478)</f>
        <v>Neutralizador De Odores Aquafast Marine Cx/06 2l</v>
      </c>
      <c r="H1478" s="5" cm="1">
        <f t="array" ref="H1478">INDEX('Linha 03'!$C$4:$ZZ$1000,B1478,C1478)</f>
        <v>0</v>
      </c>
    </row>
    <row r="1479" spans="1:8" x14ac:dyDescent="0.25">
      <c r="A1479">
        <v>1477</v>
      </c>
      <c r="B1479">
        <f t="shared" si="46"/>
        <v>37</v>
      </c>
      <c r="C1479">
        <f t="shared" si="47"/>
        <v>1</v>
      </c>
      <c r="D1479" cm="1">
        <f t="array" ref="D1479">INDEX('Linha 03'!$A$4:$A$1000,B1479)</f>
        <v>20200065</v>
      </c>
      <c r="E1479" t="str" cm="1">
        <f t="array" ref="E1479">INDEX('Linha 03'!$B$4:$B$1000,B1479)</f>
        <v>Lava Roupas Aquafast Flores B. E Baunilha Cx/06 X 2l</v>
      </c>
      <c r="F1479" cm="1">
        <f t="array" ref="F1479">INDEX('Linha 03'!$C$3:$ZZ$3,C1479)</f>
        <v>20040006</v>
      </c>
      <c r="G1479" t="str" cm="1">
        <f t="array" ref="G1479">INDEX('Linha 03'!$C$2:$ZZ$2,C1479)</f>
        <v>Amaciante Aquafast Azul Fresc. Manha Cx/06 X 2l</v>
      </c>
      <c r="H1479" s="5" cm="1">
        <f t="array" ref="H1479">INDEX('Linha 03'!$C$4:$ZZ$1000,B1479,C1479)</f>
        <v>0</v>
      </c>
    </row>
    <row r="1480" spans="1:8" x14ac:dyDescent="0.25">
      <c r="A1480">
        <v>1478</v>
      </c>
      <c r="B1480">
        <f t="shared" si="46"/>
        <v>37</v>
      </c>
      <c r="C1480">
        <f t="shared" si="47"/>
        <v>2</v>
      </c>
      <c r="D1480" cm="1">
        <f t="array" ref="D1480">INDEX('Linha 03'!$A$4:$A$1000,B1480)</f>
        <v>20200065</v>
      </c>
      <c r="E1480" t="str" cm="1">
        <f t="array" ref="E1480">INDEX('Linha 03'!$B$4:$B$1000,B1480)</f>
        <v>Lava Roupas Aquafast Flores B. E Baunilha Cx/06 X 2l</v>
      </c>
      <c r="F1480" cm="1">
        <f t="array" ref="F1480">INDEX('Linha 03'!$C$3:$ZZ$3,C1480)</f>
        <v>20040008</v>
      </c>
      <c r="G1480" t="str" cm="1">
        <f t="array" ref="G1480">INDEX('Linha 03'!$C$2:$ZZ$2,C1480)</f>
        <v>Amaciante Aquafast Rosa Jard. Florid Cx/06 X 2l</v>
      </c>
      <c r="H1480" s="5" cm="1">
        <f t="array" ref="H1480">INDEX('Linha 03'!$C$4:$ZZ$1000,B1480,C1480)</f>
        <v>0</v>
      </c>
    </row>
    <row r="1481" spans="1:8" x14ac:dyDescent="0.25">
      <c r="A1481">
        <v>1479</v>
      </c>
      <c r="B1481">
        <f t="shared" si="46"/>
        <v>37</v>
      </c>
      <c r="C1481">
        <f t="shared" si="47"/>
        <v>3</v>
      </c>
      <c r="D1481" cm="1">
        <f t="array" ref="D1481">INDEX('Linha 03'!$A$4:$A$1000,B1481)</f>
        <v>20200065</v>
      </c>
      <c r="E1481" t="str" cm="1">
        <f t="array" ref="E1481">INDEX('Linha 03'!$B$4:$B$1000,B1481)</f>
        <v>Lava Roupas Aquafast Flores B. E Baunilha Cx/06 X 2l</v>
      </c>
      <c r="F1481" cm="1">
        <f t="array" ref="F1481">INDEX('Linha 03'!$C$3:$ZZ$3,C1481)</f>
        <v>20040009</v>
      </c>
      <c r="G1481" t="str" cm="1">
        <f t="array" ref="G1481">INDEX('Linha 03'!$C$2:$ZZ$2,C1481)</f>
        <v>Amaciante Aquafast Branco Pura Caric. Cx/06 X 2l</v>
      </c>
      <c r="H1481" s="5" cm="1">
        <f t="array" ref="H1481">INDEX('Linha 03'!$C$4:$ZZ$1000,B1481,C1481)</f>
        <v>0</v>
      </c>
    </row>
    <row r="1482" spans="1:8" x14ac:dyDescent="0.25">
      <c r="A1482">
        <v>1480</v>
      </c>
      <c r="B1482">
        <f t="shared" si="46"/>
        <v>37</v>
      </c>
      <c r="C1482">
        <f t="shared" si="47"/>
        <v>4</v>
      </c>
      <c r="D1482" cm="1">
        <f t="array" ref="D1482">INDEX('Linha 03'!$A$4:$A$1000,B1482)</f>
        <v>20200065</v>
      </c>
      <c r="E1482" t="str" cm="1">
        <f t="array" ref="E1482">INDEX('Linha 03'!$B$4:$B$1000,B1482)</f>
        <v>Lava Roupas Aquafast Flores B. E Baunilha Cx/06 X 2l</v>
      </c>
      <c r="F1482" cm="1">
        <f t="array" ref="F1482">INDEX('Linha 03'!$C$3:$ZZ$3,C1482)</f>
        <v>20040026</v>
      </c>
      <c r="G1482" t="str" cm="1">
        <f t="array" ref="G1482">INDEX('Linha 03'!$C$2:$ZZ$2,C1482)</f>
        <v>Amaciante Ito Azul Cx/06 X 2l</v>
      </c>
      <c r="H1482" s="5" cm="1">
        <f t="array" ref="H1482">INDEX('Linha 03'!$C$4:$ZZ$1000,B1482,C1482)</f>
        <v>0</v>
      </c>
    </row>
    <row r="1483" spans="1:8" x14ac:dyDescent="0.25">
      <c r="A1483">
        <v>1481</v>
      </c>
      <c r="B1483">
        <f t="shared" si="46"/>
        <v>37</v>
      </c>
      <c r="C1483">
        <f t="shared" si="47"/>
        <v>5</v>
      </c>
      <c r="D1483" cm="1">
        <f t="array" ref="D1483">INDEX('Linha 03'!$A$4:$A$1000,B1483)</f>
        <v>20200065</v>
      </c>
      <c r="E1483" t="str" cm="1">
        <f t="array" ref="E1483">INDEX('Linha 03'!$B$4:$B$1000,B1483)</f>
        <v>Lava Roupas Aquafast Flores B. E Baunilha Cx/06 X 2l</v>
      </c>
      <c r="F1483" cm="1">
        <f t="array" ref="F1483">INDEX('Linha 03'!$C$3:$ZZ$3,C1483)</f>
        <v>20040028</v>
      </c>
      <c r="G1483" t="str" cm="1">
        <f t="array" ref="G1483">INDEX('Linha 03'!$C$2:$ZZ$2,C1483)</f>
        <v>Amaciante Ito Rosa Cx/06 X 2l</v>
      </c>
      <c r="H1483" s="5" cm="1">
        <f t="array" ref="H1483">INDEX('Linha 03'!$C$4:$ZZ$1000,B1483,C1483)</f>
        <v>0</v>
      </c>
    </row>
    <row r="1484" spans="1:8" x14ac:dyDescent="0.25">
      <c r="A1484">
        <v>1482</v>
      </c>
      <c r="B1484">
        <f t="shared" si="46"/>
        <v>37</v>
      </c>
      <c r="C1484">
        <f t="shared" si="47"/>
        <v>6</v>
      </c>
      <c r="D1484" cm="1">
        <f t="array" ref="D1484">INDEX('Linha 03'!$A$4:$A$1000,B1484)</f>
        <v>20200065</v>
      </c>
      <c r="E1484" t="str" cm="1">
        <f t="array" ref="E1484">INDEX('Linha 03'!$B$4:$B$1000,B1484)</f>
        <v>Lava Roupas Aquafast Flores B. E Baunilha Cx/06 X 2l</v>
      </c>
      <c r="F1484" cm="1">
        <f t="array" ref="F1484">INDEX('Linha 03'!$C$3:$ZZ$3,C1484)</f>
        <v>20040029</v>
      </c>
      <c r="G1484" t="str" cm="1">
        <f t="array" ref="G1484">INDEX('Linha 03'!$C$2:$ZZ$2,C1484)</f>
        <v>Amaciante Ito Branco Cx/06 X 2l</v>
      </c>
      <c r="H1484" s="5" cm="1">
        <f t="array" ref="H1484">INDEX('Linha 03'!$C$4:$ZZ$1000,B1484,C1484)</f>
        <v>0</v>
      </c>
    </row>
    <row r="1485" spans="1:8" x14ac:dyDescent="0.25">
      <c r="A1485">
        <v>1483</v>
      </c>
      <c r="B1485">
        <f t="shared" si="46"/>
        <v>37</v>
      </c>
      <c r="C1485">
        <f t="shared" si="47"/>
        <v>7</v>
      </c>
      <c r="D1485" cm="1">
        <f t="array" ref="D1485">INDEX('Linha 03'!$A$4:$A$1000,B1485)</f>
        <v>20200065</v>
      </c>
      <c r="E1485" t="str" cm="1">
        <f t="array" ref="E1485">INDEX('Linha 03'!$B$4:$B$1000,B1485)</f>
        <v>Lava Roupas Aquafast Flores B. E Baunilha Cx/06 X 2l</v>
      </c>
      <c r="F1485" cm="1">
        <f t="array" ref="F1485">INDEX('Linha 03'!$C$3:$ZZ$3,C1485)</f>
        <v>20040055</v>
      </c>
      <c r="G1485" t="str" cm="1">
        <f t="array" ref="G1485">INDEX('Linha 03'!$C$2:$ZZ$2,C1485)</f>
        <v>Amaciante Myata Azul Cx/06 X 2l</v>
      </c>
      <c r="H1485" s="5" cm="1">
        <f t="array" ref="H1485">INDEX('Linha 03'!$C$4:$ZZ$1000,B1485,C1485)</f>
        <v>0</v>
      </c>
    </row>
    <row r="1486" spans="1:8" x14ac:dyDescent="0.25">
      <c r="A1486">
        <v>1484</v>
      </c>
      <c r="B1486">
        <f t="shared" si="46"/>
        <v>37</v>
      </c>
      <c r="C1486">
        <f t="shared" si="47"/>
        <v>8</v>
      </c>
      <c r="D1486" cm="1">
        <f t="array" ref="D1486">INDEX('Linha 03'!$A$4:$A$1000,B1486)</f>
        <v>20200065</v>
      </c>
      <c r="E1486" t="str" cm="1">
        <f t="array" ref="E1486">INDEX('Linha 03'!$B$4:$B$1000,B1486)</f>
        <v>Lava Roupas Aquafast Flores B. E Baunilha Cx/06 X 2l</v>
      </c>
      <c r="F1486" cm="1">
        <f t="array" ref="F1486">INDEX('Linha 03'!$C$3:$ZZ$3,C1486)</f>
        <v>20040057</v>
      </c>
      <c r="G1486" t="str" cm="1">
        <f t="array" ref="G1486">INDEX('Linha 03'!$C$2:$ZZ$2,C1486)</f>
        <v>Amaciante Myata Rosa Cx/06 X 2l</v>
      </c>
      <c r="H1486" s="5" cm="1">
        <f t="array" ref="H1486">INDEX('Linha 03'!$C$4:$ZZ$1000,B1486,C1486)</f>
        <v>0</v>
      </c>
    </row>
    <row r="1487" spans="1:8" x14ac:dyDescent="0.25">
      <c r="A1487">
        <v>1485</v>
      </c>
      <c r="B1487">
        <f t="shared" si="46"/>
        <v>37</v>
      </c>
      <c r="C1487">
        <f t="shared" si="47"/>
        <v>9</v>
      </c>
      <c r="D1487" cm="1">
        <f t="array" ref="D1487">INDEX('Linha 03'!$A$4:$A$1000,B1487)</f>
        <v>20200065</v>
      </c>
      <c r="E1487" t="str" cm="1">
        <f t="array" ref="E1487">INDEX('Linha 03'!$B$4:$B$1000,B1487)</f>
        <v>Lava Roupas Aquafast Flores B. E Baunilha Cx/06 X 2l</v>
      </c>
      <c r="F1487" cm="1">
        <f t="array" ref="F1487">INDEX('Linha 03'!$C$3:$ZZ$3,C1487)</f>
        <v>20040084</v>
      </c>
      <c r="G1487" t="str" cm="1">
        <f t="array" ref="G1487">INDEX('Linha 03'!$C$2:$ZZ$2,C1487)</f>
        <v>Amaciante Aquafast Vermelho Seducao Cx C/06 X 2l</v>
      </c>
      <c r="H1487" s="5" cm="1">
        <f t="array" ref="H1487">INDEX('Linha 03'!$C$4:$ZZ$1000,B1487,C1487)</f>
        <v>0</v>
      </c>
    </row>
    <row r="1488" spans="1:8" x14ac:dyDescent="0.25">
      <c r="A1488">
        <v>1486</v>
      </c>
      <c r="B1488">
        <f t="shared" si="46"/>
        <v>37</v>
      </c>
      <c r="C1488">
        <f t="shared" si="47"/>
        <v>10</v>
      </c>
      <c r="D1488" cm="1">
        <f t="array" ref="D1488">INDEX('Linha 03'!$A$4:$A$1000,B1488)</f>
        <v>20200065</v>
      </c>
      <c r="E1488" t="str" cm="1">
        <f t="array" ref="E1488">INDEX('Linha 03'!$B$4:$B$1000,B1488)</f>
        <v>Lava Roupas Aquafast Flores B. E Baunilha Cx/06 X 2l</v>
      </c>
      <c r="F1488" cm="1">
        <f t="array" ref="F1488">INDEX('Linha 03'!$C$3:$ZZ$3,C1488)</f>
        <v>20040089</v>
      </c>
      <c r="G1488" t="str" cm="1">
        <f t="array" ref="G1488">INDEX('Linha 03'!$C$2:$ZZ$2,C1488)</f>
        <v>Amaciante Aquafast Roxo Magia Cx/06 X 2l</v>
      </c>
      <c r="H1488" s="5" cm="1">
        <f t="array" ref="H1488">INDEX('Linha 03'!$C$4:$ZZ$1000,B1488,C1488)</f>
        <v>0</v>
      </c>
    </row>
    <row r="1489" spans="1:8" x14ac:dyDescent="0.25">
      <c r="A1489">
        <v>1487</v>
      </c>
      <c r="B1489">
        <f t="shared" si="46"/>
        <v>37</v>
      </c>
      <c r="C1489">
        <f t="shared" si="47"/>
        <v>11</v>
      </c>
      <c r="D1489" cm="1">
        <f t="array" ref="D1489">INDEX('Linha 03'!$A$4:$A$1000,B1489)</f>
        <v>20200065</v>
      </c>
      <c r="E1489" t="str" cm="1">
        <f t="array" ref="E1489">INDEX('Linha 03'!$B$4:$B$1000,B1489)</f>
        <v>Lava Roupas Aquafast Flores B. E Baunilha Cx/06 X 2l</v>
      </c>
      <c r="F1489" cm="1">
        <f t="array" ref="F1489">INDEX('Linha 03'!$C$3:$ZZ$3,C1489)</f>
        <v>20040094</v>
      </c>
      <c r="G1489" t="str" cm="1">
        <f t="array" ref="G1489">INDEX('Linha 03'!$C$2:$ZZ$2,C1489)</f>
        <v>Amaciante Aquafast Energia Cx/06 X 2l</v>
      </c>
      <c r="H1489" s="5" cm="1">
        <f t="array" ref="H1489">INDEX('Linha 03'!$C$4:$ZZ$1000,B1489,C1489)</f>
        <v>0</v>
      </c>
    </row>
    <row r="1490" spans="1:8" x14ac:dyDescent="0.25">
      <c r="A1490">
        <v>1488</v>
      </c>
      <c r="B1490">
        <f t="shared" si="46"/>
        <v>37</v>
      </c>
      <c r="C1490">
        <f t="shared" si="47"/>
        <v>12</v>
      </c>
      <c r="D1490" cm="1">
        <f t="array" ref="D1490">INDEX('Linha 03'!$A$4:$A$1000,B1490)</f>
        <v>20200065</v>
      </c>
      <c r="E1490" t="str" cm="1">
        <f t="array" ref="E1490">INDEX('Linha 03'!$B$4:$B$1000,B1490)</f>
        <v>Lava Roupas Aquafast Flores B. E Baunilha Cx/06 X 2l</v>
      </c>
      <c r="F1490" cm="1">
        <f t="array" ref="F1490">INDEX('Linha 03'!$C$3:$ZZ$3,C1490)</f>
        <v>20050010</v>
      </c>
      <c r="G1490" t="str" cm="1">
        <f t="array" ref="G1490">INDEX('Linha 03'!$C$2:$ZZ$2,C1490)</f>
        <v>Desinfetante Aquafast Campos Lavanda Cx/06 X 2l</v>
      </c>
      <c r="H1490" s="5" cm="1">
        <f t="array" ref="H1490">INDEX('Linha 03'!$C$4:$ZZ$1000,B1490,C1490)</f>
        <v>0</v>
      </c>
    </row>
    <row r="1491" spans="1:8" x14ac:dyDescent="0.25">
      <c r="A1491">
        <v>1489</v>
      </c>
      <c r="B1491">
        <f t="shared" si="46"/>
        <v>37</v>
      </c>
      <c r="C1491">
        <f t="shared" si="47"/>
        <v>13</v>
      </c>
      <c r="D1491" cm="1">
        <f t="array" ref="D1491">INDEX('Linha 03'!$A$4:$A$1000,B1491)</f>
        <v>20200065</v>
      </c>
      <c r="E1491" t="str" cm="1">
        <f t="array" ref="E1491">INDEX('Linha 03'!$B$4:$B$1000,B1491)</f>
        <v>Lava Roupas Aquafast Flores B. E Baunilha Cx/06 X 2l</v>
      </c>
      <c r="F1491" cm="1">
        <f t="array" ref="F1491">INDEX('Linha 03'!$C$3:$ZZ$3,C1491)</f>
        <v>20050011</v>
      </c>
      <c r="G1491" t="str" cm="1">
        <f t="array" ref="G1491">INDEX('Linha 03'!$C$2:$ZZ$2,C1491)</f>
        <v>Desinfetante Aquafast Jardim Florido Cx/06 X 2l</v>
      </c>
      <c r="H1491" s="5" cm="1">
        <f t="array" ref="H1491">INDEX('Linha 03'!$C$4:$ZZ$1000,B1491,C1491)</f>
        <v>0</v>
      </c>
    </row>
    <row r="1492" spans="1:8" x14ac:dyDescent="0.25">
      <c r="A1492">
        <v>1490</v>
      </c>
      <c r="B1492">
        <f t="shared" si="46"/>
        <v>37</v>
      </c>
      <c r="C1492">
        <f t="shared" si="47"/>
        <v>14</v>
      </c>
      <c r="D1492" cm="1">
        <f t="array" ref="D1492">INDEX('Linha 03'!$A$4:$A$1000,B1492)</f>
        <v>20200065</v>
      </c>
      <c r="E1492" t="str" cm="1">
        <f t="array" ref="E1492">INDEX('Linha 03'!$B$4:$B$1000,B1492)</f>
        <v>Lava Roupas Aquafast Flores B. E Baunilha Cx/06 X 2l</v>
      </c>
      <c r="F1492" cm="1">
        <f t="array" ref="F1492">INDEX('Linha 03'!$C$3:$ZZ$3,C1492)</f>
        <v>20050016</v>
      </c>
      <c r="G1492" t="str" cm="1">
        <f t="array" ref="G1492">INDEX('Linha 03'!$C$2:$ZZ$2,C1492)</f>
        <v>Desinfetante Aquafast Marine Cx/06 X 2l</v>
      </c>
      <c r="H1492" s="5" cm="1">
        <f t="array" ref="H1492">INDEX('Linha 03'!$C$4:$ZZ$1000,B1492,C1492)</f>
        <v>0</v>
      </c>
    </row>
    <row r="1493" spans="1:8" x14ac:dyDescent="0.25">
      <c r="A1493">
        <v>1491</v>
      </c>
      <c r="B1493">
        <f t="shared" si="46"/>
        <v>37</v>
      </c>
      <c r="C1493">
        <f t="shared" si="47"/>
        <v>15</v>
      </c>
      <c r="D1493" cm="1">
        <f t="array" ref="D1493">INDEX('Linha 03'!$A$4:$A$1000,B1493)</f>
        <v>20200065</v>
      </c>
      <c r="E1493" t="str" cm="1">
        <f t="array" ref="E1493">INDEX('Linha 03'!$B$4:$B$1000,B1493)</f>
        <v>Lava Roupas Aquafast Flores B. E Baunilha Cx/06 X 2l</v>
      </c>
      <c r="F1493" cm="1">
        <f t="array" ref="F1493">INDEX('Linha 03'!$C$3:$ZZ$3,C1493)</f>
        <v>20050031</v>
      </c>
      <c r="G1493" t="str" cm="1">
        <f t="array" ref="G1493">INDEX('Linha 03'!$C$2:$ZZ$2,C1493)</f>
        <v>Desinfetante Ito Lavanda Cx/06 X 2l</v>
      </c>
      <c r="H1493" s="5" cm="1">
        <f t="array" ref="H1493">INDEX('Linha 03'!$C$4:$ZZ$1000,B1493,C1493)</f>
        <v>0</v>
      </c>
    </row>
    <row r="1494" spans="1:8" x14ac:dyDescent="0.25">
      <c r="A1494">
        <v>1492</v>
      </c>
      <c r="B1494">
        <f t="shared" si="46"/>
        <v>37</v>
      </c>
      <c r="C1494">
        <f t="shared" si="47"/>
        <v>16</v>
      </c>
      <c r="D1494" cm="1">
        <f t="array" ref="D1494">INDEX('Linha 03'!$A$4:$A$1000,B1494)</f>
        <v>20200065</v>
      </c>
      <c r="E1494" t="str" cm="1">
        <f t="array" ref="E1494">INDEX('Linha 03'!$B$4:$B$1000,B1494)</f>
        <v>Lava Roupas Aquafast Flores B. E Baunilha Cx/06 X 2l</v>
      </c>
      <c r="F1494" cm="1">
        <f t="array" ref="F1494">INDEX('Linha 03'!$C$3:$ZZ$3,C1494)</f>
        <v>20050032</v>
      </c>
      <c r="G1494" t="str" cm="1">
        <f t="array" ref="G1494">INDEX('Linha 03'!$C$2:$ZZ$2,C1494)</f>
        <v>Desinfetante Ito Floral Cx/06 X 2l</v>
      </c>
      <c r="H1494" s="5" cm="1">
        <f t="array" ref="H1494">INDEX('Linha 03'!$C$4:$ZZ$1000,B1494,C1494)</f>
        <v>0</v>
      </c>
    </row>
    <row r="1495" spans="1:8" x14ac:dyDescent="0.25">
      <c r="A1495">
        <v>1493</v>
      </c>
      <c r="B1495">
        <f t="shared" si="46"/>
        <v>37</v>
      </c>
      <c r="C1495">
        <f t="shared" si="47"/>
        <v>17</v>
      </c>
      <c r="D1495" cm="1">
        <f t="array" ref="D1495">INDEX('Linha 03'!$A$4:$A$1000,B1495)</f>
        <v>20200065</v>
      </c>
      <c r="E1495" t="str" cm="1">
        <f t="array" ref="E1495">INDEX('Linha 03'!$B$4:$B$1000,B1495)</f>
        <v>Lava Roupas Aquafast Flores B. E Baunilha Cx/06 X 2l</v>
      </c>
      <c r="F1495" cm="1">
        <f t="array" ref="F1495">INDEX('Linha 03'!$C$3:$ZZ$3,C1495)</f>
        <v>20050034</v>
      </c>
      <c r="G1495" t="str" cm="1">
        <f t="array" ref="G1495">INDEX('Linha 03'!$C$2:$ZZ$2,C1495)</f>
        <v>Desinfetante Ito Eucalipto Cx/06 X 2l</v>
      </c>
      <c r="H1495" s="5" cm="1">
        <f t="array" ref="H1495">INDEX('Linha 03'!$C$4:$ZZ$1000,B1495,C1495)</f>
        <v>0</v>
      </c>
    </row>
    <row r="1496" spans="1:8" x14ac:dyDescent="0.25">
      <c r="A1496">
        <v>1494</v>
      </c>
      <c r="B1496">
        <f t="shared" si="46"/>
        <v>37</v>
      </c>
      <c r="C1496">
        <f t="shared" si="47"/>
        <v>18</v>
      </c>
      <c r="D1496" cm="1">
        <f t="array" ref="D1496">INDEX('Linha 03'!$A$4:$A$1000,B1496)</f>
        <v>20200065</v>
      </c>
      <c r="E1496" t="str" cm="1">
        <f t="array" ref="E1496">INDEX('Linha 03'!$B$4:$B$1000,B1496)</f>
        <v>Lava Roupas Aquafast Flores B. E Baunilha Cx/06 X 2l</v>
      </c>
      <c r="F1496" cm="1">
        <f t="array" ref="F1496">INDEX('Linha 03'!$C$3:$ZZ$3,C1496)</f>
        <v>20050077</v>
      </c>
      <c r="G1496" t="str" cm="1">
        <f t="array" ref="G1496">INDEX('Linha 03'!$C$2:$ZZ$2,C1496)</f>
        <v>Desinfetante Myata Lavanda Cx/06 X 2l</v>
      </c>
      <c r="H1496" s="5" cm="1">
        <f t="array" ref="H1496">INDEX('Linha 03'!$C$4:$ZZ$1000,B1496,C1496)</f>
        <v>0</v>
      </c>
    </row>
    <row r="1497" spans="1:8" x14ac:dyDescent="0.25">
      <c r="A1497">
        <v>1495</v>
      </c>
      <c r="B1497">
        <f t="shared" si="46"/>
        <v>37</v>
      </c>
      <c r="C1497">
        <f t="shared" si="47"/>
        <v>19</v>
      </c>
      <c r="D1497" cm="1">
        <f t="array" ref="D1497">INDEX('Linha 03'!$A$4:$A$1000,B1497)</f>
        <v>20200065</v>
      </c>
      <c r="E1497" t="str" cm="1">
        <f t="array" ref="E1497">INDEX('Linha 03'!$B$4:$B$1000,B1497)</f>
        <v>Lava Roupas Aquafast Flores B. E Baunilha Cx/06 X 2l</v>
      </c>
      <c r="F1497" cm="1">
        <f t="array" ref="F1497">INDEX('Linha 03'!$C$3:$ZZ$3,C1497)</f>
        <v>20050078</v>
      </c>
      <c r="G1497" t="str" cm="1">
        <f t="array" ref="G1497">INDEX('Linha 03'!$C$2:$ZZ$2,C1497)</f>
        <v>Desinfetante Myata Floral Cx/06 X 2l</v>
      </c>
      <c r="H1497" s="5" cm="1">
        <f t="array" ref="H1497">INDEX('Linha 03'!$C$4:$ZZ$1000,B1497,C1497)</f>
        <v>0</v>
      </c>
    </row>
    <row r="1498" spans="1:8" x14ac:dyDescent="0.25">
      <c r="A1498">
        <v>1496</v>
      </c>
      <c r="B1498">
        <f t="shared" si="46"/>
        <v>37</v>
      </c>
      <c r="C1498">
        <f t="shared" si="47"/>
        <v>20</v>
      </c>
      <c r="D1498" cm="1">
        <f t="array" ref="D1498">INDEX('Linha 03'!$A$4:$A$1000,B1498)</f>
        <v>20200065</v>
      </c>
      <c r="E1498" t="str" cm="1">
        <f t="array" ref="E1498">INDEX('Linha 03'!$B$4:$B$1000,B1498)</f>
        <v>Lava Roupas Aquafast Flores B. E Baunilha Cx/06 X 2l</v>
      </c>
      <c r="F1498" cm="1">
        <f t="array" ref="F1498">INDEX('Linha 03'!$C$3:$ZZ$3,C1498)</f>
        <v>20050115</v>
      </c>
      <c r="G1498" t="str" cm="1">
        <f t="array" ref="G1498">INDEX('Linha 03'!$C$2:$ZZ$2,C1498)</f>
        <v>Desinfetante Aquafast Paixao Cx/06 X 2l</v>
      </c>
      <c r="H1498" s="5" cm="1">
        <f t="array" ref="H1498">INDEX('Linha 03'!$C$4:$ZZ$1000,B1498,C1498)</f>
        <v>0</v>
      </c>
    </row>
    <row r="1499" spans="1:8" x14ac:dyDescent="0.25">
      <c r="A1499">
        <v>1497</v>
      </c>
      <c r="B1499">
        <f t="shared" si="46"/>
        <v>37</v>
      </c>
      <c r="C1499">
        <f t="shared" si="47"/>
        <v>21</v>
      </c>
      <c r="D1499" cm="1">
        <f t="array" ref="D1499">INDEX('Linha 03'!$A$4:$A$1000,B1499)</f>
        <v>20200065</v>
      </c>
      <c r="E1499" t="str" cm="1">
        <f t="array" ref="E1499">INDEX('Linha 03'!$B$4:$B$1000,B1499)</f>
        <v>Lava Roupas Aquafast Flores B. E Baunilha Cx/06 X 2l</v>
      </c>
      <c r="F1499" cm="1">
        <f t="array" ref="F1499">INDEX('Linha 03'!$C$3:$ZZ$3,C1499)</f>
        <v>20050117</v>
      </c>
      <c r="G1499" t="str" cm="1">
        <f t="array" ref="G1499">INDEX('Linha 03'!$C$2:$ZZ$2,C1499)</f>
        <v>Desinfetante Aquafast Harmonia Natural Cx/06 X 2l</v>
      </c>
      <c r="H1499" s="5" cm="1">
        <f t="array" ref="H1499">INDEX('Linha 03'!$C$4:$ZZ$1000,B1499,C1499)</f>
        <v>0</v>
      </c>
    </row>
    <row r="1500" spans="1:8" x14ac:dyDescent="0.25">
      <c r="A1500">
        <v>1498</v>
      </c>
      <c r="B1500">
        <f t="shared" si="46"/>
        <v>37</v>
      </c>
      <c r="C1500">
        <f t="shared" si="47"/>
        <v>22</v>
      </c>
      <c r="D1500" cm="1">
        <f t="array" ref="D1500">INDEX('Linha 03'!$A$4:$A$1000,B1500)</f>
        <v>20200065</v>
      </c>
      <c r="E1500" t="str" cm="1">
        <f t="array" ref="E1500">INDEX('Linha 03'!$B$4:$B$1000,B1500)</f>
        <v>Lava Roupas Aquafast Flores B. E Baunilha Cx/06 X 2l</v>
      </c>
      <c r="F1500" cm="1">
        <f t="array" ref="F1500">INDEX('Linha 03'!$C$3:$ZZ$3,C1500)</f>
        <v>20050123</v>
      </c>
      <c r="G1500" t="str" cm="1">
        <f t="array" ref="G1500">INDEX('Linha 03'!$C$2:$ZZ$2,C1500)</f>
        <v>Desinfetante Ito Harmonia Natural Cx/06 X 2l</v>
      </c>
      <c r="H1500" s="5" cm="1">
        <f t="array" ref="H1500">INDEX('Linha 03'!$C$4:$ZZ$1000,B1500,C1500)</f>
        <v>0</v>
      </c>
    </row>
    <row r="1501" spans="1:8" x14ac:dyDescent="0.25">
      <c r="A1501">
        <v>1499</v>
      </c>
      <c r="B1501">
        <f t="shared" si="46"/>
        <v>37</v>
      </c>
      <c r="C1501">
        <f t="shared" si="47"/>
        <v>23</v>
      </c>
      <c r="D1501" cm="1">
        <f t="array" ref="D1501">INDEX('Linha 03'!$A$4:$A$1000,B1501)</f>
        <v>20200065</v>
      </c>
      <c r="E1501" t="str" cm="1">
        <f t="array" ref="E1501">INDEX('Linha 03'!$B$4:$B$1000,B1501)</f>
        <v>Lava Roupas Aquafast Flores B. E Baunilha Cx/06 X 2l</v>
      </c>
      <c r="F1501" cm="1">
        <f t="array" ref="F1501">INDEX('Linha 03'!$C$3:$ZZ$3,C1501)</f>
        <v>20050124</v>
      </c>
      <c r="G1501" t="str" cm="1">
        <f t="array" ref="G1501">INDEX('Linha 03'!$C$2:$ZZ$2,C1501)</f>
        <v>Desinfetante Myata Harmonia Natural Cx/06 X 2l</v>
      </c>
      <c r="H1501" s="5" cm="1">
        <f t="array" ref="H1501">INDEX('Linha 03'!$C$4:$ZZ$1000,B1501,C1501)</f>
        <v>0</v>
      </c>
    </row>
    <row r="1502" spans="1:8" x14ac:dyDescent="0.25">
      <c r="A1502">
        <v>1500</v>
      </c>
      <c r="B1502">
        <f t="shared" si="46"/>
        <v>37</v>
      </c>
      <c r="C1502">
        <f t="shared" si="47"/>
        <v>24</v>
      </c>
      <c r="D1502" cm="1">
        <f t="array" ref="D1502">INDEX('Linha 03'!$A$4:$A$1000,B1502)</f>
        <v>20200065</v>
      </c>
      <c r="E1502" t="str" cm="1">
        <f t="array" ref="E1502">INDEX('Linha 03'!$B$4:$B$1000,B1502)</f>
        <v>Lava Roupas Aquafast Flores B. E Baunilha Cx/06 X 2l</v>
      </c>
      <c r="F1502" cm="1">
        <f t="array" ref="F1502">INDEX('Linha 03'!$C$3:$ZZ$3,C1502)</f>
        <v>20050142</v>
      </c>
      <c r="G1502" t="str" cm="1">
        <f t="array" ref="G1502">INDEX('Linha 03'!$C$2:$ZZ$2,C1502)</f>
        <v>Desinfetante Ito Marine Cx/06 X 2l</v>
      </c>
      <c r="H1502" s="5" cm="1">
        <f t="array" ref="H1502">INDEX('Linha 03'!$C$4:$ZZ$1000,B1502,C1502)</f>
        <v>0</v>
      </c>
    </row>
    <row r="1503" spans="1:8" x14ac:dyDescent="0.25">
      <c r="A1503">
        <v>1501</v>
      </c>
      <c r="B1503">
        <f t="shared" si="46"/>
        <v>37</v>
      </c>
      <c r="C1503">
        <f t="shared" si="47"/>
        <v>25</v>
      </c>
      <c r="D1503" cm="1">
        <f t="array" ref="D1503">INDEX('Linha 03'!$A$4:$A$1000,B1503)</f>
        <v>20200065</v>
      </c>
      <c r="E1503" t="str" cm="1">
        <f t="array" ref="E1503">INDEX('Linha 03'!$B$4:$B$1000,B1503)</f>
        <v>Lava Roupas Aquafast Flores B. E Baunilha Cx/06 X 2l</v>
      </c>
      <c r="F1503" cm="1">
        <f t="array" ref="F1503">INDEX('Linha 03'!$C$3:$ZZ$3,C1503)</f>
        <v>20050159</v>
      </c>
      <c r="G1503" t="str" cm="1">
        <f t="array" ref="G1503">INDEX('Linha 03'!$C$2:$ZZ$2,C1503)</f>
        <v>Desinfetante Aquafast Cha Branco Cx/06 X 2l</v>
      </c>
      <c r="H1503" s="5" cm="1">
        <f t="array" ref="H1503">INDEX('Linha 03'!$C$4:$ZZ$1000,B1503,C1503)</f>
        <v>1.38888888888889E-2</v>
      </c>
    </row>
    <row r="1504" spans="1:8" x14ac:dyDescent="0.25">
      <c r="A1504">
        <v>1502</v>
      </c>
      <c r="B1504">
        <f t="shared" si="46"/>
        <v>37</v>
      </c>
      <c r="C1504">
        <f t="shared" si="47"/>
        <v>26</v>
      </c>
      <c r="D1504" cm="1">
        <f t="array" ref="D1504">INDEX('Linha 03'!$A$4:$A$1000,B1504)</f>
        <v>20200065</v>
      </c>
      <c r="E1504" t="str" cm="1">
        <f t="array" ref="E1504">INDEX('Linha 03'!$B$4:$B$1000,B1504)</f>
        <v>Lava Roupas Aquafast Flores B. E Baunilha Cx/06 X 2l</v>
      </c>
      <c r="F1504" cm="1">
        <f t="array" ref="F1504">INDEX('Linha 03'!$C$3:$ZZ$3,C1504)</f>
        <v>20060007</v>
      </c>
      <c r="G1504" t="str" cm="1">
        <f t="array" ref="G1504">INDEX('Linha 03'!$C$2:$ZZ$2,C1504)</f>
        <v>Limp Perf Aquafast Magia Seducao Cx/06 X 2l (Promoc)</v>
      </c>
      <c r="H1504" s="5" cm="1">
        <f t="array" ref="H1504">INDEX('Linha 03'!$C$4:$ZZ$1000,B1504,C1504)</f>
        <v>0</v>
      </c>
    </row>
    <row r="1505" spans="1:8" x14ac:dyDescent="0.25">
      <c r="A1505">
        <v>1503</v>
      </c>
      <c r="B1505">
        <f t="shared" si="46"/>
        <v>37</v>
      </c>
      <c r="C1505">
        <f t="shared" si="47"/>
        <v>27</v>
      </c>
      <c r="D1505" cm="1">
        <f t="array" ref="D1505">INDEX('Linha 03'!$A$4:$A$1000,B1505)</f>
        <v>20200065</v>
      </c>
      <c r="E1505" t="str" cm="1">
        <f t="array" ref="E1505">INDEX('Linha 03'!$B$4:$B$1000,B1505)</f>
        <v>Lava Roupas Aquafast Flores B. E Baunilha Cx/06 X 2l</v>
      </c>
      <c r="F1505" cm="1">
        <f t="array" ref="F1505">INDEX('Linha 03'!$C$3:$ZZ$3,C1505)</f>
        <v>20060009</v>
      </c>
      <c r="G1505" t="str" cm="1">
        <f t="array" ref="G1505">INDEX('Linha 03'!$C$2:$ZZ$2,C1505)</f>
        <v>Limp Perf Aquafast Frescor Da Manha Cx/06 X 2l (Promoc)</v>
      </c>
      <c r="H1505" s="5" cm="1">
        <f t="array" ref="H1505">INDEX('Linha 03'!$C$4:$ZZ$1000,B1505,C1505)</f>
        <v>0</v>
      </c>
    </row>
    <row r="1506" spans="1:8" x14ac:dyDescent="0.25">
      <c r="A1506">
        <v>1504</v>
      </c>
      <c r="B1506">
        <f t="shared" si="46"/>
        <v>37</v>
      </c>
      <c r="C1506">
        <f t="shared" si="47"/>
        <v>28</v>
      </c>
      <c r="D1506" cm="1">
        <f t="array" ref="D1506">INDEX('Linha 03'!$A$4:$A$1000,B1506)</f>
        <v>20200065</v>
      </c>
      <c r="E1506" t="str" cm="1">
        <f t="array" ref="E1506">INDEX('Linha 03'!$B$4:$B$1000,B1506)</f>
        <v>Lava Roupas Aquafast Flores B. E Baunilha Cx/06 X 2l</v>
      </c>
      <c r="F1506" cm="1">
        <f t="array" ref="F1506">INDEX('Linha 03'!$C$3:$ZZ$3,C1506)</f>
        <v>20060017</v>
      </c>
      <c r="G1506" t="str" cm="1">
        <f t="array" ref="G1506">INDEX('Linha 03'!$C$2:$ZZ$2,C1506)</f>
        <v>Limp Perf Aquafast Doce Romance Cx/06 X 2l (Promoc)</v>
      </c>
      <c r="H1506" s="5" cm="1">
        <f t="array" ref="H1506">INDEX('Linha 03'!$C$4:$ZZ$1000,B1506,C1506)</f>
        <v>0</v>
      </c>
    </row>
    <row r="1507" spans="1:8" x14ac:dyDescent="0.25">
      <c r="A1507">
        <v>1505</v>
      </c>
      <c r="B1507">
        <f t="shared" si="46"/>
        <v>37</v>
      </c>
      <c r="C1507">
        <f t="shared" si="47"/>
        <v>29</v>
      </c>
      <c r="D1507" cm="1">
        <f t="array" ref="D1507">INDEX('Linha 03'!$A$4:$A$1000,B1507)</f>
        <v>20200065</v>
      </c>
      <c r="E1507" t="str" cm="1">
        <f t="array" ref="E1507">INDEX('Linha 03'!$B$4:$B$1000,B1507)</f>
        <v>Lava Roupas Aquafast Flores B. E Baunilha Cx/06 X 2l</v>
      </c>
      <c r="F1507" cm="1">
        <f t="array" ref="F1507">INDEX('Linha 03'!$C$3:$ZZ$3,C1507)</f>
        <v>20060028</v>
      </c>
      <c r="G1507" t="str" cm="1">
        <f t="array" ref="G1507">INDEX('Linha 03'!$C$2:$ZZ$2,C1507)</f>
        <v>Limp Perf Aquafast Essencia Natural Cx06 X 2l</v>
      </c>
      <c r="H1507" s="5" cm="1">
        <f t="array" ref="H1507">INDEX('Linha 03'!$C$4:$ZZ$1000,B1507,C1507)</f>
        <v>0</v>
      </c>
    </row>
    <row r="1508" spans="1:8" x14ac:dyDescent="0.25">
      <c r="A1508">
        <v>1506</v>
      </c>
      <c r="B1508">
        <f t="shared" si="46"/>
        <v>37</v>
      </c>
      <c r="C1508">
        <f t="shared" si="47"/>
        <v>30</v>
      </c>
      <c r="D1508" cm="1">
        <f t="array" ref="D1508">INDEX('Linha 03'!$A$4:$A$1000,B1508)</f>
        <v>20200065</v>
      </c>
      <c r="E1508" t="str" cm="1">
        <f t="array" ref="E1508">INDEX('Linha 03'!$B$4:$B$1000,B1508)</f>
        <v>Lava Roupas Aquafast Flores B. E Baunilha Cx/06 X 2l</v>
      </c>
      <c r="F1508" cm="1">
        <f t="array" ref="F1508">INDEX('Linha 03'!$C$3:$ZZ$3,C1508)</f>
        <v>20200003</v>
      </c>
      <c r="G1508" t="str" cm="1">
        <f t="array" ref="G1508">INDEX('Linha 03'!$C$2:$ZZ$2,C1508)</f>
        <v>Lava Roup. Aquafast Baby Cx/12 X 1l</v>
      </c>
      <c r="H1508" s="5" cm="1">
        <f t="array" ref="H1508">INDEX('Linha 03'!$C$4:$ZZ$1000,B1508,C1508)</f>
        <v>0</v>
      </c>
    </row>
    <row r="1509" spans="1:8" x14ac:dyDescent="0.25">
      <c r="A1509">
        <v>1507</v>
      </c>
      <c r="B1509">
        <f t="shared" si="46"/>
        <v>37</v>
      </c>
      <c r="C1509">
        <f t="shared" si="47"/>
        <v>31</v>
      </c>
      <c r="D1509" cm="1">
        <f t="array" ref="D1509">INDEX('Linha 03'!$A$4:$A$1000,B1509)</f>
        <v>20200065</v>
      </c>
      <c r="E1509" t="str" cm="1">
        <f t="array" ref="E1509">INDEX('Linha 03'!$B$4:$B$1000,B1509)</f>
        <v>Lava Roupas Aquafast Flores B. E Baunilha Cx/06 X 2l</v>
      </c>
      <c r="F1509" cm="1">
        <f t="array" ref="F1509">INDEX('Linha 03'!$C$3:$ZZ$3,C1509)</f>
        <v>20200005</v>
      </c>
      <c r="G1509" t="str" cm="1">
        <f t="array" ref="G1509">INDEX('Linha 03'!$C$2:$ZZ$2,C1509)</f>
        <v>Lava Roupas Aquafast Multi Acao Cx/06 X 2l</v>
      </c>
      <c r="H1509" s="5" cm="1">
        <f t="array" ref="H1509">INDEX('Linha 03'!$C$4:$ZZ$1000,B1509,C1509)</f>
        <v>0</v>
      </c>
    </row>
    <row r="1510" spans="1:8" x14ac:dyDescent="0.25">
      <c r="A1510">
        <v>1508</v>
      </c>
      <c r="B1510">
        <f t="shared" si="46"/>
        <v>37</v>
      </c>
      <c r="C1510">
        <f t="shared" si="47"/>
        <v>32</v>
      </c>
      <c r="D1510" cm="1">
        <f t="array" ref="D1510">INDEX('Linha 03'!$A$4:$A$1000,B1510)</f>
        <v>20200065</v>
      </c>
      <c r="E1510" t="str" cm="1">
        <f t="array" ref="E1510">INDEX('Linha 03'!$B$4:$B$1000,B1510)</f>
        <v>Lava Roupas Aquafast Flores B. E Baunilha Cx/06 X 2l</v>
      </c>
      <c r="F1510" cm="1">
        <f t="array" ref="F1510">INDEX('Linha 03'!$C$3:$ZZ$3,C1510)</f>
        <v>20200006</v>
      </c>
      <c r="G1510" t="str" cm="1">
        <f t="array" ref="G1510">INDEX('Linha 03'!$C$2:$ZZ$2,C1510)</f>
        <v>Lava Roupas Aquafast Glicerina Cx/06 X 2l</v>
      </c>
      <c r="H1510" s="5" cm="1">
        <f t="array" ref="H1510">INDEX('Linha 03'!$C$4:$ZZ$1000,B1510,C1510)</f>
        <v>0</v>
      </c>
    </row>
    <row r="1511" spans="1:8" x14ac:dyDescent="0.25">
      <c r="A1511">
        <v>1509</v>
      </c>
      <c r="B1511">
        <f t="shared" si="46"/>
        <v>37</v>
      </c>
      <c r="C1511">
        <f t="shared" si="47"/>
        <v>33</v>
      </c>
      <c r="D1511" cm="1">
        <f t="array" ref="D1511">INDEX('Linha 03'!$A$4:$A$1000,B1511)</f>
        <v>20200065</v>
      </c>
      <c r="E1511" t="str" cm="1">
        <f t="array" ref="E1511">INDEX('Linha 03'!$B$4:$B$1000,B1511)</f>
        <v>Lava Roupas Aquafast Flores B. E Baunilha Cx/06 X 2l</v>
      </c>
      <c r="F1511" cm="1">
        <f t="array" ref="F1511">INDEX('Linha 03'!$C$3:$ZZ$3,C1511)</f>
        <v>20200015</v>
      </c>
      <c r="G1511" t="str" cm="1">
        <f t="array" ref="G1511">INDEX('Linha 03'!$C$2:$ZZ$2,C1511)</f>
        <v>Lava Roup. Aquafast Multiacao Cx/12 X 1l</v>
      </c>
      <c r="H1511" s="5" cm="1">
        <f t="array" ref="H1511">INDEX('Linha 03'!$C$4:$ZZ$1000,B1511,C1511)</f>
        <v>0</v>
      </c>
    </row>
    <row r="1512" spans="1:8" x14ac:dyDescent="0.25">
      <c r="A1512">
        <v>1510</v>
      </c>
      <c r="B1512">
        <f t="shared" si="46"/>
        <v>37</v>
      </c>
      <c r="C1512">
        <f t="shared" si="47"/>
        <v>34</v>
      </c>
      <c r="D1512" cm="1">
        <f t="array" ref="D1512">INDEX('Linha 03'!$A$4:$A$1000,B1512)</f>
        <v>20200065</v>
      </c>
      <c r="E1512" t="str" cm="1">
        <f t="array" ref="E1512">INDEX('Linha 03'!$B$4:$B$1000,B1512)</f>
        <v>Lava Roupas Aquafast Flores B. E Baunilha Cx/06 X 2l</v>
      </c>
      <c r="F1512" cm="1">
        <f t="array" ref="F1512">INDEX('Linha 03'!$C$3:$ZZ$3,C1512)</f>
        <v>20200036</v>
      </c>
      <c r="G1512" t="str" cm="1">
        <f t="array" ref="G1512">INDEX('Linha 03'!$C$2:$ZZ$2,C1512)</f>
        <v>Lava Roupas Aquafast Ternura Cx/06 X 2l</v>
      </c>
      <c r="H1512" s="5" cm="1">
        <f t="array" ref="H1512">INDEX('Linha 03'!$C$4:$ZZ$1000,B1512,C1512)</f>
        <v>0</v>
      </c>
    </row>
    <row r="1513" spans="1:8" x14ac:dyDescent="0.25">
      <c r="A1513">
        <v>1511</v>
      </c>
      <c r="B1513">
        <f t="shared" si="46"/>
        <v>37</v>
      </c>
      <c r="C1513">
        <f t="shared" si="47"/>
        <v>35</v>
      </c>
      <c r="D1513" cm="1">
        <f t="array" ref="D1513">INDEX('Linha 03'!$A$4:$A$1000,B1513)</f>
        <v>20200065</v>
      </c>
      <c r="E1513" t="str" cm="1">
        <f t="array" ref="E1513">INDEX('Linha 03'!$B$4:$B$1000,B1513)</f>
        <v>Lava Roupas Aquafast Flores B. E Baunilha Cx/06 X 2l</v>
      </c>
      <c r="F1513" cm="1">
        <f t="array" ref="F1513">INDEX('Linha 03'!$C$3:$ZZ$3,C1513)</f>
        <v>20200063</v>
      </c>
      <c r="G1513" t="str" cm="1">
        <f t="array" ref="G1513">INDEX('Linha 03'!$C$2:$ZZ$2,C1513)</f>
        <v>Lava Roup. Aquafast Tradicional Cx/12 X 1l</v>
      </c>
      <c r="H1513" s="5" cm="1">
        <f t="array" ref="H1513">INDEX('Linha 03'!$C$4:$ZZ$1000,B1513,C1513)</f>
        <v>0</v>
      </c>
    </row>
    <row r="1514" spans="1:8" x14ac:dyDescent="0.25">
      <c r="A1514">
        <v>1512</v>
      </c>
      <c r="B1514">
        <f t="shared" si="46"/>
        <v>37</v>
      </c>
      <c r="C1514">
        <f t="shared" si="47"/>
        <v>36</v>
      </c>
      <c r="D1514" cm="1">
        <f t="array" ref="D1514">INDEX('Linha 03'!$A$4:$A$1000,B1514)</f>
        <v>20200065</v>
      </c>
      <c r="E1514" t="str" cm="1">
        <f t="array" ref="E1514">INDEX('Linha 03'!$B$4:$B$1000,B1514)</f>
        <v>Lava Roupas Aquafast Flores B. E Baunilha Cx/06 X 2l</v>
      </c>
      <c r="F1514" cm="1">
        <f t="array" ref="F1514">INDEX('Linha 03'!$C$3:$ZZ$3,C1514)</f>
        <v>20200064</v>
      </c>
      <c r="G1514" t="str" cm="1">
        <f t="array" ref="G1514">INDEX('Linha 03'!$C$2:$ZZ$2,C1514)</f>
        <v>Lava Roup. Aquafast Flores B. E Baunilha Cx/12 X 1l</v>
      </c>
      <c r="H1514" s="5" cm="1">
        <f t="array" ref="H1514">INDEX('Linha 03'!$C$4:$ZZ$1000,B1514,C1514)</f>
        <v>0</v>
      </c>
    </row>
    <row r="1515" spans="1:8" x14ac:dyDescent="0.25">
      <c r="A1515">
        <v>1513</v>
      </c>
      <c r="B1515">
        <f t="shared" si="46"/>
        <v>37</v>
      </c>
      <c r="C1515">
        <f t="shared" si="47"/>
        <v>37</v>
      </c>
      <c r="D1515" cm="1">
        <f t="array" ref="D1515">INDEX('Linha 03'!$A$4:$A$1000,B1515)</f>
        <v>20200065</v>
      </c>
      <c r="E1515" t="str" cm="1">
        <f t="array" ref="E1515">INDEX('Linha 03'!$B$4:$B$1000,B1515)</f>
        <v>Lava Roupas Aquafast Flores B. E Baunilha Cx/06 X 2l</v>
      </c>
      <c r="F1515" cm="1">
        <f t="array" ref="F1515">INDEX('Linha 03'!$C$3:$ZZ$3,C1515)</f>
        <v>20200065</v>
      </c>
      <c r="G1515" t="str" cm="1">
        <f t="array" ref="G1515">INDEX('Linha 03'!$C$2:$ZZ$2,C1515)</f>
        <v>Lava Roupas Aquafast Flores B. E Baunilha Cx/06 X 2l</v>
      </c>
      <c r="H1515" s="5" cm="1">
        <f t="array" ref="H1515">INDEX('Linha 03'!$C$4:$ZZ$1000,B1515,C1515)</f>
        <v>0</v>
      </c>
    </row>
    <row r="1516" spans="1:8" x14ac:dyDescent="0.25">
      <c r="A1516">
        <v>1514</v>
      </c>
      <c r="B1516">
        <f t="shared" si="46"/>
        <v>37</v>
      </c>
      <c r="C1516">
        <f t="shared" si="47"/>
        <v>38</v>
      </c>
      <c r="D1516" cm="1">
        <f t="array" ref="D1516">INDEX('Linha 03'!$A$4:$A$1000,B1516)</f>
        <v>20200065</v>
      </c>
      <c r="E1516" t="str" cm="1">
        <f t="array" ref="E1516">INDEX('Linha 03'!$B$4:$B$1000,B1516)</f>
        <v>Lava Roupas Aquafast Flores B. E Baunilha Cx/06 X 2l</v>
      </c>
      <c r="F1516" cm="1">
        <f t="array" ref="F1516">INDEX('Linha 03'!$C$3:$ZZ$3,C1516)</f>
        <v>20200072</v>
      </c>
      <c r="G1516" t="str" cm="1">
        <f t="array" ref="G1516">INDEX('Linha 03'!$C$2:$ZZ$2,C1516)</f>
        <v>Lava Roupas Aquafast Lavagem Rapida Total Clean Cx/12 X 1l</v>
      </c>
      <c r="H1516" s="5" cm="1">
        <f t="array" ref="H1516">INDEX('Linha 03'!$C$4:$ZZ$1000,B1516,C1516)</f>
        <v>0</v>
      </c>
    </row>
    <row r="1517" spans="1:8" x14ac:dyDescent="0.25">
      <c r="A1517">
        <v>1515</v>
      </c>
      <c r="B1517">
        <f t="shared" si="46"/>
        <v>37</v>
      </c>
      <c r="C1517">
        <f t="shared" si="47"/>
        <v>39</v>
      </c>
      <c r="D1517" cm="1">
        <f t="array" ref="D1517">INDEX('Linha 03'!$A$4:$A$1000,B1517)</f>
        <v>20200065</v>
      </c>
      <c r="E1517" t="str" cm="1">
        <f t="array" ref="E1517">INDEX('Linha 03'!$B$4:$B$1000,B1517)</f>
        <v>Lava Roupas Aquafast Flores B. E Baunilha Cx/06 X 2l</v>
      </c>
      <c r="F1517" cm="1">
        <f t="array" ref="F1517">INDEX('Linha 03'!$C$3:$ZZ$3,C1517)</f>
        <v>20200074</v>
      </c>
      <c r="G1517" t="str" cm="1">
        <f t="array" ref="G1517">INDEX('Linha 03'!$C$2:$ZZ$2,C1517)</f>
        <v>Lava Roupas Aquafast Lavagem Rapida Fresh Clean Cx/12 X 1l</v>
      </c>
      <c r="H1517" s="5" cm="1">
        <f t="array" ref="H1517">INDEX('Linha 03'!$C$4:$ZZ$1000,B1517,C1517)</f>
        <v>0</v>
      </c>
    </row>
    <row r="1518" spans="1:8" x14ac:dyDescent="0.25">
      <c r="A1518">
        <v>1516</v>
      </c>
      <c r="B1518">
        <f t="shared" si="46"/>
        <v>37</v>
      </c>
      <c r="C1518">
        <f t="shared" si="47"/>
        <v>40</v>
      </c>
      <c r="D1518" cm="1">
        <f t="array" ref="D1518">INDEX('Linha 03'!$A$4:$A$1000,B1518)</f>
        <v>20200065</v>
      </c>
      <c r="E1518" t="str" cm="1">
        <f t="array" ref="E1518">INDEX('Linha 03'!$B$4:$B$1000,B1518)</f>
        <v>Lava Roupas Aquafast Flores B. E Baunilha Cx/06 X 2l</v>
      </c>
      <c r="F1518" cm="1">
        <f t="array" ref="F1518">INDEX('Linha 03'!$C$3:$ZZ$3,C1518)</f>
        <v>20250005</v>
      </c>
      <c r="G1518" t="str" cm="1">
        <f t="array" ref="G1518">INDEX('Linha 03'!$C$2:$ZZ$2,C1518)</f>
        <v>Neutralizador De Odores Aquafast Floral Cx/06 X 2l</v>
      </c>
      <c r="H1518" s="5" cm="1">
        <f t="array" ref="H1518">INDEX('Linha 03'!$C$4:$ZZ$1000,B1518,C1518)</f>
        <v>0</v>
      </c>
    </row>
    <row r="1519" spans="1:8" x14ac:dyDescent="0.25">
      <c r="A1519">
        <v>1517</v>
      </c>
      <c r="B1519">
        <f t="shared" si="46"/>
        <v>37</v>
      </c>
      <c r="C1519">
        <f t="shared" si="47"/>
        <v>41</v>
      </c>
      <c r="D1519" cm="1">
        <f t="array" ref="D1519">INDEX('Linha 03'!$A$4:$A$1000,B1519)</f>
        <v>20200065</v>
      </c>
      <c r="E1519" t="str" cm="1">
        <f t="array" ref="E1519">INDEX('Linha 03'!$B$4:$B$1000,B1519)</f>
        <v>Lava Roupas Aquafast Flores B. E Baunilha Cx/06 X 2l</v>
      </c>
      <c r="F1519" cm="1">
        <f t="array" ref="F1519">INDEX('Linha 03'!$C$3:$ZZ$3,C1519)</f>
        <v>20250007</v>
      </c>
      <c r="G1519" t="str" cm="1">
        <f t="array" ref="G1519">INDEX('Linha 03'!$C$2:$ZZ$2,C1519)</f>
        <v>Neutralizador De Odores Aquafast Marine Cx/06 2l</v>
      </c>
      <c r="H1519" s="5" cm="1">
        <f t="array" ref="H1519">INDEX('Linha 03'!$C$4:$ZZ$1000,B1519,C1519)</f>
        <v>0</v>
      </c>
    </row>
    <row r="1520" spans="1:8" x14ac:dyDescent="0.25">
      <c r="A1520">
        <v>1518</v>
      </c>
      <c r="B1520">
        <f t="shared" si="46"/>
        <v>38</v>
      </c>
      <c r="C1520">
        <f t="shared" si="47"/>
        <v>1</v>
      </c>
      <c r="D1520" cm="1">
        <f t="array" ref="D1520">INDEX('Linha 03'!$A$4:$A$1000,B1520)</f>
        <v>20200072</v>
      </c>
      <c r="E1520" t="str" cm="1">
        <f t="array" ref="E1520">INDEX('Linha 03'!$B$4:$B$1000,B1520)</f>
        <v>Lava Roupas Aquafast Lavagem Rapida Total Clean Cx/12 X 1l</v>
      </c>
      <c r="F1520" cm="1">
        <f t="array" ref="F1520">INDEX('Linha 03'!$C$3:$ZZ$3,C1520)</f>
        <v>20040006</v>
      </c>
      <c r="G1520" t="str" cm="1">
        <f t="array" ref="G1520">INDEX('Linha 03'!$C$2:$ZZ$2,C1520)</f>
        <v>Amaciante Aquafast Azul Fresc. Manha Cx/06 X 2l</v>
      </c>
      <c r="H1520" s="5" cm="1">
        <f t="array" ref="H1520">INDEX('Linha 03'!$C$4:$ZZ$1000,B1520,C1520)</f>
        <v>0</v>
      </c>
    </row>
    <row r="1521" spans="1:8" x14ac:dyDescent="0.25">
      <c r="A1521">
        <v>1519</v>
      </c>
      <c r="B1521">
        <f t="shared" si="46"/>
        <v>38</v>
      </c>
      <c r="C1521">
        <f t="shared" si="47"/>
        <v>2</v>
      </c>
      <c r="D1521" cm="1">
        <f t="array" ref="D1521">INDEX('Linha 03'!$A$4:$A$1000,B1521)</f>
        <v>20200072</v>
      </c>
      <c r="E1521" t="str" cm="1">
        <f t="array" ref="E1521">INDEX('Linha 03'!$B$4:$B$1000,B1521)</f>
        <v>Lava Roupas Aquafast Lavagem Rapida Total Clean Cx/12 X 1l</v>
      </c>
      <c r="F1521" cm="1">
        <f t="array" ref="F1521">INDEX('Linha 03'!$C$3:$ZZ$3,C1521)</f>
        <v>20040008</v>
      </c>
      <c r="G1521" t="str" cm="1">
        <f t="array" ref="G1521">INDEX('Linha 03'!$C$2:$ZZ$2,C1521)</f>
        <v>Amaciante Aquafast Rosa Jard. Florid Cx/06 X 2l</v>
      </c>
      <c r="H1521" s="5" cm="1">
        <f t="array" ref="H1521">INDEX('Linha 03'!$C$4:$ZZ$1000,B1521,C1521)</f>
        <v>0</v>
      </c>
    </row>
    <row r="1522" spans="1:8" x14ac:dyDescent="0.25">
      <c r="A1522">
        <v>1520</v>
      </c>
      <c r="B1522">
        <f t="shared" si="46"/>
        <v>38</v>
      </c>
      <c r="C1522">
        <f t="shared" si="47"/>
        <v>3</v>
      </c>
      <c r="D1522" cm="1">
        <f t="array" ref="D1522">INDEX('Linha 03'!$A$4:$A$1000,B1522)</f>
        <v>20200072</v>
      </c>
      <c r="E1522" t="str" cm="1">
        <f t="array" ref="E1522">INDEX('Linha 03'!$B$4:$B$1000,B1522)</f>
        <v>Lava Roupas Aquafast Lavagem Rapida Total Clean Cx/12 X 1l</v>
      </c>
      <c r="F1522" cm="1">
        <f t="array" ref="F1522">INDEX('Linha 03'!$C$3:$ZZ$3,C1522)</f>
        <v>20040009</v>
      </c>
      <c r="G1522" t="str" cm="1">
        <f t="array" ref="G1522">INDEX('Linha 03'!$C$2:$ZZ$2,C1522)</f>
        <v>Amaciante Aquafast Branco Pura Caric. Cx/06 X 2l</v>
      </c>
      <c r="H1522" s="5" cm="1">
        <f t="array" ref="H1522">INDEX('Linha 03'!$C$4:$ZZ$1000,B1522,C1522)</f>
        <v>0</v>
      </c>
    </row>
    <row r="1523" spans="1:8" x14ac:dyDescent="0.25">
      <c r="A1523">
        <v>1521</v>
      </c>
      <c r="B1523">
        <f t="shared" si="46"/>
        <v>38</v>
      </c>
      <c r="C1523">
        <f t="shared" si="47"/>
        <v>4</v>
      </c>
      <c r="D1523" cm="1">
        <f t="array" ref="D1523">INDEX('Linha 03'!$A$4:$A$1000,B1523)</f>
        <v>20200072</v>
      </c>
      <c r="E1523" t="str" cm="1">
        <f t="array" ref="E1523">INDEX('Linha 03'!$B$4:$B$1000,B1523)</f>
        <v>Lava Roupas Aquafast Lavagem Rapida Total Clean Cx/12 X 1l</v>
      </c>
      <c r="F1523" cm="1">
        <f t="array" ref="F1523">INDEX('Linha 03'!$C$3:$ZZ$3,C1523)</f>
        <v>20040026</v>
      </c>
      <c r="G1523" t="str" cm="1">
        <f t="array" ref="G1523">INDEX('Linha 03'!$C$2:$ZZ$2,C1523)</f>
        <v>Amaciante Ito Azul Cx/06 X 2l</v>
      </c>
      <c r="H1523" s="5" cm="1">
        <f t="array" ref="H1523">INDEX('Linha 03'!$C$4:$ZZ$1000,B1523,C1523)</f>
        <v>0</v>
      </c>
    </row>
    <row r="1524" spans="1:8" x14ac:dyDescent="0.25">
      <c r="A1524">
        <v>1522</v>
      </c>
      <c r="B1524">
        <f t="shared" si="46"/>
        <v>38</v>
      </c>
      <c r="C1524">
        <f t="shared" si="47"/>
        <v>5</v>
      </c>
      <c r="D1524" cm="1">
        <f t="array" ref="D1524">INDEX('Linha 03'!$A$4:$A$1000,B1524)</f>
        <v>20200072</v>
      </c>
      <c r="E1524" t="str" cm="1">
        <f t="array" ref="E1524">INDEX('Linha 03'!$B$4:$B$1000,B1524)</f>
        <v>Lava Roupas Aquafast Lavagem Rapida Total Clean Cx/12 X 1l</v>
      </c>
      <c r="F1524" cm="1">
        <f t="array" ref="F1524">INDEX('Linha 03'!$C$3:$ZZ$3,C1524)</f>
        <v>20040028</v>
      </c>
      <c r="G1524" t="str" cm="1">
        <f t="array" ref="G1524">INDEX('Linha 03'!$C$2:$ZZ$2,C1524)</f>
        <v>Amaciante Ito Rosa Cx/06 X 2l</v>
      </c>
      <c r="H1524" s="5" cm="1">
        <f t="array" ref="H1524">INDEX('Linha 03'!$C$4:$ZZ$1000,B1524,C1524)</f>
        <v>0</v>
      </c>
    </row>
    <row r="1525" spans="1:8" x14ac:dyDescent="0.25">
      <c r="A1525">
        <v>1523</v>
      </c>
      <c r="B1525">
        <f t="shared" si="46"/>
        <v>38</v>
      </c>
      <c r="C1525">
        <f t="shared" si="47"/>
        <v>6</v>
      </c>
      <c r="D1525" cm="1">
        <f t="array" ref="D1525">INDEX('Linha 03'!$A$4:$A$1000,B1525)</f>
        <v>20200072</v>
      </c>
      <c r="E1525" t="str" cm="1">
        <f t="array" ref="E1525">INDEX('Linha 03'!$B$4:$B$1000,B1525)</f>
        <v>Lava Roupas Aquafast Lavagem Rapida Total Clean Cx/12 X 1l</v>
      </c>
      <c r="F1525" cm="1">
        <f t="array" ref="F1525">INDEX('Linha 03'!$C$3:$ZZ$3,C1525)</f>
        <v>20040029</v>
      </c>
      <c r="G1525" t="str" cm="1">
        <f t="array" ref="G1525">INDEX('Linha 03'!$C$2:$ZZ$2,C1525)</f>
        <v>Amaciante Ito Branco Cx/06 X 2l</v>
      </c>
      <c r="H1525" s="5" cm="1">
        <f t="array" ref="H1525">INDEX('Linha 03'!$C$4:$ZZ$1000,B1525,C1525)</f>
        <v>0</v>
      </c>
    </row>
    <row r="1526" spans="1:8" x14ac:dyDescent="0.25">
      <c r="A1526">
        <v>1524</v>
      </c>
      <c r="B1526">
        <f t="shared" si="46"/>
        <v>38</v>
      </c>
      <c r="C1526">
        <f t="shared" si="47"/>
        <v>7</v>
      </c>
      <c r="D1526" cm="1">
        <f t="array" ref="D1526">INDEX('Linha 03'!$A$4:$A$1000,B1526)</f>
        <v>20200072</v>
      </c>
      <c r="E1526" t="str" cm="1">
        <f t="array" ref="E1526">INDEX('Linha 03'!$B$4:$B$1000,B1526)</f>
        <v>Lava Roupas Aquafast Lavagem Rapida Total Clean Cx/12 X 1l</v>
      </c>
      <c r="F1526" cm="1">
        <f t="array" ref="F1526">INDEX('Linha 03'!$C$3:$ZZ$3,C1526)</f>
        <v>20040055</v>
      </c>
      <c r="G1526" t="str" cm="1">
        <f t="array" ref="G1526">INDEX('Linha 03'!$C$2:$ZZ$2,C1526)</f>
        <v>Amaciante Myata Azul Cx/06 X 2l</v>
      </c>
      <c r="H1526" s="5" cm="1">
        <f t="array" ref="H1526">INDEX('Linha 03'!$C$4:$ZZ$1000,B1526,C1526)</f>
        <v>0</v>
      </c>
    </row>
    <row r="1527" spans="1:8" x14ac:dyDescent="0.25">
      <c r="A1527">
        <v>1525</v>
      </c>
      <c r="B1527">
        <f t="shared" si="46"/>
        <v>38</v>
      </c>
      <c r="C1527">
        <f t="shared" si="47"/>
        <v>8</v>
      </c>
      <c r="D1527" cm="1">
        <f t="array" ref="D1527">INDEX('Linha 03'!$A$4:$A$1000,B1527)</f>
        <v>20200072</v>
      </c>
      <c r="E1527" t="str" cm="1">
        <f t="array" ref="E1527">INDEX('Linha 03'!$B$4:$B$1000,B1527)</f>
        <v>Lava Roupas Aquafast Lavagem Rapida Total Clean Cx/12 X 1l</v>
      </c>
      <c r="F1527" cm="1">
        <f t="array" ref="F1527">INDEX('Linha 03'!$C$3:$ZZ$3,C1527)</f>
        <v>20040057</v>
      </c>
      <c r="G1527" t="str" cm="1">
        <f t="array" ref="G1527">INDEX('Linha 03'!$C$2:$ZZ$2,C1527)</f>
        <v>Amaciante Myata Rosa Cx/06 X 2l</v>
      </c>
      <c r="H1527" s="5" cm="1">
        <f t="array" ref="H1527">INDEX('Linha 03'!$C$4:$ZZ$1000,B1527,C1527)</f>
        <v>0</v>
      </c>
    </row>
    <row r="1528" spans="1:8" x14ac:dyDescent="0.25">
      <c r="A1528">
        <v>1526</v>
      </c>
      <c r="B1528">
        <f t="shared" si="46"/>
        <v>38</v>
      </c>
      <c r="C1528">
        <f t="shared" si="47"/>
        <v>9</v>
      </c>
      <c r="D1528" cm="1">
        <f t="array" ref="D1528">INDEX('Linha 03'!$A$4:$A$1000,B1528)</f>
        <v>20200072</v>
      </c>
      <c r="E1528" t="str" cm="1">
        <f t="array" ref="E1528">INDEX('Linha 03'!$B$4:$B$1000,B1528)</f>
        <v>Lava Roupas Aquafast Lavagem Rapida Total Clean Cx/12 X 1l</v>
      </c>
      <c r="F1528" cm="1">
        <f t="array" ref="F1528">INDEX('Linha 03'!$C$3:$ZZ$3,C1528)</f>
        <v>20040084</v>
      </c>
      <c r="G1528" t="str" cm="1">
        <f t="array" ref="G1528">INDEX('Linha 03'!$C$2:$ZZ$2,C1528)</f>
        <v>Amaciante Aquafast Vermelho Seducao Cx C/06 X 2l</v>
      </c>
      <c r="H1528" s="5" cm="1">
        <f t="array" ref="H1528">INDEX('Linha 03'!$C$4:$ZZ$1000,B1528,C1528)</f>
        <v>0</v>
      </c>
    </row>
    <row r="1529" spans="1:8" x14ac:dyDescent="0.25">
      <c r="A1529">
        <v>1527</v>
      </c>
      <c r="B1529">
        <f t="shared" si="46"/>
        <v>38</v>
      </c>
      <c r="C1529">
        <f t="shared" si="47"/>
        <v>10</v>
      </c>
      <c r="D1529" cm="1">
        <f t="array" ref="D1529">INDEX('Linha 03'!$A$4:$A$1000,B1529)</f>
        <v>20200072</v>
      </c>
      <c r="E1529" t="str" cm="1">
        <f t="array" ref="E1529">INDEX('Linha 03'!$B$4:$B$1000,B1529)</f>
        <v>Lava Roupas Aquafast Lavagem Rapida Total Clean Cx/12 X 1l</v>
      </c>
      <c r="F1529" cm="1">
        <f t="array" ref="F1529">INDEX('Linha 03'!$C$3:$ZZ$3,C1529)</f>
        <v>20040089</v>
      </c>
      <c r="G1529" t="str" cm="1">
        <f t="array" ref="G1529">INDEX('Linha 03'!$C$2:$ZZ$2,C1529)</f>
        <v>Amaciante Aquafast Roxo Magia Cx/06 X 2l</v>
      </c>
      <c r="H1529" s="5" cm="1">
        <f t="array" ref="H1529">INDEX('Linha 03'!$C$4:$ZZ$1000,B1529,C1529)</f>
        <v>0</v>
      </c>
    </row>
    <row r="1530" spans="1:8" x14ac:dyDescent="0.25">
      <c r="A1530">
        <v>1528</v>
      </c>
      <c r="B1530">
        <f t="shared" si="46"/>
        <v>38</v>
      </c>
      <c r="C1530">
        <f t="shared" si="47"/>
        <v>11</v>
      </c>
      <c r="D1530" cm="1">
        <f t="array" ref="D1530">INDEX('Linha 03'!$A$4:$A$1000,B1530)</f>
        <v>20200072</v>
      </c>
      <c r="E1530" t="str" cm="1">
        <f t="array" ref="E1530">INDEX('Linha 03'!$B$4:$B$1000,B1530)</f>
        <v>Lava Roupas Aquafast Lavagem Rapida Total Clean Cx/12 X 1l</v>
      </c>
      <c r="F1530" cm="1">
        <f t="array" ref="F1530">INDEX('Linha 03'!$C$3:$ZZ$3,C1530)</f>
        <v>20040094</v>
      </c>
      <c r="G1530" t="str" cm="1">
        <f t="array" ref="G1530">INDEX('Linha 03'!$C$2:$ZZ$2,C1530)</f>
        <v>Amaciante Aquafast Energia Cx/06 X 2l</v>
      </c>
      <c r="H1530" s="5" cm="1">
        <f t="array" ref="H1530">INDEX('Linha 03'!$C$4:$ZZ$1000,B1530,C1530)</f>
        <v>0</v>
      </c>
    </row>
    <row r="1531" spans="1:8" x14ac:dyDescent="0.25">
      <c r="A1531">
        <v>1529</v>
      </c>
      <c r="B1531">
        <f t="shared" si="46"/>
        <v>38</v>
      </c>
      <c r="C1531">
        <f t="shared" si="47"/>
        <v>12</v>
      </c>
      <c r="D1531" cm="1">
        <f t="array" ref="D1531">INDEX('Linha 03'!$A$4:$A$1000,B1531)</f>
        <v>20200072</v>
      </c>
      <c r="E1531" t="str" cm="1">
        <f t="array" ref="E1531">INDEX('Linha 03'!$B$4:$B$1000,B1531)</f>
        <v>Lava Roupas Aquafast Lavagem Rapida Total Clean Cx/12 X 1l</v>
      </c>
      <c r="F1531" cm="1">
        <f t="array" ref="F1531">INDEX('Linha 03'!$C$3:$ZZ$3,C1531)</f>
        <v>20050010</v>
      </c>
      <c r="G1531" t="str" cm="1">
        <f t="array" ref="G1531">INDEX('Linha 03'!$C$2:$ZZ$2,C1531)</f>
        <v>Desinfetante Aquafast Campos Lavanda Cx/06 X 2l</v>
      </c>
      <c r="H1531" s="5" cm="1">
        <f t="array" ref="H1531">INDEX('Linha 03'!$C$4:$ZZ$1000,B1531,C1531)</f>
        <v>0</v>
      </c>
    </row>
    <row r="1532" spans="1:8" x14ac:dyDescent="0.25">
      <c r="A1532">
        <v>1530</v>
      </c>
      <c r="B1532">
        <f t="shared" si="46"/>
        <v>38</v>
      </c>
      <c r="C1532">
        <f t="shared" si="47"/>
        <v>13</v>
      </c>
      <c r="D1532" cm="1">
        <f t="array" ref="D1532">INDEX('Linha 03'!$A$4:$A$1000,B1532)</f>
        <v>20200072</v>
      </c>
      <c r="E1532" t="str" cm="1">
        <f t="array" ref="E1532">INDEX('Linha 03'!$B$4:$B$1000,B1532)</f>
        <v>Lava Roupas Aquafast Lavagem Rapida Total Clean Cx/12 X 1l</v>
      </c>
      <c r="F1532" cm="1">
        <f t="array" ref="F1532">INDEX('Linha 03'!$C$3:$ZZ$3,C1532)</f>
        <v>20050011</v>
      </c>
      <c r="G1532" t="str" cm="1">
        <f t="array" ref="G1532">INDEX('Linha 03'!$C$2:$ZZ$2,C1532)</f>
        <v>Desinfetante Aquafast Jardim Florido Cx/06 X 2l</v>
      </c>
      <c r="H1532" s="5" cm="1">
        <f t="array" ref="H1532">INDEX('Linha 03'!$C$4:$ZZ$1000,B1532,C1532)</f>
        <v>0</v>
      </c>
    </row>
    <row r="1533" spans="1:8" x14ac:dyDescent="0.25">
      <c r="A1533">
        <v>1531</v>
      </c>
      <c r="B1533">
        <f t="shared" si="46"/>
        <v>38</v>
      </c>
      <c r="C1533">
        <f t="shared" si="47"/>
        <v>14</v>
      </c>
      <c r="D1533" cm="1">
        <f t="array" ref="D1533">INDEX('Linha 03'!$A$4:$A$1000,B1533)</f>
        <v>20200072</v>
      </c>
      <c r="E1533" t="str" cm="1">
        <f t="array" ref="E1533">INDEX('Linha 03'!$B$4:$B$1000,B1533)</f>
        <v>Lava Roupas Aquafast Lavagem Rapida Total Clean Cx/12 X 1l</v>
      </c>
      <c r="F1533" cm="1">
        <f t="array" ref="F1533">INDEX('Linha 03'!$C$3:$ZZ$3,C1533)</f>
        <v>20050016</v>
      </c>
      <c r="G1533" t="str" cm="1">
        <f t="array" ref="G1533">INDEX('Linha 03'!$C$2:$ZZ$2,C1533)</f>
        <v>Desinfetante Aquafast Marine Cx/06 X 2l</v>
      </c>
      <c r="H1533" s="5" cm="1">
        <f t="array" ref="H1533">INDEX('Linha 03'!$C$4:$ZZ$1000,B1533,C1533)</f>
        <v>0</v>
      </c>
    </row>
    <row r="1534" spans="1:8" x14ac:dyDescent="0.25">
      <c r="A1534">
        <v>1532</v>
      </c>
      <c r="B1534">
        <f t="shared" si="46"/>
        <v>38</v>
      </c>
      <c r="C1534">
        <f t="shared" si="47"/>
        <v>15</v>
      </c>
      <c r="D1534" cm="1">
        <f t="array" ref="D1534">INDEX('Linha 03'!$A$4:$A$1000,B1534)</f>
        <v>20200072</v>
      </c>
      <c r="E1534" t="str" cm="1">
        <f t="array" ref="E1534">INDEX('Linha 03'!$B$4:$B$1000,B1534)</f>
        <v>Lava Roupas Aquafast Lavagem Rapida Total Clean Cx/12 X 1l</v>
      </c>
      <c r="F1534" cm="1">
        <f t="array" ref="F1534">INDEX('Linha 03'!$C$3:$ZZ$3,C1534)</f>
        <v>20050031</v>
      </c>
      <c r="G1534" t="str" cm="1">
        <f t="array" ref="G1534">INDEX('Linha 03'!$C$2:$ZZ$2,C1534)</f>
        <v>Desinfetante Ito Lavanda Cx/06 X 2l</v>
      </c>
      <c r="H1534" s="5" cm="1">
        <f t="array" ref="H1534">INDEX('Linha 03'!$C$4:$ZZ$1000,B1534,C1534)</f>
        <v>0</v>
      </c>
    </row>
    <row r="1535" spans="1:8" x14ac:dyDescent="0.25">
      <c r="A1535">
        <v>1533</v>
      </c>
      <c r="B1535">
        <f t="shared" si="46"/>
        <v>38</v>
      </c>
      <c r="C1535">
        <f t="shared" si="47"/>
        <v>16</v>
      </c>
      <c r="D1535" cm="1">
        <f t="array" ref="D1535">INDEX('Linha 03'!$A$4:$A$1000,B1535)</f>
        <v>20200072</v>
      </c>
      <c r="E1535" t="str" cm="1">
        <f t="array" ref="E1535">INDEX('Linha 03'!$B$4:$B$1000,B1535)</f>
        <v>Lava Roupas Aquafast Lavagem Rapida Total Clean Cx/12 X 1l</v>
      </c>
      <c r="F1535" cm="1">
        <f t="array" ref="F1535">INDEX('Linha 03'!$C$3:$ZZ$3,C1535)</f>
        <v>20050032</v>
      </c>
      <c r="G1535" t="str" cm="1">
        <f t="array" ref="G1535">INDEX('Linha 03'!$C$2:$ZZ$2,C1535)</f>
        <v>Desinfetante Ito Floral Cx/06 X 2l</v>
      </c>
      <c r="H1535" s="5" cm="1">
        <f t="array" ref="H1535">INDEX('Linha 03'!$C$4:$ZZ$1000,B1535,C1535)</f>
        <v>0</v>
      </c>
    </row>
    <row r="1536" spans="1:8" x14ac:dyDescent="0.25">
      <c r="A1536">
        <v>1534</v>
      </c>
      <c r="B1536">
        <f t="shared" si="46"/>
        <v>38</v>
      </c>
      <c r="C1536">
        <f t="shared" si="47"/>
        <v>17</v>
      </c>
      <c r="D1536" cm="1">
        <f t="array" ref="D1536">INDEX('Linha 03'!$A$4:$A$1000,B1536)</f>
        <v>20200072</v>
      </c>
      <c r="E1536" t="str" cm="1">
        <f t="array" ref="E1536">INDEX('Linha 03'!$B$4:$B$1000,B1536)</f>
        <v>Lava Roupas Aquafast Lavagem Rapida Total Clean Cx/12 X 1l</v>
      </c>
      <c r="F1536" cm="1">
        <f t="array" ref="F1536">INDEX('Linha 03'!$C$3:$ZZ$3,C1536)</f>
        <v>20050034</v>
      </c>
      <c r="G1536" t="str" cm="1">
        <f t="array" ref="G1536">INDEX('Linha 03'!$C$2:$ZZ$2,C1536)</f>
        <v>Desinfetante Ito Eucalipto Cx/06 X 2l</v>
      </c>
      <c r="H1536" s="5" cm="1">
        <f t="array" ref="H1536">INDEX('Linha 03'!$C$4:$ZZ$1000,B1536,C1536)</f>
        <v>0</v>
      </c>
    </row>
    <row r="1537" spans="1:8" x14ac:dyDescent="0.25">
      <c r="A1537">
        <v>1535</v>
      </c>
      <c r="B1537">
        <f t="shared" si="46"/>
        <v>38</v>
      </c>
      <c r="C1537">
        <f t="shared" si="47"/>
        <v>18</v>
      </c>
      <c r="D1537" cm="1">
        <f t="array" ref="D1537">INDEX('Linha 03'!$A$4:$A$1000,B1537)</f>
        <v>20200072</v>
      </c>
      <c r="E1537" t="str" cm="1">
        <f t="array" ref="E1537">INDEX('Linha 03'!$B$4:$B$1000,B1537)</f>
        <v>Lava Roupas Aquafast Lavagem Rapida Total Clean Cx/12 X 1l</v>
      </c>
      <c r="F1537" cm="1">
        <f t="array" ref="F1537">INDEX('Linha 03'!$C$3:$ZZ$3,C1537)</f>
        <v>20050077</v>
      </c>
      <c r="G1537" t="str" cm="1">
        <f t="array" ref="G1537">INDEX('Linha 03'!$C$2:$ZZ$2,C1537)</f>
        <v>Desinfetante Myata Lavanda Cx/06 X 2l</v>
      </c>
      <c r="H1537" s="5" cm="1">
        <f t="array" ref="H1537">INDEX('Linha 03'!$C$4:$ZZ$1000,B1537,C1537)</f>
        <v>0</v>
      </c>
    </row>
    <row r="1538" spans="1:8" x14ac:dyDescent="0.25">
      <c r="A1538">
        <v>1536</v>
      </c>
      <c r="B1538">
        <f t="shared" si="46"/>
        <v>38</v>
      </c>
      <c r="C1538">
        <f t="shared" si="47"/>
        <v>19</v>
      </c>
      <c r="D1538" cm="1">
        <f t="array" ref="D1538">INDEX('Linha 03'!$A$4:$A$1000,B1538)</f>
        <v>20200072</v>
      </c>
      <c r="E1538" t="str" cm="1">
        <f t="array" ref="E1538">INDEX('Linha 03'!$B$4:$B$1000,B1538)</f>
        <v>Lava Roupas Aquafast Lavagem Rapida Total Clean Cx/12 X 1l</v>
      </c>
      <c r="F1538" cm="1">
        <f t="array" ref="F1538">INDEX('Linha 03'!$C$3:$ZZ$3,C1538)</f>
        <v>20050078</v>
      </c>
      <c r="G1538" t="str" cm="1">
        <f t="array" ref="G1538">INDEX('Linha 03'!$C$2:$ZZ$2,C1538)</f>
        <v>Desinfetante Myata Floral Cx/06 X 2l</v>
      </c>
      <c r="H1538" s="5" cm="1">
        <f t="array" ref="H1538">INDEX('Linha 03'!$C$4:$ZZ$1000,B1538,C1538)</f>
        <v>0</v>
      </c>
    </row>
    <row r="1539" spans="1:8" x14ac:dyDescent="0.25">
      <c r="A1539">
        <v>1537</v>
      </c>
      <c r="B1539">
        <f t="shared" si="46"/>
        <v>38</v>
      </c>
      <c r="C1539">
        <f t="shared" si="47"/>
        <v>20</v>
      </c>
      <c r="D1539" cm="1">
        <f t="array" ref="D1539">INDEX('Linha 03'!$A$4:$A$1000,B1539)</f>
        <v>20200072</v>
      </c>
      <c r="E1539" t="str" cm="1">
        <f t="array" ref="E1539">INDEX('Linha 03'!$B$4:$B$1000,B1539)</f>
        <v>Lava Roupas Aquafast Lavagem Rapida Total Clean Cx/12 X 1l</v>
      </c>
      <c r="F1539" cm="1">
        <f t="array" ref="F1539">INDEX('Linha 03'!$C$3:$ZZ$3,C1539)</f>
        <v>20050115</v>
      </c>
      <c r="G1539" t="str" cm="1">
        <f t="array" ref="G1539">INDEX('Linha 03'!$C$2:$ZZ$2,C1539)</f>
        <v>Desinfetante Aquafast Paixao Cx/06 X 2l</v>
      </c>
      <c r="H1539" s="5" cm="1">
        <f t="array" ref="H1539">INDEX('Linha 03'!$C$4:$ZZ$1000,B1539,C1539)</f>
        <v>0</v>
      </c>
    </row>
    <row r="1540" spans="1:8" x14ac:dyDescent="0.25">
      <c r="A1540">
        <v>1538</v>
      </c>
      <c r="B1540">
        <f t="shared" ref="B1540:B1603" si="48">INT((A1540-1)/$B$1)+1</f>
        <v>38</v>
      </c>
      <c r="C1540">
        <f t="shared" ref="C1540:C1603" si="49">MOD(A1540-1,$B$1)+1</f>
        <v>21</v>
      </c>
      <c r="D1540" cm="1">
        <f t="array" ref="D1540">INDEX('Linha 03'!$A$4:$A$1000,B1540)</f>
        <v>20200072</v>
      </c>
      <c r="E1540" t="str" cm="1">
        <f t="array" ref="E1540">INDEX('Linha 03'!$B$4:$B$1000,B1540)</f>
        <v>Lava Roupas Aquafast Lavagem Rapida Total Clean Cx/12 X 1l</v>
      </c>
      <c r="F1540" cm="1">
        <f t="array" ref="F1540">INDEX('Linha 03'!$C$3:$ZZ$3,C1540)</f>
        <v>20050117</v>
      </c>
      <c r="G1540" t="str" cm="1">
        <f t="array" ref="G1540">INDEX('Linha 03'!$C$2:$ZZ$2,C1540)</f>
        <v>Desinfetante Aquafast Harmonia Natural Cx/06 X 2l</v>
      </c>
      <c r="H1540" s="5" cm="1">
        <f t="array" ref="H1540">INDEX('Linha 03'!$C$4:$ZZ$1000,B1540,C1540)</f>
        <v>0</v>
      </c>
    </row>
    <row r="1541" spans="1:8" x14ac:dyDescent="0.25">
      <c r="A1541">
        <v>1539</v>
      </c>
      <c r="B1541">
        <f t="shared" si="48"/>
        <v>38</v>
      </c>
      <c r="C1541">
        <f t="shared" si="49"/>
        <v>22</v>
      </c>
      <c r="D1541" cm="1">
        <f t="array" ref="D1541">INDEX('Linha 03'!$A$4:$A$1000,B1541)</f>
        <v>20200072</v>
      </c>
      <c r="E1541" t="str" cm="1">
        <f t="array" ref="E1541">INDEX('Linha 03'!$B$4:$B$1000,B1541)</f>
        <v>Lava Roupas Aquafast Lavagem Rapida Total Clean Cx/12 X 1l</v>
      </c>
      <c r="F1541" cm="1">
        <f t="array" ref="F1541">INDEX('Linha 03'!$C$3:$ZZ$3,C1541)</f>
        <v>20050123</v>
      </c>
      <c r="G1541" t="str" cm="1">
        <f t="array" ref="G1541">INDEX('Linha 03'!$C$2:$ZZ$2,C1541)</f>
        <v>Desinfetante Ito Harmonia Natural Cx/06 X 2l</v>
      </c>
      <c r="H1541" s="5" cm="1">
        <f t="array" ref="H1541">INDEX('Linha 03'!$C$4:$ZZ$1000,B1541,C1541)</f>
        <v>0</v>
      </c>
    </row>
    <row r="1542" spans="1:8" x14ac:dyDescent="0.25">
      <c r="A1542">
        <v>1540</v>
      </c>
      <c r="B1542">
        <f t="shared" si="48"/>
        <v>38</v>
      </c>
      <c r="C1542">
        <f t="shared" si="49"/>
        <v>23</v>
      </c>
      <c r="D1542" cm="1">
        <f t="array" ref="D1542">INDEX('Linha 03'!$A$4:$A$1000,B1542)</f>
        <v>20200072</v>
      </c>
      <c r="E1542" t="str" cm="1">
        <f t="array" ref="E1542">INDEX('Linha 03'!$B$4:$B$1000,B1542)</f>
        <v>Lava Roupas Aquafast Lavagem Rapida Total Clean Cx/12 X 1l</v>
      </c>
      <c r="F1542" cm="1">
        <f t="array" ref="F1542">INDEX('Linha 03'!$C$3:$ZZ$3,C1542)</f>
        <v>20050124</v>
      </c>
      <c r="G1542" t="str" cm="1">
        <f t="array" ref="G1542">INDEX('Linha 03'!$C$2:$ZZ$2,C1542)</f>
        <v>Desinfetante Myata Harmonia Natural Cx/06 X 2l</v>
      </c>
      <c r="H1542" s="5" cm="1">
        <f t="array" ref="H1542">INDEX('Linha 03'!$C$4:$ZZ$1000,B1542,C1542)</f>
        <v>0</v>
      </c>
    </row>
    <row r="1543" spans="1:8" x14ac:dyDescent="0.25">
      <c r="A1543">
        <v>1541</v>
      </c>
      <c r="B1543">
        <f t="shared" si="48"/>
        <v>38</v>
      </c>
      <c r="C1543">
        <f t="shared" si="49"/>
        <v>24</v>
      </c>
      <c r="D1543" cm="1">
        <f t="array" ref="D1543">INDEX('Linha 03'!$A$4:$A$1000,B1543)</f>
        <v>20200072</v>
      </c>
      <c r="E1543" t="str" cm="1">
        <f t="array" ref="E1543">INDEX('Linha 03'!$B$4:$B$1000,B1543)</f>
        <v>Lava Roupas Aquafast Lavagem Rapida Total Clean Cx/12 X 1l</v>
      </c>
      <c r="F1543" cm="1">
        <f t="array" ref="F1543">INDEX('Linha 03'!$C$3:$ZZ$3,C1543)</f>
        <v>20050142</v>
      </c>
      <c r="G1543" t="str" cm="1">
        <f t="array" ref="G1543">INDEX('Linha 03'!$C$2:$ZZ$2,C1543)</f>
        <v>Desinfetante Ito Marine Cx/06 X 2l</v>
      </c>
      <c r="H1543" s="5" cm="1">
        <f t="array" ref="H1543">INDEX('Linha 03'!$C$4:$ZZ$1000,B1543,C1543)</f>
        <v>0</v>
      </c>
    </row>
    <row r="1544" spans="1:8" x14ac:dyDescent="0.25">
      <c r="A1544">
        <v>1542</v>
      </c>
      <c r="B1544">
        <f t="shared" si="48"/>
        <v>38</v>
      </c>
      <c r="C1544">
        <f t="shared" si="49"/>
        <v>25</v>
      </c>
      <c r="D1544" cm="1">
        <f t="array" ref="D1544">INDEX('Linha 03'!$A$4:$A$1000,B1544)</f>
        <v>20200072</v>
      </c>
      <c r="E1544" t="str" cm="1">
        <f t="array" ref="E1544">INDEX('Linha 03'!$B$4:$B$1000,B1544)</f>
        <v>Lava Roupas Aquafast Lavagem Rapida Total Clean Cx/12 X 1l</v>
      </c>
      <c r="F1544" cm="1">
        <f t="array" ref="F1544">INDEX('Linha 03'!$C$3:$ZZ$3,C1544)</f>
        <v>20050159</v>
      </c>
      <c r="G1544" t="str" cm="1">
        <f t="array" ref="G1544">INDEX('Linha 03'!$C$2:$ZZ$2,C1544)</f>
        <v>Desinfetante Aquafast Cha Branco Cx/06 X 2l</v>
      </c>
      <c r="H1544" s="5" cm="1">
        <f t="array" ref="H1544">INDEX('Linha 03'!$C$4:$ZZ$1000,B1544,C1544)</f>
        <v>1.38888888888889E-2</v>
      </c>
    </row>
    <row r="1545" spans="1:8" x14ac:dyDescent="0.25">
      <c r="A1545">
        <v>1543</v>
      </c>
      <c r="B1545">
        <f t="shared" si="48"/>
        <v>38</v>
      </c>
      <c r="C1545">
        <f t="shared" si="49"/>
        <v>26</v>
      </c>
      <c r="D1545" cm="1">
        <f t="array" ref="D1545">INDEX('Linha 03'!$A$4:$A$1000,B1545)</f>
        <v>20200072</v>
      </c>
      <c r="E1545" t="str" cm="1">
        <f t="array" ref="E1545">INDEX('Linha 03'!$B$4:$B$1000,B1545)</f>
        <v>Lava Roupas Aquafast Lavagem Rapida Total Clean Cx/12 X 1l</v>
      </c>
      <c r="F1545" cm="1">
        <f t="array" ref="F1545">INDEX('Linha 03'!$C$3:$ZZ$3,C1545)</f>
        <v>20060007</v>
      </c>
      <c r="G1545" t="str" cm="1">
        <f t="array" ref="G1545">INDEX('Linha 03'!$C$2:$ZZ$2,C1545)</f>
        <v>Limp Perf Aquafast Magia Seducao Cx/06 X 2l (Promoc)</v>
      </c>
      <c r="H1545" s="5" cm="1">
        <f t="array" ref="H1545">INDEX('Linha 03'!$C$4:$ZZ$1000,B1545,C1545)</f>
        <v>0</v>
      </c>
    </row>
    <row r="1546" spans="1:8" x14ac:dyDescent="0.25">
      <c r="A1546">
        <v>1544</v>
      </c>
      <c r="B1546">
        <f t="shared" si="48"/>
        <v>38</v>
      </c>
      <c r="C1546">
        <f t="shared" si="49"/>
        <v>27</v>
      </c>
      <c r="D1546" cm="1">
        <f t="array" ref="D1546">INDEX('Linha 03'!$A$4:$A$1000,B1546)</f>
        <v>20200072</v>
      </c>
      <c r="E1546" t="str" cm="1">
        <f t="array" ref="E1546">INDEX('Linha 03'!$B$4:$B$1000,B1546)</f>
        <v>Lava Roupas Aquafast Lavagem Rapida Total Clean Cx/12 X 1l</v>
      </c>
      <c r="F1546" cm="1">
        <f t="array" ref="F1546">INDEX('Linha 03'!$C$3:$ZZ$3,C1546)</f>
        <v>20060009</v>
      </c>
      <c r="G1546" t="str" cm="1">
        <f t="array" ref="G1546">INDEX('Linha 03'!$C$2:$ZZ$2,C1546)</f>
        <v>Limp Perf Aquafast Frescor Da Manha Cx/06 X 2l (Promoc)</v>
      </c>
      <c r="H1546" s="5" cm="1">
        <f t="array" ref="H1546">INDEX('Linha 03'!$C$4:$ZZ$1000,B1546,C1546)</f>
        <v>0</v>
      </c>
    </row>
    <row r="1547" spans="1:8" x14ac:dyDescent="0.25">
      <c r="A1547">
        <v>1545</v>
      </c>
      <c r="B1547">
        <f t="shared" si="48"/>
        <v>38</v>
      </c>
      <c r="C1547">
        <f t="shared" si="49"/>
        <v>28</v>
      </c>
      <c r="D1547" cm="1">
        <f t="array" ref="D1547">INDEX('Linha 03'!$A$4:$A$1000,B1547)</f>
        <v>20200072</v>
      </c>
      <c r="E1547" t="str" cm="1">
        <f t="array" ref="E1547">INDEX('Linha 03'!$B$4:$B$1000,B1547)</f>
        <v>Lava Roupas Aquafast Lavagem Rapida Total Clean Cx/12 X 1l</v>
      </c>
      <c r="F1547" cm="1">
        <f t="array" ref="F1547">INDEX('Linha 03'!$C$3:$ZZ$3,C1547)</f>
        <v>20060017</v>
      </c>
      <c r="G1547" t="str" cm="1">
        <f t="array" ref="G1547">INDEX('Linha 03'!$C$2:$ZZ$2,C1547)</f>
        <v>Limp Perf Aquafast Doce Romance Cx/06 X 2l (Promoc)</v>
      </c>
      <c r="H1547" s="5" cm="1">
        <f t="array" ref="H1547">INDEX('Linha 03'!$C$4:$ZZ$1000,B1547,C1547)</f>
        <v>0</v>
      </c>
    </row>
    <row r="1548" spans="1:8" x14ac:dyDescent="0.25">
      <c r="A1548">
        <v>1546</v>
      </c>
      <c r="B1548">
        <f t="shared" si="48"/>
        <v>38</v>
      </c>
      <c r="C1548">
        <f t="shared" si="49"/>
        <v>29</v>
      </c>
      <c r="D1548" cm="1">
        <f t="array" ref="D1548">INDEX('Linha 03'!$A$4:$A$1000,B1548)</f>
        <v>20200072</v>
      </c>
      <c r="E1548" t="str" cm="1">
        <f t="array" ref="E1548">INDEX('Linha 03'!$B$4:$B$1000,B1548)</f>
        <v>Lava Roupas Aquafast Lavagem Rapida Total Clean Cx/12 X 1l</v>
      </c>
      <c r="F1548" cm="1">
        <f t="array" ref="F1548">INDEX('Linha 03'!$C$3:$ZZ$3,C1548)</f>
        <v>20060028</v>
      </c>
      <c r="G1548" t="str" cm="1">
        <f t="array" ref="G1548">INDEX('Linha 03'!$C$2:$ZZ$2,C1548)</f>
        <v>Limp Perf Aquafast Essencia Natural Cx06 X 2l</v>
      </c>
      <c r="H1548" s="5" cm="1">
        <f t="array" ref="H1548">INDEX('Linha 03'!$C$4:$ZZ$1000,B1548,C1548)</f>
        <v>0</v>
      </c>
    </row>
    <row r="1549" spans="1:8" x14ac:dyDescent="0.25">
      <c r="A1549">
        <v>1547</v>
      </c>
      <c r="B1549">
        <f t="shared" si="48"/>
        <v>38</v>
      </c>
      <c r="C1549">
        <f t="shared" si="49"/>
        <v>30</v>
      </c>
      <c r="D1549" cm="1">
        <f t="array" ref="D1549">INDEX('Linha 03'!$A$4:$A$1000,B1549)</f>
        <v>20200072</v>
      </c>
      <c r="E1549" t="str" cm="1">
        <f t="array" ref="E1549">INDEX('Linha 03'!$B$4:$B$1000,B1549)</f>
        <v>Lava Roupas Aquafast Lavagem Rapida Total Clean Cx/12 X 1l</v>
      </c>
      <c r="F1549" cm="1">
        <f t="array" ref="F1549">INDEX('Linha 03'!$C$3:$ZZ$3,C1549)</f>
        <v>20200003</v>
      </c>
      <c r="G1549" t="str" cm="1">
        <f t="array" ref="G1549">INDEX('Linha 03'!$C$2:$ZZ$2,C1549)</f>
        <v>Lava Roup. Aquafast Baby Cx/12 X 1l</v>
      </c>
      <c r="H1549" s="5" cm="1">
        <f t="array" ref="H1549">INDEX('Linha 03'!$C$4:$ZZ$1000,B1549,C1549)</f>
        <v>0</v>
      </c>
    </row>
    <row r="1550" spans="1:8" x14ac:dyDescent="0.25">
      <c r="A1550">
        <v>1548</v>
      </c>
      <c r="B1550">
        <f t="shared" si="48"/>
        <v>38</v>
      </c>
      <c r="C1550">
        <f t="shared" si="49"/>
        <v>31</v>
      </c>
      <c r="D1550" cm="1">
        <f t="array" ref="D1550">INDEX('Linha 03'!$A$4:$A$1000,B1550)</f>
        <v>20200072</v>
      </c>
      <c r="E1550" t="str" cm="1">
        <f t="array" ref="E1550">INDEX('Linha 03'!$B$4:$B$1000,B1550)</f>
        <v>Lava Roupas Aquafast Lavagem Rapida Total Clean Cx/12 X 1l</v>
      </c>
      <c r="F1550" cm="1">
        <f t="array" ref="F1550">INDEX('Linha 03'!$C$3:$ZZ$3,C1550)</f>
        <v>20200005</v>
      </c>
      <c r="G1550" t="str" cm="1">
        <f t="array" ref="G1550">INDEX('Linha 03'!$C$2:$ZZ$2,C1550)</f>
        <v>Lava Roupas Aquafast Multi Acao Cx/06 X 2l</v>
      </c>
      <c r="H1550" s="5" cm="1">
        <f t="array" ref="H1550">INDEX('Linha 03'!$C$4:$ZZ$1000,B1550,C1550)</f>
        <v>0</v>
      </c>
    </row>
    <row r="1551" spans="1:8" x14ac:dyDescent="0.25">
      <c r="A1551">
        <v>1549</v>
      </c>
      <c r="B1551">
        <f t="shared" si="48"/>
        <v>38</v>
      </c>
      <c r="C1551">
        <f t="shared" si="49"/>
        <v>32</v>
      </c>
      <c r="D1551" cm="1">
        <f t="array" ref="D1551">INDEX('Linha 03'!$A$4:$A$1000,B1551)</f>
        <v>20200072</v>
      </c>
      <c r="E1551" t="str" cm="1">
        <f t="array" ref="E1551">INDEX('Linha 03'!$B$4:$B$1000,B1551)</f>
        <v>Lava Roupas Aquafast Lavagem Rapida Total Clean Cx/12 X 1l</v>
      </c>
      <c r="F1551" cm="1">
        <f t="array" ref="F1551">INDEX('Linha 03'!$C$3:$ZZ$3,C1551)</f>
        <v>20200006</v>
      </c>
      <c r="G1551" t="str" cm="1">
        <f t="array" ref="G1551">INDEX('Linha 03'!$C$2:$ZZ$2,C1551)</f>
        <v>Lava Roupas Aquafast Glicerina Cx/06 X 2l</v>
      </c>
      <c r="H1551" s="5" cm="1">
        <f t="array" ref="H1551">INDEX('Linha 03'!$C$4:$ZZ$1000,B1551,C1551)</f>
        <v>0</v>
      </c>
    </row>
    <row r="1552" spans="1:8" x14ac:dyDescent="0.25">
      <c r="A1552">
        <v>1550</v>
      </c>
      <c r="B1552">
        <f t="shared" si="48"/>
        <v>38</v>
      </c>
      <c r="C1552">
        <f t="shared" si="49"/>
        <v>33</v>
      </c>
      <c r="D1552" cm="1">
        <f t="array" ref="D1552">INDEX('Linha 03'!$A$4:$A$1000,B1552)</f>
        <v>20200072</v>
      </c>
      <c r="E1552" t="str" cm="1">
        <f t="array" ref="E1552">INDEX('Linha 03'!$B$4:$B$1000,B1552)</f>
        <v>Lava Roupas Aquafast Lavagem Rapida Total Clean Cx/12 X 1l</v>
      </c>
      <c r="F1552" cm="1">
        <f t="array" ref="F1552">INDEX('Linha 03'!$C$3:$ZZ$3,C1552)</f>
        <v>20200015</v>
      </c>
      <c r="G1552" t="str" cm="1">
        <f t="array" ref="G1552">INDEX('Linha 03'!$C$2:$ZZ$2,C1552)</f>
        <v>Lava Roup. Aquafast Multiacao Cx/12 X 1l</v>
      </c>
      <c r="H1552" s="5" cm="1">
        <f t="array" ref="H1552">INDEX('Linha 03'!$C$4:$ZZ$1000,B1552,C1552)</f>
        <v>0</v>
      </c>
    </row>
    <row r="1553" spans="1:8" x14ac:dyDescent="0.25">
      <c r="A1553">
        <v>1551</v>
      </c>
      <c r="B1553">
        <f t="shared" si="48"/>
        <v>38</v>
      </c>
      <c r="C1553">
        <f t="shared" si="49"/>
        <v>34</v>
      </c>
      <c r="D1553" cm="1">
        <f t="array" ref="D1553">INDEX('Linha 03'!$A$4:$A$1000,B1553)</f>
        <v>20200072</v>
      </c>
      <c r="E1553" t="str" cm="1">
        <f t="array" ref="E1553">INDEX('Linha 03'!$B$4:$B$1000,B1553)</f>
        <v>Lava Roupas Aquafast Lavagem Rapida Total Clean Cx/12 X 1l</v>
      </c>
      <c r="F1553" cm="1">
        <f t="array" ref="F1553">INDEX('Linha 03'!$C$3:$ZZ$3,C1553)</f>
        <v>20200036</v>
      </c>
      <c r="G1553" t="str" cm="1">
        <f t="array" ref="G1553">INDEX('Linha 03'!$C$2:$ZZ$2,C1553)</f>
        <v>Lava Roupas Aquafast Ternura Cx/06 X 2l</v>
      </c>
      <c r="H1553" s="5" cm="1">
        <f t="array" ref="H1553">INDEX('Linha 03'!$C$4:$ZZ$1000,B1553,C1553)</f>
        <v>0</v>
      </c>
    </row>
    <row r="1554" spans="1:8" x14ac:dyDescent="0.25">
      <c r="A1554">
        <v>1552</v>
      </c>
      <c r="B1554">
        <f t="shared" si="48"/>
        <v>38</v>
      </c>
      <c r="C1554">
        <f t="shared" si="49"/>
        <v>35</v>
      </c>
      <c r="D1554" cm="1">
        <f t="array" ref="D1554">INDEX('Linha 03'!$A$4:$A$1000,B1554)</f>
        <v>20200072</v>
      </c>
      <c r="E1554" t="str" cm="1">
        <f t="array" ref="E1554">INDEX('Linha 03'!$B$4:$B$1000,B1554)</f>
        <v>Lava Roupas Aquafast Lavagem Rapida Total Clean Cx/12 X 1l</v>
      </c>
      <c r="F1554" cm="1">
        <f t="array" ref="F1554">INDEX('Linha 03'!$C$3:$ZZ$3,C1554)</f>
        <v>20200063</v>
      </c>
      <c r="G1554" t="str" cm="1">
        <f t="array" ref="G1554">INDEX('Linha 03'!$C$2:$ZZ$2,C1554)</f>
        <v>Lava Roup. Aquafast Tradicional Cx/12 X 1l</v>
      </c>
      <c r="H1554" s="5" cm="1">
        <f t="array" ref="H1554">INDEX('Linha 03'!$C$4:$ZZ$1000,B1554,C1554)</f>
        <v>0</v>
      </c>
    </row>
    <row r="1555" spans="1:8" x14ac:dyDescent="0.25">
      <c r="A1555">
        <v>1553</v>
      </c>
      <c r="B1555">
        <f t="shared" si="48"/>
        <v>38</v>
      </c>
      <c r="C1555">
        <f t="shared" si="49"/>
        <v>36</v>
      </c>
      <c r="D1555" cm="1">
        <f t="array" ref="D1555">INDEX('Linha 03'!$A$4:$A$1000,B1555)</f>
        <v>20200072</v>
      </c>
      <c r="E1555" t="str" cm="1">
        <f t="array" ref="E1555">INDEX('Linha 03'!$B$4:$B$1000,B1555)</f>
        <v>Lava Roupas Aquafast Lavagem Rapida Total Clean Cx/12 X 1l</v>
      </c>
      <c r="F1555" cm="1">
        <f t="array" ref="F1555">INDEX('Linha 03'!$C$3:$ZZ$3,C1555)</f>
        <v>20200064</v>
      </c>
      <c r="G1555" t="str" cm="1">
        <f t="array" ref="G1555">INDEX('Linha 03'!$C$2:$ZZ$2,C1555)</f>
        <v>Lava Roup. Aquafast Flores B. E Baunilha Cx/12 X 1l</v>
      </c>
      <c r="H1555" s="5" cm="1">
        <f t="array" ref="H1555">INDEX('Linha 03'!$C$4:$ZZ$1000,B1555,C1555)</f>
        <v>0</v>
      </c>
    </row>
    <row r="1556" spans="1:8" x14ac:dyDescent="0.25">
      <c r="A1556">
        <v>1554</v>
      </c>
      <c r="B1556">
        <f t="shared" si="48"/>
        <v>38</v>
      </c>
      <c r="C1556">
        <f t="shared" si="49"/>
        <v>37</v>
      </c>
      <c r="D1556" cm="1">
        <f t="array" ref="D1556">INDEX('Linha 03'!$A$4:$A$1000,B1556)</f>
        <v>20200072</v>
      </c>
      <c r="E1556" t="str" cm="1">
        <f t="array" ref="E1556">INDEX('Linha 03'!$B$4:$B$1000,B1556)</f>
        <v>Lava Roupas Aquafast Lavagem Rapida Total Clean Cx/12 X 1l</v>
      </c>
      <c r="F1556" cm="1">
        <f t="array" ref="F1556">INDEX('Linha 03'!$C$3:$ZZ$3,C1556)</f>
        <v>20200065</v>
      </c>
      <c r="G1556" t="str" cm="1">
        <f t="array" ref="G1556">INDEX('Linha 03'!$C$2:$ZZ$2,C1556)</f>
        <v>Lava Roupas Aquafast Flores B. E Baunilha Cx/06 X 2l</v>
      </c>
      <c r="H1556" s="5" cm="1">
        <f t="array" ref="H1556">INDEX('Linha 03'!$C$4:$ZZ$1000,B1556,C1556)</f>
        <v>0</v>
      </c>
    </row>
    <row r="1557" spans="1:8" x14ac:dyDescent="0.25">
      <c r="A1557">
        <v>1555</v>
      </c>
      <c r="B1557">
        <f t="shared" si="48"/>
        <v>38</v>
      </c>
      <c r="C1557">
        <f t="shared" si="49"/>
        <v>38</v>
      </c>
      <c r="D1557" cm="1">
        <f t="array" ref="D1557">INDEX('Linha 03'!$A$4:$A$1000,B1557)</f>
        <v>20200072</v>
      </c>
      <c r="E1557" t="str" cm="1">
        <f t="array" ref="E1557">INDEX('Linha 03'!$B$4:$B$1000,B1557)</f>
        <v>Lava Roupas Aquafast Lavagem Rapida Total Clean Cx/12 X 1l</v>
      </c>
      <c r="F1557" cm="1">
        <f t="array" ref="F1557">INDEX('Linha 03'!$C$3:$ZZ$3,C1557)</f>
        <v>20200072</v>
      </c>
      <c r="G1557" t="str" cm="1">
        <f t="array" ref="G1557">INDEX('Linha 03'!$C$2:$ZZ$2,C1557)</f>
        <v>Lava Roupas Aquafast Lavagem Rapida Total Clean Cx/12 X 1l</v>
      </c>
      <c r="H1557" s="5" cm="1">
        <f t="array" ref="H1557">INDEX('Linha 03'!$C$4:$ZZ$1000,B1557,C1557)</f>
        <v>0</v>
      </c>
    </row>
    <row r="1558" spans="1:8" x14ac:dyDescent="0.25">
      <c r="A1558">
        <v>1556</v>
      </c>
      <c r="B1558">
        <f t="shared" si="48"/>
        <v>38</v>
      </c>
      <c r="C1558">
        <f t="shared" si="49"/>
        <v>39</v>
      </c>
      <c r="D1558" cm="1">
        <f t="array" ref="D1558">INDEX('Linha 03'!$A$4:$A$1000,B1558)</f>
        <v>20200072</v>
      </c>
      <c r="E1558" t="str" cm="1">
        <f t="array" ref="E1558">INDEX('Linha 03'!$B$4:$B$1000,B1558)</f>
        <v>Lava Roupas Aquafast Lavagem Rapida Total Clean Cx/12 X 1l</v>
      </c>
      <c r="F1558" cm="1">
        <f t="array" ref="F1558">INDEX('Linha 03'!$C$3:$ZZ$3,C1558)</f>
        <v>20200074</v>
      </c>
      <c r="G1558" t="str" cm="1">
        <f t="array" ref="G1558">INDEX('Linha 03'!$C$2:$ZZ$2,C1558)</f>
        <v>Lava Roupas Aquafast Lavagem Rapida Fresh Clean Cx/12 X 1l</v>
      </c>
      <c r="H1558" s="5" cm="1">
        <f t="array" ref="H1558">INDEX('Linha 03'!$C$4:$ZZ$1000,B1558,C1558)</f>
        <v>0</v>
      </c>
    </row>
    <row r="1559" spans="1:8" x14ac:dyDescent="0.25">
      <c r="A1559">
        <v>1557</v>
      </c>
      <c r="B1559">
        <f t="shared" si="48"/>
        <v>38</v>
      </c>
      <c r="C1559">
        <f t="shared" si="49"/>
        <v>40</v>
      </c>
      <c r="D1559" cm="1">
        <f t="array" ref="D1559">INDEX('Linha 03'!$A$4:$A$1000,B1559)</f>
        <v>20200072</v>
      </c>
      <c r="E1559" t="str" cm="1">
        <f t="array" ref="E1559">INDEX('Linha 03'!$B$4:$B$1000,B1559)</f>
        <v>Lava Roupas Aquafast Lavagem Rapida Total Clean Cx/12 X 1l</v>
      </c>
      <c r="F1559" cm="1">
        <f t="array" ref="F1559">INDEX('Linha 03'!$C$3:$ZZ$3,C1559)</f>
        <v>20250005</v>
      </c>
      <c r="G1559" t="str" cm="1">
        <f t="array" ref="G1559">INDEX('Linha 03'!$C$2:$ZZ$2,C1559)</f>
        <v>Neutralizador De Odores Aquafast Floral Cx/06 X 2l</v>
      </c>
      <c r="H1559" s="5" cm="1">
        <f t="array" ref="H1559">INDEX('Linha 03'!$C$4:$ZZ$1000,B1559,C1559)</f>
        <v>0</v>
      </c>
    </row>
    <row r="1560" spans="1:8" x14ac:dyDescent="0.25">
      <c r="A1560">
        <v>1558</v>
      </c>
      <c r="B1560">
        <f t="shared" si="48"/>
        <v>38</v>
      </c>
      <c r="C1560">
        <f t="shared" si="49"/>
        <v>41</v>
      </c>
      <c r="D1560" cm="1">
        <f t="array" ref="D1560">INDEX('Linha 03'!$A$4:$A$1000,B1560)</f>
        <v>20200072</v>
      </c>
      <c r="E1560" t="str" cm="1">
        <f t="array" ref="E1560">INDEX('Linha 03'!$B$4:$B$1000,B1560)</f>
        <v>Lava Roupas Aquafast Lavagem Rapida Total Clean Cx/12 X 1l</v>
      </c>
      <c r="F1560" cm="1">
        <f t="array" ref="F1560">INDEX('Linha 03'!$C$3:$ZZ$3,C1560)</f>
        <v>20250007</v>
      </c>
      <c r="G1560" t="str" cm="1">
        <f t="array" ref="G1560">INDEX('Linha 03'!$C$2:$ZZ$2,C1560)</f>
        <v>Neutralizador De Odores Aquafast Marine Cx/06 2l</v>
      </c>
      <c r="H1560" s="5" cm="1">
        <f t="array" ref="H1560">INDEX('Linha 03'!$C$4:$ZZ$1000,B1560,C1560)</f>
        <v>0</v>
      </c>
    </row>
    <row r="1561" spans="1:8" x14ac:dyDescent="0.25">
      <c r="A1561">
        <v>1559</v>
      </c>
      <c r="B1561">
        <f t="shared" si="48"/>
        <v>39</v>
      </c>
      <c r="C1561">
        <f t="shared" si="49"/>
        <v>1</v>
      </c>
      <c r="D1561" cm="1">
        <f t="array" ref="D1561">INDEX('Linha 03'!$A$4:$A$1000,B1561)</f>
        <v>20200074</v>
      </c>
      <c r="E1561" t="str" cm="1">
        <f t="array" ref="E1561">INDEX('Linha 03'!$B$4:$B$1000,B1561)</f>
        <v>Lava Roupas Aquafast Lavagem Rapida Fresh Clean Cx/12 X 1l</v>
      </c>
      <c r="F1561" cm="1">
        <f t="array" ref="F1561">INDEX('Linha 03'!$C$3:$ZZ$3,C1561)</f>
        <v>20040006</v>
      </c>
      <c r="G1561" t="str" cm="1">
        <f t="array" ref="G1561">INDEX('Linha 03'!$C$2:$ZZ$2,C1561)</f>
        <v>Amaciante Aquafast Azul Fresc. Manha Cx/06 X 2l</v>
      </c>
      <c r="H1561" s="5" cm="1">
        <f t="array" ref="H1561">INDEX('Linha 03'!$C$4:$ZZ$1000,B1561,C1561)</f>
        <v>0</v>
      </c>
    </row>
    <row r="1562" spans="1:8" x14ac:dyDescent="0.25">
      <c r="A1562">
        <v>1560</v>
      </c>
      <c r="B1562">
        <f t="shared" si="48"/>
        <v>39</v>
      </c>
      <c r="C1562">
        <f t="shared" si="49"/>
        <v>2</v>
      </c>
      <c r="D1562" cm="1">
        <f t="array" ref="D1562">INDEX('Linha 03'!$A$4:$A$1000,B1562)</f>
        <v>20200074</v>
      </c>
      <c r="E1562" t="str" cm="1">
        <f t="array" ref="E1562">INDEX('Linha 03'!$B$4:$B$1000,B1562)</f>
        <v>Lava Roupas Aquafast Lavagem Rapida Fresh Clean Cx/12 X 1l</v>
      </c>
      <c r="F1562" cm="1">
        <f t="array" ref="F1562">INDEX('Linha 03'!$C$3:$ZZ$3,C1562)</f>
        <v>20040008</v>
      </c>
      <c r="G1562" t="str" cm="1">
        <f t="array" ref="G1562">INDEX('Linha 03'!$C$2:$ZZ$2,C1562)</f>
        <v>Amaciante Aquafast Rosa Jard. Florid Cx/06 X 2l</v>
      </c>
      <c r="H1562" s="5" cm="1">
        <f t="array" ref="H1562">INDEX('Linha 03'!$C$4:$ZZ$1000,B1562,C1562)</f>
        <v>0</v>
      </c>
    </row>
    <row r="1563" spans="1:8" x14ac:dyDescent="0.25">
      <c r="A1563">
        <v>1561</v>
      </c>
      <c r="B1563">
        <f t="shared" si="48"/>
        <v>39</v>
      </c>
      <c r="C1563">
        <f t="shared" si="49"/>
        <v>3</v>
      </c>
      <c r="D1563" cm="1">
        <f t="array" ref="D1563">INDEX('Linha 03'!$A$4:$A$1000,B1563)</f>
        <v>20200074</v>
      </c>
      <c r="E1563" t="str" cm="1">
        <f t="array" ref="E1563">INDEX('Linha 03'!$B$4:$B$1000,B1563)</f>
        <v>Lava Roupas Aquafast Lavagem Rapida Fresh Clean Cx/12 X 1l</v>
      </c>
      <c r="F1563" cm="1">
        <f t="array" ref="F1563">INDEX('Linha 03'!$C$3:$ZZ$3,C1563)</f>
        <v>20040009</v>
      </c>
      <c r="G1563" t="str" cm="1">
        <f t="array" ref="G1563">INDEX('Linha 03'!$C$2:$ZZ$2,C1563)</f>
        <v>Amaciante Aquafast Branco Pura Caric. Cx/06 X 2l</v>
      </c>
      <c r="H1563" s="5" cm="1">
        <f t="array" ref="H1563">INDEX('Linha 03'!$C$4:$ZZ$1000,B1563,C1563)</f>
        <v>0</v>
      </c>
    </row>
    <row r="1564" spans="1:8" x14ac:dyDescent="0.25">
      <c r="A1564">
        <v>1562</v>
      </c>
      <c r="B1564">
        <f t="shared" si="48"/>
        <v>39</v>
      </c>
      <c r="C1564">
        <f t="shared" si="49"/>
        <v>4</v>
      </c>
      <c r="D1564" cm="1">
        <f t="array" ref="D1564">INDEX('Linha 03'!$A$4:$A$1000,B1564)</f>
        <v>20200074</v>
      </c>
      <c r="E1564" t="str" cm="1">
        <f t="array" ref="E1564">INDEX('Linha 03'!$B$4:$B$1000,B1564)</f>
        <v>Lava Roupas Aquafast Lavagem Rapida Fresh Clean Cx/12 X 1l</v>
      </c>
      <c r="F1564" cm="1">
        <f t="array" ref="F1564">INDEX('Linha 03'!$C$3:$ZZ$3,C1564)</f>
        <v>20040026</v>
      </c>
      <c r="G1564" t="str" cm="1">
        <f t="array" ref="G1564">INDEX('Linha 03'!$C$2:$ZZ$2,C1564)</f>
        <v>Amaciante Ito Azul Cx/06 X 2l</v>
      </c>
      <c r="H1564" s="5" cm="1">
        <f t="array" ref="H1564">INDEX('Linha 03'!$C$4:$ZZ$1000,B1564,C1564)</f>
        <v>0</v>
      </c>
    </row>
    <row r="1565" spans="1:8" x14ac:dyDescent="0.25">
      <c r="A1565">
        <v>1563</v>
      </c>
      <c r="B1565">
        <f t="shared" si="48"/>
        <v>39</v>
      </c>
      <c r="C1565">
        <f t="shared" si="49"/>
        <v>5</v>
      </c>
      <c r="D1565" cm="1">
        <f t="array" ref="D1565">INDEX('Linha 03'!$A$4:$A$1000,B1565)</f>
        <v>20200074</v>
      </c>
      <c r="E1565" t="str" cm="1">
        <f t="array" ref="E1565">INDEX('Linha 03'!$B$4:$B$1000,B1565)</f>
        <v>Lava Roupas Aquafast Lavagem Rapida Fresh Clean Cx/12 X 1l</v>
      </c>
      <c r="F1565" cm="1">
        <f t="array" ref="F1565">INDEX('Linha 03'!$C$3:$ZZ$3,C1565)</f>
        <v>20040028</v>
      </c>
      <c r="G1565" t="str" cm="1">
        <f t="array" ref="G1565">INDEX('Linha 03'!$C$2:$ZZ$2,C1565)</f>
        <v>Amaciante Ito Rosa Cx/06 X 2l</v>
      </c>
      <c r="H1565" s="5" cm="1">
        <f t="array" ref="H1565">INDEX('Linha 03'!$C$4:$ZZ$1000,B1565,C1565)</f>
        <v>0</v>
      </c>
    </row>
    <row r="1566" spans="1:8" x14ac:dyDescent="0.25">
      <c r="A1566">
        <v>1564</v>
      </c>
      <c r="B1566">
        <f t="shared" si="48"/>
        <v>39</v>
      </c>
      <c r="C1566">
        <f t="shared" si="49"/>
        <v>6</v>
      </c>
      <c r="D1566" cm="1">
        <f t="array" ref="D1566">INDEX('Linha 03'!$A$4:$A$1000,B1566)</f>
        <v>20200074</v>
      </c>
      <c r="E1566" t="str" cm="1">
        <f t="array" ref="E1566">INDEX('Linha 03'!$B$4:$B$1000,B1566)</f>
        <v>Lava Roupas Aquafast Lavagem Rapida Fresh Clean Cx/12 X 1l</v>
      </c>
      <c r="F1566" cm="1">
        <f t="array" ref="F1566">INDEX('Linha 03'!$C$3:$ZZ$3,C1566)</f>
        <v>20040029</v>
      </c>
      <c r="G1566" t="str" cm="1">
        <f t="array" ref="G1566">INDEX('Linha 03'!$C$2:$ZZ$2,C1566)</f>
        <v>Amaciante Ito Branco Cx/06 X 2l</v>
      </c>
      <c r="H1566" s="5" cm="1">
        <f t="array" ref="H1566">INDEX('Linha 03'!$C$4:$ZZ$1000,B1566,C1566)</f>
        <v>0</v>
      </c>
    </row>
    <row r="1567" spans="1:8" x14ac:dyDescent="0.25">
      <c r="A1567">
        <v>1565</v>
      </c>
      <c r="B1567">
        <f t="shared" si="48"/>
        <v>39</v>
      </c>
      <c r="C1567">
        <f t="shared" si="49"/>
        <v>7</v>
      </c>
      <c r="D1567" cm="1">
        <f t="array" ref="D1567">INDEX('Linha 03'!$A$4:$A$1000,B1567)</f>
        <v>20200074</v>
      </c>
      <c r="E1567" t="str" cm="1">
        <f t="array" ref="E1567">INDEX('Linha 03'!$B$4:$B$1000,B1567)</f>
        <v>Lava Roupas Aquafast Lavagem Rapida Fresh Clean Cx/12 X 1l</v>
      </c>
      <c r="F1567" cm="1">
        <f t="array" ref="F1567">INDEX('Linha 03'!$C$3:$ZZ$3,C1567)</f>
        <v>20040055</v>
      </c>
      <c r="G1567" t="str" cm="1">
        <f t="array" ref="G1567">INDEX('Linha 03'!$C$2:$ZZ$2,C1567)</f>
        <v>Amaciante Myata Azul Cx/06 X 2l</v>
      </c>
      <c r="H1567" s="5" cm="1">
        <f t="array" ref="H1567">INDEX('Linha 03'!$C$4:$ZZ$1000,B1567,C1567)</f>
        <v>0</v>
      </c>
    </row>
    <row r="1568" spans="1:8" x14ac:dyDescent="0.25">
      <c r="A1568">
        <v>1566</v>
      </c>
      <c r="B1568">
        <f t="shared" si="48"/>
        <v>39</v>
      </c>
      <c r="C1568">
        <f t="shared" si="49"/>
        <v>8</v>
      </c>
      <c r="D1568" cm="1">
        <f t="array" ref="D1568">INDEX('Linha 03'!$A$4:$A$1000,B1568)</f>
        <v>20200074</v>
      </c>
      <c r="E1568" t="str" cm="1">
        <f t="array" ref="E1568">INDEX('Linha 03'!$B$4:$B$1000,B1568)</f>
        <v>Lava Roupas Aquafast Lavagem Rapida Fresh Clean Cx/12 X 1l</v>
      </c>
      <c r="F1568" cm="1">
        <f t="array" ref="F1568">INDEX('Linha 03'!$C$3:$ZZ$3,C1568)</f>
        <v>20040057</v>
      </c>
      <c r="G1568" t="str" cm="1">
        <f t="array" ref="G1568">INDEX('Linha 03'!$C$2:$ZZ$2,C1568)</f>
        <v>Amaciante Myata Rosa Cx/06 X 2l</v>
      </c>
      <c r="H1568" s="5" cm="1">
        <f t="array" ref="H1568">INDEX('Linha 03'!$C$4:$ZZ$1000,B1568,C1568)</f>
        <v>0</v>
      </c>
    </row>
    <row r="1569" spans="1:8" x14ac:dyDescent="0.25">
      <c r="A1569">
        <v>1567</v>
      </c>
      <c r="B1569">
        <f t="shared" si="48"/>
        <v>39</v>
      </c>
      <c r="C1569">
        <f t="shared" si="49"/>
        <v>9</v>
      </c>
      <c r="D1569" cm="1">
        <f t="array" ref="D1569">INDEX('Linha 03'!$A$4:$A$1000,B1569)</f>
        <v>20200074</v>
      </c>
      <c r="E1569" t="str" cm="1">
        <f t="array" ref="E1569">INDEX('Linha 03'!$B$4:$B$1000,B1569)</f>
        <v>Lava Roupas Aquafast Lavagem Rapida Fresh Clean Cx/12 X 1l</v>
      </c>
      <c r="F1569" cm="1">
        <f t="array" ref="F1569">INDEX('Linha 03'!$C$3:$ZZ$3,C1569)</f>
        <v>20040084</v>
      </c>
      <c r="G1569" t="str" cm="1">
        <f t="array" ref="G1569">INDEX('Linha 03'!$C$2:$ZZ$2,C1569)</f>
        <v>Amaciante Aquafast Vermelho Seducao Cx C/06 X 2l</v>
      </c>
      <c r="H1569" s="5" cm="1">
        <f t="array" ref="H1569">INDEX('Linha 03'!$C$4:$ZZ$1000,B1569,C1569)</f>
        <v>0</v>
      </c>
    </row>
    <row r="1570" spans="1:8" x14ac:dyDescent="0.25">
      <c r="A1570">
        <v>1568</v>
      </c>
      <c r="B1570">
        <f t="shared" si="48"/>
        <v>39</v>
      </c>
      <c r="C1570">
        <f t="shared" si="49"/>
        <v>10</v>
      </c>
      <c r="D1570" cm="1">
        <f t="array" ref="D1570">INDEX('Linha 03'!$A$4:$A$1000,B1570)</f>
        <v>20200074</v>
      </c>
      <c r="E1570" t="str" cm="1">
        <f t="array" ref="E1570">INDEX('Linha 03'!$B$4:$B$1000,B1570)</f>
        <v>Lava Roupas Aquafast Lavagem Rapida Fresh Clean Cx/12 X 1l</v>
      </c>
      <c r="F1570" cm="1">
        <f t="array" ref="F1570">INDEX('Linha 03'!$C$3:$ZZ$3,C1570)</f>
        <v>20040089</v>
      </c>
      <c r="G1570" t="str" cm="1">
        <f t="array" ref="G1570">INDEX('Linha 03'!$C$2:$ZZ$2,C1570)</f>
        <v>Amaciante Aquafast Roxo Magia Cx/06 X 2l</v>
      </c>
      <c r="H1570" s="5" cm="1">
        <f t="array" ref="H1570">INDEX('Linha 03'!$C$4:$ZZ$1000,B1570,C1570)</f>
        <v>0</v>
      </c>
    </row>
    <row r="1571" spans="1:8" x14ac:dyDescent="0.25">
      <c r="A1571">
        <v>1569</v>
      </c>
      <c r="B1571">
        <f t="shared" si="48"/>
        <v>39</v>
      </c>
      <c r="C1571">
        <f t="shared" si="49"/>
        <v>11</v>
      </c>
      <c r="D1571" cm="1">
        <f t="array" ref="D1571">INDEX('Linha 03'!$A$4:$A$1000,B1571)</f>
        <v>20200074</v>
      </c>
      <c r="E1571" t="str" cm="1">
        <f t="array" ref="E1571">INDEX('Linha 03'!$B$4:$B$1000,B1571)</f>
        <v>Lava Roupas Aquafast Lavagem Rapida Fresh Clean Cx/12 X 1l</v>
      </c>
      <c r="F1571" cm="1">
        <f t="array" ref="F1571">INDEX('Linha 03'!$C$3:$ZZ$3,C1571)</f>
        <v>20040094</v>
      </c>
      <c r="G1571" t="str" cm="1">
        <f t="array" ref="G1571">INDEX('Linha 03'!$C$2:$ZZ$2,C1571)</f>
        <v>Amaciante Aquafast Energia Cx/06 X 2l</v>
      </c>
      <c r="H1571" s="5" cm="1">
        <f t="array" ref="H1571">INDEX('Linha 03'!$C$4:$ZZ$1000,B1571,C1571)</f>
        <v>0</v>
      </c>
    </row>
    <row r="1572" spans="1:8" x14ac:dyDescent="0.25">
      <c r="A1572">
        <v>1570</v>
      </c>
      <c r="B1572">
        <f t="shared" si="48"/>
        <v>39</v>
      </c>
      <c r="C1572">
        <f t="shared" si="49"/>
        <v>12</v>
      </c>
      <c r="D1572" cm="1">
        <f t="array" ref="D1572">INDEX('Linha 03'!$A$4:$A$1000,B1572)</f>
        <v>20200074</v>
      </c>
      <c r="E1572" t="str" cm="1">
        <f t="array" ref="E1572">INDEX('Linha 03'!$B$4:$B$1000,B1572)</f>
        <v>Lava Roupas Aquafast Lavagem Rapida Fresh Clean Cx/12 X 1l</v>
      </c>
      <c r="F1572" cm="1">
        <f t="array" ref="F1572">INDEX('Linha 03'!$C$3:$ZZ$3,C1572)</f>
        <v>20050010</v>
      </c>
      <c r="G1572" t="str" cm="1">
        <f t="array" ref="G1572">INDEX('Linha 03'!$C$2:$ZZ$2,C1572)</f>
        <v>Desinfetante Aquafast Campos Lavanda Cx/06 X 2l</v>
      </c>
      <c r="H1572" s="5" cm="1">
        <f t="array" ref="H1572">INDEX('Linha 03'!$C$4:$ZZ$1000,B1572,C1572)</f>
        <v>0</v>
      </c>
    </row>
    <row r="1573" spans="1:8" x14ac:dyDescent="0.25">
      <c r="A1573">
        <v>1571</v>
      </c>
      <c r="B1573">
        <f t="shared" si="48"/>
        <v>39</v>
      </c>
      <c r="C1573">
        <f t="shared" si="49"/>
        <v>13</v>
      </c>
      <c r="D1573" cm="1">
        <f t="array" ref="D1573">INDEX('Linha 03'!$A$4:$A$1000,B1573)</f>
        <v>20200074</v>
      </c>
      <c r="E1573" t="str" cm="1">
        <f t="array" ref="E1573">INDEX('Linha 03'!$B$4:$B$1000,B1573)</f>
        <v>Lava Roupas Aquafast Lavagem Rapida Fresh Clean Cx/12 X 1l</v>
      </c>
      <c r="F1573" cm="1">
        <f t="array" ref="F1573">INDEX('Linha 03'!$C$3:$ZZ$3,C1573)</f>
        <v>20050011</v>
      </c>
      <c r="G1573" t="str" cm="1">
        <f t="array" ref="G1573">INDEX('Linha 03'!$C$2:$ZZ$2,C1573)</f>
        <v>Desinfetante Aquafast Jardim Florido Cx/06 X 2l</v>
      </c>
      <c r="H1573" s="5" cm="1">
        <f t="array" ref="H1573">INDEX('Linha 03'!$C$4:$ZZ$1000,B1573,C1573)</f>
        <v>0</v>
      </c>
    </row>
    <row r="1574" spans="1:8" x14ac:dyDescent="0.25">
      <c r="A1574">
        <v>1572</v>
      </c>
      <c r="B1574">
        <f t="shared" si="48"/>
        <v>39</v>
      </c>
      <c r="C1574">
        <f t="shared" si="49"/>
        <v>14</v>
      </c>
      <c r="D1574" cm="1">
        <f t="array" ref="D1574">INDEX('Linha 03'!$A$4:$A$1000,B1574)</f>
        <v>20200074</v>
      </c>
      <c r="E1574" t="str" cm="1">
        <f t="array" ref="E1574">INDEX('Linha 03'!$B$4:$B$1000,B1574)</f>
        <v>Lava Roupas Aquafast Lavagem Rapida Fresh Clean Cx/12 X 1l</v>
      </c>
      <c r="F1574" cm="1">
        <f t="array" ref="F1574">INDEX('Linha 03'!$C$3:$ZZ$3,C1574)</f>
        <v>20050016</v>
      </c>
      <c r="G1574" t="str" cm="1">
        <f t="array" ref="G1574">INDEX('Linha 03'!$C$2:$ZZ$2,C1574)</f>
        <v>Desinfetante Aquafast Marine Cx/06 X 2l</v>
      </c>
      <c r="H1574" s="5" cm="1">
        <f t="array" ref="H1574">INDEX('Linha 03'!$C$4:$ZZ$1000,B1574,C1574)</f>
        <v>0</v>
      </c>
    </row>
    <row r="1575" spans="1:8" x14ac:dyDescent="0.25">
      <c r="A1575">
        <v>1573</v>
      </c>
      <c r="B1575">
        <f t="shared" si="48"/>
        <v>39</v>
      </c>
      <c r="C1575">
        <f t="shared" si="49"/>
        <v>15</v>
      </c>
      <c r="D1575" cm="1">
        <f t="array" ref="D1575">INDEX('Linha 03'!$A$4:$A$1000,B1575)</f>
        <v>20200074</v>
      </c>
      <c r="E1575" t="str" cm="1">
        <f t="array" ref="E1575">INDEX('Linha 03'!$B$4:$B$1000,B1575)</f>
        <v>Lava Roupas Aquafast Lavagem Rapida Fresh Clean Cx/12 X 1l</v>
      </c>
      <c r="F1575" cm="1">
        <f t="array" ref="F1575">INDEX('Linha 03'!$C$3:$ZZ$3,C1575)</f>
        <v>20050031</v>
      </c>
      <c r="G1575" t="str" cm="1">
        <f t="array" ref="G1575">INDEX('Linha 03'!$C$2:$ZZ$2,C1575)</f>
        <v>Desinfetante Ito Lavanda Cx/06 X 2l</v>
      </c>
      <c r="H1575" s="5" cm="1">
        <f t="array" ref="H1575">INDEX('Linha 03'!$C$4:$ZZ$1000,B1575,C1575)</f>
        <v>0</v>
      </c>
    </row>
    <row r="1576" spans="1:8" x14ac:dyDescent="0.25">
      <c r="A1576">
        <v>1574</v>
      </c>
      <c r="B1576">
        <f t="shared" si="48"/>
        <v>39</v>
      </c>
      <c r="C1576">
        <f t="shared" si="49"/>
        <v>16</v>
      </c>
      <c r="D1576" cm="1">
        <f t="array" ref="D1576">INDEX('Linha 03'!$A$4:$A$1000,B1576)</f>
        <v>20200074</v>
      </c>
      <c r="E1576" t="str" cm="1">
        <f t="array" ref="E1576">INDEX('Linha 03'!$B$4:$B$1000,B1576)</f>
        <v>Lava Roupas Aquafast Lavagem Rapida Fresh Clean Cx/12 X 1l</v>
      </c>
      <c r="F1576" cm="1">
        <f t="array" ref="F1576">INDEX('Linha 03'!$C$3:$ZZ$3,C1576)</f>
        <v>20050032</v>
      </c>
      <c r="G1576" t="str" cm="1">
        <f t="array" ref="G1576">INDEX('Linha 03'!$C$2:$ZZ$2,C1576)</f>
        <v>Desinfetante Ito Floral Cx/06 X 2l</v>
      </c>
      <c r="H1576" s="5" cm="1">
        <f t="array" ref="H1576">INDEX('Linha 03'!$C$4:$ZZ$1000,B1576,C1576)</f>
        <v>0</v>
      </c>
    </row>
    <row r="1577" spans="1:8" x14ac:dyDescent="0.25">
      <c r="A1577">
        <v>1575</v>
      </c>
      <c r="B1577">
        <f t="shared" si="48"/>
        <v>39</v>
      </c>
      <c r="C1577">
        <f t="shared" si="49"/>
        <v>17</v>
      </c>
      <c r="D1577" cm="1">
        <f t="array" ref="D1577">INDEX('Linha 03'!$A$4:$A$1000,B1577)</f>
        <v>20200074</v>
      </c>
      <c r="E1577" t="str" cm="1">
        <f t="array" ref="E1577">INDEX('Linha 03'!$B$4:$B$1000,B1577)</f>
        <v>Lava Roupas Aquafast Lavagem Rapida Fresh Clean Cx/12 X 1l</v>
      </c>
      <c r="F1577" cm="1">
        <f t="array" ref="F1577">INDEX('Linha 03'!$C$3:$ZZ$3,C1577)</f>
        <v>20050034</v>
      </c>
      <c r="G1577" t="str" cm="1">
        <f t="array" ref="G1577">INDEX('Linha 03'!$C$2:$ZZ$2,C1577)</f>
        <v>Desinfetante Ito Eucalipto Cx/06 X 2l</v>
      </c>
      <c r="H1577" s="5" cm="1">
        <f t="array" ref="H1577">INDEX('Linha 03'!$C$4:$ZZ$1000,B1577,C1577)</f>
        <v>0</v>
      </c>
    </row>
    <row r="1578" spans="1:8" x14ac:dyDescent="0.25">
      <c r="A1578">
        <v>1576</v>
      </c>
      <c r="B1578">
        <f t="shared" si="48"/>
        <v>39</v>
      </c>
      <c r="C1578">
        <f t="shared" si="49"/>
        <v>18</v>
      </c>
      <c r="D1578" cm="1">
        <f t="array" ref="D1578">INDEX('Linha 03'!$A$4:$A$1000,B1578)</f>
        <v>20200074</v>
      </c>
      <c r="E1578" t="str" cm="1">
        <f t="array" ref="E1578">INDEX('Linha 03'!$B$4:$B$1000,B1578)</f>
        <v>Lava Roupas Aquafast Lavagem Rapida Fresh Clean Cx/12 X 1l</v>
      </c>
      <c r="F1578" cm="1">
        <f t="array" ref="F1578">INDEX('Linha 03'!$C$3:$ZZ$3,C1578)</f>
        <v>20050077</v>
      </c>
      <c r="G1578" t="str" cm="1">
        <f t="array" ref="G1578">INDEX('Linha 03'!$C$2:$ZZ$2,C1578)</f>
        <v>Desinfetante Myata Lavanda Cx/06 X 2l</v>
      </c>
      <c r="H1578" s="5" cm="1">
        <f t="array" ref="H1578">INDEX('Linha 03'!$C$4:$ZZ$1000,B1578,C1578)</f>
        <v>0</v>
      </c>
    </row>
    <row r="1579" spans="1:8" x14ac:dyDescent="0.25">
      <c r="A1579">
        <v>1577</v>
      </c>
      <c r="B1579">
        <f t="shared" si="48"/>
        <v>39</v>
      </c>
      <c r="C1579">
        <f t="shared" si="49"/>
        <v>19</v>
      </c>
      <c r="D1579" cm="1">
        <f t="array" ref="D1579">INDEX('Linha 03'!$A$4:$A$1000,B1579)</f>
        <v>20200074</v>
      </c>
      <c r="E1579" t="str" cm="1">
        <f t="array" ref="E1579">INDEX('Linha 03'!$B$4:$B$1000,B1579)</f>
        <v>Lava Roupas Aquafast Lavagem Rapida Fresh Clean Cx/12 X 1l</v>
      </c>
      <c r="F1579" cm="1">
        <f t="array" ref="F1579">INDEX('Linha 03'!$C$3:$ZZ$3,C1579)</f>
        <v>20050078</v>
      </c>
      <c r="G1579" t="str" cm="1">
        <f t="array" ref="G1579">INDEX('Linha 03'!$C$2:$ZZ$2,C1579)</f>
        <v>Desinfetante Myata Floral Cx/06 X 2l</v>
      </c>
      <c r="H1579" s="5" cm="1">
        <f t="array" ref="H1579">INDEX('Linha 03'!$C$4:$ZZ$1000,B1579,C1579)</f>
        <v>0</v>
      </c>
    </row>
    <row r="1580" spans="1:8" x14ac:dyDescent="0.25">
      <c r="A1580">
        <v>1578</v>
      </c>
      <c r="B1580">
        <f t="shared" si="48"/>
        <v>39</v>
      </c>
      <c r="C1580">
        <f t="shared" si="49"/>
        <v>20</v>
      </c>
      <c r="D1580" cm="1">
        <f t="array" ref="D1580">INDEX('Linha 03'!$A$4:$A$1000,B1580)</f>
        <v>20200074</v>
      </c>
      <c r="E1580" t="str" cm="1">
        <f t="array" ref="E1580">INDEX('Linha 03'!$B$4:$B$1000,B1580)</f>
        <v>Lava Roupas Aquafast Lavagem Rapida Fresh Clean Cx/12 X 1l</v>
      </c>
      <c r="F1580" cm="1">
        <f t="array" ref="F1580">INDEX('Linha 03'!$C$3:$ZZ$3,C1580)</f>
        <v>20050115</v>
      </c>
      <c r="G1580" t="str" cm="1">
        <f t="array" ref="G1580">INDEX('Linha 03'!$C$2:$ZZ$2,C1580)</f>
        <v>Desinfetante Aquafast Paixao Cx/06 X 2l</v>
      </c>
      <c r="H1580" s="5" cm="1">
        <f t="array" ref="H1580">INDEX('Linha 03'!$C$4:$ZZ$1000,B1580,C1580)</f>
        <v>0</v>
      </c>
    </row>
    <row r="1581" spans="1:8" x14ac:dyDescent="0.25">
      <c r="A1581">
        <v>1579</v>
      </c>
      <c r="B1581">
        <f t="shared" si="48"/>
        <v>39</v>
      </c>
      <c r="C1581">
        <f t="shared" si="49"/>
        <v>21</v>
      </c>
      <c r="D1581" cm="1">
        <f t="array" ref="D1581">INDEX('Linha 03'!$A$4:$A$1000,B1581)</f>
        <v>20200074</v>
      </c>
      <c r="E1581" t="str" cm="1">
        <f t="array" ref="E1581">INDEX('Linha 03'!$B$4:$B$1000,B1581)</f>
        <v>Lava Roupas Aquafast Lavagem Rapida Fresh Clean Cx/12 X 1l</v>
      </c>
      <c r="F1581" cm="1">
        <f t="array" ref="F1581">INDEX('Linha 03'!$C$3:$ZZ$3,C1581)</f>
        <v>20050117</v>
      </c>
      <c r="G1581" t="str" cm="1">
        <f t="array" ref="G1581">INDEX('Linha 03'!$C$2:$ZZ$2,C1581)</f>
        <v>Desinfetante Aquafast Harmonia Natural Cx/06 X 2l</v>
      </c>
      <c r="H1581" s="5" cm="1">
        <f t="array" ref="H1581">INDEX('Linha 03'!$C$4:$ZZ$1000,B1581,C1581)</f>
        <v>0</v>
      </c>
    </row>
    <row r="1582" spans="1:8" x14ac:dyDescent="0.25">
      <c r="A1582">
        <v>1580</v>
      </c>
      <c r="B1582">
        <f t="shared" si="48"/>
        <v>39</v>
      </c>
      <c r="C1582">
        <f t="shared" si="49"/>
        <v>22</v>
      </c>
      <c r="D1582" cm="1">
        <f t="array" ref="D1582">INDEX('Linha 03'!$A$4:$A$1000,B1582)</f>
        <v>20200074</v>
      </c>
      <c r="E1582" t="str" cm="1">
        <f t="array" ref="E1582">INDEX('Linha 03'!$B$4:$B$1000,B1582)</f>
        <v>Lava Roupas Aquafast Lavagem Rapida Fresh Clean Cx/12 X 1l</v>
      </c>
      <c r="F1582" cm="1">
        <f t="array" ref="F1582">INDEX('Linha 03'!$C$3:$ZZ$3,C1582)</f>
        <v>20050123</v>
      </c>
      <c r="G1582" t="str" cm="1">
        <f t="array" ref="G1582">INDEX('Linha 03'!$C$2:$ZZ$2,C1582)</f>
        <v>Desinfetante Ito Harmonia Natural Cx/06 X 2l</v>
      </c>
      <c r="H1582" s="5" cm="1">
        <f t="array" ref="H1582">INDEX('Linha 03'!$C$4:$ZZ$1000,B1582,C1582)</f>
        <v>0</v>
      </c>
    </row>
    <row r="1583" spans="1:8" x14ac:dyDescent="0.25">
      <c r="A1583">
        <v>1581</v>
      </c>
      <c r="B1583">
        <f t="shared" si="48"/>
        <v>39</v>
      </c>
      <c r="C1583">
        <f t="shared" si="49"/>
        <v>23</v>
      </c>
      <c r="D1583" cm="1">
        <f t="array" ref="D1583">INDEX('Linha 03'!$A$4:$A$1000,B1583)</f>
        <v>20200074</v>
      </c>
      <c r="E1583" t="str" cm="1">
        <f t="array" ref="E1583">INDEX('Linha 03'!$B$4:$B$1000,B1583)</f>
        <v>Lava Roupas Aquafast Lavagem Rapida Fresh Clean Cx/12 X 1l</v>
      </c>
      <c r="F1583" cm="1">
        <f t="array" ref="F1583">INDEX('Linha 03'!$C$3:$ZZ$3,C1583)</f>
        <v>20050124</v>
      </c>
      <c r="G1583" t="str" cm="1">
        <f t="array" ref="G1583">INDEX('Linha 03'!$C$2:$ZZ$2,C1583)</f>
        <v>Desinfetante Myata Harmonia Natural Cx/06 X 2l</v>
      </c>
      <c r="H1583" s="5" cm="1">
        <f t="array" ref="H1583">INDEX('Linha 03'!$C$4:$ZZ$1000,B1583,C1583)</f>
        <v>0</v>
      </c>
    </row>
    <row r="1584" spans="1:8" x14ac:dyDescent="0.25">
      <c r="A1584">
        <v>1582</v>
      </c>
      <c r="B1584">
        <f t="shared" si="48"/>
        <v>39</v>
      </c>
      <c r="C1584">
        <f t="shared" si="49"/>
        <v>24</v>
      </c>
      <c r="D1584" cm="1">
        <f t="array" ref="D1584">INDEX('Linha 03'!$A$4:$A$1000,B1584)</f>
        <v>20200074</v>
      </c>
      <c r="E1584" t="str" cm="1">
        <f t="array" ref="E1584">INDEX('Linha 03'!$B$4:$B$1000,B1584)</f>
        <v>Lava Roupas Aquafast Lavagem Rapida Fresh Clean Cx/12 X 1l</v>
      </c>
      <c r="F1584" cm="1">
        <f t="array" ref="F1584">INDEX('Linha 03'!$C$3:$ZZ$3,C1584)</f>
        <v>20050142</v>
      </c>
      <c r="G1584" t="str" cm="1">
        <f t="array" ref="G1584">INDEX('Linha 03'!$C$2:$ZZ$2,C1584)</f>
        <v>Desinfetante Ito Marine Cx/06 X 2l</v>
      </c>
      <c r="H1584" s="5" cm="1">
        <f t="array" ref="H1584">INDEX('Linha 03'!$C$4:$ZZ$1000,B1584,C1584)</f>
        <v>0</v>
      </c>
    </row>
    <row r="1585" spans="1:8" x14ac:dyDescent="0.25">
      <c r="A1585">
        <v>1583</v>
      </c>
      <c r="B1585">
        <f t="shared" si="48"/>
        <v>39</v>
      </c>
      <c r="C1585">
        <f t="shared" si="49"/>
        <v>25</v>
      </c>
      <c r="D1585" cm="1">
        <f t="array" ref="D1585">INDEX('Linha 03'!$A$4:$A$1000,B1585)</f>
        <v>20200074</v>
      </c>
      <c r="E1585" t="str" cm="1">
        <f t="array" ref="E1585">INDEX('Linha 03'!$B$4:$B$1000,B1585)</f>
        <v>Lava Roupas Aquafast Lavagem Rapida Fresh Clean Cx/12 X 1l</v>
      </c>
      <c r="F1585" cm="1">
        <f t="array" ref="F1585">INDEX('Linha 03'!$C$3:$ZZ$3,C1585)</f>
        <v>20050159</v>
      </c>
      <c r="G1585" t="str" cm="1">
        <f t="array" ref="G1585">INDEX('Linha 03'!$C$2:$ZZ$2,C1585)</f>
        <v>Desinfetante Aquafast Cha Branco Cx/06 X 2l</v>
      </c>
      <c r="H1585" s="5" cm="1">
        <f t="array" ref="H1585">INDEX('Linha 03'!$C$4:$ZZ$1000,B1585,C1585)</f>
        <v>1.38888888888889E-2</v>
      </c>
    </row>
    <row r="1586" spans="1:8" x14ac:dyDescent="0.25">
      <c r="A1586">
        <v>1584</v>
      </c>
      <c r="B1586">
        <f t="shared" si="48"/>
        <v>39</v>
      </c>
      <c r="C1586">
        <f t="shared" si="49"/>
        <v>26</v>
      </c>
      <c r="D1586" cm="1">
        <f t="array" ref="D1586">INDEX('Linha 03'!$A$4:$A$1000,B1586)</f>
        <v>20200074</v>
      </c>
      <c r="E1586" t="str" cm="1">
        <f t="array" ref="E1586">INDEX('Linha 03'!$B$4:$B$1000,B1586)</f>
        <v>Lava Roupas Aquafast Lavagem Rapida Fresh Clean Cx/12 X 1l</v>
      </c>
      <c r="F1586" cm="1">
        <f t="array" ref="F1586">INDEX('Linha 03'!$C$3:$ZZ$3,C1586)</f>
        <v>20060007</v>
      </c>
      <c r="G1586" t="str" cm="1">
        <f t="array" ref="G1586">INDEX('Linha 03'!$C$2:$ZZ$2,C1586)</f>
        <v>Limp Perf Aquafast Magia Seducao Cx/06 X 2l (Promoc)</v>
      </c>
      <c r="H1586" s="5" cm="1">
        <f t="array" ref="H1586">INDEX('Linha 03'!$C$4:$ZZ$1000,B1586,C1586)</f>
        <v>0</v>
      </c>
    </row>
    <row r="1587" spans="1:8" x14ac:dyDescent="0.25">
      <c r="A1587">
        <v>1585</v>
      </c>
      <c r="B1587">
        <f t="shared" si="48"/>
        <v>39</v>
      </c>
      <c r="C1587">
        <f t="shared" si="49"/>
        <v>27</v>
      </c>
      <c r="D1587" cm="1">
        <f t="array" ref="D1587">INDEX('Linha 03'!$A$4:$A$1000,B1587)</f>
        <v>20200074</v>
      </c>
      <c r="E1587" t="str" cm="1">
        <f t="array" ref="E1587">INDEX('Linha 03'!$B$4:$B$1000,B1587)</f>
        <v>Lava Roupas Aquafast Lavagem Rapida Fresh Clean Cx/12 X 1l</v>
      </c>
      <c r="F1587" cm="1">
        <f t="array" ref="F1587">INDEX('Linha 03'!$C$3:$ZZ$3,C1587)</f>
        <v>20060009</v>
      </c>
      <c r="G1587" t="str" cm="1">
        <f t="array" ref="G1587">INDEX('Linha 03'!$C$2:$ZZ$2,C1587)</f>
        <v>Limp Perf Aquafast Frescor Da Manha Cx/06 X 2l (Promoc)</v>
      </c>
      <c r="H1587" s="5" cm="1">
        <f t="array" ref="H1587">INDEX('Linha 03'!$C$4:$ZZ$1000,B1587,C1587)</f>
        <v>0</v>
      </c>
    </row>
    <row r="1588" spans="1:8" x14ac:dyDescent="0.25">
      <c r="A1588">
        <v>1586</v>
      </c>
      <c r="B1588">
        <f t="shared" si="48"/>
        <v>39</v>
      </c>
      <c r="C1588">
        <f t="shared" si="49"/>
        <v>28</v>
      </c>
      <c r="D1588" cm="1">
        <f t="array" ref="D1588">INDEX('Linha 03'!$A$4:$A$1000,B1588)</f>
        <v>20200074</v>
      </c>
      <c r="E1588" t="str" cm="1">
        <f t="array" ref="E1588">INDEX('Linha 03'!$B$4:$B$1000,B1588)</f>
        <v>Lava Roupas Aquafast Lavagem Rapida Fresh Clean Cx/12 X 1l</v>
      </c>
      <c r="F1588" cm="1">
        <f t="array" ref="F1588">INDEX('Linha 03'!$C$3:$ZZ$3,C1588)</f>
        <v>20060017</v>
      </c>
      <c r="G1588" t="str" cm="1">
        <f t="array" ref="G1588">INDEX('Linha 03'!$C$2:$ZZ$2,C1588)</f>
        <v>Limp Perf Aquafast Doce Romance Cx/06 X 2l (Promoc)</v>
      </c>
      <c r="H1588" s="5" cm="1">
        <f t="array" ref="H1588">INDEX('Linha 03'!$C$4:$ZZ$1000,B1588,C1588)</f>
        <v>0</v>
      </c>
    </row>
    <row r="1589" spans="1:8" x14ac:dyDescent="0.25">
      <c r="A1589">
        <v>1587</v>
      </c>
      <c r="B1589">
        <f t="shared" si="48"/>
        <v>39</v>
      </c>
      <c r="C1589">
        <f t="shared" si="49"/>
        <v>29</v>
      </c>
      <c r="D1589" cm="1">
        <f t="array" ref="D1589">INDEX('Linha 03'!$A$4:$A$1000,B1589)</f>
        <v>20200074</v>
      </c>
      <c r="E1589" t="str" cm="1">
        <f t="array" ref="E1589">INDEX('Linha 03'!$B$4:$B$1000,B1589)</f>
        <v>Lava Roupas Aquafast Lavagem Rapida Fresh Clean Cx/12 X 1l</v>
      </c>
      <c r="F1589" cm="1">
        <f t="array" ref="F1589">INDEX('Linha 03'!$C$3:$ZZ$3,C1589)</f>
        <v>20060028</v>
      </c>
      <c r="G1589" t="str" cm="1">
        <f t="array" ref="G1589">INDEX('Linha 03'!$C$2:$ZZ$2,C1589)</f>
        <v>Limp Perf Aquafast Essencia Natural Cx06 X 2l</v>
      </c>
      <c r="H1589" s="5" cm="1">
        <f t="array" ref="H1589">INDEX('Linha 03'!$C$4:$ZZ$1000,B1589,C1589)</f>
        <v>0</v>
      </c>
    </row>
    <row r="1590" spans="1:8" x14ac:dyDescent="0.25">
      <c r="A1590">
        <v>1588</v>
      </c>
      <c r="B1590">
        <f t="shared" si="48"/>
        <v>39</v>
      </c>
      <c r="C1590">
        <f t="shared" si="49"/>
        <v>30</v>
      </c>
      <c r="D1590" cm="1">
        <f t="array" ref="D1590">INDEX('Linha 03'!$A$4:$A$1000,B1590)</f>
        <v>20200074</v>
      </c>
      <c r="E1590" t="str" cm="1">
        <f t="array" ref="E1590">INDEX('Linha 03'!$B$4:$B$1000,B1590)</f>
        <v>Lava Roupas Aquafast Lavagem Rapida Fresh Clean Cx/12 X 1l</v>
      </c>
      <c r="F1590" cm="1">
        <f t="array" ref="F1590">INDEX('Linha 03'!$C$3:$ZZ$3,C1590)</f>
        <v>20200003</v>
      </c>
      <c r="G1590" t="str" cm="1">
        <f t="array" ref="G1590">INDEX('Linha 03'!$C$2:$ZZ$2,C1590)</f>
        <v>Lava Roup. Aquafast Baby Cx/12 X 1l</v>
      </c>
      <c r="H1590" s="5" cm="1">
        <f t="array" ref="H1590">INDEX('Linha 03'!$C$4:$ZZ$1000,B1590,C1590)</f>
        <v>0</v>
      </c>
    </row>
    <row r="1591" spans="1:8" x14ac:dyDescent="0.25">
      <c r="A1591">
        <v>1589</v>
      </c>
      <c r="B1591">
        <f t="shared" si="48"/>
        <v>39</v>
      </c>
      <c r="C1591">
        <f t="shared" si="49"/>
        <v>31</v>
      </c>
      <c r="D1591" cm="1">
        <f t="array" ref="D1591">INDEX('Linha 03'!$A$4:$A$1000,B1591)</f>
        <v>20200074</v>
      </c>
      <c r="E1591" t="str" cm="1">
        <f t="array" ref="E1591">INDEX('Linha 03'!$B$4:$B$1000,B1591)</f>
        <v>Lava Roupas Aquafast Lavagem Rapida Fresh Clean Cx/12 X 1l</v>
      </c>
      <c r="F1591" cm="1">
        <f t="array" ref="F1591">INDEX('Linha 03'!$C$3:$ZZ$3,C1591)</f>
        <v>20200005</v>
      </c>
      <c r="G1591" t="str" cm="1">
        <f t="array" ref="G1591">INDEX('Linha 03'!$C$2:$ZZ$2,C1591)</f>
        <v>Lava Roupas Aquafast Multi Acao Cx/06 X 2l</v>
      </c>
      <c r="H1591" s="5" cm="1">
        <f t="array" ref="H1591">INDEX('Linha 03'!$C$4:$ZZ$1000,B1591,C1591)</f>
        <v>0</v>
      </c>
    </row>
    <row r="1592" spans="1:8" x14ac:dyDescent="0.25">
      <c r="A1592">
        <v>1590</v>
      </c>
      <c r="B1592">
        <f t="shared" si="48"/>
        <v>39</v>
      </c>
      <c r="C1592">
        <f t="shared" si="49"/>
        <v>32</v>
      </c>
      <c r="D1592" cm="1">
        <f t="array" ref="D1592">INDEX('Linha 03'!$A$4:$A$1000,B1592)</f>
        <v>20200074</v>
      </c>
      <c r="E1592" t="str" cm="1">
        <f t="array" ref="E1592">INDEX('Linha 03'!$B$4:$B$1000,B1592)</f>
        <v>Lava Roupas Aquafast Lavagem Rapida Fresh Clean Cx/12 X 1l</v>
      </c>
      <c r="F1592" cm="1">
        <f t="array" ref="F1592">INDEX('Linha 03'!$C$3:$ZZ$3,C1592)</f>
        <v>20200006</v>
      </c>
      <c r="G1592" t="str" cm="1">
        <f t="array" ref="G1592">INDEX('Linha 03'!$C$2:$ZZ$2,C1592)</f>
        <v>Lava Roupas Aquafast Glicerina Cx/06 X 2l</v>
      </c>
      <c r="H1592" s="5" cm="1">
        <f t="array" ref="H1592">INDEX('Linha 03'!$C$4:$ZZ$1000,B1592,C1592)</f>
        <v>0</v>
      </c>
    </row>
    <row r="1593" spans="1:8" x14ac:dyDescent="0.25">
      <c r="A1593">
        <v>1591</v>
      </c>
      <c r="B1593">
        <f t="shared" si="48"/>
        <v>39</v>
      </c>
      <c r="C1593">
        <f t="shared" si="49"/>
        <v>33</v>
      </c>
      <c r="D1593" cm="1">
        <f t="array" ref="D1593">INDEX('Linha 03'!$A$4:$A$1000,B1593)</f>
        <v>20200074</v>
      </c>
      <c r="E1593" t="str" cm="1">
        <f t="array" ref="E1593">INDEX('Linha 03'!$B$4:$B$1000,B1593)</f>
        <v>Lava Roupas Aquafast Lavagem Rapida Fresh Clean Cx/12 X 1l</v>
      </c>
      <c r="F1593" cm="1">
        <f t="array" ref="F1593">INDEX('Linha 03'!$C$3:$ZZ$3,C1593)</f>
        <v>20200015</v>
      </c>
      <c r="G1593" t="str" cm="1">
        <f t="array" ref="G1593">INDEX('Linha 03'!$C$2:$ZZ$2,C1593)</f>
        <v>Lava Roup. Aquafast Multiacao Cx/12 X 1l</v>
      </c>
      <c r="H1593" s="5" cm="1">
        <f t="array" ref="H1593">INDEX('Linha 03'!$C$4:$ZZ$1000,B1593,C1593)</f>
        <v>0</v>
      </c>
    </row>
    <row r="1594" spans="1:8" x14ac:dyDescent="0.25">
      <c r="A1594">
        <v>1592</v>
      </c>
      <c r="B1594">
        <f t="shared" si="48"/>
        <v>39</v>
      </c>
      <c r="C1594">
        <f t="shared" si="49"/>
        <v>34</v>
      </c>
      <c r="D1594" cm="1">
        <f t="array" ref="D1594">INDEX('Linha 03'!$A$4:$A$1000,B1594)</f>
        <v>20200074</v>
      </c>
      <c r="E1594" t="str" cm="1">
        <f t="array" ref="E1594">INDEX('Linha 03'!$B$4:$B$1000,B1594)</f>
        <v>Lava Roupas Aquafast Lavagem Rapida Fresh Clean Cx/12 X 1l</v>
      </c>
      <c r="F1594" cm="1">
        <f t="array" ref="F1594">INDEX('Linha 03'!$C$3:$ZZ$3,C1594)</f>
        <v>20200036</v>
      </c>
      <c r="G1594" t="str" cm="1">
        <f t="array" ref="G1594">INDEX('Linha 03'!$C$2:$ZZ$2,C1594)</f>
        <v>Lava Roupas Aquafast Ternura Cx/06 X 2l</v>
      </c>
      <c r="H1594" s="5" cm="1">
        <f t="array" ref="H1594">INDEX('Linha 03'!$C$4:$ZZ$1000,B1594,C1594)</f>
        <v>0</v>
      </c>
    </row>
    <row r="1595" spans="1:8" x14ac:dyDescent="0.25">
      <c r="A1595">
        <v>1593</v>
      </c>
      <c r="B1595">
        <f t="shared" si="48"/>
        <v>39</v>
      </c>
      <c r="C1595">
        <f t="shared" si="49"/>
        <v>35</v>
      </c>
      <c r="D1595" cm="1">
        <f t="array" ref="D1595">INDEX('Linha 03'!$A$4:$A$1000,B1595)</f>
        <v>20200074</v>
      </c>
      <c r="E1595" t="str" cm="1">
        <f t="array" ref="E1595">INDEX('Linha 03'!$B$4:$B$1000,B1595)</f>
        <v>Lava Roupas Aquafast Lavagem Rapida Fresh Clean Cx/12 X 1l</v>
      </c>
      <c r="F1595" cm="1">
        <f t="array" ref="F1595">INDEX('Linha 03'!$C$3:$ZZ$3,C1595)</f>
        <v>20200063</v>
      </c>
      <c r="G1595" t="str" cm="1">
        <f t="array" ref="G1595">INDEX('Linha 03'!$C$2:$ZZ$2,C1595)</f>
        <v>Lava Roup. Aquafast Tradicional Cx/12 X 1l</v>
      </c>
      <c r="H1595" s="5" cm="1">
        <f t="array" ref="H1595">INDEX('Linha 03'!$C$4:$ZZ$1000,B1595,C1595)</f>
        <v>0</v>
      </c>
    </row>
    <row r="1596" spans="1:8" x14ac:dyDescent="0.25">
      <c r="A1596">
        <v>1594</v>
      </c>
      <c r="B1596">
        <f t="shared" si="48"/>
        <v>39</v>
      </c>
      <c r="C1596">
        <f t="shared" si="49"/>
        <v>36</v>
      </c>
      <c r="D1596" cm="1">
        <f t="array" ref="D1596">INDEX('Linha 03'!$A$4:$A$1000,B1596)</f>
        <v>20200074</v>
      </c>
      <c r="E1596" t="str" cm="1">
        <f t="array" ref="E1596">INDEX('Linha 03'!$B$4:$B$1000,B1596)</f>
        <v>Lava Roupas Aquafast Lavagem Rapida Fresh Clean Cx/12 X 1l</v>
      </c>
      <c r="F1596" cm="1">
        <f t="array" ref="F1596">INDEX('Linha 03'!$C$3:$ZZ$3,C1596)</f>
        <v>20200064</v>
      </c>
      <c r="G1596" t="str" cm="1">
        <f t="array" ref="G1596">INDEX('Linha 03'!$C$2:$ZZ$2,C1596)</f>
        <v>Lava Roup. Aquafast Flores B. E Baunilha Cx/12 X 1l</v>
      </c>
      <c r="H1596" s="5" cm="1">
        <f t="array" ref="H1596">INDEX('Linha 03'!$C$4:$ZZ$1000,B1596,C1596)</f>
        <v>0</v>
      </c>
    </row>
    <row r="1597" spans="1:8" x14ac:dyDescent="0.25">
      <c r="A1597">
        <v>1595</v>
      </c>
      <c r="B1597">
        <f t="shared" si="48"/>
        <v>39</v>
      </c>
      <c r="C1597">
        <f t="shared" si="49"/>
        <v>37</v>
      </c>
      <c r="D1597" cm="1">
        <f t="array" ref="D1597">INDEX('Linha 03'!$A$4:$A$1000,B1597)</f>
        <v>20200074</v>
      </c>
      <c r="E1597" t="str" cm="1">
        <f t="array" ref="E1597">INDEX('Linha 03'!$B$4:$B$1000,B1597)</f>
        <v>Lava Roupas Aquafast Lavagem Rapida Fresh Clean Cx/12 X 1l</v>
      </c>
      <c r="F1597" cm="1">
        <f t="array" ref="F1597">INDEX('Linha 03'!$C$3:$ZZ$3,C1597)</f>
        <v>20200065</v>
      </c>
      <c r="G1597" t="str" cm="1">
        <f t="array" ref="G1597">INDEX('Linha 03'!$C$2:$ZZ$2,C1597)</f>
        <v>Lava Roupas Aquafast Flores B. E Baunilha Cx/06 X 2l</v>
      </c>
      <c r="H1597" s="5" cm="1">
        <f t="array" ref="H1597">INDEX('Linha 03'!$C$4:$ZZ$1000,B1597,C1597)</f>
        <v>0</v>
      </c>
    </row>
    <row r="1598" spans="1:8" x14ac:dyDescent="0.25">
      <c r="A1598">
        <v>1596</v>
      </c>
      <c r="B1598">
        <f t="shared" si="48"/>
        <v>39</v>
      </c>
      <c r="C1598">
        <f t="shared" si="49"/>
        <v>38</v>
      </c>
      <c r="D1598" cm="1">
        <f t="array" ref="D1598">INDEX('Linha 03'!$A$4:$A$1000,B1598)</f>
        <v>20200074</v>
      </c>
      <c r="E1598" t="str" cm="1">
        <f t="array" ref="E1598">INDEX('Linha 03'!$B$4:$B$1000,B1598)</f>
        <v>Lava Roupas Aquafast Lavagem Rapida Fresh Clean Cx/12 X 1l</v>
      </c>
      <c r="F1598" cm="1">
        <f t="array" ref="F1598">INDEX('Linha 03'!$C$3:$ZZ$3,C1598)</f>
        <v>20200072</v>
      </c>
      <c r="G1598" t="str" cm="1">
        <f t="array" ref="G1598">INDEX('Linha 03'!$C$2:$ZZ$2,C1598)</f>
        <v>Lava Roupas Aquafast Lavagem Rapida Total Clean Cx/12 X 1l</v>
      </c>
      <c r="H1598" s="5" cm="1">
        <f t="array" ref="H1598">INDEX('Linha 03'!$C$4:$ZZ$1000,B1598,C1598)</f>
        <v>0</v>
      </c>
    </row>
    <row r="1599" spans="1:8" x14ac:dyDescent="0.25">
      <c r="A1599">
        <v>1597</v>
      </c>
      <c r="B1599">
        <f t="shared" si="48"/>
        <v>39</v>
      </c>
      <c r="C1599">
        <f t="shared" si="49"/>
        <v>39</v>
      </c>
      <c r="D1599" cm="1">
        <f t="array" ref="D1599">INDEX('Linha 03'!$A$4:$A$1000,B1599)</f>
        <v>20200074</v>
      </c>
      <c r="E1599" t="str" cm="1">
        <f t="array" ref="E1599">INDEX('Linha 03'!$B$4:$B$1000,B1599)</f>
        <v>Lava Roupas Aquafast Lavagem Rapida Fresh Clean Cx/12 X 1l</v>
      </c>
      <c r="F1599" cm="1">
        <f t="array" ref="F1599">INDEX('Linha 03'!$C$3:$ZZ$3,C1599)</f>
        <v>20200074</v>
      </c>
      <c r="G1599" t="str" cm="1">
        <f t="array" ref="G1599">INDEX('Linha 03'!$C$2:$ZZ$2,C1599)</f>
        <v>Lava Roupas Aquafast Lavagem Rapida Fresh Clean Cx/12 X 1l</v>
      </c>
      <c r="H1599" s="5" cm="1">
        <f t="array" ref="H1599">INDEX('Linha 03'!$C$4:$ZZ$1000,B1599,C1599)</f>
        <v>0</v>
      </c>
    </row>
    <row r="1600" spans="1:8" x14ac:dyDescent="0.25">
      <c r="A1600">
        <v>1598</v>
      </c>
      <c r="B1600">
        <f t="shared" si="48"/>
        <v>39</v>
      </c>
      <c r="C1600">
        <f t="shared" si="49"/>
        <v>40</v>
      </c>
      <c r="D1600" cm="1">
        <f t="array" ref="D1600">INDEX('Linha 03'!$A$4:$A$1000,B1600)</f>
        <v>20200074</v>
      </c>
      <c r="E1600" t="str" cm="1">
        <f t="array" ref="E1600">INDEX('Linha 03'!$B$4:$B$1000,B1600)</f>
        <v>Lava Roupas Aquafast Lavagem Rapida Fresh Clean Cx/12 X 1l</v>
      </c>
      <c r="F1600" cm="1">
        <f t="array" ref="F1600">INDEX('Linha 03'!$C$3:$ZZ$3,C1600)</f>
        <v>20250005</v>
      </c>
      <c r="G1600" t="str" cm="1">
        <f t="array" ref="G1600">INDEX('Linha 03'!$C$2:$ZZ$2,C1600)</f>
        <v>Neutralizador De Odores Aquafast Floral Cx/06 X 2l</v>
      </c>
      <c r="H1600" s="5" cm="1">
        <f t="array" ref="H1600">INDEX('Linha 03'!$C$4:$ZZ$1000,B1600,C1600)</f>
        <v>0</v>
      </c>
    </row>
    <row r="1601" spans="1:8" x14ac:dyDescent="0.25">
      <c r="A1601">
        <v>1599</v>
      </c>
      <c r="B1601">
        <f t="shared" si="48"/>
        <v>39</v>
      </c>
      <c r="C1601">
        <f t="shared" si="49"/>
        <v>41</v>
      </c>
      <c r="D1601" cm="1">
        <f t="array" ref="D1601">INDEX('Linha 03'!$A$4:$A$1000,B1601)</f>
        <v>20200074</v>
      </c>
      <c r="E1601" t="str" cm="1">
        <f t="array" ref="E1601">INDEX('Linha 03'!$B$4:$B$1000,B1601)</f>
        <v>Lava Roupas Aquafast Lavagem Rapida Fresh Clean Cx/12 X 1l</v>
      </c>
      <c r="F1601" cm="1">
        <f t="array" ref="F1601">INDEX('Linha 03'!$C$3:$ZZ$3,C1601)</f>
        <v>20250007</v>
      </c>
      <c r="G1601" t="str" cm="1">
        <f t="array" ref="G1601">INDEX('Linha 03'!$C$2:$ZZ$2,C1601)</f>
        <v>Neutralizador De Odores Aquafast Marine Cx/06 2l</v>
      </c>
      <c r="H1601" s="5" cm="1">
        <f t="array" ref="H1601">INDEX('Linha 03'!$C$4:$ZZ$1000,B1601,C1601)</f>
        <v>0</v>
      </c>
    </row>
    <row r="1602" spans="1:8" x14ac:dyDescent="0.25">
      <c r="A1602">
        <v>1600</v>
      </c>
      <c r="B1602">
        <f t="shared" si="48"/>
        <v>40</v>
      </c>
      <c r="C1602">
        <f t="shared" si="49"/>
        <v>1</v>
      </c>
      <c r="D1602" cm="1">
        <f t="array" ref="D1602">INDEX('Linha 03'!$A$4:$A$1000,B1602)</f>
        <v>20250005</v>
      </c>
      <c r="E1602" t="str" cm="1">
        <f t="array" ref="E1602">INDEX('Linha 03'!$B$4:$B$1000,B1602)</f>
        <v>Neutralizador De Odores Aquafast Floral Cx/06 X 2l</v>
      </c>
      <c r="F1602" cm="1">
        <f t="array" ref="F1602">INDEX('Linha 03'!$C$3:$ZZ$3,C1602)</f>
        <v>20040006</v>
      </c>
      <c r="G1602" t="str" cm="1">
        <f t="array" ref="G1602">INDEX('Linha 03'!$C$2:$ZZ$2,C1602)</f>
        <v>Amaciante Aquafast Azul Fresc. Manha Cx/06 X 2l</v>
      </c>
      <c r="H1602" s="5" cm="1">
        <f t="array" ref="H1602">INDEX('Linha 03'!$C$4:$ZZ$1000,B1602,C1602)</f>
        <v>0</v>
      </c>
    </row>
    <row r="1603" spans="1:8" x14ac:dyDescent="0.25">
      <c r="A1603">
        <v>1601</v>
      </c>
      <c r="B1603">
        <f t="shared" si="48"/>
        <v>40</v>
      </c>
      <c r="C1603">
        <f t="shared" si="49"/>
        <v>2</v>
      </c>
      <c r="D1603" cm="1">
        <f t="array" ref="D1603">INDEX('Linha 03'!$A$4:$A$1000,B1603)</f>
        <v>20250005</v>
      </c>
      <c r="E1603" t="str" cm="1">
        <f t="array" ref="E1603">INDEX('Linha 03'!$B$4:$B$1000,B1603)</f>
        <v>Neutralizador De Odores Aquafast Floral Cx/06 X 2l</v>
      </c>
      <c r="F1603" cm="1">
        <f t="array" ref="F1603">INDEX('Linha 03'!$C$3:$ZZ$3,C1603)</f>
        <v>20040008</v>
      </c>
      <c r="G1603" t="str" cm="1">
        <f t="array" ref="G1603">INDEX('Linha 03'!$C$2:$ZZ$2,C1603)</f>
        <v>Amaciante Aquafast Rosa Jard. Florid Cx/06 X 2l</v>
      </c>
      <c r="H1603" s="5" cm="1">
        <f t="array" ref="H1603">INDEX('Linha 03'!$C$4:$ZZ$1000,B1603,C1603)</f>
        <v>0</v>
      </c>
    </row>
    <row r="1604" spans="1:8" x14ac:dyDescent="0.25">
      <c r="A1604">
        <v>1602</v>
      </c>
      <c r="B1604">
        <f t="shared" ref="B1604:B1667" si="50">INT((A1604-1)/$B$1)+1</f>
        <v>40</v>
      </c>
      <c r="C1604">
        <f t="shared" ref="C1604:C1667" si="51">MOD(A1604-1,$B$1)+1</f>
        <v>3</v>
      </c>
      <c r="D1604" cm="1">
        <f t="array" ref="D1604">INDEX('Linha 03'!$A$4:$A$1000,B1604)</f>
        <v>20250005</v>
      </c>
      <c r="E1604" t="str" cm="1">
        <f t="array" ref="E1604">INDEX('Linha 03'!$B$4:$B$1000,B1604)</f>
        <v>Neutralizador De Odores Aquafast Floral Cx/06 X 2l</v>
      </c>
      <c r="F1604" cm="1">
        <f t="array" ref="F1604">INDEX('Linha 03'!$C$3:$ZZ$3,C1604)</f>
        <v>20040009</v>
      </c>
      <c r="G1604" t="str" cm="1">
        <f t="array" ref="G1604">INDEX('Linha 03'!$C$2:$ZZ$2,C1604)</f>
        <v>Amaciante Aquafast Branco Pura Caric. Cx/06 X 2l</v>
      </c>
      <c r="H1604" s="5" cm="1">
        <f t="array" ref="H1604">INDEX('Linha 03'!$C$4:$ZZ$1000,B1604,C1604)</f>
        <v>0</v>
      </c>
    </row>
    <row r="1605" spans="1:8" x14ac:dyDescent="0.25">
      <c r="A1605">
        <v>1603</v>
      </c>
      <c r="B1605">
        <f t="shared" si="50"/>
        <v>40</v>
      </c>
      <c r="C1605">
        <f t="shared" si="51"/>
        <v>4</v>
      </c>
      <c r="D1605" cm="1">
        <f t="array" ref="D1605">INDEX('Linha 03'!$A$4:$A$1000,B1605)</f>
        <v>20250005</v>
      </c>
      <c r="E1605" t="str" cm="1">
        <f t="array" ref="E1605">INDEX('Linha 03'!$B$4:$B$1000,B1605)</f>
        <v>Neutralizador De Odores Aquafast Floral Cx/06 X 2l</v>
      </c>
      <c r="F1605" cm="1">
        <f t="array" ref="F1605">INDEX('Linha 03'!$C$3:$ZZ$3,C1605)</f>
        <v>20040026</v>
      </c>
      <c r="G1605" t="str" cm="1">
        <f t="array" ref="G1605">INDEX('Linha 03'!$C$2:$ZZ$2,C1605)</f>
        <v>Amaciante Ito Azul Cx/06 X 2l</v>
      </c>
      <c r="H1605" s="5" cm="1">
        <f t="array" ref="H1605">INDEX('Linha 03'!$C$4:$ZZ$1000,B1605,C1605)</f>
        <v>0</v>
      </c>
    </row>
    <row r="1606" spans="1:8" x14ac:dyDescent="0.25">
      <c r="A1606">
        <v>1604</v>
      </c>
      <c r="B1606">
        <f t="shared" si="50"/>
        <v>40</v>
      </c>
      <c r="C1606">
        <f t="shared" si="51"/>
        <v>5</v>
      </c>
      <c r="D1606" cm="1">
        <f t="array" ref="D1606">INDEX('Linha 03'!$A$4:$A$1000,B1606)</f>
        <v>20250005</v>
      </c>
      <c r="E1606" t="str" cm="1">
        <f t="array" ref="E1606">INDEX('Linha 03'!$B$4:$B$1000,B1606)</f>
        <v>Neutralizador De Odores Aquafast Floral Cx/06 X 2l</v>
      </c>
      <c r="F1606" cm="1">
        <f t="array" ref="F1606">INDEX('Linha 03'!$C$3:$ZZ$3,C1606)</f>
        <v>20040028</v>
      </c>
      <c r="G1606" t="str" cm="1">
        <f t="array" ref="G1606">INDEX('Linha 03'!$C$2:$ZZ$2,C1606)</f>
        <v>Amaciante Ito Rosa Cx/06 X 2l</v>
      </c>
      <c r="H1606" s="5" cm="1">
        <f t="array" ref="H1606">INDEX('Linha 03'!$C$4:$ZZ$1000,B1606,C1606)</f>
        <v>0</v>
      </c>
    </row>
    <row r="1607" spans="1:8" x14ac:dyDescent="0.25">
      <c r="A1607">
        <v>1605</v>
      </c>
      <c r="B1607">
        <f t="shared" si="50"/>
        <v>40</v>
      </c>
      <c r="C1607">
        <f t="shared" si="51"/>
        <v>6</v>
      </c>
      <c r="D1607" cm="1">
        <f t="array" ref="D1607">INDEX('Linha 03'!$A$4:$A$1000,B1607)</f>
        <v>20250005</v>
      </c>
      <c r="E1607" t="str" cm="1">
        <f t="array" ref="E1607">INDEX('Linha 03'!$B$4:$B$1000,B1607)</f>
        <v>Neutralizador De Odores Aquafast Floral Cx/06 X 2l</v>
      </c>
      <c r="F1607" cm="1">
        <f t="array" ref="F1607">INDEX('Linha 03'!$C$3:$ZZ$3,C1607)</f>
        <v>20040029</v>
      </c>
      <c r="G1607" t="str" cm="1">
        <f t="array" ref="G1607">INDEX('Linha 03'!$C$2:$ZZ$2,C1607)</f>
        <v>Amaciante Ito Branco Cx/06 X 2l</v>
      </c>
      <c r="H1607" s="5" cm="1">
        <f t="array" ref="H1607">INDEX('Linha 03'!$C$4:$ZZ$1000,B1607,C1607)</f>
        <v>0</v>
      </c>
    </row>
    <row r="1608" spans="1:8" x14ac:dyDescent="0.25">
      <c r="A1608">
        <v>1606</v>
      </c>
      <c r="B1608">
        <f t="shared" si="50"/>
        <v>40</v>
      </c>
      <c r="C1608">
        <f t="shared" si="51"/>
        <v>7</v>
      </c>
      <c r="D1608" cm="1">
        <f t="array" ref="D1608">INDEX('Linha 03'!$A$4:$A$1000,B1608)</f>
        <v>20250005</v>
      </c>
      <c r="E1608" t="str" cm="1">
        <f t="array" ref="E1608">INDEX('Linha 03'!$B$4:$B$1000,B1608)</f>
        <v>Neutralizador De Odores Aquafast Floral Cx/06 X 2l</v>
      </c>
      <c r="F1608" cm="1">
        <f t="array" ref="F1608">INDEX('Linha 03'!$C$3:$ZZ$3,C1608)</f>
        <v>20040055</v>
      </c>
      <c r="G1608" t="str" cm="1">
        <f t="array" ref="G1608">INDEX('Linha 03'!$C$2:$ZZ$2,C1608)</f>
        <v>Amaciante Myata Azul Cx/06 X 2l</v>
      </c>
      <c r="H1608" s="5" cm="1">
        <f t="array" ref="H1608">INDEX('Linha 03'!$C$4:$ZZ$1000,B1608,C1608)</f>
        <v>0</v>
      </c>
    </row>
    <row r="1609" spans="1:8" x14ac:dyDescent="0.25">
      <c r="A1609">
        <v>1607</v>
      </c>
      <c r="B1609">
        <f t="shared" si="50"/>
        <v>40</v>
      </c>
      <c r="C1609">
        <f t="shared" si="51"/>
        <v>8</v>
      </c>
      <c r="D1609" cm="1">
        <f t="array" ref="D1609">INDEX('Linha 03'!$A$4:$A$1000,B1609)</f>
        <v>20250005</v>
      </c>
      <c r="E1609" t="str" cm="1">
        <f t="array" ref="E1609">INDEX('Linha 03'!$B$4:$B$1000,B1609)</f>
        <v>Neutralizador De Odores Aquafast Floral Cx/06 X 2l</v>
      </c>
      <c r="F1609" cm="1">
        <f t="array" ref="F1609">INDEX('Linha 03'!$C$3:$ZZ$3,C1609)</f>
        <v>20040057</v>
      </c>
      <c r="G1609" t="str" cm="1">
        <f t="array" ref="G1609">INDEX('Linha 03'!$C$2:$ZZ$2,C1609)</f>
        <v>Amaciante Myata Rosa Cx/06 X 2l</v>
      </c>
      <c r="H1609" s="5" cm="1">
        <f t="array" ref="H1609">INDEX('Linha 03'!$C$4:$ZZ$1000,B1609,C1609)</f>
        <v>0</v>
      </c>
    </row>
    <row r="1610" spans="1:8" x14ac:dyDescent="0.25">
      <c r="A1610">
        <v>1608</v>
      </c>
      <c r="B1610">
        <f t="shared" si="50"/>
        <v>40</v>
      </c>
      <c r="C1610">
        <f t="shared" si="51"/>
        <v>9</v>
      </c>
      <c r="D1610" cm="1">
        <f t="array" ref="D1610">INDEX('Linha 03'!$A$4:$A$1000,B1610)</f>
        <v>20250005</v>
      </c>
      <c r="E1610" t="str" cm="1">
        <f t="array" ref="E1610">INDEX('Linha 03'!$B$4:$B$1000,B1610)</f>
        <v>Neutralizador De Odores Aquafast Floral Cx/06 X 2l</v>
      </c>
      <c r="F1610" cm="1">
        <f t="array" ref="F1610">INDEX('Linha 03'!$C$3:$ZZ$3,C1610)</f>
        <v>20040084</v>
      </c>
      <c r="G1610" t="str" cm="1">
        <f t="array" ref="G1610">INDEX('Linha 03'!$C$2:$ZZ$2,C1610)</f>
        <v>Amaciante Aquafast Vermelho Seducao Cx C/06 X 2l</v>
      </c>
      <c r="H1610" s="5" cm="1">
        <f t="array" ref="H1610">INDEX('Linha 03'!$C$4:$ZZ$1000,B1610,C1610)</f>
        <v>0</v>
      </c>
    </row>
    <row r="1611" spans="1:8" x14ac:dyDescent="0.25">
      <c r="A1611">
        <v>1609</v>
      </c>
      <c r="B1611">
        <f t="shared" si="50"/>
        <v>40</v>
      </c>
      <c r="C1611">
        <f t="shared" si="51"/>
        <v>10</v>
      </c>
      <c r="D1611" cm="1">
        <f t="array" ref="D1611">INDEX('Linha 03'!$A$4:$A$1000,B1611)</f>
        <v>20250005</v>
      </c>
      <c r="E1611" t="str" cm="1">
        <f t="array" ref="E1611">INDEX('Linha 03'!$B$4:$B$1000,B1611)</f>
        <v>Neutralizador De Odores Aquafast Floral Cx/06 X 2l</v>
      </c>
      <c r="F1611" cm="1">
        <f t="array" ref="F1611">INDEX('Linha 03'!$C$3:$ZZ$3,C1611)</f>
        <v>20040089</v>
      </c>
      <c r="G1611" t="str" cm="1">
        <f t="array" ref="G1611">INDEX('Linha 03'!$C$2:$ZZ$2,C1611)</f>
        <v>Amaciante Aquafast Roxo Magia Cx/06 X 2l</v>
      </c>
      <c r="H1611" s="5" cm="1">
        <f t="array" ref="H1611">INDEX('Linha 03'!$C$4:$ZZ$1000,B1611,C1611)</f>
        <v>0</v>
      </c>
    </row>
    <row r="1612" spans="1:8" x14ac:dyDescent="0.25">
      <c r="A1612">
        <v>1610</v>
      </c>
      <c r="B1612">
        <f t="shared" si="50"/>
        <v>40</v>
      </c>
      <c r="C1612">
        <f t="shared" si="51"/>
        <v>11</v>
      </c>
      <c r="D1612" cm="1">
        <f t="array" ref="D1612">INDEX('Linha 03'!$A$4:$A$1000,B1612)</f>
        <v>20250005</v>
      </c>
      <c r="E1612" t="str" cm="1">
        <f t="array" ref="E1612">INDEX('Linha 03'!$B$4:$B$1000,B1612)</f>
        <v>Neutralizador De Odores Aquafast Floral Cx/06 X 2l</v>
      </c>
      <c r="F1612" cm="1">
        <f t="array" ref="F1612">INDEX('Linha 03'!$C$3:$ZZ$3,C1612)</f>
        <v>20040094</v>
      </c>
      <c r="G1612" t="str" cm="1">
        <f t="array" ref="G1612">INDEX('Linha 03'!$C$2:$ZZ$2,C1612)</f>
        <v>Amaciante Aquafast Energia Cx/06 X 2l</v>
      </c>
      <c r="H1612" s="5" cm="1">
        <f t="array" ref="H1612">INDEX('Linha 03'!$C$4:$ZZ$1000,B1612,C1612)</f>
        <v>0</v>
      </c>
    </row>
    <row r="1613" spans="1:8" x14ac:dyDescent="0.25">
      <c r="A1613">
        <v>1611</v>
      </c>
      <c r="B1613">
        <f t="shared" si="50"/>
        <v>40</v>
      </c>
      <c r="C1613">
        <f t="shared" si="51"/>
        <v>12</v>
      </c>
      <c r="D1613" cm="1">
        <f t="array" ref="D1613">INDEX('Linha 03'!$A$4:$A$1000,B1613)</f>
        <v>20250005</v>
      </c>
      <c r="E1613" t="str" cm="1">
        <f t="array" ref="E1613">INDEX('Linha 03'!$B$4:$B$1000,B1613)</f>
        <v>Neutralizador De Odores Aquafast Floral Cx/06 X 2l</v>
      </c>
      <c r="F1613" cm="1">
        <f t="array" ref="F1613">INDEX('Linha 03'!$C$3:$ZZ$3,C1613)</f>
        <v>20050010</v>
      </c>
      <c r="G1613" t="str" cm="1">
        <f t="array" ref="G1613">INDEX('Linha 03'!$C$2:$ZZ$2,C1613)</f>
        <v>Desinfetante Aquafast Campos Lavanda Cx/06 X 2l</v>
      </c>
      <c r="H1613" s="5" cm="1">
        <f t="array" ref="H1613">INDEX('Linha 03'!$C$4:$ZZ$1000,B1613,C1613)</f>
        <v>0</v>
      </c>
    </row>
    <row r="1614" spans="1:8" x14ac:dyDescent="0.25">
      <c r="A1614">
        <v>1612</v>
      </c>
      <c r="B1614">
        <f t="shared" si="50"/>
        <v>40</v>
      </c>
      <c r="C1614">
        <f t="shared" si="51"/>
        <v>13</v>
      </c>
      <c r="D1614" cm="1">
        <f t="array" ref="D1614">INDEX('Linha 03'!$A$4:$A$1000,B1614)</f>
        <v>20250005</v>
      </c>
      <c r="E1614" t="str" cm="1">
        <f t="array" ref="E1614">INDEX('Linha 03'!$B$4:$B$1000,B1614)</f>
        <v>Neutralizador De Odores Aquafast Floral Cx/06 X 2l</v>
      </c>
      <c r="F1614" cm="1">
        <f t="array" ref="F1614">INDEX('Linha 03'!$C$3:$ZZ$3,C1614)</f>
        <v>20050011</v>
      </c>
      <c r="G1614" t="str" cm="1">
        <f t="array" ref="G1614">INDEX('Linha 03'!$C$2:$ZZ$2,C1614)</f>
        <v>Desinfetante Aquafast Jardim Florido Cx/06 X 2l</v>
      </c>
      <c r="H1614" s="5" cm="1">
        <f t="array" ref="H1614">INDEX('Linha 03'!$C$4:$ZZ$1000,B1614,C1614)</f>
        <v>0</v>
      </c>
    </row>
    <row r="1615" spans="1:8" x14ac:dyDescent="0.25">
      <c r="A1615">
        <v>1613</v>
      </c>
      <c r="B1615">
        <f t="shared" si="50"/>
        <v>40</v>
      </c>
      <c r="C1615">
        <f t="shared" si="51"/>
        <v>14</v>
      </c>
      <c r="D1615" cm="1">
        <f t="array" ref="D1615">INDEX('Linha 03'!$A$4:$A$1000,B1615)</f>
        <v>20250005</v>
      </c>
      <c r="E1615" t="str" cm="1">
        <f t="array" ref="E1615">INDEX('Linha 03'!$B$4:$B$1000,B1615)</f>
        <v>Neutralizador De Odores Aquafast Floral Cx/06 X 2l</v>
      </c>
      <c r="F1615" cm="1">
        <f t="array" ref="F1615">INDEX('Linha 03'!$C$3:$ZZ$3,C1615)</f>
        <v>20050016</v>
      </c>
      <c r="G1615" t="str" cm="1">
        <f t="array" ref="G1615">INDEX('Linha 03'!$C$2:$ZZ$2,C1615)</f>
        <v>Desinfetante Aquafast Marine Cx/06 X 2l</v>
      </c>
      <c r="H1615" s="5" cm="1">
        <f t="array" ref="H1615">INDEX('Linha 03'!$C$4:$ZZ$1000,B1615,C1615)</f>
        <v>0</v>
      </c>
    </row>
    <row r="1616" spans="1:8" x14ac:dyDescent="0.25">
      <c r="A1616">
        <v>1614</v>
      </c>
      <c r="B1616">
        <f t="shared" si="50"/>
        <v>40</v>
      </c>
      <c r="C1616">
        <f t="shared" si="51"/>
        <v>15</v>
      </c>
      <c r="D1616" cm="1">
        <f t="array" ref="D1616">INDEX('Linha 03'!$A$4:$A$1000,B1616)</f>
        <v>20250005</v>
      </c>
      <c r="E1616" t="str" cm="1">
        <f t="array" ref="E1616">INDEX('Linha 03'!$B$4:$B$1000,B1616)</f>
        <v>Neutralizador De Odores Aquafast Floral Cx/06 X 2l</v>
      </c>
      <c r="F1616" cm="1">
        <f t="array" ref="F1616">INDEX('Linha 03'!$C$3:$ZZ$3,C1616)</f>
        <v>20050031</v>
      </c>
      <c r="G1616" t="str" cm="1">
        <f t="array" ref="G1616">INDEX('Linha 03'!$C$2:$ZZ$2,C1616)</f>
        <v>Desinfetante Ito Lavanda Cx/06 X 2l</v>
      </c>
      <c r="H1616" s="5" cm="1">
        <f t="array" ref="H1616">INDEX('Linha 03'!$C$4:$ZZ$1000,B1616,C1616)</f>
        <v>0</v>
      </c>
    </row>
    <row r="1617" spans="1:8" x14ac:dyDescent="0.25">
      <c r="A1617">
        <v>1615</v>
      </c>
      <c r="B1617">
        <f t="shared" si="50"/>
        <v>40</v>
      </c>
      <c r="C1617">
        <f t="shared" si="51"/>
        <v>16</v>
      </c>
      <c r="D1617" cm="1">
        <f t="array" ref="D1617">INDEX('Linha 03'!$A$4:$A$1000,B1617)</f>
        <v>20250005</v>
      </c>
      <c r="E1617" t="str" cm="1">
        <f t="array" ref="E1617">INDEX('Linha 03'!$B$4:$B$1000,B1617)</f>
        <v>Neutralizador De Odores Aquafast Floral Cx/06 X 2l</v>
      </c>
      <c r="F1617" cm="1">
        <f t="array" ref="F1617">INDEX('Linha 03'!$C$3:$ZZ$3,C1617)</f>
        <v>20050032</v>
      </c>
      <c r="G1617" t="str" cm="1">
        <f t="array" ref="G1617">INDEX('Linha 03'!$C$2:$ZZ$2,C1617)</f>
        <v>Desinfetante Ito Floral Cx/06 X 2l</v>
      </c>
      <c r="H1617" s="5" cm="1">
        <f t="array" ref="H1617">INDEX('Linha 03'!$C$4:$ZZ$1000,B1617,C1617)</f>
        <v>0</v>
      </c>
    </row>
    <row r="1618" spans="1:8" x14ac:dyDescent="0.25">
      <c r="A1618">
        <v>1616</v>
      </c>
      <c r="B1618">
        <f t="shared" si="50"/>
        <v>40</v>
      </c>
      <c r="C1618">
        <f t="shared" si="51"/>
        <v>17</v>
      </c>
      <c r="D1618" cm="1">
        <f t="array" ref="D1618">INDEX('Linha 03'!$A$4:$A$1000,B1618)</f>
        <v>20250005</v>
      </c>
      <c r="E1618" t="str" cm="1">
        <f t="array" ref="E1618">INDEX('Linha 03'!$B$4:$B$1000,B1618)</f>
        <v>Neutralizador De Odores Aquafast Floral Cx/06 X 2l</v>
      </c>
      <c r="F1618" cm="1">
        <f t="array" ref="F1618">INDEX('Linha 03'!$C$3:$ZZ$3,C1618)</f>
        <v>20050034</v>
      </c>
      <c r="G1618" t="str" cm="1">
        <f t="array" ref="G1618">INDEX('Linha 03'!$C$2:$ZZ$2,C1618)</f>
        <v>Desinfetante Ito Eucalipto Cx/06 X 2l</v>
      </c>
      <c r="H1618" s="5" cm="1">
        <f t="array" ref="H1618">INDEX('Linha 03'!$C$4:$ZZ$1000,B1618,C1618)</f>
        <v>0</v>
      </c>
    </row>
    <row r="1619" spans="1:8" x14ac:dyDescent="0.25">
      <c r="A1619">
        <v>1617</v>
      </c>
      <c r="B1619">
        <f t="shared" si="50"/>
        <v>40</v>
      </c>
      <c r="C1619">
        <f t="shared" si="51"/>
        <v>18</v>
      </c>
      <c r="D1619" cm="1">
        <f t="array" ref="D1619">INDEX('Linha 03'!$A$4:$A$1000,B1619)</f>
        <v>20250005</v>
      </c>
      <c r="E1619" t="str" cm="1">
        <f t="array" ref="E1619">INDEX('Linha 03'!$B$4:$B$1000,B1619)</f>
        <v>Neutralizador De Odores Aquafast Floral Cx/06 X 2l</v>
      </c>
      <c r="F1619" cm="1">
        <f t="array" ref="F1619">INDEX('Linha 03'!$C$3:$ZZ$3,C1619)</f>
        <v>20050077</v>
      </c>
      <c r="G1619" t="str" cm="1">
        <f t="array" ref="G1619">INDEX('Linha 03'!$C$2:$ZZ$2,C1619)</f>
        <v>Desinfetante Myata Lavanda Cx/06 X 2l</v>
      </c>
      <c r="H1619" s="5" cm="1">
        <f t="array" ref="H1619">INDEX('Linha 03'!$C$4:$ZZ$1000,B1619,C1619)</f>
        <v>0</v>
      </c>
    </row>
    <row r="1620" spans="1:8" x14ac:dyDescent="0.25">
      <c r="A1620">
        <v>1618</v>
      </c>
      <c r="B1620">
        <f t="shared" si="50"/>
        <v>40</v>
      </c>
      <c r="C1620">
        <f t="shared" si="51"/>
        <v>19</v>
      </c>
      <c r="D1620" cm="1">
        <f t="array" ref="D1620">INDEX('Linha 03'!$A$4:$A$1000,B1620)</f>
        <v>20250005</v>
      </c>
      <c r="E1620" t="str" cm="1">
        <f t="array" ref="E1620">INDEX('Linha 03'!$B$4:$B$1000,B1620)</f>
        <v>Neutralizador De Odores Aquafast Floral Cx/06 X 2l</v>
      </c>
      <c r="F1620" cm="1">
        <f t="array" ref="F1620">INDEX('Linha 03'!$C$3:$ZZ$3,C1620)</f>
        <v>20050078</v>
      </c>
      <c r="G1620" t="str" cm="1">
        <f t="array" ref="G1620">INDEX('Linha 03'!$C$2:$ZZ$2,C1620)</f>
        <v>Desinfetante Myata Floral Cx/06 X 2l</v>
      </c>
      <c r="H1620" s="5" cm="1">
        <f t="array" ref="H1620">INDEX('Linha 03'!$C$4:$ZZ$1000,B1620,C1620)</f>
        <v>0</v>
      </c>
    </row>
    <row r="1621" spans="1:8" x14ac:dyDescent="0.25">
      <c r="A1621">
        <v>1619</v>
      </c>
      <c r="B1621">
        <f t="shared" si="50"/>
        <v>40</v>
      </c>
      <c r="C1621">
        <f t="shared" si="51"/>
        <v>20</v>
      </c>
      <c r="D1621" cm="1">
        <f t="array" ref="D1621">INDEX('Linha 03'!$A$4:$A$1000,B1621)</f>
        <v>20250005</v>
      </c>
      <c r="E1621" t="str" cm="1">
        <f t="array" ref="E1621">INDEX('Linha 03'!$B$4:$B$1000,B1621)</f>
        <v>Neutralizador De Odores Aquafast Floral Cx/06 X 2l</v>
      </c>
      <c r="F1621" cm="1">
        <f t="array" ref="F1621">INDEX('Linha 03'!$C$3:$ZZ$3,C1621)</f>
        <v>20050115</v>
      </c>
      <c r="G1621" t="str" cm="1">
        <f t="array" ref="G1621">INDEX('Linha 03'!$C$2:$ZZ$2,C1621)</f>
        <v>Desinfetante Aquafast Paixao Cx/06 X 2l</v>
      </c>
      <c r="H1621" s="5" cm="1">
        <f t="array" ref="H1621">INDEX('Linha 03'!$C$4:$ZZ$1000,B1621,C1621)</f>
        <v>0</v>
      </c>
    </row>
    <row r="1622" spans="1:8" x14ac:dyDescent="0.25">
      <c r="A1622">
        <v>1620</v>
      </c>
      <c r="B1622">
        <f t="shared" si="50"/>
        <v>40</v>
      </c>
      <c r="C1622">
        <f t="shared" si="51"/>
        <v>21</v>
      </c>
      <c r="D1622" cm="1">
        <f t="array" ref="D1622">INDEX('Linha 03'!$A$4:$A$1000,B1622)</f>
        <v>20250005</v>
      </c>
      <c r="E1622" t="str" cm="1">
        <f t="array" ref="E1622">INDEX('Linha 03'!$B$4:$B$1000,B1622)</f>
        <v>Neutralizador De Odores Aquafast Floral Cx/06 X 2l</v>
      </c>
      <c r="F1622" cm="1">
        <f t="array" ref="F1622">INDEX('Linha 03'!$C$3:$ZZ$3,C1622)</f>
        <v>20050117</v>
      </c>
      <c r="G1622" t="str" cm="1">
        <f t="array" ref="G1622">INDEX('Linha 03'!$C$2:$ZZ$2,C1622)</f>
        <v>Desinfetante Aquafast Harmonia Natural Cx/06 X 2l</v>
      </c>
      <c r="H1622" s="5" cm="1">
        <f t="array" ref="H1622">INDEX('Linha 03'!$C$4:$ZZ$1000,B1622,C1622)</f>
        <v>0</v>
      </c>
    </row>
    <row r="1623" spans="1:8" x14ac:dyDescent="0.25">
      <c r="A1623">
        <v>1621</v>
      </c>
      <c r="B1623">
        <f t="shared" si="50"/>
        <v>40</v>
      </c>
      <c r="C1623">
        <f t="shared" si="51"/>
        <v>22</v>
      </c>
      <c r="D1623" cm="1">
        <f t="array" ref="D1623">INDEX('Linha 03'!$A$4:$A$1000,B1623)</f>
        <v>20250005</v>
      </c>
      <c r="E1623" t="str" cm="1">
        <f t="array" ref="E1623">INDEX('Linha 03'!$B$4:$B$1000,B1623)</f>
        <v>Neutralizador De Odores Aquafast Floral Cx/06 X 2l</v>
      </c>
      <c r="F1623" cm="1">
        <f t="array" ref="F1623">INDEX('Linha 03'!$C$3:$ZZ$3,C1623)</f>
        <v>20050123</v>
      </c>
      <c r="G1623" t="str" cm="1">
        <f t="array" ref="G1623">INDEX('Linha 03'!$C$2:$ZZ$2,C1623)</f>
        <v>Desinfetante Ito Harmonia Natural Cx/06 X 2l</v>
      </c>
      <c r="H1623" s="5" cm="1">
        <f t="array" ref="H1623">INDEX('Linha 03'!$C$4:$ZZ$1000,B1623,C1623)</f>
        <v>0</v>
      </c>
    </row>
    <row r="1624" spans="1:8" x14ac:dyDescent="0.25">
      <c r="A1624">
        <v>1622</v>
      </c>
      <c r="B1624">
        <f t="shared" si="50"/>
        <v>40</v>
      </c>
      <c r="C1624">
        <f t="shared" si="51"/>
        <v>23</v>
      </c>
      <c r="D1624" cm="1">
        <f t="array" ref="D1624">INDEX('Linha 03'!$A$4:$A$1000,B1624)</f>
        <v>20250005</v>
      </c>
      <c r="E1624" t="str" cm="1">
        <f t="array" ref="E1624">INDEX('Linha 03'!$B$4:$B$1000,B1624)</f>
        <v>Neutralizador De Odores Aquafast Floral Cx/06 X 2l</v>
      </c>
      <c r="F1624" cm="1">
        <f t="array" ref="F1624">INDEX('Linha 03'!$C$3:$ZZ$3,C1624)</f>
        <v>20050124</v>
      </c>
      <c r="G1624" t="str" cm="1">
        <f t="array" ref="G1624">INDEX('Linha 03'!$C$2:$ZZ$2,C1624)</f>
        <v>Desinfetante Myata Harmonia Natural Cx/06 X 2l</v>
      </c>
      <c r="H1624" s="5" cm="1">
        <f t="array" ref="H1624">INDEX('Linha 03'!$C$4:$ZZ$1000,B1624,C1624)</f>
        <v>0</v>
      </c>
    </row>
    <row r="1625" spans="1:8" x14ac:dyDescent="0.25">
      <c r="A1625">
        <v>1623</v>
      </c>
      <c r="B1625">
        <f t="shared" si="50"/>
        <v>40</v>
      </c>
      <c r="C1625">
        <f t="shared" si="51"/>
        <v>24</v>
      </c>
      <c r="D1625" cm="1">
        <f t="array" ref="D1625">INDEX('Linha 03'!$A$4:$A$1000,B1625)</f>
        <v>20250005</v>
      </c>
      <c r="E1625" t="str" cm="1">
        <f t="array" ref="E1625">INDEX('Linha 03'!$B$4:$B$1000,B1625)</f>
        <v>Neutralizador De Odores Aquafast Floral Cx/06 X 2l</v>
      </c>
      <c r="F1625" cm="1">
        <f t="array" ref="F1625">INDEX('Linha 03'!$C$3:$ZZ$3,C1625)</f>
        <v>20050142</v>
      </c>
      <c r="G1625" t="str" cm="1">
        <f t="array" ref="G1625">INDEX('Linha 03'!$C$2:$ZZ$2,C1625)</f>
        <v>Desinfetante Ito Marine Cx/06 X 2l</v>
      </c>
      <c r="H1625" s="5" cm="1">
        <f t="array" ref="H1625">INDEX('Linha 03'!$C$4:$ZZ$1000,B1625,C1625)</f>
        <v>0</v>
      </c>
    </row>
    <row r="1626" spans="1:8" x14ac:dyDescent="0.25">
      <c r="A1626">
        <v>1624</v>
      </c>
      <c r="B1626">
        <f t="shared" si="50"/>
        <v>40</v>
      </c>
      <c r="C1626">
        <f t="shared" si="51"/>
        <v>25</v>
      </c>
      <c r="D1626" cm="1">
        <f t="array" ref="D1626">INDEX('Linha 03'!$A$4:$A$1000,B1626)</f>
        <v>20250005</v>
      </c>
      <c r="E1626" t="str" cm="1">
        <f t="array" ref="E1626">INDEX('Linha 03'!$B$4:$B$1000,B1626)</f>
        <v>Neutralizador De Odores Aquafast Floral Cx/06 X 2l</v>
      </c>
      <c r="F1626" cm="1">
        <f t="array" ref="F1626">INDEX('Linha 03'!$C$3:$ZZ$3,C1626)</f>
        <v>20050159</v>
      </c>
      <c r="G1626" t="str" cm="1">
        <f t="array" ref="G1626">INDEX('Linha 03'!$C$2:$ZZ$2,C1626)</f>
        <v>Desinfetante Aquafast Cha Branco Cx/06 X 2l</v>
      </c>
      <c r="H1626" s="5" cm="1">
        <f t="array" ref="H1626">INDEX('Linha 03'!$C$4:$ZZ$1000,B1626,C1626)</f>
        <v>1.38888888888889E-2</v>
      </c>
    </row>
    <row r="1627" spans="1:8" x14ac:dyDescent="0.25">
      <c r="A1627">
        <v>1625</v>
      </c>
      <c r="B1627">
        <f t="shared" si="50"/>
        <v>40</v>
      </c>
      <c r="C1627">
        <f t="shared" si="51"/>
        <v>26</v>
      </c>
      <c r="D1627" cm="1">
        <f t="array" ref="D1627">INDEX('Linha 03'!$A$4:$A$1000,B1627)</f>
        <v>20250005</v>
      </c>
      <c r="E1627" t="str" cm="1">
        <f t="array" ref="E1627">INDEX('Linha 03'!$B$4:$B$1000,B1627)</f>
        <v>Neutralizador De Odores Aquafast Floral Cx/06 X 2l</v>
      </c>
      <c r="F1627" cm="1">
        <f t="array" ref="F1627">INDEX('Linha 03'!$C$3:$ZZ$3,C1627)</f>
        <v>20060007</v>
      </c>
      <c r="G1627" t="str" cm="1">
        <f t="array" ref="G1627">INDEX('Linha 03'!$C$2:$ZZ$2,C1627)</f>
        <v>Limp Perf Aquafast Magia Seducao Cx/06 X 2l (Promoc)</v>
      </c>
      <c r="H1627" s="5" cm="1">
        <f t="array" ref="H1627">INDEX('Linha 03'!$C$4:$ZZ$1000,B1627,C1627)</f>
        <v>0</v>
      </c>
    </row>
    <row r="1628" spans="1:8" x14ac:dyDescent="0.25">
      <c r="A1628">
        <v>1626</v>
      </c>
      <c r="B1628">
        <f t="shared" si="50"/>
        <v>40</v>
      </c>
      <c r="C1628">
        <f t="shared" si="51"/>
        <v>27</v>
      </c>
      <c r="D1628" cm="1">
        <f t="array" ref="D1628">INDEX('Linha 03'!$A$4:$A$1000,B1628)</f>
        <v>20250005</v>
      </c>
      <c r="E1628" t="str" cm="1">
        <f t="array" ref="E1628">INDEX('Linha 03'!$B$4:$B$1000,B1628)</f>
        <v>Neutralizador De Odores Aquafast Floral Cx/06 X 2l</v>
      </c>
      <c r="F1628" cm="1">
        <f t="array" ref="F1628">INDEX('Linha 03'!$C$3:$ZZ$3,C1628)</f>
        <v>20060009</v>
      </c>
      <c r="G1628" t="str" cm="1">
        <f t="array" ref="G1628">INDEX('Linha 03'!$C$2:$ZZ$2,C1628)</f>
        <v>Limp Perf Aquafast Frescor Da Manha Cx/06 X 2l (Promoc)</v>
      </c>
      <c r="H1628" s="5" cm="1">
        <f t="array" ref="H1628">INDEX('Linha 03'!$C$4:$ZZ$1000,B1628,C1628)</f>
        <v>0</v>
      </c>
    </row>
    <row r="1629" spans="1:8" x14ac:dyDescent="0.25">
      <c r="A1629">
        <v>1627</v>
      </c>
      <c r="B1629">
        <f t="shared" si="50"/>
        <v>40</v>
      </c>
      <c r="C1629">
        <f t="shared" si="51"/>
        <v>28</v>
      </c>
      <c r="D1629" cm="1">
        <f t="array" ref="D1629">INDEX('Linha 03'!$A$4:$A$1000,B1629)</f>
        <v>20250005</v>
      </c>
      <c r="E1629" t="str" cm="1">
        <f t="array" ref="E1629">INDEX('Linha 03'!$B$4:$B$1000,B1629)</f>
        <v>Neutralizador De Odores Aquafast Floral Cx/06 X 2l</v>
      </c>
      <c r="F1629" cm="1">
        <f t="array" ref="F1629">INDEX('Linha 03'!$C$3:$ZZ$3,C1629)</f>
        <v>20060017</v>
      </c>
      <c r="G1629" t="str" cm="1">
        <f t="array" ref="G1629">INDEX('Linha 03'!$C$2:$ZZ$2,C1629)</f>
        <v>Limp Perf Aquafast Doce Romance Cx/06 X 2l (Promoc)</v>
      </c>
      <c r="H1629" s="5" cm="1">
        <f t="array" ref="H1629">INDEX('Linha 03'!$C$4:$ZZ$1000,B1629,C1629)</f>
        <v>0</v>
      </c>
    </row>
    <row r="1630" spans="1:8" x14ac:dyDescent="0.25">
      <c r="A1630">
        <v>1628</v>
      </c>
      <c r="B1630">
        <f t="shared" si="50"/>
        <v>40</v>
      </c>
      <c r="C1630">
        <f t="shared" si="51"/>
        <v>29</v>
      </c>
      <c r="D1630" cm="1">
        <f t="array" ref="D1630">INDEX('Linha 03'!$A$4:$A$1000,B1630)</f>
        <v>20250005</v>
      </c>
      <c r="E1630" t="str" cm="1">
        <f t="array" ref="E1630">INDEX('Linha 03'!$B$4:$B$1000,B1630)</f>
        <v>Neutralizador De Odores Aquafast Floral Cx/06 X 2l</v>
      </c>
      <c r="F1630" cm="1">
        <f t="array" ref="F1630">INDEX('Linha 03'!$C$3:$ZZ$3,C1630)</f>
        <v>20060028</v>
      </c>
      <c r="G1630" t="str" cm="1">
        <f t="array" ref="G1630">INDEX('Linha 03'!$C$2:$ZZ$2,C1630)</f>
        <v>Limp Perf Aquafast Essencia Natural Cx06 X 2l</v>
      </c>
      <c r="H1630" s="5" cm="1">
        <f t="array" ref="H1630">INDEX('Linha 03'!$C$4:$ZZ$1000,B1630,C1630)</f>
        <v>0</v>
      </c>
    </row>
    <row r="1631" spans="1:8" x14ac:dyDescent="0.25">
      <c r="A1631">
        <v>1629</v>
      </c>
      <c r="B1631">
        <f t="shared" si="50"/>
        <v>40</v>
      </c>
      <c r="C1631">
        <f t="shared" si="51"/>
        <v>30</v>
      </c>
      <c r="D1631" cm="1">
        <f t="array" ref="D1631">INDEX('Linha 03'!$A$4:$A$1000,B1631)</f>
        <v>20250005</v>
      </c>
      <c r="E1631" t="str" cm="1">
        <f t="array" ref="E1631">INDEX('Linha 03'!$B$4:$B$1000,B1631)</f>
        <v>Neutralizador De Odores Aquafast Floral Cx/06 X 2l</v>
      </c>
      <c r="F1631" cm="1">
        <f t="array" ref="F1631">INDEX('Linha 03'!$C$3:$ZZ$3,C1631)</f>
        <v>20200003</v>
      </c>
      <c r="G1631" t="str" cm="1">
        <f t="array" ref="G1631">INDEX('Linha 03'!$C$2:$ZZ$2,C1631)</f>
        <v>Lava Roup. Aquafast Baby Cx/12 X 1l</v>
      </c>
      <c r="H1631" s="5" cm="1">
        <f t="array" ref="H1631">INDEX('Linha 03'!$C$4:$ZZ$1000,B1631,C1631)</f>
        <v>0</v>
      </c>
    </row>
    <row r="1632" spans="1:8" x14ac:dyDescent="0.25">
      <c r="A1632">
        <v>1630</v>
      </c>
      <c r="B1632">
        <f t="shared" si="50"/>
        <v>40</v>
      </c>
      <c r="C1632">
        <f t="shared" si="51"/>
        <v>31</v>
      </c>
      <c r="D1632" cm="1">
        <f t="array" ref="D1632">INDEX('Linha 03'!$A$4:$A$1000,B1632)</f>
        <v>20250005</v>
      </c>
      <c r="E1632" t="str" cm="1">
        <f t="array" ref="E1632">INDEX('Linha 03'!$B$4:$B$1000,B1632)</f>
        <v>Neutralizador De Odores Aquafast Floral Cx/06 X 2l</v>
      </c>
      <c r="F1632" cm="1">
        <f t="array" ref="F1632">INDEX('Linha 03'!$C$3:$ZZ$3,C1632)</f>
        <v>20200005</v>
      </c>
      <c r="G1632" t="str" cm="1">
        <f t="array" ref="G1632">INDEX('Linha 03'!$C$2:$ZZ$2,C1632)</f>
        <v>Lava Roupas Aquafast Multi Acao Cx/06 X 2l</v>
      </c>
      <c r="H1632" s="5" cm="1">
        <f t="array" ref="H1632">INDEX('Linha 03'!$C$4:$ZZ$1000,B1632,C1632)</f>
        <v>0</v>
      </c>
    </row>
    <row r="1633" spans="1:8" x14ac:dyDescent="0.25">
      <c r="A1633">
        <v>1631</v>
      </c>
      <c r="B1633">
        <f t="shared" si="50"/>
        <v>40</v>
      </c>
      <c r="C1633">
        <f t="shared" si="51"/>
        <v>32</v>
      </c>
      <c r="D1633" cm="1">
        <f t="array" ref="D1633">INDEX('Linha 03'!$A$4:$A$1000,B1633)</f>
        <v>20250005</v>
      </c>
      <c r="E1633" t="str" cm="1">
        <f t="array" ref="E1633">INDEX('Linha 03'!$B$4:$B$1000,B1633)</f>
        <v>Neutralizador De Odores Aquafast Floral Cx/06 X 2l</v>
      </c>
      <c r="F1633" cm="1">
        <f t="array" ref="F1633">INDEX('Linha 03'!$C$3:$ZZ$3,C1633)</f>
        <v>20200006</v>
      </c>
      <c r="G1633" t="str" cm="1">
        <f t="array" ref="G1633">INDEX('Linha 03'!$C$2:$ZZ$2,C1633)</f>
        <v>Lava Roupas Aquafast Glicerina Cx/06 X 2l</v>
      </c>
      <c r="H1633" s="5" cm="1">
        <f t="array" ref="H1633">INDEX('Linha 03'!$C$4:$ZZ$1000,B1633,C1633)</f>
        <v>0</v>
      </c>
    </row>
    <row r="1634" spans="1:8" x14ac:dyDescent="0.25">
      <c r="A1634">
        <v>1632</v>
      </c>
      <c r="B1634">
        <f t="shared" si="50"/>
        <v>40</v>
      </c>
      <c r="C1634">
        <f t="shared" si="51"/>
        <v>33</v>
      </c>
      <c r="D1634" cm="1">
        <f t="array" ref="D1634">INDEX('Linha 03'!$A$4:$A$1000,B1634)</f>
        <v>20250005</v>
      </c>
      <c r="E1634" t="str" cm="1">
        <f t="array" ref="E1634">INDEX('Linha 03'!$B$4:$B$1000,B1634)</f>
        <v>Neutralizador De Odores Aquafast Floral Cx/06 X 2l</v>
      </c>
      <c r="F1634" cm="1">
        <f t="array" ref="F1634">INDEX('Linha 03'!$C$3:$ZZ$3,C1634)</f>
        <v>20200015</v>
      </c>
      <c r="G1634" t="str" cm="1">
        <f t="array" ref="G1634">INDEX('Linha 03'!$C$2:$ZZ$2,C1634)</f>
        <v>Lava Roup. Aquafast Multiacao Cx/12 X 1l</v>
      </c>
      <c r="H1634" s="5" cm="1">
        <f t="array" ref="H1634">INDEX('Linha 03'!$C$4:$ZZ$1000,B1634,C1634)</f>
        <v>0</v>
      </c>
    </row>
    <row r="1635" spans="1:8" x14ac:dyDescent="0.25">
      <c r="A1635">
        <v>1633</v>
      </c>
      <c r="B1635">
        <f t="shared" si="50"/>
        <v>40</v>
      </c>
      <c r="C1635">
        <f t="shared" si="51"/>
        <v>34</v>
      </c>
      <c r="D1635" cm="1">
        <f t="array" ref="D1635">INDEX('Linha 03'!$A$4:$A$1000,B1635)</f>
        <v>20250005</v>
      </c>
      <c r="E1635" t="str" cm="1">
        <f t="array" ref="E1635">INDEX('Linha 03'!$B$4:$B$1000,B1635)</f>
        <v>Neutralizador De Odores Aquafast Floral Cx/06 X 2l</v>
      </c>
      <c r="F1635" cm="1">
        <f t="array" ref="F1635">INDEX('Linha 03'!$C$3:$ZZ$3,C1635)</f>
        <v>20200036</v>
      </c>
      <c r="G1635" t="str" cm="1">
        <f t="array" ref="G1635">INDEX('Linha 03'!$C$2:$ZZ$2,C1635)</f>
        <v>Lava Roupas Aquafast Ternura Cx/06 X 2l</v>
      </c>
      <c r="H1635" s="5" cm="1">
        <f t="array" ref="H1635">INDEX('Linha 03'!$C$4:$ZZ$1000,B1635,C1635)</f>
        <v>0</v>
      </c>
    </row>
    <row r="1636" spans="1:8" x14ac:dyDescent="0.25">
      <c r="A1636">
        <v>1634</v>
      </c>
      <c r="B1636">
        <f t="shared" si="50"/>
        <v>40</v>
      </c>
      <c r="C1636">
        <f t="shared" si="51"/>
        <v>35</v>
      </c>
      <c r="D1636" cm="1">
        <f t="array" ref="D1636">INDEX('Linha 03'!$A$4:$A$1000,B1636)</f>
        <v>20250005</v>
      </c>
      <c r="E1636" t="str" cm="1">
        <f t="array" ref="E1636">INDEX('Linha 03'!$B$4:$B$1000,B1636)</f>
        <v>Neutralizador De Odores Aquafast Floral Cx/06 X 2l</v>
      </c>
      <c r="F1636" cm="1">
        <f t="array" ref="F1636">INDEX('Linha 03'!$C$3:$ZZ$3,C1636)</f>
        <v>20200063</v>
      </c>
      <c r="G1636" t="str" cm="1">
        <f t="array" ref="G1636">INDEX('Linha 03'!$C$2:$ZZ$2,C1636)</f>
        <v>Lava Roup. Aquafast Tradicional Cx/12 X 1l</v>
      </c>
      <c r="H1636" s="5" cm="1">
        <f t="array" ref="H1636">INDEX('Linha 03'!$C$4:$ZZ$1000,B1636,C1636)</f>
        <v>0</v>
      </c>
    </row>
    <row r="1637" spans="1:8" x14ac:dyDescent="0.25">
      <c r="A1637">
        <v>1635</v>
      </c>
      <c r="B1637">
        <f t="shared" si="50"/>
        <v>40</v>
      </c>
      <c r="C1637">
        <f t="shared" si="51"/>
        <v>36</v>
      </c>
      <c r="D1637" cm="1">
        <f t="array" ref="D1637">INDEX('Linha 03'!$A$4:$A$1000,B1637)</f>
        <v>20250005</v>
      </c>
      <c r="E1637" t="str" cm="1">
        <f t="array" ref="E1637">INDEX('Linha 03'!$B$4:$B$1000,B1637)</f>
        <v>Neutralizador De Odores Aquafast Floral Cx/06 X 2l</v>
      </c>
      <c r="F1637" cm="1">
        <f t="array" ref="F1637">INDEX('Linha 03'!$C$3:$ZZ$3,C1637)</f>
        <v>20200064</v>
      </c>
      <c r="G1637" t="str" cm="1">
        <f t="array" ref="G1637">INDEX('Linha 03'!$C$2:$ZZ$2,C1637)</f>
        <v>Lava Roup. Aquafast Flores B. E Baunilha Cx/12 X 1l</v>
      </c>
      <c r="H1637" s="5" cm="1">
        <f t="array" ref="H1637">INDEX('Linha 03'!$C$4:$ZZ$1000,B1637,C1637)</f>
        <v>0</v>
      </c>
    </row>
    <row r="1638" spans="1:8" x14ac:dyDescent="0.25">
      <c r="A1638">
        <v>1636</v>
      </c>
      <c r="B1638">
        <f t="shared" si="50"/>
        <v>40</v>
      </c>
      <c r="C1638">
        <f t="shared" si="51"/>
        <v>37</v>
      </c>
      <c r="D1638" cm="1">
        <f t="array" ref="D1638">INDEX('Linha 03'!$A$4:$A$1000,B1638)</f>
        <v>20250005</v>
      </c>
      <c r="E1638" t="str" cm="1">
        <f t="array" ref="E1638">INDEX('Linha 03'!$B$4:$B$1000,B1638)</f>
        <v>Neutralizador De Odores Aquafast Floral Cx/06 X 2l</v>
      </c>
      <c r="F1638" cm="1">
        <f t="array" ref="F1638">INDEX('Linha 03'!$C$3:$ZZ$3,C1638)</f>
        <v>20200065</v>
      </c>
      <c r="G1638" t="str" cm="1">
        <f t="array" ref="G1638">INDEX('Linha 03'!$C$2:$ZZ$2,C1638)</f>
        <v>Lava Roupas Aquafast Flores B. E Baunilha Cx/06 X 2l</v>
      </c>
      <c r="H1638" s="5" cm="1">
        <f t="array" ref="H1638">INDEX('Linha 03'!$C$4:$ZZ$1000,B1638,C1638)</f>
        <v>0</v>
      </c>
    </row>
    <row r="1639" spans="1:8" x14ac:dyDescent="0.25">
      <c r="A1639">
        <v>1637</v>
      </c>
      <c r="B1639">
        <f t="shared" si="50"/>
        <v>40</v>
      </c>
      <c r="C1639">
        <f t="shared" si="51"/>
        <v>38</v>
      </c>
      <c r="D1639" cm="1">
        <f t="array" ref="D1639">INDEX('Linha 03'!$A$4:$A$1000,B1639)</f>
        <v>20250005</v>
      </c>
      <c r="E1639" t="str" cm="1">
        <f t="array" ref="E1639">INDEX('Linha 03'!$B$4:$B$1000,B1639)</f>
        <v>Neutralizador De Odores Aquafast Floral Cx/06 X 2l</v>
      </c>
      <c r="F1639" cm="1">
        <f t="array" ref="F1639">INDEX('Linha 03'!$C$3:$ZZ$3,C1639)</f>
        <v>20200072</v>
      </c>
      <c r="G1639" t="str" cm="1">
        <f t="array" ref="G1639">INDEX('Linha 03'!$C$2:$ZZ$2,C1639)</f>
        <v>Lava Roupas Aquafast Lavagem Rapida Total Clean Cx/12 X 1l</v>
      </c>
      <c r="H1639" s="5" cm="1">
        <f t="array" ref="H1639">INDEX('Linha 03'!$C$4:$ZZ$1000,B1639,C1639)</f>
        <v>0</v>
      </c>
    </row>
    <row r="1640" spans="1:8" x14ac:dyDescent="0.25">
      <c r="A1640">
        <v>1638</v>
      </c>
      <c r="B1640">
        <f t="shared" si="50"/>
        <v>40</v>
      </c>
      <c r="C1640">
        <f t="shared" si="51"/>
        <v>39</v>
      </c>
      <c r="D1640" cm="1">
        <f t="array" ref="D1640">INDEX('Linha 03'!$A$4:$A$1000,B1640)</f>
        <v>20250005</v>
      </c>
      <c r="E1640" t="str" cm="1">
        <f t="array" ref="E1640">INDEX('Linha 03'!$B$4:$B$1000,B1640)</f>
        <v>Neutralizador De Odores Aquafast Floral Cx/06 X 2l</v>
      </c>
      <c r="F1640" cm="1">
        <f t="array" ref="F1640">INDEX('Linha 03'!$C$3:$ZZ$3,C1640)</f>
        <v>20200074</v>
      </c>
      <c r="G1640" t="str" cm="1">
        <f t="array" ref="G1640">INDEX('Linha 03'!$C$2:$ZZ$2,C1640)</f>
        <v>Lava Roupas Aquafast Lavagem Rapida Fresh Clean Cx/12 X 1l</v>
      </c>
      <c r="H1640" s="5" cm="1">
        <f t="array" ref="H1640">INDEX('Linha 03'!$C$4:$ZZ$1000,B1640,C1640)</f>
        <v>0</v>
      </c>
    </row>
    <row r="1641" spans="1:8" x14ac:dyDescent="0.25">
      <c r="A1641">
        <v>1639</v>
      </c>
      <c r="B1641">
        <f t="shared" si="50"/>
        <v>40</v>
      </c>
      <c r="C1641">
        <f t="shared" si="51"/>
        <v>40</v>
      </c>
      <c r="D1641" cm="1">
        <f t="array" ref="D1641">INDEX('Linha 03'!$A$4:$A$1000,B1641)</f>
        <v>20250005</v>
      </c>
      <c r="E1641" t="str" cm="1">
        <f t="array" ref="E1641">INDEX('Linha 03'!$B$4:$B$1000,B1641)</f>
        <v>Neutralizador De Odores Aquafast Floral Cx/06 X 2l</v>
      </c>
      <c r="F1641" cm="1">
        <f t="array" ref="F1641">INDEX('Linha 03'!$C$3:$ZZ$3,C1641)</f>
        <v>20250005</v>
      </c>
      <c r="G1641" t="str" cm="1">
        <f t="array" ref="G1641">INDEX('Linha 03'!$C$2:$ZZ$2,C1641)</f>
        <v>Neutralizador De Odores Aquafast Floral Cx/06 X 2l</v>
      </c>
      <c r="H1641" s="5" cm="1">
        <f t="array" ref="H1641">INDEX('Linha 03'!$C$4:$ZZ$1000,B1641,C1641)</f>
        <v>0</v>
      </c>
    </row>
    <row r="1642" spans="1:8" x14ac:dyDescent="0.25">
      <c r="A1642">
        <v>1640</v>
      </c>
      <c r="B1642">
        <f t="shared" si="50"/>
        <v>40</v>
      </c>
      <c r="C1642">
        <f t="shared" si="51"/>
        <v>41</v>
      </c>
      <c r="D1642" cm="1">
        <f t="array" ref="D1642">INDEX('Linha 03'!$A$4:$A$1000,B1642)</f>
        <v>20250005</v>
      </c>
      <c r="E1642" t="str" cm="1">
        <f t="array" ref="E1642">INDEX('Linha 03'!$B$4:$B$1000,B1642)</f>
        <v>Neutralizador De Odores Aquafast Floral Cx/06 X 2l</v>
      </c>
      <c r="F1642" cm="1">
        <f t="array" ref="F1642">INDEX('Linha 03'!$C$3:$ZZ$3,C1642)</f>
        <v>20250007</v>
      </c>
      <c r="G1642" t="str" cm="1">
        <f t="array" ref="G1642">INDEX('Linha 03'!$C$2:$ZZ$2,C1642)</f>
        <v>Neutralizador De Odores Aquafast Marine Cx/06 2l</v>
      </c>
      <c r="H1642" s="5" cm="1">
        <f t="array" ref="H1642">INDEX('Linha 03'!$C$4:$ZZ$1000,B1642,C1642)</f>
        <v>0</v>
      </c>
    </row>
    <row r="1643" spans="1:8" x14ac:dyDescent="0.25">
      <c r="A1643">
        <v>1641</v>
      </c>
      <c r="B1643">
        <f t="shared" si="50"/>
        <v>41</v>
      </c>
      <c r="C1643">
        <f t="shared" si="51"/>
        <v>1</v>
      </c>
      <c r="D1643" cm="1">
        <f t="array" ref="D1643">INDEX('Linha 03'!$A$4:$A$1000,B1643)</f>
        <v>20250007</v>
      </c>
      <c r="E1643" t="str" cm="1">
        <f t="array" ref="E1643">INDEX('Linha 03'!$B$4:$B$1000,B1643)</f>
        <v>Neutralizador De Odores Aquafast Marine Cx/06 2l</v>
      </c>
      <c r="F1643" cm="1">
        <f t="array" ref="F1643">INDEX('Linha 03'!$C$3:$ZZ$3,C1643)</f>
        <v>20040006</v>
      </c>
      <c r="G1643" t="str" cm="1">
        <f t="array" ref="G1643">INDEX('Linha 03'!$C$2:$ZZ$2,C1643)</f>
        <v>Amaciante Aquafast Azul Fresc. Manha Cx/06 X 2l</v>
      </c>
      <c r="H1643" s="5" cm="1">
        <f t="array" ref="H1643">INDEX('Linha 03'!$C$4:$ZZ$1000,B1643,C1643)</f>
        <v>0</v>
      </c>
    </row>
    <row r="1644" spans="1:8" x14ac:dyDescent="0.25">
      <c r="A1644">
        <v>1642</v>
      </c>
      <c r="B1644">
        <f t="shared" si="50"/>
        <v>41</v>
      </c>
      <c r="C1644">
        <f t="shared" si="51"/>
        <v>2</v>
      </c>
      <c r="D1644" cm="1">
        <f t="array" ref="D1644">INDEX('Linha 03'!$A$4:$A$1000,B1644)</f>
        <v>20250007</v>
      </c>
      <c r="E1644" t="str" cm="1">
        <f t="array" ref="E1644">INDEX('Linha 03'!$B$4:$B$1000,B1644)</f>
        <v>Neutralizador De Odores Aquafast Marine Cx/06 2l</v>
      </c>
      <c r="F1644" cm="1">
        <f t="array" ref="F1644">INDEX('Linha 03'!$C$3:$ZZ$3,C1644)</f>
        <v>20040008</v>
      </c>
      <c r="G1644" t="str" cm="1">
        <f t="array" ref="G1644">INDEX('Linha 03'!$C$2:$ZZ$2,C1644)</f>
        <v>Amaciante Aquafast Rosa Jard. Florid Cx/06 X 2l</v>
      </c>
      <c r="H1644" s="5" cm="1">
        <f t="array" ref="H1644">INDEX('Linha 03'!$C$4:$ZZ$1000,B1644,C1644)</f>
        <v>0</v>
      </c>
    </row>
    <row r="1645" spans="1:8" x14ac:dyDescent="0.25">
      <c r="A1645">
        <v>1643</v>
      </c>
      <c r="B1645">
        <f t="shared" si="50"/>
        <v>41</v>
      </c>
      <c r="C1645">
        <f t="shared" si="51"/>
        <v>3</v>
      </c>
      <c r="D1645" cm="1">
        <f t="array" ref="D1645">INDEX('Linha 03'!$A$4:$A$1000,B1645)</f>
        <v>20250007</v>
      </c>
      <c r="E1645" t="str" cm="1">
        <f t="array" ref="E1645">INDEX('Linha 03'!$B$4:$B$1000,B1645)</f>
        <v>Neutralizador De Odores Aquafast Marine Cx/06 2l</v>
      </c>
      <c r="F1645" cm="1">
        <f t="array" ref="F1645">INDEX('Linha 03'!$C$3:$ZZ$3,C1645)</f>
        <v>20040009</v>
      </c>
      <c r="G1645" t="str" cm="1">
        <f t="array" ref="G1645">INDEX('Linha 03'!$C$2:$ZZ$2,C1645)</f>
        <v>Amaciante Aquafast Branco Pura Caric. Cx/06 X 2l</v>
      </c>
      <c r="H1645" s="5" cm="1">
        <f t="array" ref="H1645">INDEX('Linha 03'!$C$4:$ZZ$1000,B1645,C1645)</f>
        <v>0</v>
      </c>
    </row>
    <row r="1646" spans="1:8" x14ac:dyDescent="0.25">
      <c r="A1646">
        <v>1644</v>
      </c>
      <c r="B1646">
        <f t="shared" si="50"/>
        <v>41</v>
      </c>
      <c r="C1646">
        <f t="shared" si="51"/>
        <v>4</v>
      </c>
      <c r="D1646" cm="1">
        <f t="array" ref="D1646">INDEX('Linha 03'!$A$4:$A$1000,B1646)</f>
        <v>20250007</v>
      </c>
      <c r="E1646" t="str" cm="1">
        <f t="array" ref="E1646">INDEX('Linha 03'!$B$4:$B$1000,B1646)</f>
        <v>Neutralizador De Odores Aquafast Marine Cx/06 2l</v>
      </c>
      <c r="F1646" cm="1">
        <f t="array" ref="F1646">INDEX('Linha 03'!$C$3:$ZZ$3,C1646)</f>
        <v>20040026</v>
      </c>
      <c r="G1646" t="str" cm="1">
        <f t="array" ref="G1646">INDEX('Linha 03'!$C$2:$ZZ$2,C1646)</f>
        <v>Amaciante Ito Azul Cx/06 X 2l</v>
      </c>
      <c r="H1646" s="5" cm="1">
        <f t="array" ref="H1646">INDEX('Linha 03'!$C$4:$ZZ$1000,B1646,C1646)</f>
        <v>0</v>
      </c>
    </row>
    <row r="1647" spans="1:8" x14ac:dyDescent="0.25">
      <c r="A1647">
        <v>1645</v>
      </c>
      <c r="B1647">
        <f t="shared" si="50"/>
        <v>41</v>
      </c>
      <c r="C1647">
        <f t="shared" si="51"/>
        <v>5</v>
      </c>
      <c r="D1647" cm="1">
        <f t="array" ref="D1647">INDEX('Linha 03'!$A$4:$A$1000,B1647)</f>
        <v>20250007</v>
      </c>
      <c r="E1647" t="str" cm="1">
        <f t="array" ref="E1647">INDEX('Linha 03'!$B$4:$B$1000,B1647)</f>
        <v>Neutralizador De Odores Aquafast Marine Cx/06 2l</v>
      </c>
      <c r="F1647" cm="1">
        <f t="array" ref="F1647">INDEX('Linha 03'!$C$3:$ZZ$3,C1647)</f>
        <v>20040028</v>
      </c>
      <c r="G1647" t="str" cm="1">
        <f t="array" ref="G1647">INDEX('Linha 03'!$C$2:$ZZ$2,C1647)</f>
        <v>Amaciante Ito Rosa Cx/06 X 2l</v>
      </c>
      <c r="H1647" s="5" cm="1">
        <f t="array" ref="H1647">INDEX('Linha 03'!$C$4:$ZZ$1000,B1647,C1647)</f>
        <v>0</v>
      </c>
    </row>
    <row r="1648" spans="1:8" x14ac:dyDescent="0.25">
      <c r="A1648">
        <v>1646</v>
      </c>
      <c r="B1648">
        <f t="shared" si="50"/>
        <v>41</v>
      </c>
      <c r="C1648">
        <f t="shared" si="51"/>
        <v>6</v>
      </c>
      <c r="D1648" cm="1">
        <f t="array" ref="D1648">INDEX('Linha 03'!$A$4:$A$1000,B1648)</f>
        <v>20250007</v>
      </c>
      <c r="E1648" t="str" cm="1">
        <f t="array" ref="E1648">INDEX('Linha 03'!$B$4:$B$1000,B1648)</f>
        <v>Neutralizador De Odores Aquafast Marine Cx/06 2l</v>
      </c>
      <c r="F1648" cm="1">
        <f t="array" ref="F1648">INDEX('Linha 03'!$C$3:$ZZ$3,C1648)</f>
        <v>20040029</v>
      </c>
      <c r="G1648" t="str" cm="1">
        <f t="array" ref="G1648">INDEX('Linha 03'!$C$2:$ZZ$2,C1648)</f>
        <v>Amaciante Ito Branco Cx/06 X 2l</v>
      </c>
      <c r="H1648" s="5" cm="1">
        <f t="array" ref="H1648">INDEX('Linha 03'!$C$4:$ZZ$1000,B1648,C1648)</f>
        <v>0</v>
      </c>
    </row>
    <row r="1649" spans="1:8" x14ac:dyDescent="0.25">
      <c r="A1649">
        <v>1647</v>
      </c>
      <c r="B1649">
        <f t="shared" si="50"/>
        <v>41</v>
      </c>
      <c r="C1649">
        <f t="shared" si="51"/>
        <v>7</v>
      </c>
      <c r="D1649" cm="1">
        <f t="array" ref="D1649">INDEX('Linha 03'!$A$4:$A$1000,B1649)</f>
        <v>20250007</v>
      </c>
      <c r="E1649" t="str" cm="1">
        <f t="array" ref="E1649">INDEX('Linha 03'!$B$4:$B$1000,B1649)</f>
        <v>Neutralizador De Odores Aquafast Marine Cx/06 2l</v>
      </c>
      <c r="F1649" cm="1">
        <f t="array" ref="F1649">INDEX('Linha 03'!$C$3:$ZZ$3,C1649)</f>
        <v>20040055</v>
      </c>
      <c r="G1649" t="str" cm="1">
        <f t="array" ref="G1649">INDEX('Linha 03'!$C$2:$ZZ$2,C1649)</f>
        <v>Amaciante Myata Azul Cx/06 X 2l</v>
      </c>
      <c r="H1649" s="5" cm="1">
        <f t="array" ref="H1649">INDEX('Linha 03'!$C$4:$ZZ$1000,B1649,C1649)</f>
        <v>0</v>
      </c>
    </row>
    <row r="1650" spans="1:8" x14ac:dyDescent="0.25">
      <c r="A1650">
        <v>1648</v>
      </c>
      <c r="B1650">
        <f t="shared" si="50"/>
        <v>41</v>
      </c>
      <c r="C1650">
        <f t="shared" si="51"/>
        <v>8</v>
      </c>
      <c r="D1650" cm="1">
        <f t="array" ref="D1650">INDEX('Linha 03'!$A$4:$A$1000,B1650)</f>
        <v>20250007</v>
      </c>
      <c r="E1650" t="str" cm="1">
        <f t="array" ref="E1650">INDEX('Linha 03'!$B$4:$B$1000,B1650)</f>
        <v>Neutralizador De Odores Aquafast Marine Cx/06 2l</v>
      </c>
      <c r="F1650" cm="1">
        <f t="array" ref="F1650">INDEX('Linha 03'!$C$3:$ZZ$3,C1650)</f>
        <v>20040057</v>
      </c>
      <c r="G1650" t="str" cm="1">
        <f t="array" ref="G1650">INDEX('Linha 03'!$C$2:$ZZ$2,C1650)</f>
        <v>Amaciante Myata Rosa Cx/06 X 2l</v>
      </c>
      <c r="H1650" s="5" cm="1">
        <f t="array" ref="H1650">INDEX('Linha 03'!$C$4:$ZZ$1000,B1650,C1650)</f>
        <v>0</v>
      </c>
    </row>
    <row r="1651" spans="1:8" x14ac:dyDescent="0.25">
      <c r="A1651">
        <v>1649</v>
      </c>
      <c r="B1651">
        <f t="shared" si="50"/>
        <v>41</v>
      </c>
      <c r="C1651">
        <f t="shared" si="51"/>
        <v>9</v>
      </c>
      <c r="D1651" cm="1">
        <f t="array" ref="D1651">INDEX('Linha 03'!$A$4:$A$1000,B1651)</f>
        <v>20250007</v>
      </c>
      <c r="E1651" t="str" cm="1">
        <f t="array" ref="E1651">INDEX('Linha 03'!$B$4:$B$1000,B1651)</f>
        <v>Neutralizador De Odores Aquafast Marine Cx/06 2l</v>
      </c>
      <c r="F1651" cm="1">
        <f t="array" ref="F1651">INDEX('Linha 03'!$C$3:$ZZ$3,C1651)</f>
        <v>20040084</v>
      </c>
      <c r="G1651" t="str" cm="1">
        <f t="array" ref="G1651">INDEX('Linha 03'!$C$2:$ZZ$2,C1651)</f>
        <v>Amaciante Aquafast Vermelho Seducao Cx C/06 X 2l</v>
      </c>
      <c r="H1651" s="5" cm="1">
        <f t="array" ref="H1651">INDEX('Linha 03'!$C$4:$ZZ$1000,B1651,C1651)</f>
        <v>0</v>
      </c>
    </row>
    <row r="1652" spans="1:8" x14ac:dyDescent="0.25">
      <c r="A1652">
        <v>1650</v>
      </c>
      <c r="B1652">
        <f t="shared" si="50"/>
        <v>41</v>
      </c>
      <c r="C1652">
        <f t="shared" si="51"/>
        <v>10</v>
      </c>
      <c r="D1652" cm="1">
        <f t="array" ref="D1652">INDEX('Linha 03'!$A$4:$A$1000,B1652)</f>
        <v>20250007</v>
      </c>
      <c r="E1652" t="str" cm="1">
        <f t="array" ref="E1652">INDEX('Linha 03'!$B$4:$B$1000,B1652)</f>
        <v>Neutralizador De Odores Aquafast Marine Cx/06 2l</v>
      </c>
      <c r="F1652" cm="1">
        <f t="array" ref="F1652">INDEX('Linha 03'!$C$3:$ZZ$3,C1652)</f>
        <v>20040089</v>
      </c>
      <c r="G1652" t="str" cm="1">
        <f t="array" ref="G1652">INDEX('Linha 03'!$C$2:$ZZ$2,C1652)</f>
        <v>Amaciante Aquafast Roxo Magia Cx/06 X 2l</v>
      </c>
      <c r="H1652" s="5" cm="1">
        <f t="array" ref="H1652">INDEX('Linha 03'!$C$4:$ZZ$1000,B1652,C1652)</f>
        <v>0</v>
      </c>
    </row>
    <row r="1653" spans="1:8" x14ac:dyDescent="0.25">
      <c r="A1653">
        <v>1651</v>
      </c>
      <c r="B1653">
        <f t="shared" si="50"/>
        <v>41</v>
      </c>
      <c r="C1653">
        <f t="shared" si="51"/>
        <v>11</v>
      </c>
      <c r="D1653" cm="1">
        <f t="array" ref="D1653">INDEX('Linha 03'!$A$4:$A$1000,B1653)</f>
        <v>20250007</v>
      </c>
      <c r="E1653" t="str" cm="1">
        <f t="array" ref="E1653">INDEX('Linha 03'!$B$4:$B$1000,B1653)</f>
        <v>Neutralizador De Odores Aquafast Marine Cx/06 2l</v>
      </c>
      <c r="F1653" cm="1">
        <f t="array" ref="F1653">INDEX('Linha 03'!$C$3:$ZZ$3,C1653)</f>
        <v>20040094</v>
      </c>
      <c r="G1653" t="str" cm="1">
        <f t="array" ref="G1653">INDEX('Linha 03'!$C$2:$ZZ$2,C1653)</f>
        <v>Amaciante Aquafast Energia Cx/06 X 2l</v>
      </c>
      <c r="H1653" s="5" cm="1">
        <f t="array" ref="H1653">INDEX('Linha 03'!$C$4:$ZZ$1000,B1653,C1653)</f>
        <v>0</v>
      </c>
    </row>
    <row r="1654" spans="1:8" x14ac:dyDescent="0.25">
      <c r="A1654">
        <v>1652</v>
      </c>
      <c r="B1654">
        <f t="shared" si="50"/>
        <v>41</v>
      </c>
      <c r="C1654">
        <f t="shared" si="51"/>
        <v>12</v>
      </c>
      <c r="D1654" cm="1">
        <f t="array" ref="D1654">INDEX('Linha 03'!$A$4:$A$1000,B1654)</f>
        <v>20250007</v>
      </c>
      <c r="E1654" t="str" cm="1">
        <f t="array" ref="E1654">INDEX('Linha 03'!$B$4:$B$1000,B1654)</f>
        <v>Neutralizador De Odores Aquafast Marine Cx/06 2l</v>
      </c>
      <c r="F1654" cm="1">
        <f t="array" ref="F1654">INDEX('Linha 03'!$C$3:$ZZ$3,C1654)</f>
        <v>20050010</v>
      </c>
      <c r="G1654" t="str" cm="1">
        <f t="array" ref="G1654">INDEX('Linha 03'!$C$2:$ZZ$2,C1654)</f>
        <v>Desinfetante Aquafast Campos Lavanda Cx/06 X 2l</v>
      </c>
      <c r="H1654" s="5" cm="1">
        <f t="array" ref="H1654">INDEX('Linha 03'!$C$4:$ZZ$1000,B1654,C1654)</f>
        <v>0</v>
      </c>
    </row>
    <row r="1655" spans="1:8" x14ac:dyDescent="0.25">
      <c r="A1655">
        <v>1653</v>
      </c>
      <c r="B1655">
        <f t="shared" si="50"/>
        <v>41</v>
      </c>
      <c r="C1655">
        <f t="shared" si="51"/>
        <v>13</v>
      </c>
      <c r="D1655" cm="1">
        <f t="array" ref="D1655">INDEX('Linha 03'!$A$4:$A$1000,B1655)</f>
        <v>20250007</v>
      </c>
      <c r="E1655" t="str" cm="1">
        <f t="array" ref="E1655">INDEX('Linha 03'!$B$4:$B$1000,B1655)</f>
        <v>Neutralizador De Odores Aquafast Marine Cx/06 2l</v>
      </c>
      <c r="F1655" cm="1">
        <f t="array" ref="F1655">INDEX('Linha 03'!$C$3:$ZZ$3,C1655)</f>
        <v>20050011</v>
      </c>
      <c r="G1655" t="str" cm="1">
        <f t="array" ref="G1655">INDEX('Linha 03'!$C$2:$ZZ$2,C1655)</f>
        <v>Desinfetante Aquafast Jardim Florido Cx/06 X 2l</v>
      </c>
      <c r="H1655" s="5" cm="1">
        <f t="array" ref="H1655">INDEX('Linha 03'!$C$4:$ZZ$1000,B1655,C1655)</f>
        <v>0</v>
      </c>
    </row>
    <row r="1656" spans="1:8" x14ac:dyDescent="0.25">
      <c r="A1656">
        <v>1654</v>
      </c>
      <c r="B1656">
        <f t="shared" si="50"/>
        <v>41</v>
      </c>
      <c r="C1656">
        <f t="shared" si="51"/>
        <v>14</v>
      </c>
      <c r="D1656" cm="1">
        <f t="array" ref="D1656">INDEX('Linha 03'!$A$4:$A$1000,B1656)</f>
        <v>20250007</v>
      </c>
      <c r="E1656" t="str" cm="1">
        <f t="array" ref="E1656">INDEX('Linha 03'!$B$4:$B$1000,B1656)</f>
        <v>Neutralizador De Odores Aquafast Marine Cx/06 2l</v>
      </c>
      <c r="F1656" cm="1">
        <f t="array" ref="F1656">INDEX('Linha 03'!$C$3:$ZZ$3,C1656)</f>
        <v>20050016</v>
      </c>
      <c r="G1656" t="str" cm="1">
        <f t="array" ref="G1656">INDEX('Linha 03'!$C$2:$ZZ$2,C1656)</f>
        <v>Desinfetante Aquafast Marine Cx/06 X 2l</v>
      </c>
      <c r="H1656" s="5" cm="1">
        <f t="array" ref="H1656">INDEX('Linha 03'!$C$4:$ZZ$1000,B1656,C1656)</f>
        <v>0</v>
      </c>
    </row>
    <row r="1657" spans="1:8" x14ac:dyDescent="0.25">
      <c r="A1657">
        <v>1655</v>
      </c>
      <c r="B1657">
        <f t="shared" si="50"/>
        <v>41</v>
      </c>
      <c r="C1657">
        <f t="shared" si="51"/>
        <v>15</v>
      </c>
      <c r="D1657" cm="1">
        <f t="array" ref="D1657">INDEX('Linha 03'!$A$4:$A$1000,B1657)</f>
        <v>20250007</v>
      </c>
      <c r="E1657" t="str" cm="1">
        <f t="array" ref="E1657">INDEX('Linha 03'!$B$4:$B$1000,B1657)</f>
        <v>Neutralizador De Odores Aquafast Marine Cx/06 2l</v>
      </c>
      <c r="F1657" cm="1">
        <f t="array" ref="F1657">INDEX('Linha 03'!$C$3:$ZZ$3,C1657)</f>
        <v>20050031</v>
      </c>
      <c r="G1657" t="str" cm="1">
        <f t="array" ref="G1657">INDEX('Linha 03'!$C$2:$ZZ$2,C1657)</f>
        <v>Desinfetante Ito Lavanda Cx/06 X 2l</v>
      </c>
      <c r="H1657" s="5" cm="1">
        <f t="array" ref="H1657">INDEX('Linha 03'!$C$4:$ZZ$1000,B1657,C1657)</f>
        <v>0</v>
      </c>
    </row>
    <row r="1658" spans="1:8" x14ac:dyDescent="0.25">
      <c r="A1658">
        <v>1656</v>
      </c>
      <c r="B1658">
        <f t="shared" si="50"/>
        <v>41</v>
      </c>
      <c r="C1658">
        <f t="shared" si="51"/>
        <v>16</v>
      </c>
      <c r="D1658" cm="1">
        <f t="array" ref="D1658">INDEX('Linha 03'!$A$4:$A$1000,B1658)</f>
        <v>20250007</v>
      </c>
      <c r="E1658" t="str" cm="1">
        <f t="array" ref="E1658">INDEX('Linha 03'!$B$4:$B$1000,B1658)</f>
        <v>Neutralizador De Odores Aquafast Marine Cx/06 2l</v>
      </c>
      <c r="F1658" cm="1">
        <f t="array" ref="F1658">INDEX('Linha 03'!$C$3:$ZZ$3,C1658)</f>
        <v>20050032</v>
      </c>
      <c r="G1658" t="str" cm="1">
        <f t="array" ref="G1658">INDEX('Linha 03'!$C$2:$ZZ$2,C1658)</f>
        <v>Desinfetante Ito Floral Cx/06 X 2l</v>
      </c>
      <c r="H1658" s="5" cm="1">
        <f t="array" ref="H1658">INDEX('Linha 03'!$C$4:$ZZ$1000,B1658,C1658)</f>
        <v>0</v>
      </c>
    </row>
    <row r="1659" spans="1:8" x14ac:dyDescent="0.25">
      <c r="A1659">
        <v>1657</v>
      </c>
      <c r="B1659">
        <f t="shared" si="50"/>
        <v>41</v>
      </c>
      <c r="C1659">
        <f t="shared" si="51"/>
        <v>17</v>
      </c>
      <c r="D1659" cm="1">
        <f t="array" ref="D1659">INDEX('Linha 03'!$A$4:$A$1000,B1659)</f>
        <v>20250007</v>
      </c>
      <c r="E1659" t="str" cm="1">
        <f t="array" ref="E1659">INDEX('Linha 03'!$B$4:$B$1000,B1659)</f>
        <v>Neutralizador De Odores Aquafast Marine Cx/06 2l</v>
      </c>
      <c r="F1659" cm="1">
        <f t="array" ref="F1659">INDEX('Linha 03'!$C$3:$ZZ$3,C1659)</f>
        <v>20050034</v>
      </c>
      <c r="G1659" t="str" cm="1">
        <f t="array" ref="G1659">INDEX('Linha 03'!$C$2:$ZZ$2,C1659)</f>
        <v>Desinfetante Ito Eucalipto Cx/06 X 2l</v>
      </c>
      <c r="H1659" s="5" cm="1">
        <f t="array" ref="H1659">INDEX('Linha 03'!$C$4:$ZZ$1000,B1659,C1659)</f>
        <v>0</v>
      </c>
    </row>
    <row r="1660" spans="1:8" x14ac:dyDescent="0.25">
      <c r="A1660">
        <v>1658</v>
      </c>
      <c r="B1660">
        <f t="shared" si="50"/>
        <v>41</v>
      </c>
      <c r="C1660">
        <f t="shared" si="51"/>
        <v>18</v>
      </c>
      <c r="D1660" cm="1">
        <f t="array" ref="D1660">INDEX('Linha 03'!$A$4:$A$1000,B1660)</f>
        <v>20250007</v>
      </c>
      <c r="E1660" t="str" cm="1">
        <f t="array" ref="E1660">INDEX('Linha 03'!$B$4:$B$1000,B1660)</f>
        <v>Neutralizador De Odores Aquafast Marine Cx/06 2l</v>
      </c>
      <c r="F1660" cm="1">
        <f t="array" ref="F1660">INDEX('Linha 03'!$C$3:$ZZ$3,C1660)</f>
        <v>20050077</v>
      </c>
      <c r="G1660" t="str" cm="1">
        <f t="array" ref="G1660">INDEX('Linha 03'!$C$2:$ZZ$2,C1660)</f>
        <v>Desinfetante Myata Lavanda Cx/06 X 2l</v>
      </c>
      <c r="H1660" s="5" cm="1">
        <f t="array" ref="H1660">INDEX('Linha 03'!$C$4:$ZZ$1000,B1660,C1660)</f>
        <v>0</v>
      </c>
    </row>
    <row r="1661" spans="1:8" x14ac:dyDescent="0.25">
      <c r="A1661">
        <v>1659</v>
      </c>
      <c r="B1661">
        <f t="shared" si="50"/>
        <v>41</v>
      </c>
      <c r="C1661">
        <f t="shared" si="51"/>
        <v>19</v>
      </c>
      <c r="D1661" cm="1">
        <f t="array" ref="D1661">INDEX('Linha 03'!$A$4:$A$1000,B1661)</f>
        <v>20250007</v>
      </c>
      <c r="E1661" t="str" cm="1">
        <f t="array" ref="E1661">INDEX('Linha 03'!$B$4:$B$1000,B1661)</f>
        <v>Neutralizador De Odores Aquafast Marine Cx/06 2l</v>
      </c>
      <c r="F1661" cm="1">
        <f t="array" ref="F1661">INDEX('Linha 03'!$C$3:$ZZ$3,C1661)</f>
        <v>20050078</v>
      </c>
      <c r="G1661" t="str" cm="1">
        <f t="array" ref="G1661">INDEX('Linha 03'!$C$2:$ZZ$2,C1661)</f>
        <v>Desinfetante Myata Floral Cx/06 X 2l</v>
      </c>
      <c r="H1661" s="5" cm="1">
        <f t="array" ref="H1661">INDEX('Linha 03'!$C$4:$ZZ$1000,B1661,C1661)</f>
        <v>0</v>
      </c>
    </row>
    <row r="1662" spans="1:8" x14ac:dyDescent="0.25">
      <c r="A1662">
        <v>1660</v>
      </c>
      <c r="B1662">
        <f t="shared" si="50"/>
        <v>41</v>
      </c>
      <c r="C1662">
        <f t="shared" si="51"/>
        <v>20</v>
      </c>
      <c r="D1662" cm="1">
        <f t="array" ref="D1662">INDEX('Linha 03'!$A$4:$A$1000,B1662)</f>
        <v>20250007</v>
      </c>
      <c r="E1662" t="str" cm="1">
        <f t="array" ref="E1662">INDEX('Linha 03'!$B$4:$B$1000,B1662)</f>
        <v>Neutralizador De Odores Aquafast Marine Cx/06 2l</v>
      </c>
      <c r="F1662" cm="1">
        <f t="array" ref="F1662">INDEX('Linha 03'!$C$3:$ZZ$3,C1662)</f>
        <v>20050115</v>
      </c>
      <c r="G1662" t="str" cm="1">
        <f t="array" ref="G1662">INDEX('Linha 03'!$C$2:$ZZ$2,C1662)</f>
        <v>Desinfetante Aquafast Paixao Cx/06 X 2l</v>
      </c>
      <c r="H1662" s="5" cm="1">
        <f t="array" ref="H1662">INDEX('Linha 03'!$C$4:$ZZ$1000,B1662,C1662)</f>
        <v>0</v>
      </c>
    </row>
    <row r="1663" spans="1:8" x14ac:dyDescent="0.25">
      <c r="A1663">
        <v>1661</v>
      </c>
      <c r="B1663">
        <f t="shared" si="50"/>
        <v>41</v>
      </c>
      <c r="C1663">
        <f t="shared" si="51"/>
        <v>21</v>
      </c>
      <c r="D1663" cm="1">
        <f t="array" ref="D1663">INDEX('Linha 03'!$A$4:$A$1000,B1663)</f>
        <v>20250007</v>
      </c>
      <c r="E1663" t="str" cm="1">
        <f t="array" ref="E1663">INDEX('Linha 03'!$B$4:$B$1000,B1663)</f>
        <v>Neutralizador De Odores Aquafast Marine Cx/06 2l</v>
      </c>
      <c r="F1663" cm="1">
        <f t="array" ref="F1663">INDEX('Linha 03'!$C$3:$ZZ$3,C1663)</f>
        <v>20050117</v>
      </c>
      <c r="G1663" t="str" cm="1">
        <f t="array" ref="G1663">INDEX('Linha 03'!$C$2:$ZZ$2,C1663)</f>
        <v>Desinfetante Aquafast Harmonia Natural Cx/06 X 2l</v>
      </c>
      <c r="H1663" s="5" cm="1">
        <f t="array" ref="H1663">INDEX('Linha 03'!$C$4:$ZZ$1000,B1663,C1663)</f>
        <v>0</v>
      </c>
    </row>
    <row r="1664" spans="1:8" x14ac:dyDescent="0.25">
      <c r="A1664">
        <v>1662</v>
      </c>
      <c r="B1664">
        <f t="shared" si="50"/>
        <v>41</v>
      </c>
      <c r="C1664">
        <f t="shared" si="51"/>
        <v>22</v>
      </c>
      <c r="D1664" cm="1">
        <f t="array" ref="D1664">INDEX('Linha 03'!$A$4:$A$1000,B1664)</f>
        <v>20250007</v>
      </c>
      <c r="E1664" t="str" cm="1">
        <f t="array" ref="E1664">INDEX('Linha 03'!$B$4:$B$1000,B1664)</f>
        <v>Neutralizador De Odores Aquafast Marine Cx/06 2l</v>
      </c>
      <c r="F1664" cm="1">
        <f t="array" ref="F1664">INDEX('Linha 03'!$C$3:$ZZ$3,C1664)</f>
        <v>20050123</v>
      </c>
      <c r="G1664" t="str" cm="1">
        <f t="array" ref="G1664">INDEX('Linha 03'!$C$2:$ZZ$2,C1664)</f>
        <v>Desinfetante Ito Harmonia Natural Cx/06 X 2l</v>
      </c>
      <c r="H1664" s="5" cm="1">
        <f t="array" ref="H1664">INDEX('Linha 03'!$C$4:$ZZ$1000,B1664,C1664)</f>
        <v>0</v>
      </c>
    </row>
    <row r="1665" spans="1:8" x14ac:dyDescent="0.25">
      <c r="A1665">
        <v>1663</v>
      </c>
      <c r="B1665">
        <f t="shared" si="50"/>
        <v>41</v>
      </c>
      <c r="C1665">
        <f t="shared" si="51"/>
        <v>23</v>
      </c>
      <c r="D1665" cm="1">
        <f t="array" ref="D1665">INDEX('Linha 03'!$A$4:$A$1000,B1665)</f>
        <v>20250007</v>
      </c>
      <c r="E1665" t="str" cm="1">
        <f t="array" ref="E1665">INDEX('Linha 03'!$B$4:$B$1000,B1665)</f>
        <v>Neutralizador De Odores Aquafast Marine Cx/06 2l</v>
      </c>
      <c r="F1665" cm="1">
        <f t="array" ref="F1665">INDEX('Linha 03'!$C$3:$ZZ$3,C1665)</f>
        <v>20050124</v>
      </c>
      <c r="G1665" t="str" cm="1">
        <f t="array" ref="G1665">INDEX('Linha 03'!$C$2:$ZZ$2,C1665)</f>
        <v>Desinfetante Myata Harmonia Natural Cx/06 X 2l</v>
      </c>
      <c r="H1665" s="5" cm="1">
        <f t="array" ref="H1665">INDEX('Linha 03'!$C$4:$ZZ$1000,B1665,C1665)</f>
        <v>0</v>
      </c>
    </row>
    <row r="1666" spans="1:8" x14ac:dyDescent="0.25">
      <c r="A1666">
        <v>1664</v>
      </c>
      <c r="B1666">
        <f t="shared" si="50"/>
        <v>41</v>
      </c>
      <c r="C1666">
        <f t="shared" si="51"/>
        <v>24</v>
      </c>
      <c r="D1666" cm="1">
        <f t="array" ref="D1666">INDEX('Linha 03'!$A$4:$A$1000,B1666)</f>
        <v>20250007</v>
      </c>
      <c r="E1666" t="str" cm="1">
        <f t="array" ref="E1666">INDEX('Linha 03'!$B$4:$B$1000,B1666)</f>
        <v>Neutralizador De Odores Aquafast Marine Cx/06 2l</v>
      </c>
      <c r="F1666" cm="1">
        <f t="array" ref="F1666">INDEX('Linha 03'!$C$3:$ZZ$3,C1666)</f>
        <v>20050142</v>
      </c>
      <c r="G1666" t="str" cm="1">
        <f t="array" ref="G1666">INDEX('Linha 03'!$C$2:$ZZ$2,C1666)</f>
        <v>Desinfetante Ito Marine Cx/06 X 2l</v>
      </c>
      <c r="H1666" s="5" cm="1">
        <f t="array" ref="H1666">INDEX('Linha 03'!$C$4:$ZZ$1000,B1666,C1666)</f>
        <v>0</v>
      </c>
    </row>
    <row r="1667" spans="1:8" x14ac:dyDescent="0.25">
      <c r="A1667">
        <v>1665</v>
      </c>
      <c r="B1667">
        <f t="shared" si="50"/>
        <v>41</v>
      </c>
      <c r="C1667">
        <f t="shared" si="51"/>
        <v>25</v>
      </c>
      <c r="D1667" cm="1">
        <f t="array" ref="D1667">INDEX('Linha 03'!$A$4:$A$1000,B1667)</f>
        <v>20250007</v>
      </c>
      <c r="E1667" t="str" cm="1">
        <f t="array" ref="E1667">INDEX('Linha 03'!$B$4:$B$1000,B1667)</f>
        <v>Neutralizador De Odores Aquafast Marine Cx/06 2l</v>
      </c>
      <c r="F1667" cm="1">
        <f t="array" ref="F1667">INDEX('Linha 03'!$C$3:$ZZ$3,C1667)</f>
        <v>20050159</v>
      </c>
      <c r="G1667" t="str" cm="1">
        <f t="array" ref="G1667">INDEX('Linha 03'!$C$2:$ZZ$2,C1667)</f>
        <v>Desinfetante Aquafast Cha Branco Cx/06 X 2l</v>
      </c>
      <c r="H1667" s="5" cm="1">
        <f t="array" ref="H1667">INDEX('Linha 03'!$C$4:$ZZ$1000,B1667,C1667)</f>
        <v>1.38888888888889E-2</v>
      </c>
    </row>
    <row r="1668" spans="1:8" x14ac:dyDescent="0.25">
      <c r="A1668">
        <v>1666</v>
      </c>
      <c r="B1668">
        <f t="shared" ref="B1668:B1683" si="52">INT((A1668-1)/$B$1)+1</f>
        <v>41</v>
      </c>
      <c r="C1668">
        <f t="shared" ref="C1668:C1683" si="53">MOD(A1668-1,$B$1)+1</f>
        <v>26</v>
      </c>
      <c r="D1668" cm="1">
        <f t="array" ref="D1668">INDEX('Linha 03'!$A$4:$A$1000,B1668)</f>
        <v>20250007</v>
      </c>
      <c r="E1668" t="str" cm="1">
        <f t="array" ref="E1668">INDEX('Linha 03'!$B$4:$B$1000,B1668)</f>
        <v>Neutralizador De Odores Aquafast Marine Cx/06 2l</v>
      </c>
      <c r="F1668" cm="1">
        <f t="array" ref="F1668">INDEX('Linha 03'!$C$3:$ZZ$3,C1668)</f>
        <v>20060007</v>
      </c>
      <c r="G1668" t="str" cm="1">
        <f t="array" ref="G1668">INDEX('Linha 03'!$C$2:$ZZ$2,C1668)</f>
        <v>Limp Perf Aquafast Magia Seducao Cx/06 X 2l (Promoc)</v>
      </c>
      <c r="H1668" s="5" cm="1">
        <f t="array" ref="H1668">INDEX('Linha 03'!$C$4:$ZZ$1000,B1668,C1668)</f>
        <v>0</v>
      </c>
    </row>
    <row r="1669" spans="1:8" x14ac:dyDescent="0.25">
      <c r="A1669">
        <v>1667</v>
      </c>
      <c r="B1669">
        <f t="shared" si="52"/>
        <v>41</v>
      </c>
      <c r="C1669">
        <f t="shared" si="53"/>
        <v>27</v>
      </c>
      <c r="D1669" cm="1">
        <f t="array" ref="D1669">INDEX('Linha 03'!$A$4:$A$1000,B1669)</f>
        <v>20250007</v>
      </c>
      <c r="E1669" t="str" cm="1">
        <f t="array" ref="E1669">INDEX('Linha 03'!$B$4:$B$1000,B1669)</f>
        <v>Neutralizador De Odores Aquafast Marine Cx/06 2l</v>
      </c>
      <c r="F1669" cm="1">
        <f t="array" ref="F1669">INDEX('Linha 03'!$C$3:$ZZ$3,C1669)</f>
        <v>20060009</v>
      </c>
      <c r="G1669" t="str" cm="1">
        <f t="array" ref="G1669">INDEX('Linha 03'!$C$2:$ZZ$2,C1669)</f>
        <v>Limp Perf Aquafast Frescor Da Manha Cx/06 X 2l (Promoc)</v>
      </c>
      <c r="H1669" s="5" cm="1">
        <f t="array" ref="H1669">INDEX('Linha 03'!$C$4:$ZZ$1000,B1669,C1669)</f>
        <v>0</v>
      </c>
    </row>
    <row r="1670" spans="1:8" x14ac:dyDescent="0.25">
      <c r="A1670">
        <v>1668</v>
      </c>
      <c r="B1670">
        <f t="shared" si="52"/>
        <v>41</v>
      </c>
      <c r="C1670">
        <f t="shared" si="53"/>
        <v>28</v>
      </c>
      <c r="D1670" cm="1">
        <f t="array" ref="D1670">INDEX('Linha 03'!$A$4:$A$1000,B1670)</f>
        <v>20250007</v>
      </c>
      <c r="E1670" t="str" cm="1">
        <f t="array" ref="E1670">INDEX('Linha 03'!$B$4:$B$1000,B1670)</f>
        <v>Neutralizador De Odores Aquafast Marine Cx/06 2l</v>
      </c>
      <c r="F1670" cm="1">
        <f t="array" ref="F1670">INDEX('Linha 03'!$C$3:$ZZ$3,C1670)</f>
        <v>20060017</v>
      </c>
      <c r="G1670" t="str" cm="1">
        <f t="array" ref="G1670">INDEX('Linha 03'!$C$2:$ZZ$2,C1670)</f>
        <v>Limp Perf Aquafast Doce Romance Cx/06 X 2l (Promoc)</v>
      </c>
      <c r="H1670" s="5" cm="1">
        <f t="array" ref="H1670">INDEX('Linha 03'!$C$4:$ZZ$1000,B1670,C1670)</f>
        <v>0</v>
      </c>
    </row>
    <row r="1671" spans="1:8" x14ac:dyDescent="0.25">
      <c r="A1671">
        <v>1669</v>
      </c>
      <c r="B1671">
        <f t="shared" si="52"/>
        <v>41</v>
      </c>
      <c r="C1671">
        <f t="shared" si="53"/>
        <v>29</v>
      </c>
      <c r="D1671" cm="1">
        <f t="array" ref="D1671">INDEX('Linha 03'!$A$4:$A$1000,B1671)</f>
        <v>20250007</v>
      </c>
      <c r="E1671" t="str" cm="1">
        <f t="array" ref="E1671">INDEX('Linha 03'!$B$4:$B$1000,B1671)</f>
        <v>Neutralizador De Odores Aquafast Marine Cx/06 2l</v>
      </c>
      <c r="F1671" cm="1">
        <f t="array" ref="F1671">INDEX('Linha 03'!$C$3:$ZZ$3,C1671)</f>
        <v>20060028</v>
      </c>
      <c r="G1671" t="str" cm="1">
        <f t="array" ref="G1671">INDEX('Linha 03'!$C$2:$ZZ$2,C1671)</f>
        <v>Limp Perf Aquafast Essencia Natural Cx06 X 2l</v>
      </c>
      <c r="H1671" s="5" cm="1">
        <f t="array" ref="H1671">INDEX('Linha 03'!$C$4:$ZZ$1000,B1671,C1671)</f>
        <v>0</v>
      </c>
    </row>
    <row r="1672" spans="1:8" x14ac:dyDescent="0.25">
      <c r="A1672">
        <v>1670</v>
      </c>
      <c r="B1672">
        <f t="shared" si="52"/>
        <v>41</v>
      </c>
      <c r="C1672">
        <f t="shared" si="53"/>
        <v>30</v>
      </c>
      <c r="D1672" cm="1">
        <f t="array" ref="D1672">INDEX('Linha 03'!$A$4:$A$1000,B1672)</f>
        <v>20250007</v>
      </c>
      <c r="E1672" t="str" cm="1">
        <f t="array" ref="E1672">INDEX('Linha 03'!$B$4:$B$1000,B1672)</f>
        <v>Neutralizador De Odores Aquafast Marine Cx/06 2l</v>
      </c>
      <c r="F1672" cm="1">
        <f t="array" ref="F1672">INDEX('Linha 03'!$C$3:$ZZ$3,C1672)</f>
        <v>20200003</v>
      </c>
      <c r="G1672" t="str" cm="1">
        <f t="array" ref="G1672">INDEX('Linha 03'!$C$2:$ZZ$2,C1672)</f>
        <v>Lava Roup. Aquafast Baby Cx/12 X 1l</v>
      </c>
      <c r="H1672" s="5" cm="1">
        <f t="array" ref="H1672">INDEX('Linha 03'!$C$4:$ZZ$1000,B1672,C1672)</f>
        <v>0</v>
      </c>
    </row>
    <row r="1673" spans="1:8" x14ac:dyDescent="0.25">
      <c r="A1673">
        <v>1671</v>
      </c>
      <c r="B1673">
        <f t="shared" si="52"/>
        <v>41</v>
      </c>
      <c r="C1673">
        <f t="shared" si="53"/>
        <v>31</v>
      </c>
      <c r="D1673" cm="1">
        <f t="array" ref="D1673">INDEX('Linha 03'!$A$4:$A$1000,B1673)</f>
        <v>20250007</v>
      </c>
      <c r="E1673" t="str" cm="1">
        <f t="array" ref="E1673">INDEX('Linha 03'!$B$4:$B$1000,B1673)</f>
        <v>Neutralizador De Odores Aquafast Marine Cx/06 2l</v>
      </c>
      <c r="F1673" cm="1">
        <f t="array" ref="F1673">INDEX('Linha 03'!$C$3:$ZZ$3,C1673)</f>
        <v>20200005</v>
      </c>
      <c r="G1673" t="str" cm="1">
        <f t="array" ref="G1673">INDEX('Linha 03'!$C$2:$ZZ$2,C1673)</f>
        <v>Lava Roupas Aquafast Multi Acao Cx/06 X 2l</v>
      </c>
      <c r="H1673" s="5" cm="1">
        <f t="array" ref="H1673">INDEX('Linha 03'!$C$4:$ZZ$1000,B1673,C1673)</f>
        <v>0</v>
      </c>
    </row>
    <row r="1674" spans="1:8" x14ac:dyDescent="0.25">
      <c r="A1674">
        <v>1672</v>
      </c>
      <c r="B1674">
        <f t="shared" si="52"/>
        <v>41</v>
      </c>
      <c r="C1674">
        <f t="shared" si="53"/>
        <v>32</v>
      </c>
      <c r="D1674" cm="1">
        <f t="array" ref="D1674">INDEX('Linha 03'!$A$4:$A$1000,B1674)</f>
        <v>20250007</v>
      </c>
      <c r="E1674" t="str" cm="1">
        <f t="array" ref="E1674">INDEX('Linha 03'!$B$4:$B$1000,B1674)</f>
        <v>Neutralizador De Odores Aquafast Marine Cx/06 2l</v>
      </c>
      <c r="F1674" cm="1">
        <f t="array" ref="F1674">INDEX('Linha 03'!$C$3:$ZZ$3,C1674)</f>
        <v>20200006</v>
      </c>
      <c r="G1674" t="str" cm="1">
        <f t="array" ref="G1674">INDEX('Linha 03'!$C$2:$ZZ$2,C1674)</f>
        <v>Lava Roupas Aquafast Glicerina Cx/06 X 2l</v>
      </c>
      <c r="H1674" s="5" cm="1">
        <f t="array" ref="H1674">INDEX('Linha 03'!$C$4:$ZZ$1000,B1674,C1674)</f>
        <v>0</v>
      </c>
    </row>
    <row r="1675" spans="1:8" x14ac:dyDescent="0.25">
      <c r="A1675">
        <v>1673</v>
      </c>
      <c r="B1675">
        <f t="shared" si="52"/>
        <v>41</v>
      </c>
      <c r="C1675">
        <f t="shared" si="53"/>
        <v>33</v>
      </c>
      <c r="D1675" cm="1">
        <f t="array" ref="D1675">INDEX('Linha 03'!$A$4:$A$1000,B1675)</f>
        <v>20250007</v>
      </c>
      <c r="E1675" t="str" cm="1">
        <f t="array" ref="E1675">INDEX('Linha 03'!$B$4:$B$1000,B1675)</f>
        <v>Neutralizador De Odores Aquafast Marine Cx/06 2l</v>
      </c>
      <c r="F1675" cm="1">
        <f t="array" ref="F1675">INDEX('Linha 03'!$C$3:$ZZ$3,C1675)</f>
        <v>20200015</v>
      </c>
      <c r="G1675" t="str" cm="1">
        <f t="array" ref="G1675">INDEX('Linha 03'!$C$2:$ZZ$2,C1675)</f>
        <v>Lava Roup. Aquafast Multiacao Cx/12 X 1l</v>
      </c>
      <c r="H1675" s="5" cm="1">
        <f t="array" ref="H1675">INDEX('Linha 03'!$C$4:$ZZ$1000,B1675,C1675)</f>
        <v>0</v>
      </c>
    </row>
    <row r="1676" spans="1:8" x14ac:dyDescent="0.25">
      <c r="A1676">
        <v>1674</v>
      </c>
      <c r="B1676">
        <f t="shared" si="52"/>
        <v>41</v>
      </c>
      <c r="C1676">
        <f t="shared" si="53"/>
        <v>34</v>
      </c>
      <c r="D1676" cm="1">
        <f t="array" ref="D1676">INDEX('Linha 03'!$A$4:$A$1000,B1676)</f>
        <v>20250007</v>
      </c>
      <c r="E1676" t="str" cm="1">
        <f t="array" ref="E1676">INDEX('Linha 03'!$B$4:$B$1000,B1676)</f>
        <v>Neutralizador De Odores Aquafast Marine Cx/06 2l</v>
      </c>
      <c r="F1676" cm="1">
        <f t="array" ref="F1676">INDEX('Linha 03'!$C$3:$ZZ$3,C1676)</f>
        <v>20200036</v>
      </c>
      <c r="G1676" t="str" cm="1">
        <f t="array" ref="G1676">INDEX('Linha 03'!$C$2:$ZZ$2,C1676)</f>
        <v>Lava Roupas Aquafast Ternura Cx/06 X 2l</v>
      </c>
      <c r="H1676" s="5" cm="1">
        <f t="array" ref="H1676">INDEX('Linha 03'!$C$4:$ZZ$1000,B1676,C1676)</f>
        <v>0</v>
      </c>
    </row>
    <row r="1677" spans="1:8" x14ac:dyDescent="0.25">
      <c r="A1677">
        <v>1675</v>
      </c>
      <c r="B1677">
        <f t="shared" si="52"/>
        <v>41</v>
      </c>
      <c r="C1677">
        <f t="shared" si="53"/>
        <v>35</v>
      </c>
      <c r="D1677" cm="1">
        <f t="array" ref="D1677">INDEX('Linha 03'!$A$4:$A$1000,B1677)</f>
        <v>20250007</v>
      </c>
      <c r="E1677" t="str" cm="1">
        <f t="array" ref="E1677">INDEX('Linha 03'!$B$4:$B$1000,B1677)</f>
        <v>Neutralizador De Odores Aquafast Marine Cx/06 2l</v>
      </c>
      <c r="F1677" cm="1">
        <f t="array" ref="F1677">INDEX('Linha 03'!$C$3:$ZZ$3,C1677)</f>
        <v>20200063</v>
      </c>
      <c r="G1677" t="str" cm="1">
        <f t="array" ref="G1677">INDEX('Linha 03'!$C$2:$ZZ$2,C1677)</f>
        <v>Lava Roup. Aquafast Tradicional Cx/12 X 1l</v>
      </c>
      <c r="H1677" s="5" cm="1">
        <f t="array" ref="H1677">INDEX('Linha 03'!$C$4:$ZZ$1000,B1677,C1677)</f>
        <v>0</v>
      </c>
    </row>
    <row r="1678" spans="1:8" x14ac:dyDescent="0.25">
      <c r="A1678">
        <v>1676</v>
      </c>
      <c r="B1678">
        <f t="shared" si="52"/>
        <v>41</v>
      </c>
      <c r="C1678">
        <f t="shared" si="53"/>
        <v>36</v>
      </c>
      <c r="D1678" cm="1">
        <f t="array" ref="D1678">INDEX('Linha 03'!$A$4:$A$1000,B1678)</f>
        <v>20250007</v>
      </c>
      <c r="E1678" t="str" cm="1">
        <f t="array" ref="E1678">INDEX('Linha 03'!$B$4:$B$1000,B1678)</f>
        <v>Neutralizador De Odores Aquafast Marine Cx/06 2l</v>
      </c>
      <c r="F1678" cm="1">
        <f t="array" ref="F1678">INDEX('Linha 03'!$C$3:$ZZ$3,C1678)</f>
        <v>20200064</v>
      </c>
      <c r="G1678" t="str" cm="1">
        <f t="array" ref="G1678">INDEX('Linha 03'!$C$2:$ZZ$2,C1678)</f>
        <v>Lava Roup. Aquafast Flores B. E Baunilha Cx/12 X 1l</v>
      </c>
      <c r="H1678" s="5" cm="1">
        <f t="array" ref="H1678">INDEX('Linha 03'!$C$4:$ZZ$1000,B1678,C1678)</f>
        <v>0</v>
      </c>
    </row>
    <row r="1679" spans="1:8" x14ac:dyDescent="0.25">
      <c r="A1679">
        <v>1677</v>
      </c>
      <c r="B1679">
        <f t="shared" si="52"/>
        <v>41</v>
      </c>
      <c r="C1679">
        <f t="shared" si="53"/>
        <v>37</v>
      </c>
      <c r="D1679" cm="1">
        <f t="array" ref="D1679">INDEX('Linha 03'!$A$4:$A$1000,B1679)</f>
        <v>20250007</v>
      </c>
      <c r="E1679" t="str" cm="1">
        <f t="array" ref="E1679">INDEX('Linha 03'!$B$4:$B$1000,B1679)</f>
        <v>Neutralizador De Odores Aquafast Marine Cx/06 2l</v>
      </c>
      <c r="F1679" cm="1">
        <f t="array" ref="F1679">INDEX('Linha 03'!$C$3:$ZZ$3,C1679)</f>
        <v>20200065</v>
      </c>
      <c r="G1679" t="str" cm="1">
        <f t="array" ref="G1679">INDEX('Linha 03'!$C$2:$ZZ$2,C1679)</f>
        <v>Lava Roupas Aquafast Flores B. E Baunilha Cx/06 X 2l</v>
      </c>
      <c r="H1679" s="5" cm="1">
        <f t="array" ref="H1679">INDEX('Linha 03'!$C$4:$ZZ$1000,B1679,C1679)</f>
        <v>0</v>
      </c>
    </row>
    <row r="1680" spans="1:8" x14ac:dyDescent="0.25">
      <c r="A1680">
        <v>1678</v>
      </c>
      <c r="B1680">
        <f t="shared" si="52"/>
        <v>41</v>
      </c>
      <c r="C1680">
        <f t="shared" si="53"/>
        <v>38</v>
      </c>
      <c r="D1680" cm="1">
        <f t="array" ref="D1680">INDEX('Linha 03'!$A$4:$A$1000,B1680)</f>
        <v>20250007</v>
      </c>
      <c r="E1680" t="str" cm="1">
        <f t="array" ref="E1680">INDEX('Linha 03'!$B$4:$B$1000,B1680)</f>
        <v>Neutralizador De Odores Aquafast Marine Cx/06 2l</v>
      </c>
      <c r="F1680" cm="1">
        <f t="array" ref="F1680">INDEX('Linha 03'!$C$3:$ZZ$3,C1680)</f>
        <v>20200072</v>
      </c>
      <c r="G1680" t="str" cm="1">
        <f t="array" ref="G1680">INDEX('Linha 03'!$C$2:$ZZ$2,C1680)</f>
        <v>Lava Roupas Aquafast Lavagem Rapida Total Clean Cx/12 X 1l</v>
      </c>
      <c r="H1680" s="5" cm="1">
        <f t="array" ref="H1680">INDEX('Linha 03'!$C$4:$ZZ$1000,B1680,C1680)</f>
        <v>0</v>
      </c>
    </row>
    <row r="1681" spans="1:8" x14ac:dyDescent="0.25">
      <c r="A1681">
        <v>1679</v>
      </c>
      <c r="B1681">
        <f t="shared" si="52"/>
        <v>41</v>
      </c>
      <c r="C1681">
        <f t="shared" si="53"/>
        <v>39</v>
      </c>
      <c r="D1681" cm="1">
        <f t="array" ref="D1681">INDEX('Linha 03'!$A$4:$A$1000,B1681)</f>
        <v>20250007</v>
      </c>
      <c r="E1681" t="str" cm="1">
        <f t="array" ref="E1681">INDEX('Linha 03'!$B$4:$B$1000,B1681)</f>
        <v>Neutralizador De Odores Aquafast Marine Cx/06 2l</v>
      </c>
      <c r="F1681" cm="1">
        <f t="array" ref="F1681">INDEX('Linha 03'!$C$3:$ZZ$3,C1681)</f>
        <v>20200074</v>
      </c>
      <c r="G1681" t="str" cm="1">
        <f t="array" ref="G1681">INDEX('Linha 03'!$C$2:$ZZ$2,C1681)</f>
        <v>Lava Roupas Aquafast Lavagem Rapida Fresh Clean Cx/12 X 1l</v>
      </c>
      <c r="H1681" s="5" cm="1">
        <f t="array" ref="H1681">INDEX('Linha 03'!$C$4:$ZZ$1000,B1681,C1681)</f>
        <v>0</v>
      </c>
    </row>
    <row r="1682" spans="1:8" x14ac:dyDescent="0.25">
      <c r="A1682">
        <v>1680</v>
      </c>
      <c r="B1682">
        <f t="shared" si="52"/>
        <v>41</v>
      </c>
      <c r="C1682">
        <f t="shared" si="53"/>
        <v>40</v>
      </c>
      <c r="D1682" cm="1">
        <f t="array" ref="D1682">INDEX('Linha 03'!$A$4:$A$1000,B1682)</f>
        <v>20250007</v>
      </c>
      <c r="E1682" t="str" cm="1">
        <f t="array" ref="E1682">INDEX('Linha 03'!$B$4:$B$1000,B1682)</f>
        <v>Neutralizador De Odores Aquafast Marine Cx/06 2l</v>
      </c>
      <c r="F1682" cm="1">
        <f t="array" ref="F1682">INDEX('Linha 03'!$C$3:$ZZ$3,C1682)</f>
        <v>20250005</v>
      </c>
      <c r="G1682" t="str" cm="1">
        <f t="array" ref="G1682">INDEX('Linha 03'!$C$2:$ZZ$2,C1682)</f>
        <v>Neutralizador De Odores Aquafast Floral Cx/06 X 2l</v>
      </c>
      <c r="H1682" s="5" cm="1">
        <f t="array" ref="H1682">INDEX('Linha 03'!$C$4:$ZZ$1000,B1682,C1682)</f>
        <v>0</v>
      </c>
    </row>
    <row r="1683" spans="1:8" x14ac:dyDescent="0.25">
      <c r="A1683">
        <v>1681</v>
      </c>
      <c r="B1683">
        <f t="shared" si="52"/>
        <v>41</v>
      </c>
      <c r="C1683">
        <f t="shared" si="53"/>
        <v>41</v>
      </c>
      <c r="D1683" cm="1">
        <f t="array" ref="D1683">INDEX('Linha 03'!$A$4:$A$1000,B1683)</f>
        <v>20250007</v>
      </c>
      <c r="E1683" t="str" cm="1">
        <f t="array" ref="E1683">INDEX('Linha 03'!$B$4:$B$1000,B1683)</f>
        <v>Neutralizador De Odores Aquafast Marine Cx/06 2l</v>
      </c>
      <c r="F1683" cm="1">
        <f t="array" ref="F1683">INDEX('Linha 03'!$C$3:$ZZ$3,C1683)</f>
        <v>20250007</v>
      </c>
      <c r="G1683" t="str" cm="1">
        <f t="array" ref="G1683">INDEX('Linha 03'!$C$2:$ZZ$2,C1683)</f>
        <v>Neutralizador De Odores Aquafast Marine Cx/06 2l</v>
      </c>
      <c r="H1683" s="5" cm="1">
        <f t="array" ref="H1683">INDEX('Linha 03'!$C$4:$ZZ$1000,B1683,C1683)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3BDC-C275-4BC1-A18A-C574E118AA54}">
  <dimension ref="A1:AD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C30" sqref="AC30"/>
    </sheetView>
  </sheetViews>
  <sheetFormatPr defaultRowHeight="15" x14ac:dyDescent="0.25"/>
  <cols>
    <col min="1" max="1" width="10.28515625" customWidth="1"/>
    <col min="2" max="2" width="51.140625" bestFit="1" customWidth="1"/>
  </cols>
  <sheetData>
    <row r="1" spans="1:30" ht="48" x14ac:dyDescent="0.25">
      <c r="A1" t="s">
        <v>222</v>
      </c>
      <c r="B1" t="s">
        <v>223</v>
      </c>
      <c r="C1" s="25" t="s">
        <v>224</v>
      </c>
      <c r="D1" s="25" t="s">
        <v>225</v>
      </c>
      <c r="E1" s="25" t="s">
        <v>226</v>
      </c>
      <c r="F1" s="25" t="s">
        <v>227</v>
      </c>
      <c r="G1" s="25" t="s">
        <v>228</v>
      </c>
      <c r="H1" s="25" t="s">
        <v>229</v>
      </c>
      <c r="I1" s="25" t="s">
        <v>230</v>
      </c>
      <c r="J1" s="25" t="s">
        <v>231</v>
      </c>
      <c r="K1" s="25" t="s">
        <v>232</v>
      </c>
      <c r="L1" s="25" t="s">
        <v>233</v>
      </c>
      <c r="M1" s="25" t="s">
        <v>234</v>
      </c>
      <c r="N1" s="25" t="s">
        <v>235</v>
      </c>
      <c r="O1" s="25" t="s">
        <v>236</v>
      </c>
      <c r="P1" s="25" t="s">
        <v>237</v>
      </c>
      <c r="Q1" s="25" t="s">
        <v>238</v>
      </c>
      <c r="R1" s="25" t="s">
        <v>239</v>
      </c>
      <c r="S1" s="25" t="s">
        <v>240</v>
      </c>
      <c r="T1" s="25" t="s">
        <v>241</v>
      </c>
      <c r="U1" s="25" t="s">
        <v>242</v>
      </c>
      <c r="V1" s="25" t="s">
        <v>243</v>
      </c>
      <c r="W1" s="25" t="s">
        <v>244</v>
      </c>
      <c r="X1" s="25" t="s">
        <v>245</v>
      </c>
      <c r="Y1" s="25" t="s">
        <v>246</v>
      </c>
      <c r="Z1" s="25" t="s">
        <v>247</v>
      </c>
      <c r="AA1" s="25" t="s">
        <v>248</v>
      </c>
      <c r="AB1" s="25" t="s">
        <v>249</v>
      </c>
      <c r="AC1" s="25" t="s">
        <v>250</v>
      </c>
      <c r="AD1" s="25" t="s">
        <v>251</v>
      </c>
    </row>
    <row r="2" spans="1:30" ht="268.5" x14ac:dyDescent="0.25">
      <c r="C2" s="25" t="s">
        <v>12</v>
      </c>
      <c r="D2" s="25" t="s">
        <v>14</v>
      </c>
      <c r="E2" s="25" t="s">
        <v>15</v>
      </c>
      <c r="F2" s="25" t="s">
        <v>16</v>
      </c>
      <c r="G2" s="25" t="s">
        <v>21</v>
      </c>
      <c r="H2" s="25" t="s">
        <v>22</v>
      </c>
      <c r="I2" s="25" t="s">
        <v>23</v>
      </c>
      <c r="J2" s="25" t="s">
        <v>24</v>
      </c>
      <c r="K2" s="25" t="s">
        <v>25</v>
      </c>
      <c r="L2" s="25" t="s">
        <v>26</v>
      </c>
      <c r="M2" s="25" t="s">
        <v>27</v>
      </c>
      <c r="N2" s="25" t="s">
        <v>28</v>
      </c>
      <c r="O2" s="25" t="s">
        <v>30</v>
      </c>
      <c r="P2" s="25" t="s">
        <v>31</v>
      </c>
      <c r="Q2" s="25" t="s">
        <v>32</v>
      </c>
      <c r="R2" s="25" t="s">
        <v>33</v>
      </c>
      <c r="S2" s="25" t="s">
        <v>53</v>
      </c>
      <c r="T2" s="25" t="s">
        <v>57</v>
      </c>
      <c r="U2" s="25" t="s">
        <v>68</v>
      </c>
      <c r="V2" s="25" t="s">
        <v>74</v>
      </c>
      <c r="W2" s="25" t="s">
        <v>75</v>
      </c>
      <c r="X2" s="25" t="s">
        <v>76</v>
      </c>
      <c r="Y2" s="25" t="s">
        <v>77</v>
      </c>
      <c r="Z2" s="25" t="s">
        <v>78</v>
      </c>
      <c r="AA2" s="25" t="s">
        <v>79</v>
      </c>
      <c r="AB2" s="25" t="s">
        <v>80</v>
      </c>
      <c r="AC2" s="25" t="s">
        <v>81</v>
      </c>
      <c r="AD2" s="25" t="s">
        <v>82</v>
      </c>
    </row>
    <row r="3" spans="1:30" ht="47.25" x14ac:dyDescent="0.25">
      <c r="C3" s="26">
        <v>20030001</v>
      </c>
      <c r="D3" s="26">
        <v>20030002</v>
      </c>
      <c r="E3" s="26">
        <v>20030003</v>
      </c>
      <c r="F3" s="26">
        <v>20030004</v>
      </c>
      <c r="G3" s="26">
        <v>20030011</v>
      </c>
      <c r="H3" s="26">
        <v>20030012</v>
      </c>
      <c r="I3" s="26">
        <v>20030013</v>
      </c>
      <c r="J3" s="26">
        <v>20030014</v>
      </c>
      <c r="K3" s="26">
        <v>20030020</v>
      </c>
      <c r="L3" s="26">
        <v>20030021</v>
      </c>
      <c r="M3" s="26">
        <v>20030022</v>
      </c>
      <c r="N3" s="26">
        <v>20030023</v>
      </c>
      <c r="O3" s="26">
        <v>20030038</v>
      </c>
      <c r="P3" s="26">
        <v>20030039</v>
      </c>
      <c r="Q3" s="26">
        <v>20030040</v>
      </c>
      <c r="R3" s="26">
        <v>20030067</v>
      </c>
      <c r="S3" s="26">
        <v>20050001</v>
      </c>
      <c r="T3" s="26">
        <v>20050026</v>
      </c>
      <c r="U3" s="26">
        <v>20050119</v>
      </c>
      <c r="V3" s="26">
        <v>20050145</v>
      </c>
      <c r="W3" s="26">
        <v>20050149</v>
      </c>
      <c r="X3" s="26">
        <v>20050150</v>
      </c>
      <c r="Y3" s="26">
        <v>20050151</v>
      </c>
      <c r="Z3" s="26">
        <v>20050152</v>
      </c>
      <c r="AA3" s="26">
        <v>20050153</v>
      </c>
      <c r="AB3" s="26">
        <v>20050155</v>
      </c>
      <c r="AC3" s="26">
        <v>20050156</v>
      </c>
      <c r="AD3" s="26">
        <v>20050157</v>
      </c>
    </row>
    <row r="4" spans="1:30" x14ac:dyDescent="0.25">
      <c r="A4" s="2">
        <v>20030001</v>
      </c>
      <c r="B4" s="3" t="s">
        <v>12</v>
      </c>
      <c r="C4" s="5">
        <v>0</v>
      </c>
    </row>
    <row r="5" spans="1:30" x14ac:dyDescent="0.25">
      <c r="A5" s="2">
        <v>20030002</v>
      </c>
      <c r="B5" s="3" t="s">
        <v>14</v>
      </c>
      <c r="D5" s="5">
        <v>0</v>
      </c>
    </row>
    <row r="6" spans="1:30" x14ac:dyDescent="0.25">
      <c r="A6" s="2">
        <v>20030003</v>
      </c>
      <c r="B6" s="3" t="s">
        <v>15</v>
      </c>
      <c r="E6" s="5">
        <v>0</v>
      </c>
    </row>
    <row r="7" spans="1:30" x14ac:dyDescent="0.25">
      <c r="A7" s="2">
        <v>20030004</v>
      </c>
      <c r="B7" s="3" t="s">
        <v>16</v>
      </c>
      <c r="F7" s="5">
        <v>0</v>
      </c>
    </row>
    <row r="8" spans="1:30" x14ac:dyDescent="0.25">
      <c r="A8" s="2">
        <v>20030011</v>
      </c>
      <c r="B8" s="3" t="s">
        <v>21</v>
      </c>
      <c r="G8" s="5">
        <v>0</v>
      </c>
    </row>
    <row r="9" spans="1:30" x14ac:dyDescent="0.25">
      <c r="A9" s="2">
        <v>20030012</v>
      </c>
      <c r="B9" s="3" t="s">
        <v>22</v>
      </c>
      <c r="H9" s="5">
        <v>0</v>
      </c>
    </row>
    <row r="10" spans="1:30" x14ac:dyDescent="0.25">
      <c r="A10" s="2">
        <v>20030013</v>
      </c>
      <c r="B10" s="3" t="s">
        <v>23</v>
      </c>
      <c r="I10" s="5">
        <v>0</v>
      </c>
    </row>
    <row r="11" spans="1:30" x14ac:dyDescent="0.25">
      <c r="A11" s="2">
        <v>20030014</v>
      </c>
      <c r="B11" s="3" t="s">
        <v>24</v>
      </c>
      <c r="J11" s="5">
        <v>0</v>
      </c>
    </row>
    <row r="12" spans="1:30" x14ac:dyDescent="0.25">
      <c r="A12" s="2">
        <v>20030020</v>
      </c>
      <c r="B12" s="3" t="s">
        <v>25</v>
      </c>
      <c r="K12" s="5">
        <v>0</v>
      </c>
    </row>
    <row r="13" spans="1:30" x14ac:dyDescent="0.25">
      <c r="A13" s="2">
        <v>20030021</v>
      </c>
      <c r="B13" s="3" t="s">
        <v>26</v>
      </c>
      <c r="L13" s="5">
        <v>0</v>
      </c>
    </row>
    <row r="14" spans="1:30" x14ac:dyDescent="0.25">
      <c r="A14" s="2">
        <v>20030022</v>
      </c>
      <c r="B14" s="3" t="s">
        <v>27</v>
      </c>
      <c r="M14" s="5">
        <v>0</v>
      </c>
    </row>
    <row r="15" spans="1:30" x14ac:dyDescent="0.25">
      <c r="A15" s="2">
        <v>20030023</v>
      </c>
      <c r="B15" s="3" t="s">
        <v>28</v>
      </c>
      <c r="N15" s="5">
        <v>0</v>
      </c>
    </row>
    <row r="16" spans="1:30" x14ac:dyDescent="0.25">
      <c r="A16" s="2">
        <v>20030038</v>
      </c>
      <c r="B16" s="3" t="s">
        <v>30</v>
      </c>
      <c r="O16" s="5">
        <v>0</v>
      </c>
    </row>
    <row r="17" spans="1:30" x14ac:dyDescent="0.25">
      <c r="A17" s="2">
        <v>20030039</v>
      </c>
      <c r="B17" s="3" t="s">
        <v>31</v>
      </c>
      <c r="P17" s="5">
        <v>0</v>
      </c>
    </row>
    <row r="18" spans="1:30" x14ac:dyDescent="0.25">
      <c r="A18" s="2">
        <v>20030040</v>
      </c>
      <c r="B18" s="3" t="s">
        <v>32</v>
      </c>
      <c r="Q18" s="5">
        <v>0</v>
      </c>
    </row>
    <row r="19" spans="1:30" x14ac:dyDescent="0.25">
      <c r="A19" s="2">
        <v>20030067</v>
      </c>
      <c r="B19" s="3" t="s">
        <v>33</v>
      </c>
      <c r="R19" s="5">
        <v>0</v>
      </c>
    </row>
    <row r="20" spans="1:30" x14ac:dyDescent="0.25">
      <c r="A20" s="2">
        <v>20050001</v>
      </c>
      <c r="B20" s="3" t="s">
        <v>53</v>
      </c>
      <c r="S20" s="5">
        <v>0</v>
      </c>
    </row>
    <row r="21" spans="1:30" x14ac:dyDescent="0.25">
      <c r="A21" s="2">
        <v>20050026</v>
      </c>
      <c r="B21" s="3" t="s">
        <v>57</v>
      </c>
      <c r="T21" s="5">
        <v>0</v>
      </c>
    </row>
    <row r="22" spans="1:30" x14ac:dyDescent="0.25">
      <c r="A22" s="2">
        <v>20050119</v>
      </c>
      <c r="B22" s="3" t="s">
        <v>68</v>
      </c>
      <c r="U22" s="5">
        <v>0</v>
      </c>
    </row>
    <row r="23" spans="1:30" x14ac:dyDescent="0.25">
      <c r="A23" s="2">
        <v>20050145</v>
      </c>
      <c r="B23" s="3" t="s">
        <v>74</v>
      </c>
      <c r="V23" s="5">
        <v>0</v>
      </c>
    </row>
    <row r="24" spans="1:30" x14ac:dyDescent="0.25">
      <c r="A24" s="2">
        <v>20050149</v>
      </c>
      <c r="B24" s="3" t="s">
        <v>75</v>
      </c>
      <c r="W24" s="5">
        <v>0</v>
      </c>
    </row>
    <row r="25" spans="1:30" x14ac:dyDescent="0.25">
      <c r="A25" s="2">
        <v>20050150</v>
      </c>
      <c r="B25" s="3" t="s">
        <v>76</v>
      </c>
      <c r="X25" s="5">
        <v>0</v>
      </c>
    </row>
    <row r="26" spans="1:30" x14ac:dyDescent="0.25">
      <c r="A26" s="2">
        <v>20050151</v>
      </c>
      <c r="B26" s="3" t="s">
        <v>77</v>
      </c>
      <c r="Y26" s="5">
        <v>0</v>
      </c>
    </row>
    <row r="27" spans="1:30" x14ac:dyDescent="0.25">
      <c r="A27" s="2">
        <v>20050152</v>
      </c>
      <c r="B27" s="3" t="s">
        <v>78</v>
      </c>
      <c r="Z27" s="5">
        <v>0</v>
      </c>
    </row>
    <row r="28" spans="1:30" x14ac:dyDescent="0.25">
      <c r="A28" s="2">
        <v>20050153</v>
      </c>
      <c r="B28" s="3" t="s">
        <v>79</v>
      </c>
      <c r="AA28" s="5">
        <v>0</v>
      </c>
    </row>
    <row r="29" spans="1:30" x14ac:dyDescent="0.25">
      <c r="A29" s="2">
        <v>20050155</v>
      </c>
      <c r="B29" s="3" t="s">
        <v>80</v>
      </c>
      <c r="AB29" s="5">
        <v>0</v>
      </c>
    </row>
    <row r="30" spans="1:30" x14ac:dyDescent="0.25">
      <c r="A30" s="2">
        <v>20050156</v>
      </c>
      <c r="B30" s="3" t="s">
        <v>81</v>
      </c>
      <c r="AC30" s="5">
        <v>0</v>
      </c>
    </row>
    <row r="31" spans="1:30" x14ac:dyDescent="0.25">
      <c r="A31" s="2">
        <v>20050157</v>
      </c>
      <c r="B31" s="3" t="s">
        <v>82</v>
      </c>
      <c r="AD31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3E8E-D610-47BD-A22E-5E781D16097C}">
  <dimension ref="A1:H1683"/>
  <sheetViews>
    <sheetView workbookViewId="0">
      <selection activeCell="D8" sqref="D8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04'!B:B)-1</f>
        <v>28</v>
      </c>
      <c r="B1">
        <f>COUNTA('Linha 04'!2:2)</f>
        <v>28</v>
      </c>
      <c r="C1">
        <f>A1*B1</f>
        <v>784</v>
      </c>
    </row>
    <row r="3" spans="1:8" x14ac:dyDescent="0.25">
      <c r="A3" cm="1">
        <f t="array" ref="A3:A786">_xlfn.SEQUENCE($C$1)</f>
        <v>1</v>
      </c>
      <c r="B3">
        <f>INT((A3-1)/$B$1)+1</f>
        <v>1</v>
      </c>
      <c r="C3">
        <f>MOD(A3-1,$B$1)+1</f>
        <v>1</v>
      </c>
      <c r="D3" cm="1">
        <f t="array" ref="D3">INDEX('Linha 04'!$A$4:$A$1000,B3)</f>
        <v>20030001</v>
      </c>
      <c r="E3" t="str" cm="1">
        <f t="array" ref="E3">INDEX('Linha 04'!$B$4:$B$1000,B3)</f>
        <v>Detergente Aquafast Maca Cx/24 X 500ml</v>
      </c>
      <c r="F3" cm="1">
        <f t="array" ref="F3">INDEX('Linha 04'!$C$3:$ZZ$3,C3)</f>
        <v>20030001</v>
      </c>
      <c r="G3" t="str" cm="1">
        <f t="array" ref="G3">INDEX('Linha 04'!$C$2:$ZZ$2,C3)</f>
        <v>Detergente Aquafast Maca Cx/24 X 500ml</v>
      </c>
      <c r="H3" s="5" cm="1">
        <f t="array" ref="H3">INDEX('Linha 04'!$C$4:$ZZ$1000,B3,C3)</f>
        <v>0</v>
      </c>
    </row>
    <row r="4" spans="1:8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04'!$A$4:$A$1000,B4)</f>
        <v>20030001</v>
      </c>
      <c r="E4" t="str" cm="1">
        <f t="array" ref="E4">INDEX('Linha 04'!$B$4:$B$1000,B4)</f>
        <v>Detergente Aquafast Maca Cx/24 X 500ml</v>
      </c>
      <c r="F4" cm="1">
        <f t="array" ref="F4">INDEX('Linha 04'!$C$3:$ZZ$3,C4)</f>
        <v>20030002</v>
      </c>
      <c r="G4" t="str" cm="1">
        <f t="array" ref="G4">INDEX('Linha 04'!$C$2:$ZZ$2,C4)</f>
        <v>Detergente Aquafast Limao Cx/24 X 500ml</v>
      </c>
      <c r="H4" s="5" cm="1">
        <f t="array" ref="H4">INDEX('Linha 04'!$C$4:$ZZ$1000,B4,C4)</f>
        <v>0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04'!$A$4:$A$1000,B5)</f>
        <v>20030001</v>
      </c>
      <c r="E5" t="str" cm="1">
        <f t="array" ref="E5">INDEX('Linha 04'!$B$4:$B$1000,B5)</f>
        <v>Detergente Aquafast Maca Cx/24 X 500ml</v>
      </c>
      <c r="F5" cm="1">
        <f t="array" ref="F5">INDEX('Linha 04'!$C$3:$ZZ$3,C5)</f>
        <v>20030003</v>
      </c>
      <c r="G5" t="str" cm="1">
        <f t="array" ref="G5">INDEX('Linha 04'!$C$2:$ZZ$2,C5)</f>
        <v>Detergente Aquafast Neutro Cx/24 X 500ml</v>
      </c>
      <c r="H5" s="5" cm="1">
        <f t="array" ref="H5">INDEX('Linha 04'!$C$4:$ZZ$1000,B5,C5)</f>
        <v>0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04'!$A$4:$A$1000,B6)</f>
        <v>20030001</v>
      </c>
      <c r="E6" t="str" cm="1">
        <f t="array" ref="E6">INDEX('Linha 04'!$B$4:$B$1000,B6)</f>
        <v>Detergente Aquafast Maca Cx/24 X 500ml</v>
      </c>
      <c r="F6" cm="1">
        <f t="array" ref="F6">INDEX('Linha 04'!$C$3:$ZZ$3,C6)</f>
        <v>20030004</v>
      </c>
      <c r="G6" t="str" cm="1">
        <f t="array" ref="G6">INDEX('Linha 04'!$C$2:$ZZ$2,C6)</f>
        <v>Detergente Aquafast Clear Cx/24 X 500ml (Natural)</v>
      </c>
      <c r="H6" s="5" cm="1">
        <f t="array" ref="H6">INDEX('Linha 04'!$C$4:$ZZ$1000,B6,C6)</f>
        <v>0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04'!$A$4:$A$1000,B7)</f>
        <v>20030001</v>
      </c>
      <c r="E7" t="str" cm="1">
        <f t="array" ref="E7">INDEX('Linha 04'!$B$4:$B$1000,B7)</f>
        <v>Detergente Aquafast Maca Cx/24 X 500ml</v>
      </c>
      <c r="F7" cm="1">
        <f t="array" ref="F7">INDEX('Linha 04'!$C$3:$ZZ$3,C7)</f>
        <v>20030011</v>
      </c>
      <c r="G7" t="str" cm="1">
        <f t="array" ref="G7">INDEX('Linha 04'!$C$2:$ZZ$2,C7)</f>
        <v>Detergente Aquafast Maca Cx/12 X 1l</v>
      </c>
      <c r="H7" s="5" cm="1">
        <f t="array" ref="H7">INDEX('Linha 04'!$C$4:$ZZ$1000,B7,C7)</f>
        <v>0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04'!$A$4:$A$1000,B8)</f>
        <v>20030001</v>
      </c>
      <c r="E8" t="str" cm="1">
        <f t="array" ref="E8">INDEX('Linha 04'!$B$4:$B$1000,B8)</f>
        <v>Detergente Aquafast Maca Cx/24 X 500ml</v>
      </c>
      <c r="F8" cm="1">
        <f t="array" ref="F8">INDEX('Linha 04'!$C$3:$ZZ$3,C8)</f>
        <v>20030012</v>
      </c>
      <c r="G8" t="str" cm="1">
        <f t="array" ref="G8">INDEX('Linha 04'!$C$2:$ZZ$2,C8)</f>
        <v>Detergente Aquafast Limao Cx/12 X 1l</v>
      </c>
      <c r="H8" s="5" cm="1">
        <f t="array" ref="H8">INDEX('Linha 04'!$C$4:$ZZ$1000,B8,C8)</f>
        <v>0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04'!$A$4:$A$1000,B9)</f>
        <v>20030001</v>
      </c>
      <c r="E9" t="str" cm="1">
        <f t="array" ref="E9">INDEX('Linha 04'!$B$4:$B$1000,B9)</f>
        <v>Detergente Aquafast Maca Cx/24 X 500ml</v>
      </c>
      <c r="F9" cm="1">
        <f t="array" ref="F9">INDEX('Linha 04'!$C$3:$ZZ$3,C9)</f>
        <v>20030013</v>
      </c>
      <c r="G9" t="str" cm="1">
        <f t="array" ref="G9">INDEX('Linha 04'!$C$2:$ZZ$2,C9)</f>
        <v>Detergente Aquafast Neutro Cx/12 X 1l</v>
      </c>
      <c r="H9" s="5" cm="1">
        <f t="array" ref="H9">INDEX('Linha 04'!$C$4:$ZZ$1000,B9,C9)</f>
        <v>0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04'!$A$4:$A$1000,B10)</f>
        <v>20030001</v>
      </c>
      <c r="E10" t="str" cm="1">
        <f t="array" ref="E10">INDEX('Linha 04'!$B$4:$B$1000,B10)</f>
        <v>Detergente Aquafast Maca Cx/24 X 500ml</v>
      </c>
      <c r="F10" cm="1">
        <f t="array" ref="F10">INDEX('Linha 04'!$C$3:$ZZ$3,C10)</f>
        <v>20030014</v>
      </c>
      <c r="G10" t="str" cm="1">
        <f t="array" ref="G10">INDEX('Linha 04'!$C$2:$ZZ$2,C10)</f>
        <v>Detergente Aquafast Clear Cx/12 X 1l (Natural)</v>
      </c>
      <c r="H10" s="5" cm="1">
        <f t="array" ref="H10">INDEX('Linha 04'!$C$4:$ZZ$1000,B10,C10)</f>
        <v>0</v>
      </c>
    </row>
    <row r="11" spans="1:8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04'!$A$4:$A$1000,B11)</f>
        <v>20030001</v>
      </c>
      <c r="E11" t="str" cm="1">
        <f t="array" ref="E11">INDEX('Linha 04'!$B$4:$B$1000,B11)</f>
        <v>Detergente Aquafast Maca Cx/24 X 500ml</v>
      </c>
      <c r="F11" cm="1">
        <f t="array" ref="F11">INDEX('Linha 04'!$C$3:$ZZ$3,C11)</f>
        <v>20030020</v>
      </c>
      <c r="G11" t="str" cm="1">
        <f t="array" ref="G11">INDEX('Linha 04'!$C$2:$ZZ$2,C11)</f>
        <v>Detergente Ito Maca Cx/24 X 500ml</v>
      </c>
      <c r="H11" s="5" cm="1">
        <f t="array" ref="H11">INDEX('Linha 04'!$C$4:$ZZ$1000,B11,C11)</f>
        <v>0</v>
      </c>
    </row>
    <row r="12" spans="1:8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04'!$A$4:$A$1000,B12)</f>
        <v>20030001</v>
      </c>
      <c r="E12" t="str" cm="1">
        <f t="array" ref="E12">INDEX('Linha 04'!$B$4:$B$1000,B12)</f>
        <v>Detergente Aquafast Maca Cx/24 X 500ml</v>
      </c>
      <c r="F12" cm="1">
        <f t="array" ref="F12">INDEX('Linha 04'!$C$3:$ZZ$3,C12)</f>
        <v>20030021</v>
      </c>
      <c r="G12" t="str" cm="1">
        <f t="array" ref="G12">INDEX('Linha 04'!$C$2:$ZZ$2,C12)</f>
        <v>Detergente Ito Limao Cx/24 X 500ml</v>
      </c>
      <c r="H12" s="5" cm="1">
        <f t="array" ref="H12">INDEX('Linha 04'!$C$4:$ZZ$1000,B12,C12)</f>
        <v>0</v>
      </c>
    </row>
    <row r="13" spans="1:8" x14ac:dyDescent="0.25">
      <c r="A13">
        <v>11</v>
      </c>
      <c r="B13">
        <f t="shared" si="0"/>
        <v>1</v>
      </c>
      <c r="C13">
        <f t="shared" si="1"/>
        <v>11</v>
      </c>
      <c r="D13" cm="1">
        <f t="array" ref="D13">INDEX('Linha 04'!$A$4:$A$1000,B13)</f>
        <v>20030001</v>
      </c>
      <c r="E13" t="str" cm="1">
        <f t="array" ref="E13">INDEX('Linha 04'!$B$4:$B$1000,B13)</f>
        <v>Detergente Aquafast Maca Cx/24 X 500ml</v>
      </c>
      <c r="F13" cm="1">
        <f t="array" ref="F13">INDEX('Linha 04'!$C$3:$ZZ$3,C13)</f>
        <v>20030022</v>
      </c>
      <c r="G13" t="str" cm="1">
        <f t="array" ref="G13">INDEX('Linha 04'!$C$2:$ZZ$2,C13)</f>
        <v>Detergente Ito Neutro Cx/24 X 500ml</v>
      </c>
      <c r="H13" s="5" cm="1">
        <f t="array" ref="H13">INDEX('Linha 04'!$C$4:$ZZ$1000,B13,C13)</f>
        <v>0</v>
      </c>
    </row>
    <row r="14" spans="1:8" x14ac:dyDescent="0.25">
      <c r="A14">
        <v>12</v>
      </c>
      <c r="B14">
        <f t="shared" si="0"/>
        <v>1</v>
      </c>
      <c r="C14">
        <f t="shared" si="1"/>
        <v>12</v>
      </c>
      <c r="D14" cm="1">
        <f t="array" ref="D14">INDEX('Linha 04'!$A$4:$A$1000,B14)</f>
        <v>20030001</v>
      </c>
      <c r="E14" t="str" cm="1">
        <f t="array" ref="E14">INDEX('Linha 04'!$B$4:$B$1000,B14)</f>
        <v>Detergente Aquafast Maca Cx/24 X 500ml</v>
      </c>
      <c r="F14" cm="1">
        <f t="array" ref="F14">INDEX('Linha 04'!$C$3:$ZZ$3,C14)</f>
        <v>20030023</v>
      </c>
      <c r="G14" t="str" cm="1">
        <f t="array" ref="G14">INDEX('Linha 04'!$C$2:$ZZ$2,C14)</f>
        <v>Detergente Ito Clear Cx/24 X 500ml</v>
      </c>
      <c r="H14" s="5" cm="1">
        <f t="array" ref="H14">INDEX('Linha 04'!$C$4:$ZZ$1000,B14,C14)</f>
        <v>0</v>
      </c>
    </row>
    <row r="15" spans="1:8" x14ac:dyDescent="0.25">
      <c r="A15">
        <v>13</v>
      </c>
      <c r="B15">
        <f t="shared" si="0"/>
        <v>1</v>
      </c>
      <c r="C15">
        <f t="shared" si="1"/>
        <v>13</v>
      </c>
      <c r="D15" cm="1">
        <f t="array" ref="D15">INDEX('Linha 04'!$A$4:$A$1000,B15)</f>
        <v>20030001</v>
      </c>
      <c r="E15" t="str" cm="1">
        <f t="array" ref="E15">INDEX('Linha 04'!$B$4:$B$1000,B15)</f>
        <v>Detergente Aquafast Maca Cx/24 X 500ml</v>
      </c>
      <c r="F15" cm="1">
        <f t="array" ref="F15">INDEX('Linha 04'!$C$3:$ZZ$3,C15)</f>
        <v>20030038</v>
      </c>
      <c r="G15" t="str" cm="1">
        <f t="array" ref="G15">INDEX('Linha 04'!$C$2:$ZZ$2,C15)</f>
        <v>Detergente Myata Maca Cx/24 X 500ml</v>
      </c>
      <c r="H15" s="5" cm="1">
        <f t="array" ref="H15">INDEX('Linha 04'!$C$4:$ZZ$1000,B15,C15)</f>
        <v>0</v>
      </c>
    </row>
    <row r="16" spans="1:8" x14ac:dyDescent="0.25">
      <c r="A16">
        <v>14</v>
      </c>
      <c r="B16">
        <f t="shared" si="0"/>
        <v>1</v>
      </c>
      <c r="C16">
        <f t="shared" si="1"/>
        <v>14</v>
      </c>
      <c r="D16" cm="1">
        <f t="array" ref="D16">INDEX('Linha 04'!$A$4:$A$1000,B16)</f>
        <v>20030001</v>
      </c>
      <c r="E16" t="str" cm="1">
        <f t="array" ref="E16">INDEX('Linha 04'!$B$4:$B$1000,B16)</f>
        <v>Detergente Aquafast Maca Cx/24 X 500ml</v>
      </c>
      <c r="F16" cm="1">
        <f t="array" ref="F16">INDEX('Linha 04'!$C$3:$ZZ$3,C16)</f>
        <v>20030039</v>
      </c>
      <c r="G16" t="str" cm="1">
        <f t="array" ref="G16">INDEX('Linha 04'!$C$2:$ZZ$2,C16)</f>
        <v>Detergente Myata Limao Cx/24 X 500ml</v>
      </c>
      <c r="H16" s="5" cm="1">
        <f t="array" ref="H16">INDEX('Linha 04'!$C$4:$ZZ$1000,B16,C16)</f>
        <v>0</v>
      </c>
    </row>
    <row r="17" spans="1:8" x14ac:dyDescent="0.25">
      <c r="A17">
        <v>15</v>
      </c>
      <c r="B17">
        <f t="shared" si="0"/>
        <v>1</v>
      </c>
      <c r="C17">
        <f t="shared" si="1"/>
        <v>15</v>
      </c>
      <c r="D17" cm="1">
        <f t="array" ref="D17">INDEX('Linha 04'!$A$4:$A$1000,B17)</f>
        <v>20030001</v>
      </c>
      <c r="E17" t="str" cm="1">
        <f t="array" ref="E17">INDEX('Linha 04'!$B$4:$B$1000,B17)</f>
        <v>Detergente Aquafast Maca Cx/24 X 500ml</v>
      </c>
      <c r="F17" cm="1">
        <f t="array" ref="F17">INDEX('Linha 04'!$C$3:$ZZ$3,C17)</f>
        <v>20030040</v>
      </c>
      <c r="G17" t="str" cm="1">
        <f t="array" ref="G17">INDEX('Linha 04'!$C$2:$ZZ$2,C17)</f>
        <v>Detergente Myata Neutro Cx/24 X 500ml</v>
      </c>
      <c r="H17" s="5" cm="1">
        <f t="array" ref="H17">INDEX('Linha 04'!$C$4:$ZZ$1000,B17,C17)</f>
        <v>0</v>
      </c>
    </row>
    <row r="18" spans="1:8" x14ac:dyDescent="0.25">
      <c r="A18">
        <v>16</v>
      </c>
      <c r="B18">
        <f t="shared" si="0"/>
        <v>1</v>
      </c>
      <c r="C18">
        <f t="shared" si="1"/>
        <v>16</v>
      </c>
      <c r="D18" cm="1">
        <f t="array" ref="D18">INDEX('Linha 04'!$A$4:$A$1000,B18)</f>
        <v>20030001</v>
      </c>
      <c r="E18" t="str" cm="1">
        <f t="array" ref="E18">INDEX('Linha 04'!$B$4:$B$1000,B18)</f>
        <v>Detergente Aquafast Maca Cx/24 X 500ml</v>
      </c>
      <c r="F18" cm="1">
        <f t="array" ref="F18">INDEX('Linha 04'!$C$3:$ZZ$3,C18)</f>
        <v>20030067</v>
      </c>
      <c r="G18" t="str" cm="1">
        <f t="array" ref="G18">INDEX('Linha 04'!$C$2:$ZZ$2,C18)</f>
        <v>Detergente Aquafast Coco Cx/24 X 500ml</v>
      </c>
      <c r="H18" s="5" cm="1">
        <f t="array" ref="H18">INDEX('Linha 04'!$C$4:$ZZ$1000,B18,C18)</f>
        <v>0</v>
      </c>
    </row>
    <row r="19" spans="1:8" x14ac:dyDescent="0.25">
      <c r="A19">
        <v>17</v>
      </c>
      <c r="B19">
        <f t="shared" si="0"/>
        <v>1</v>
      </c>
      <c r="C19">
        <f t="shared" si="1"/>
        <v>17</v>
      </c>
      <c r="D19" cm="1">
        <f t="array" ref="D19">INDEX('Linha 04'!$A$4:$A$1000,B19)</f>
        <v>20030001</v>
      </c>
      <c r="E19" t="str" cm="1">
        <f t="array" ref="E19">INDEX('Linha 04'!$B$4:$B$1000,B19)</f>
        <v>Detergente Aquafast Maca Cx/24 X 500ml</v>
      </c>
      <c r="F19" cm="1">
        <f t="array" ref="F19">INDEX('Linha 04'!$C$3:$ZZ$3,C19)</f>
        <v>20050001</v>
      </c>
      <c r="G19" t="str" cm="1">
        <f t="array" ref="G19">INDEX('Linha 04'!$C$2:$ZZ$2,C19)</f>
        <v>Desinfetante Aquafast Campos Lavanda Cx/12 X 500ml</v>
      </c>
      <c r="H19" s="5" cm="1">
        <f t="array" ref="H19">INDEX('Linha 04'!$C$4:$ZZ$1000,B19,C19)</f>
        <v>0</v>
      </c>
    </row>
    <row r="20" spans="1:8" x14ac:dyDescent="0.25">
      <c r="A20">
        <v>18</v>
      </c>
      <c r="B20">
        <f t="shared" si="0"/>
        <v>1</v>
      </c>
      <c r="C20">
        <f t="shared" si="1"/>
        <v>18</v>
      </c>
      <c r="D20" cm="1">
        <f t="array" ref="D20">INDEX('Linha 04'!$A$4:$A$1000,B20)</f>
        <v>20030001</v>
      </c>
      <c r="E20" t="str" cm="1">
        <f t="array" ref="E20">INDEX('Linha 04'!$B$4:$B$1000,B20)</f>
        <v>Detergente Aquafast Maca Cx/24 X 500ml</v>
      </c>
      <c r="F20" cm="1">
        <f t="array" ref="F20">INDEX('Linha 04'!$C$3:$ZZ$3,C20)</f>
        <v>20050026</v>
      </c>
      <c r="G20" t="str" cm="1">
        <f t="array" ref="G20">INDEX('Linha 04'!$C$2:$ZZ$2,C20)</f>
        <v>Desinfetante Ito Lavanda Cx/12 X 500ml</v>
      </c>
      <c r="H20" s="5" cm="1">
        <f t="array" ref="H20">INDEX('Linha 04'!$C$4:$ZZ$1000,B20,C20)</f>
        <v>0</v>
      </c>
    </row>
    <row r="21" spans="1:8" x14ac:dyDescent="0.25">
      <c r="A21">
        <v>19</v>
      </c>
      <c r="B21">
        <f t="shared" si="0"/>
        <v>1</v>
      </c>
      <c r="C21">
        <f t="shared" si="1"/>
        <v>19</v>
      </c>
      <c r="D21" cm="1">
        <f t="array" ref="D21">INDEX('Linha 04'!$A$4:$A$1000,B21)</f>
        <v>20030001</v>
      </c>
      <c r="E21" t="str" cm="1">
        <f t="array" ref="E21">INDEX('Linha 04'!$B$4:$B$1000,B21)</f>
        <v>Detergente Aquafast Maca Cx/24 X 500ml</v>
      </c>
      <c r="F21" cm="1">
        <f t="array" ref="F21">INDEX('Linha 04'!$C$3:$ZZ$3,C21)</f>
        <v>20050119</v>
      </c>
      <c r="G21" t="str" cm="1">
        <f t="array" ref="G21">INDEX('Linha 04'!$C$2:$ZZ$2,C21)</f>
        <v>Desinfetante Aquafast Paixao Cx/12 X 500ml</v>
      </c>
      <c r="H21" s="5" cm="1">
        <f t="array" ref="H21">INDEX('Linha 04'!$C$4:$ZZ$1000,B21,C21)</f>
        <v>0</v>
      </c>
    </row>
    <row r="22" spans="1:8" x14ac:dyDescent="0.25">
      <c r="A22">
        <v>20</v>
      </c>
      <c r="B22">
        <f t="shared" si="0"/>
        <v>1</v>
      </c>
      <c r="C22">
        <f t="shared" si="1"/>
        <v>20</v>
      </c>
      <c r="D22" cm="1">
        <f t="array" ref="D22">INDEX('Linha 04'!$A$4:$A$1000,B22)</f>
        <v>20030001</v>
      </c>
      <c r="E22" t="str" cm="1">
        <f t="array" ref="E22">INDEX('Linha 04'!$B$4:$B$1000,B22)</f>
        <v>Detergente Aquafast Maca Cx/24 X 500ml</v>
      </c>
      <c r="F22" cm="1">
        <f t="array" ref="F22">INDEX('Linha 04'!$C$3:$ZZ$3,C22)</f>
        <v>20050145</v>
      </c>
      <c r="G22" t="str" cm="1">
        <f t="array" ref="G22">INDEX('Linha 04'!$C$2:$ZZ$2,C22)</f>
        <v>Desinfetante Aquafast Harmonia Natural Cx/12 X 500ml</v>
      </c>
      <c r="H22" s="5" cm="1">
        <f t="array" ref="H22">INDEX('Linha 04'!$C$4:$ZZ$1000,B22,C22)</f>
        <v>0</v>
      </c>
    </row>
    <row r="23" spans="1:8" x14ac:dyDescent="0.25">
      <c r="A23">
        <v>21</v>
      </c>
      <c r="B23">
        <f t="shared" si="0"/>
        <v>1</v>
      </c>
      <c r="C23">
        <f t="shared" si="1"/>
        <v>21</v>
      </c>
      <c r="D23" cm="1">
        <f t="array" ref="D23">INDEX('Linha 04'!$A$4:$A$1000,B23)</f>
        <v>20030001</v>
      </c>
      <c r="E23" t="str" cm="1">
        <f t="array" ref="E23">INDEX('Linha 04'!$B$4:$B$1000,B23)</f>
        <v>Detergente Aquafast Maca Cx/24 X 500ml</v>
      </c>
      <c r="F23" cm="1">
        <f t="array" ref="F23">INDEX('Linha 04'!$C$3:$ZZ$3,C23)</f>
        <v>20050149</v>
      </c>
      <c r="G23" t="str" cm="1">
        <f t="array" ref="G23">INDEX('Linha 04'!$C$2:$ZZ$2,C23)</f>
        <v>Desinfetante Aquafast Campos Lavanda Cx/12 X 1l</v>
      </c>
      <c r="H23" s="5" cm="1">
        <f t="array" ref="H23">INDEX('Linha 04'!$C$4:$ZZ$1000,B23,C23)</f>
        <v>0</v>
      </c>
    </row>
    <row r="24" spans="1:8" x14ac:dyDescent="0.25">
      <c r="A24">
        <v>22</v>
      </c>
      <c r="B24">
        <f t="shared" si="0"/>
        <v>1</v>
      </c>
      <c r="C24">
        <f t="shared" si="1"/>
        <v>22</v>
      </c>
      <c r="D24" cm="1">
        <f t="array" ref="D24">INDEX('Linha 04'!$A$4:$A$1000,B24)</f>
        <v>20030001</v>
      </c>
      <c r="E24" t="str" cm="1">
        <f t="array" ref="E24">INDEX('Linha 04'!$B$4:$B$1000,B24)</f>
        <v>Detergente Aquafast Maca Cx/24 X 500ml</v>
      </c>
      <c r="F24" cm="1">
        <f t="array" ref="F24">INDEX('Linha 04'!$C$3:$ZZ$3,C24)</f>
        <v>20050150</v>
      </c>
      <c r="G24" t="str" cm="1">
        <f t="array" ref="G24">INDEX('Linha 04'!$C$2:$ZZ$2,C24)</f>
        <v>Desinfetante Aquafast Marine Cx/12 X 1l</v>
      </c>
      <c r="H24" s="5" cm="1">
        <f t="array" ref="H24">INDEX('Linha 04'!$C$4:$ZZ$1000,B24,C24)</f>
        <v>0</v>
      </c>
    </row>
    <row r="25" spans="1:8" x14ac:dyDescent="0.25">
      <c r="A25">
        <v>23</v>
      </c>
      <c r="B25">
        <f t="shared" si="0"/>
        <v>1</v>
      </c>
      <c r="C25">
        <f t="shared" si="1"/>
        <v>23</v>
      </c>
      <c r="D25" cm="1">
        <f t="array" ref="D25">INDEX('Linha 04'!$A$4:$A$1000,B25)</f>
        <v>20030001</v>
      </c>
      <c r="E25" t="str" cm="1">
        <f t="array" ref="E25">INDEX('Linha 04'!$B$4:$B$1000,B25)</f>
        <v>Detergente Aquafast Maca Cx/24 X 500ml</v>
      </c>
      <c r="F25" cm="1">
        <f t="array" ref="F25">INDEX('Linha 04'!$C$3:$ZZ$3,C25)</f>
        <v>20050151</v>
      </c>
      <c r="G25" t="str" cm="1">
        <f t="array" ref="G25">INDEX('Linha 04'!$C$2:$ZZ$2,C25)</f>
        <v>Desinfetante Aquafast Paixao Cx/12 X 1l</v>
      </c>
      <c r="H25" s="5" cm="1">
        <f t="array" ref="H25">INDEX('Linha 04'!$C$4:$ZZ$1000,B25,C25)</f>
        <v>0</v>
      </c>
    </row>
    <row r="26" spans="1:8" x14ac:dyDescent="0.25">
      <c r="A26">
        <v>24</v>
      </c>
      <c r="B26">
        <f t="shared" si="0"/>
        <v>1</v>
      </c>
      <c r="C26">
        <f t="shared" si="1"/>
        <v>24</v>
      </c>
      <c r="D26" cm="1">
        <f t="array" ref="D26">INDEX('Linha 04'!$A$4:$A$1000,B26)</f>
        <v>20030001</v>
      </c>
      <c r="E26" t="str" cm="1">
        <f t="array" ref="E26">INDEX('Linha 04'!$B$4:$B$1000,B26)</f>
        <v>Detergente Aquafast Maca Cx/24 X 500ml</v>
      </c>
      <c r="F26" cm="1">
        <f t="array" ref="F26">INDEX('Linha 04'!$C$3:$ZZ$3,C26)</f>
        <v>20050152</v>
      </c>
      <c r="G26" t="str" cm="1">
        <f t="array" ref="G26">INDEX('Linha 04'!$C$2:$ZZ$2,C26)</f>
        <v>Desinfetante Aquafast Harmonia Natural Cx/12 X 1l</v>
      </c>
      <c r="H26" s="5" cm="1">
        <f t="array" ref="H26">INDEX('Linha 04'!$C$4:$ZZ$1000,B26,C26)</f>
        <v>0</v>
      </c>
    </row>
    <row r="27" spans="1:8" x14ac:dyDescent="0.25">
      <c r="A27">
        <v>25</v>
      </c>
      <c r="B27">
        <f t="shared" si="0"/>
        <v>1</v>
      </c>
      <c r="C27">
        <f t="shared" si="1"/>
        <v>25</v>
      </c>
      <c r="D27" cm="1">
        <f t="array" ref="D27">INDEX('Linha 04'!$A$4:$A$1000,B27)</f>
        <v>20030001</v>
      </c>
      <c r="E27" t="str" cm="1">
        <f t="array" ref="E27">INDEX('Linha 04'!$B$4:$B$1000,B27)</f>
        <v>Detergente Aquafast Maca Cx/24 X 500ml</v>
      </c>
      <c r="F27" cm="1">
        <f t="array" ref="F27">INDEX('Linha 04'!$C$3:$ZZ$3,C27)</f>
        <v>20050153</v>
      </c>
      <c r="G27" t="str" cm="1">
        <f t="array" ref="G27">INDEX('Linha 04'!$C$2:$ZZ$2,C27)</f>
        <v>Desinfetante Ito Harmonia Natural Cx/12 X 500ml</v>
      </c>
      <c r="H27" s="5" cm="1">
        <f t="array" ref="H27">INDEX('Linha 04'!$C$4:$ZZ$1000,B27,C27)</f>
        <v>0</v>
      </c>
    </row>
    <row r="28" spans="1:8" x14ac:dyDescent="0.25">
      <c r="A28">
        <v>26</v>
      </c>
      <c r="B28">
        <f t="shared" si="0"/>
        <v>1</v>
      </c>
      <c r="C28">
        <f t="shared" si="1"/>
        <v>26</v>
      </c>
      <c r="D28" cm="1">
        <f t="array" ref="D28">INDEX('Linha 04'!$A$4:$A$1000,B28)</f>
        <v>20030001</v>
      </c>
      <c r="E28" t="str" cm="1">
        <f t="array" ref="E28">INDEX('Linha 04'!$B$4:$B$1000,B28)</f>
        <v>Detergente Aquafast Maca Cx/24 X 500ml</v>
      </c>
      <c r="F28" cm="1">
        <f t="array" ref="F28">INDEX('Linha 04'!$C$3:$ZZ$3,C28)</f>
        <v>20050155</v>
      </c>
      <c r="G28" t="str" cm="1">
        <f t="array" ref="G28">INDEX('Linha 04'!$C$2:$ZZ$2,C28)</f>
        <v>Intermed Pack Desinfetante Paixao Cx/12 X 1l</v>
      </c>
      <c r="H28" s="5" cm="1">
        <f t="array" ref="H28">INDEX('Linha 04'!$C$4:$ZZ$1000,B28,C28)</f>
        <v>0</v>
      </c>
    </row>
    <row r="29" spans="1:8" x14ac:dyDescent="0.25">
      <c r="A29">
        <v>27</v>
      </c>
      <c r="B29">
        <f t="shared" si="0"/>
        <v>1</v>
      </c>
      <c r="C29">
        <f t="shared" si="1"/>
        <v>27</v>
      </c>
      <c r="D29" cm="1">
        <f t="array" ref="D29">INDEX('Linha 04'!$A$4:$A$1000,B29)</f>
        <v>20030001</v>
      </c>
      <c r="E29" t="str" cm="1">
        <f t="array" ref="E29">INDEX('Linha 04'!$B$4:$B$1000,B29)</f>
        <v>Detergente Aquafast Maca Cx/24 X 500ml</v>
      </c>
      <c r="F29" cm="1">
        <f t="array" ref="F29">INDEX('Linha 04'!$C$3:$ZZ$3,C29)</f>
        <v>20050156</v>
      </c>
      <c r="G29" t="str" cm="1">
        <f t="array" ref="G29">INDEX('Linha 04'!$C$2:$ZZ$2,C29)</f>
        <v>Intermed Pack Desinfetante Campos Lavanda Cx/12 X 1l</v>
      </c>
      <c r="H29" s="5" cm="1">
        <f t="array" ref="H29">INDEX('Linha 04'!$C$4:$ZZ$1000,B29,C29)</f>
        <v>0</v>
      </c>
    </row>
    <row r="30" spans="1:8" x14ac:dyDescent="0.25">
      <c r="A30">
        <v>28</v>
      </c>
      <c r="B30">
        <f t="shared" si="0"/>
        <v>1</v>
      </c>
      <c r="C30">
        <f t="shared" si="1"/>
        <v>28</v>
      </c>
      <c r="D30" cm="1">
        <f t="array" ref="D30">INDEX('Linha 04'!$A$4:$A$1000,B30)</f>
        <v>20030001</v>
      </c>
      <c r="E30" t="str" cm="1">
        <f t="array" ref="E30">INDEX('Linha 04'!$B$4:$B$1000,B30)</f>
        <v>Detergente Aquafast Maca Cx/24 X 500ml</v>
      </c>
      <c r="F30" cm="1">
        <f t="array" ref="F30">INDEX('Linha 04'!$C$3:$ZZ$3,C30)</f>
        <v>20050157</v>
      </c>
      <c r="G30" t="str" cm="1">
        <f t="array" ref="G30">INDEX('Linha 04'!$C$2:$ZZ$2,C30)</f>
        <v>Intermed Pack Desinfetante Marine Cx/12 X 1l</v>
      </c>
      <c r="H30" s="5" cm="1">
        <f t="array" ref="H30">INDEX('Linha 04'!$C$4:$ZZ$1000,B30,C30)</f>
        <v>0</v>
      </c>
    </row>
    <row r="31" spans="1:8" x14ac:dyDescent="0.25">
      <c r="A31">
        <v>29</v>
      </c>
      <c r="B31">
        <f t="shared" si="0"/>
        <v>2</v>
      </c>
      <c r="C31">
        <f t="shared" si="1"/>
        <v>1</v>
      </c>
      <c r="D31" cm="1">
        <f t="array" ref="D31">INDEX('Linha 04'!$A$4:$A$1000,B31)</f>
        <v>20030002</v>
      </c>
      <c r="E31" t="str" cm="1">
        <f t="array" ref="E31">INDEX('Linha 04'!$B$4:$B$1000,B31)</f>
        <v>Detergente Aquafast Limao Cx/24 X 500ml</v>
      </c>
      <c r="F31" cm="1">
        <f t="array" ref="F31">INDEX('Linha 04'!$C$3:$ZZ$3,C31)</f>
        <v>20030001</v>
      </c>
      <c r="G31" t="str" cm="1">
        <f t="array" ref="G31">INDEX('Linha 04'!$C$2:$ZZ$2,C31)</f>
        <v>Detergente Aquafast Maca Cx/24 X 500ml</v>
      </c>
      <c r="H31" s="5" cm="1">
        <f t="array" ref="H31">INDEX('Linha 04'!$C$4:$ZZ$1000,B31,C31)</f>
        <v>0</v>
      </c>
    </row>
    <row r="32" spans="1:8" x14ac:dyDescent="0.25">
      <c r="A32">
        <v>30</v>
      </c>
      <c r="B32">
        <f t="shared" si="0"/>
        <v>2</v>
      </c>
      <c r="C32">
        <f t="shared" si="1"/>
        <v>2</v>
      </c>
      <c r="D32" cm="1">
        <f t="array" ref="D32">INDEX('Linha 04'!$A$4:$A$1000,B32)</f>
        <v>20030002</v>
      </c>
      <c r="E32" t="str" cm="1">
        <f t="array" ref="E32">INDEX('Linha 04'!$B$4:$B$1000,B32)</f>
        <v>Detergente Aquafast Limao Cx/24 X 500ml</v>
      </c>
      <c r="F32" cm="1">
        <f t="array" ref="F32">INDEX('Linha 04'!$C$3:$ZZ$3,C32)</f>
        <v>20030002</v>
      </c>
      <c r="G32" t="str" cm="1">
        <f t="array" ref="G32">INDEX('Linha 04'!$C$2:$ZZ$2,C32)</f>
        <v>Detergente Aquafast Limao Cx/24 X 500ml</v>
      </c>
      <c r="H32" s="5" cm="1">
        <f t="array" ref="H32">INDEX('Linha 04'!$C$4:$ZZ$1000,B32,C32)</f>
        <v>0</v>
      </c>
    </row>
    <row r="33" spans="1:8" x14ac:dyDescent="0.25">
      <c r="A33">
        <v>31</v>
      </c>
      <c r="B33">
        <f t="shared" si="0"/>
        <v>2</v>
      </c>
      <c r="C33">
        <f t="shared" si="1"/>
        <v>3</v>
      </c>
      <c r="D33" cm="1">
        <f t="array" ref="D33">INDEX('Linha 04'!$A$4:$A$1000,B33)</f>
        <v>20030002</v>
      </c>
      <c r="E33" t="str" cm="1">
        <f t="array" ref="E33">INDEX('Linha 04'!$B$4:$B$1000,B33)</f>
        <v>Detergente Aquafast Limao Cx/24 X 500ml</v>
      </c>
      <c r="F33" cm="1">
        <f t="array" ref="F33">INDEX('Linha 04'!$C$3:$ZZ$3,C33)</f>
        <v>20030003</v>
      </c>
      <c r="G33" t="str" cm="1">
        <f t="array" ref="G33">INDEX('Linha 04'!$C$2:$ZZ$2,C33)</f>
        <v>Detergente Aquafast Neutro Cx/24 X 500ml</v>
      </c>
      <c r="H33" s="5" cm="1">
        <f t="array" ref="H33">INDEX('Linha 04'!$C$4:$ZZ$1000,B33,C33)</f>
        <v>0</v>
      </c>
    </row>
    <row r="34" spans="1:8" x14ac:dyDescent="0.25">
      <c r="A34">
        <v>32</v>
      </c>
      <c r="B34">
        <f t="shared" si="0"/>
        <v>2</v>
      </c>
      <c r="C34">
        <f t="shared" si="1"/>
        <v>4</v>
      </c>
      <c r="D34" cm="1">
        <f t="array" ref="D34">INDEX('Linha 04'!$A$4:$A$1000,B34)</f>
        <v>20030002</v>
      </c>
      <c r="E34" t="str" cm="1">
        <f t="array" ref="E34">INDEX('Linha 04'!$B$4:$B$1000,B34)</f>
        <v>Detergente Aquafast Limao Cx/24 X 500ml</v>
      </c>
      <c r="F34" cm="1">
        <f t="array" ref="F34">INDEX('Linha 04'!$C$3:$ZZ$3,C34)</f>
        <v>20030004</v>
      </c>
      <c r="G34" t="str" cm="1">
        <f t="array" ref="G34">INDEX('Linha 04'!$C$2:$ZZ$2,C34)</f>
        <v>Detergente Aquafast Clear Cx/24 X 500ml (Natural)</v>
      </c>
      <c r="H34" s="5" cm="1">
        <f t="array" ref="H34">INDEX('Linha 04'!$C$4:$ZZ$1000,B34,C34)</f>
        <v>0</v>
      </c>
    </row>
    <row r="35" spans="1:8" x14ac:dyDescent="0.25">
      <c r="A35">
        <v>33</v>
      </c>
      <c r="B35">
        <f t="shared" si="0"/>
        <v>2</v>
      </c>
      <c r="C35">
        <f t="shared" si="1"/>
        <v>5</v>
      </c>
      <c r="D35" cm="1">
        <f t="array" ref="D35">INDEX('Linha 04'!$A$4:$A$1000,B35)</f>
        <v>20030002</v>
      </c>
      <c r="E35" t="str" cm="1">
        <f t="array" ref="E35">INDEX('Linha 04'!$B$4:$B$1000,B35)</f>
        <v>Detergente Aquafast Limao Cx/24 X 500ml</v>
      </c>
      <c r="F35" cm="1">
        <f t="array" ref="F35">INDEX('Linha 04'!$C$3:$ZZ$3,C35)</f>
        <v>20030011</v>
      </c>
      <c r="G35" t="str" cm="1">
        <f t="array" ref="G35">INDEX('Linha 04'!$C$2:$ZZ$2,C35)</f>
        <v>Detergente Aquafast Maca Cx/12 X 1l</v>
      </c>
      <c r="H35" s="5" cm="1">
        <f t="array" ref="H35">INDEX('Linha 04'!$C$4:$ZZ$1000,B35,C35)</f>
        <v>0</v>
      </c>
    </row>
    <row r="36" spans="1:8" x14ac:dyDescent="0.25">
      <c r="A36">
        <v>34</v>
      </c>
      <c r="B36">
        <f t="shared" si="0"/>
        <v>2</v>
      </c>
      <c r="C36">
        <f t="shared" si="1"/>
        <v>6</v>
      </c>
      <c r="D36" cm="1">
        <f t="array" ref="D36">INDEX('Linha 04'!$A$4:$A$1000,B36)</f>
        <v>20030002</v>
      </c>
      <c r="E36" t="str" cm="1">
        <f t="array" ref="E36">INDEX('Linha 04'!$B$4:$B$1000,B36)</f>
        <v>Detergente Aquafast Limao Cx/24 X 500ml</v>
      </c>
      <c r="F36" cm="1">
        <f t="array" ref="F36">INDEX('Linha 04'!$C$3:$ZZ$3,C36)</f>
        <v>20030012</v>
      </c>
      <c r="G36" t="str" cm="1">
        <f t="array" ref="G36">INDEX('Linha 04'!$C$2:$ZZ$2,C36)</f>
        <v>Detergente Aquafast Limao Cx/12 X 1l</v>
      </c>
      <c r="H36" s="5" cm="1">
        <f t="array" ref="H36">INDEX('Linha 04'!$C$4:$ZZ$1000,B36,C36)</f>
        <v>0</v>
      </c>
    </row>
    <row r="37" spans="1:8" x14ac:dyDescent="0.25">
      <c r="A37">
        <v>35</v>
      </c>
      <c r="B37">
        <f t="shared" si="0"/>
        <v>2</v>
      </c>
      <c r="C37">
        <f t="shared" si="1"/>
        <v>7</v>
      </c>
      <c r="D37" cm="1">
        <f t="array" ref="D37">INDEX('Linha 04'!$A$4:$A$1000,B37)</f>
        <v>20030002</v>
      </c>
      <c r="E37" t="str" cm="1">
        <f t="array" ref="E37">INDEX('Linha 04'!$B$4:$B$1000,B37)</f>
        <v>Detergente Aquafast Limao Cx/24 X 500ml</v>
      </c>
      <c r="F37" cm="1">
        <f t="array" ref="F37">INDEX('Linha 04'!$C$3:$ZZ$3,C37)</f>
        <v>20030013</v>
      </c>
      <c r="G37" t="str" cm="1">
        <f t="array" ref="G37">INDEX('Linha 04'!$C$2:$ZZ$2,C37)</f>
        <v>Detergente Aquafast Neutro Cx/12 X 1l</v>
      </c>
      <c r="H37" s="5" cm="1">
        <f t="array" ref="H37">INDEX('Linha 04'!$C$4:$ZZ$1000,B37,C37)</f>
        <v>0</v>
      </c>
    </row>
    <row r="38" spans="1:8" x14ac:dyDescent="0.25">
      <c r="A38">
        <v>36</v>
      </c>
      <c r="B38">
        <f t="shared" si="0"/>
        <v>2</v>
      </c>
      <c r="C38">
        <f t="shared" si="1"/>
        <v>8</v>
      </c>
      <c r="D38" cm="1">
        <f t="array" ref="D38">INDEX('Linha 04'!$A$4:$A$1000,B38)</f>
        <v>20030002</v>
      </c>
      <c r="E38" t="str" cm="1">
        <f t="array" ref="E38">INDEX('Linha 04'!$B$4:$B$1000,B38)</f>
        <v>Detergente Aquafast Limao Cx/24 X 500ml</v>
      </c>
      <c r="F38" cm="1">
        <f t="array" ref="F38">INDEX('Linha 04'!$C$3:$ZZ$3,C38)</f>
        <v>20030014</v>
      </c>
      <c r="G38" t="str" cm="1">
        <f t="array" ref="G38">INDEX('Linha 04'!$C$2:$ZZ$2,C38)</f>
        <v>Detergente Aquafast Clear Cx/12 X 1l (Natural)</v>
      </c>
      <c r="H38" s="5" cm="1">
        <f t="array" ref="H38">INDEX('Linha 04'!$C$4:$ZZ$1000,B38,C38)</f>
        <v>0</v>
      </c>
    </row>
    <row r="39" spans="1:8" x14ac:dyDescent="0.25">
      <c r="A39">
        <v>37</v>
      </c>
      <c r="B39">
        <f t="shared" si="0"/>
        <v>2</v>
      </c>
      <c r="C39">
        <f t="shared" si="1"/>
        <v>9</v>
      </c>
      <c r="D39" cm="1">
        <f t="array" ref="D39">INDEX('Linha 04'!$A$4:$A$1000,B39)</f>
        <v>20030002</v>
      </c>
      <c r="E39" t="str" cm="1">
        <f t="array" ref="E39">INDEX('Linha 04'!$B$4:$B$1000,B39)</f>
        <v>Detergente Aquafast Limao Cx/24 X 500ml</v>
      </c>
      <c r="F39" cm="1">
        <f t="array" ref="F39">INDEX('Linha 04'!$C$3:$ZZ$3,C39)</f>
        <v>20030020</v>
      </c>
      <c r="G39" t="str" cm="1">
        <f t="array" ref="G39">INDEX('Linha 04'!$C$2:$ZZ$2,C39)</f>
        <v>Detergente Ito Maca Cx/24 X 500ml</v>
      </c>
      <c r="H39" s="5" cm="1">
        <f t="array" ref="H39">INDEX('Linha 04'!$C$4:$ZZ$1000,B39,C39)</f>
        <v>0</v>
      </c>
    </row>
    <row r="40" spans="1:8" x14ac:dyDescent="0.25">
      <c r="A40">
        <v>38</v>
      </c>
      <c r="B40">
        <f t="shared" si="0"/>
        <v>2</v>
      </c>
      <c r="C40">
        <f t="shared" si="1"/>
        <v>10</v>
      </c>
      <c r="D40" cm="1">
        <f t="array" ref="D40">INDEX('Linha 04'!$A$4:$A$1000,B40)</f>
        <v>20030002</v>
      </c>
      <c r="E40" t="str" cm="1">
        <f t="array" ref="E40">INDEX('Linha 04'!$B$4:$B$1000,B40)</f>
        <v>Detergente Aquafast Limao Cx/24 X 500ml</v>
      </c>
      <c r="F40" cm="1">
        <f t="array" ref="F40">INDEX('Linha 04'!$C$3:$ZZ$3,C40)</f>
        <v>20030021</v>
      </c>
      <c r="G40" t="str" cm="1">
        <f t="array" ref="G40">INDEX('Linha 04'!$C$2:$ZZ$2,C40)</f>
        <v>Detergente Ito Limao Cx/24 X 500ml</v>
      </c>
      <c r="H40" s="5" cm="1">
        <f t="array" ref="H40">INDEX('Linha 04'!$C$4:$ZZ$1000,B40,C40)</f>
        <v>0</v>
      </c>
    </row>
    <row r="41" spans="1:8" x14ac:dyDescent="0.25">
      <c r="A41">
        <v>39</v>
      </c>
      <c r="B41">
        <f t="shared" si="0"/>
        <v>2</v>
      </c>
      <c r="C41">
        <f t="shared" si="1"/>
        <v>11</v>
      </c>
      <c r="D41" cm="1">
        <f t="array" ref="D41">INDEX('Linha 04'!$A$4:$A$1000,B41)</f>
        <v>20030002</v>
      </c>
      <c r="E41" t="str" cm="1">
        <f t="array" ref="E41">INDEX('Linha 04'!$B$4:$B$1000,B41)</f>
        <v>Detergente Aquafast Limao Cx/24 X 500ml</v>
      </c>
      <c r="F41" cm="1">
        <f t="array" ref="F41">INDEX('Linha 04'!$C$3:$ZZ$3,C41)</f>
        <v>20030022</v>
      </c>
      <c r="G41" t="str" cm="1">
        <f t="array" ref="G41">INDEX('Linha 04'!$C$2:$ZZ$2,C41)</f>
        <v>Detergente Ito Neutro Cx/24 X 500ml</v>
      </c>
      <c r="H41" s="5" cm="1">
        <f t="array" ref="H41">INDEX('Linha 04'!$C$4:$ZZ$1000,B41,C41)</f>
        <v>0</v>
      </c>
    </row>
    <row r="42" spans="1:8" x14ac:dyDescent="0.25">
      <c r="A42">
        <v>40</v>
      </c>
      <c r="B42">
        <f t="shared" si="0"/>
        <v>2</v>
      </c>
      <c r="C42">
        <f t="shared" si="1"/>
        <v>12</v>
      </c>
      <c r="D42" cm="1">
        <f t="array" ref="D42">INDEX('Linha 04'!$A$4:$A$1000,B42)</f>
        <v>20030002</v>
      </c>
      <c r="E42" t="str" cm="1">
        <f t="array" ref="E42">INDEX('Linha 04'!$B$4:$B$1000,B42)</f>
        <v>Detergente Aquafast Limao Cx/24 X 500ml</v>
      </c>
      <c r="F42" cm="1">
        <f t="array" ref="F42">INDEX('Linha 04'!$C$3:$ZZ$3,C42)</f>
        <v>20030023</v>
      </c>
      <c r="G42" t="str" cm="1">
        <f t="array" ref="G42">INDEX('Linha 04'!$C$2:$ZZ$2,C42)</f>
        <v>Detergente Ito Clear Cx/24 X 500ml</v>
      </c>
      <c r="H42" s="5" cm="1">
        <f t="array" ref="H42">INDEX('Linha 04'!$C$4:$ZZ$1000,B42,C42)</f>
        <v>0</v>
      </c>
    </row>
    <row r="43" spans="1:8" x14ac:dyDescent="0.25">
      <c r="A43">
        <v>41</v>
      </c>
      <c r="B43">
        <f t="shared" si="0"/>
        <v>2</v>
      </c>
      <c r="C43">
        <f t="shared" si="1"/>
        <v>13</v>
      </c>
      <c r="D43" cm="1">
        <f t="array" ref="D43">INDEX('Linha 04'!$A$4:$A$1000,B43)</f>
        <v>20030002</v>
      </c>
      <c r="E43" t="str" cm="1">
        <f t="array" ref="E43">INDEX('Linha 04'!$B$4:$B$1000,B43)</f>
        <v>Detergente Aquafast Limao Cx/24 X 500ml</v>
      </c>
      <c r="F43" cm="1">
        <f t="array" ref="F43">INDEX('Linha 04'!$C$3:$ZZ$3,C43)</f>
        <v>20030038</v>
      </c>
      <c r="G43" t="str" cm="1">
        <f t="array" ref="G43">INDEX('Linha 04'!$C$2:$ZZ$2,C43)</f>
        <v>Detergente Myata Maca Cx/24 X 500ml</v>
      </c>
      <c r="H43" s="5" cm="1">
        <f t="array" ref="H43">INDEX('Linha 04'!$C$4:$ZZ$1000,B43,C43)</f>
        <v>0</v>
      </c>
    </row>
    <row r="44" spans="1:8" x14ac:dyDescent="0.25">
      <c r="A44">
        <v>42</v>
      </c>
      <c r="B44">
        <f t="shared" si="0"/>
        <v>2</v>
      </c>
      <c r="C44">
        <f t="shared" si="1"/>
        <v>14</v>
      </c>
      <c r="D44" cm="1">
        <f t="array" ref="D44">INDEX('Linha 04'!$A$4:$A$1000,B44)</f>
        <v>20030002</v>
      </c>
      <c r="E44" t="str" cm="1">
        <f t="array" ref="E44">INDEX('Linha 04'!$B$4:$B$1000,B44)</f>
        <v>Detergente Aquafast Limao Cx/24 X 500ml</v>
      </c>
      <c r="F44" cm="1">
        <f t="array" ref="F44">INDEX('Linha 04'!$C$3:$ZZ$3,C44)</f>
        <v>20030039</v>
      </c>
      <c r="G44" t="str" cm="1">
        <f t="array" ref="G44">INDEX('Linha 04'!$C$2:$ZZ$2,C44)</f>
        <v>Detergente Myata Limao Cx/24 X 500ml</v>
      </c>
      <c r="H44" s="5" cm="1">
        <f t="array" ref="H44">INDEX('Linha 04'!$C$4:$ZZ$1000,B44,C44)</f>
        <v>0</v>
      </c>
    </row>
    <row r="45" spans="1:8" x14ac:dyDescent="0.25">
      <c r="A45">
        <v>43</v>
      </c>
      <c r="B45">
        <f t="shared" si="0"/>
        <v>2</v>
      </c>
      <c r="C45">
        <f t="shared" si="1"/>
        <v>15</v>
      </c>
      <c r="D45" cm="1">
        <f t="array" ref="D45">INDEX('Linha 04'!$A$4:$A$1000,B45)</f>
        <v>20030002</v>
      </c>
      <c r="E45" t="str" cm="1">
        <f t="array" ref="E45">INDEX('Linha 04'!$B$4:$B$1000,B45)</f>
        <v>Detergente Aquafast Limao Cx/24 X 500ml</v>
      </c>
      <c r="F45" cm="1">
        <f t="array" ref="F45">INDEX('Linha 04'!$C$3:$ZZ$3,C45)</f>
        <v>20030040</v>
      </c>
      <c r="G45" t="str" cm="1">
        <f t="array" ref="G45">INDEX('Linha 04'!$C$2:$ZZ$2,C45)</f>
        <v>Detergente Myata Neutro Cx/24 X 500ml</v>
      </c>
      <c r="H45" s="5" cm="1">
        <f t="array" ref="H45">INDEX('Linha 04'!$C$4:$ZZ$1000,B45,C45)</f>
        <v>0</v>
      </c>
    </row>
    <row r="46" spans="1:8" x14ac:dyDescent="0.25">
      <c r="A46">
        <v>44</v>
      </c>
      <c r="B46">
        <f t="shared" si="0"/>
        <v>2</v>
      </c>
      <c r="C46">
        <f t="shared" si="1"/>
        <v>16</v>
      </c>
      <c r="D46" cm="1">
        <f t="array" ref="D46">INDEX('Linha 04'!$A$4:$A$1000,B46)</f>
        <v>20030002</v>
      </c>
      <c r="E46" t="str" cm="1">
        <f t="array" ref="E46">INDEX('Linha 04'!$B$4:$B$1000,B46)</f>
        <v>Detergente Aquafast Limao Cx/24 X 500ml</v>
      </c>
      <c r="F46" cm="1">
        <f t="array" ref="F46">INDEX('Linha 04'!$C$3:$ZZ$3,C46)</f>
        <v>20030067</v>
      </c>
      <c r="G46" t="str" cm="1">
        <f t="array" ref="G46">INDEX('Linha 04'!$C$2:$ZZ$2,C46)</f>
        <v>Detergente Aquafast Coco Cx/24 X 500ml</v>
      </c>
      <c r="H46" s="5" cm="1">
        <f t="array" ref="H46">INDEX('Linha 04'!$C$4:$ZZ$1000,B46,C46)</f>
        <v>0</v>
      </c>
    </row>
    <row r="47" spans="1:8" x14ac:dyDescent="0.25">
      <c r="A47">
        <v>45</v>
      </c>
      <c r="B47">
        <f t="shared" si="0"/>
        <v>2</v>
      </c>
      <c r="C47">
        <f t="shared" si="1"/>
        <v>17</v>
      </c>
      <c r="D47" cm="1">
        <f t="array" ref="D47">INDEX('Linha 04'!$A$4:$A$1000,B47)</f>
        <v>20030002</v>
      </c>
      <c r="E47" t="str" cm="1">
        <f t="array" ref="E47">INDEX('Linha 04'!$B$4:$B$1000,B47)</f>
        <v>Detergente Aquafast Limao Cx/24 X 500ml</v>
      </c>
      <c r="F47" cm="1">
        <f t="array" ref="F47">INDEX('Linha 04'!$C$3:$ZZ$3,C47)</f>
        <v>20050001</v>
      </c>
      <c r="G47" t="str" cm="1">
        <f t="array" ref="G47">INDEX('Linha 04'!$C$2:$ZZ$2,C47)</f>
        <v>Desinfetante Aquafast Campos Lavanda Cx/12 X 500ml</v>
      </c>
      <c r="H47" s="5" cm="1">
        <f t="array" ref="H47">INDEX('Linha 04'!$C$4:$ZZ$1000,B47,C47)</f>
        <v>0</v>
      </c>
    </row>
    <row r="48" spans="1:8" x14ac:dyDescent="0.25">
      <c r="A48">
        <v>46</v>
      </c>
      <c r="B48">
        <f t="shared" si="0"/>
        <v>2</v>
      </c>
      <c r="C48">
        <f t="shared" si="1"/>
        <v>18</v>
      </c>
      <c r="D48" cm="1">
        <f t="array" ref="D48">INDEX('Linha 04'!$A$4:$A$1000,B48)</f>
        <v>20030002</v>
      </c>
      <c r="E48" t="str" cm="1">
        <f t="array" ref="E48">INDEX('Linha 04'!$B$4:$B$1000,B48)</f>
        <v>Detergente Aquafast Limao Cx/24 X 500ml</v>
      </c>
      <c r="F48" cm="1">
        <f t="array" ref="F48">INDEX('Linha 04'!$C$3:$ZZ$3,C48)</f>
        <v>20050026</v>
      </c>
      <c r="G48" t="str" cm="1">
        <f t="array" ref="G48">INDEX('Linha 04'!$C$2:$ZZ$2,C48)</f>
        <v>Desinfetante Ito Lavanda Cx/12 X 500ml</v>
      </c>
      <c r="H48" s="5" cm="1">
        <f t="array" ref="H48">INDEX('Linha 04'!$C$4:$ZZ$1000,B48,C48)</f>
        <v>0</v>
      </c>
    </row>
    <row r="49" spans="1:8" x14ac:dyDescent="0.25">
      <c r="A49">
        <v>47</v>
      </c>
      <c r="B49">
        <f t="shared" si="0"/>
        <v>2</v>
      </c>
      <c r="C49">
        <f t="shared" si="1"/>
        <v>19</v>
      </c>
      <c r="D49" cm="1">
        <f t="array" ref="D49">INDEX('Linha 04'!$A$4:$A$1000,B49)</f>
        <v>20030002</v>
      </c>
      <c r="E49" t="str" cm="1">
        <f t="array" ref="E49">INDEX('Linha 04'!$B$4:$B$1000,B49)</f>
        <v>Detergente Aquafast Limao Cx/24 X 500ml</v>
      </c>
      <c r="F49" cm="1">
        <f t="array" ref="F49">INDEX('Linha 04'!$C$3:$ZZ$3,C49)</f>
        <v>20050119</v>
      </c>
      <c r="G49" t="str" cm="1">
        <f t="array" ref="G49">INDEX('Linha 04'!$C$2:$ZZ$2,C49)</f>
        <v>Desinfetante Aquafast Paixao Cx/12 X 500ml</v>
      </c>
      <c r="H49" s="5" cm="1">
        <f t="array" ref="H49">INDEX('Linha 04'!$C$4:$ZZ$1000,B49,C49)</f>
        <v>0</v>
      </c>
    </row>
    <row r="50" spans="1:8" x14ac:dyDescent="0.25">
      <c r="A50">
        <v>48</v>
      </c>
      <c r="B50">
        <f t="shared" si="0"/>
        <v>2</v>
      </c>
      <c r="C50">
        <f t="shared" si="1"/>
        <v>20</v>
      </c>
      <c r="D50" cm="1">
        <f t="array" ref="D50">INDEX('Linha 04'!$A$4:$A$1000,B50)</f>
        <v>20030002</v>
      </c>
      <c r="E50" t="str" cm="1">
        <f t="array" ref="E50">INDEX('Linha 04'!$B$4:$B$1000,B50)</f>
        <v>Detergente Aquafast Limao Cx/24 X 500ml</v>
      </c>
      <c r="F50" cm="1">
        <f t="array" ref="F50">INDEX('Linha 04'!$C$3:$ZZ$3,C50)</f>
        <v>20050145</v>
      </c>
      <c r="G50" t="str" cm="1">
        <f t="array" ref="G50">INDEX('Linha 04'!$C$2:$ZZ$2,C50)</f>
        <v>Desinfetante Aquafast Harmonia Natural Cx/12 X 500ml</v>
      </c>
      <c r="H50" s="5" cm="1">
        <f t="array" ref="H50">INDEX('Linha 04'!$C$4:$ZZ$1000,B50,C50)</f>
        <v>0</v>
      </c>
    </row>
    <row r="51" spans="1:8" x14ac:dyDescent="0.25">
      <c r="A51">
        <v>49</v>
      </c>
      <c r="B51">
        <f t="shared" si="0"/>
        <v>2</v>
      </c>
      <c r="C51">
        <f t="shared" si="1"/>
        <v>21</v>
      </c>
      <c r="D51" cm="1">
        <f t="array" ref="D51">INDEX('Linha 04'!$A$4:$A$1000,B51)</f>
        <v>20030002</v>
      </c>
      <c r="E51" t="str" cm="1">
        <f t="array" ref="E51">INDEX('Linha 04'!$B$4:$B$1000,B51)</f>
        <v>Detergente Aquafast Limao Cx/24 X 500ml</v>
      </c>
      <c r="F51" cm="1">
        <f t="array" ref="F51">INDEX('Linha 04'!$C$3:$ZZ$3,C51)</f>
        <v>20050149</v>
      </c>
      <c r="G51" t="str" cm="1">
        <f t="array" ref="G51">INDEX('Linha 04'!$C$2:$ZZ$2,C51)</f>
        <v>Desinfetante Aquafast Campos Lavanda Cx/12 X 1l</v>
      </c>
      <c r="H51" s="5" cm="1">
        <f t="array" ref="H51">INDEX('Linha 04'!$C$4:$ZZ$1000,B51,C51)</f>
        <v>0</v>
      </c>
    </row>
    <row r="52" spans="1:8" x14ac:dyDescent="0.25">
      <c r="A52">
        <v>50</v>
      </c>
      <c r="B52">
        <f t="shared" si="0"/>
        <v>2</v>
      </c>
      <c r="C52">
        <f t="shared" si="1"/>
        <v>22</v>
      </c>
      <c r="D52" cm="1">
        <f t="array" ref="D52">INDEX('Linha 04'!$A$4:$A$1000,B52)</f>
        <v>20030002</v>
      </c>
      <c r="E52" t="str" cm="1">
        <f t="array" ref="E52">INDEX('Linha 04'!$B$4:$B$1000,B52)</f>
        <v>Detergente Aquafast Limao Cx/24 X 500ml</v>
      </c>
      <c r="F52" cm="1">
        <f t="array" ref="F52">INDEX('Linha 04'!$C$3:$ZZ$3,C52)</f>
        <v>20050150</v>
      </c>
      <c r="G52" t="str" cm="1">
        <f t="array" ref="G52">INDEX('Linha 04'!$C$2:$ZZ$2,C52)</f>
        <v>Desinfetante Aquafast Marine Cx/12 X 1l</v>
      </c>
      <c r="H52" s="5" cm="1">
        <f t="array" ref="H52">INDEX('Linha 04'!$C$4:$ZZ$1000,B52,C52)</f>
        <v>0</v>
      </c>
    </row>
    <row r="53" spans="1:8" x14ac:dyDescent="0.25">
      <c r="A53">
        <v>51</v>
      </c>
      <c r="B53">
        <f t="shared" si="0"/>
        <v>2</v>
      </c>
      <c r="C53">
        <f t="shared" si="1"/>
        <v>23</v>
      </c>
      <c r="D53" cm="1">
        <f t="array" ref="D53">INDEX('Linha 04'!$A$4:$A$1000,B53)</f>
        <v>20030002</v>
      </c>
      <c r="E53" t="str" cm="1">
        <f t="array" ref="E53">INDEX('Linha 04'!$B$4:$B$1000,B53)</f>
        <v>Detergente Aquafast Limao Cx/24 X 500ml</v>
      </c>
      <c r="F53" cm="1">
        <f t="array" ref="F53">INDEX('Linha 04'!$C$3:$ZZ$3,C53)</f>
        <v>20050151</v>
      </c>
      <c r="G53" t="str" cm="1">
        <f t="array" ref="G53">INDEX('Linha 04'!$C$2:$ZZ$2,C53)</f>
        <v>Desinfetante Aquafast Paixao Cx/12 X 1l</v>
      </c>
      <c r="H53" s="5" cm="1">
        <f t="array" ref="H53">INDEX('Linha 04'!$C$4:$ZZ$1000,B53,C53)</f>
        <v>0</v>
      </c>
    </row>
    <row r="54" spans="1:8" x14ac:dyDescent="0.25">
      <c r="A54">
        <v>52</v>
      </c>
      <c r="B54">
        <f t="shared" si="0"/>
        <v>2</v>
      </c>
      <c r="C54">
        <f t="shared" si="1"/>
        <v>24</v>
      </c>
      <c r="D54" cm="1">
        <f t="array" ref="D54">INDEX('Linha 04'!$A$4:$A$1000,B54)</f>
        <v>20030002</v>
      </c>
      <c r="E54" t="str" cm="1">
        <f t="array" ref="E54">INDEX('Linha 04'!$B$4:$B$1000,B54)</f>
        <v>Detergente Aquafast Limao Cx/24 X 500ml</v>
      </c>
      <c r="F54" cm="1">
        <f t="array" ref="F54">INDEX('Linha 04'!$C$3:$ZZ$3,C54)</f>
        <v>20050152</v>
      </c>
      <c r="G54" t="str" cm="1">
        <f t="array" ref="G54">INDEX('Linha 04'!$C$2:$ZZ$2,C54)</f>
        <v>Desinfetante Aquafast Harmonia Natural Cx/12 X 1l</v>
      </c>
      <c r="H54" s="5" cm="1">
        <f t="array" ref="H54">INDEX('Linha 04'!$C$4:$ZZ$1000,B54,C54)</f>
        <v>0</v>
      </c>
    </row>
    <row r="55" spans="1:8" x14ac:dyDescent="0.25">
      <c r="A55">
        <v>53</v>
      </c>
      <c r="B55">
        <f t="shared" si="0"/>
        <v>2</v>
      </c>
      <c r="C55">
        <f t="shared" si="1"/>
        <v>25</v>
      </c>
      <c r="D55" cm="1">
        <f t="array" ref="D55">INDEX('Linha 04'!$A$4:$A$1000,B55)</f>
        <v>20030002</v>
      </c>
      <c r="E55" t="str" cm="1">
        <f t="array" ref="E55">INDEX('Linha 04'!$B$4:$B$1000,B55)</f>
        <v>Detergente Aquafast Limao Cx/24 X 500ml</v>
      </c>
      <c r="F55" cm="1">
        <f t="array" ref="F55">INDEX('Linha 04'!$C$3:$ZZ$3,C55)</f>
        <v>20050153</v>
      </c>
      <c r="G55" t="str" cm="1">
        <f t="array" ref="G55">INDEX('Linha 04'!$C$2:$ZZ$2,C55)</f>
        <v>Desinfetante Ito Harmonia Natural Cx/12 X 500ml</v>
      </c>
      <c r="H55" s="5" cm="1">
        <f t="array" ref="H55">INDEX('Linha 04'!$C$4:$ZZ$1000,B55,C55)</f>
        <v>0</v>
      </c>
    </row>
    <row r="56" spans="1:8" x14ac:dyDescent="0.25">
      <c r="A56">
        <v>54</v>
      </c>
      <c r="B56">
        <f t="shared" si="0"/>
        <v>2</v>
      </c>
      <c r="C56">
        <f t="shared" si="1"/>
        <v>26</v>
      </c>
      <c r="D56" cm="1">
        <f t="array" ref="D56">INDEX('Linha 04'!$A$4:$A$1000,B56)</f>
        <v>20030002</v>
      </c>
      <c r="E56" t="str" cm="1">
        <f t="array" ref="E56">INDEX('Linha 04'!$B$4:$B$1000,B56)</f>
        <v>Detergente Aquafast Limao Cx/24 X 500ml</v>
      </c>
      <c r="F56" cm="1">
        <f t="array" ref="F56">INDEX('Linha 04'!$C$3:$ZZ$3,C56)</f>
        <v>20050155</v>
      </c>
      <c r="G56" t="str" cm="1">
        <f t="array" ref="G56">INDEX('Linha 04'!$C$2:$ZZ$2,C56)</f>
        <v>Intermed Pack Desinfetante Paixao Cx/12 X 1l</v>
      </c>
      <c r="H56" s="5" cm="1">
        <f t="array" ref="H56">INDEX('Linha 04'!$C$4:$ZZ$1000,B56,C56)</f>
        <v>0</v>
      </c>
    </row>
    <row r="57" spans="1:8" x14ac:dyDescent="0.25">
      <c r="A57">
        <v>55</v>
      </c>
      <c r="B57">
        <f t="shared" si="0"/>
        <v>2</v>
      </c>
      <c r="C57">
        <f t="shared" si="1"/>
        <v>27</v>
      </c>
      <c r="D57" cm="1">
        <f t="array" ref="D57">INDEX('Linha 04'!$A$4:$A$1000,B57)</f>
        <v>20030002</v>
      </c>
      <c r="E57" t="str" cm="1">
        <f t="array" ref="E57">INDEX('Linha 04'!$B$4:$B$1000,B57)</f>
        <v>Detergente Aquafast Limao Cx/24 X 500ml</v>
      </c>
      <c r="F57" cm="1">
        <f t="array" ref="F57">INDEX('Linha 04'!$C$3:$ZZ$3,C57)</f>
        <v>20050156</v>
      </c>
      <c r="G57" t="str" cm="1">
        <f t="array" ref="G57">INDEX('Linha 04'!$C$2:$ZZ$2,C57)</f>
        <v>Intermed Pack Desinfetante Campos Lavanda Cx/12 X 1l</v>
      </c>
      <c r="H57" s="5" cm="1">
        <f t="array" ref="H57">INDEX('Linha 04'!$C$4:$ZZ$1000,B57,C57)</f>
        <v>0</v>
      </c>
    </row>
    <row r="58" spans="1:8" x14ac:dyDescent="0.25">
      <c r="A58">
        <v>56</v>
      </c>
      <c r="B58">
        <f t="shared" si="0"/>
        <v>2</v>
      </c>
      <c r="C58">
        <f t="shared" si="1"/>
        <v>28</v>
      </c>
      <c r="D58" cm="1">
        <f t="array" ref="D58">INDEX('Linha 04'!$A$4:$A$1000,B58)</f>
        <v>20030002</v>
      </c>
      <c r="E58" t="str" cm="1">
        <f t="array" ref="E58">INDEX('Linha 04'!$B$4:$B$1000,B58)</f>
        <v>Detergente Aquafast Limao Cx/24 X 500ml</v>
      </c>
      <c r="F58" cm="1">
        <f t="array" ref="F58">INDEX('Linha 04'!$C$3:$ZZ$3,C58)</f>
        <v>20050157</v>
      </c>
      <c r="G58" t="str" cm="1">
        <f t="array" ref="G58">INDEX('Linha 04'!$C$2:$ZZ$2,C58)</f>
        <v>Intermed Pack Desinfetante Marine Cx/12 X 1l</v>
      </c>
      <c r="H58" s="5" cm="1">
        <f t="array" ref="H58">INDEX('Linha 04'!$C$4:$ZZ$1000,B58,C58)</f>
        <v>0</v>
      </c>
    </row>
    <row r="59" spans="1:8" x14ac:dyDescent="0.25">
      <c r="A59">
        <v>57</v>
      </c>
      <c r="B59">
        <f t="shared" si="0"/>
        <v>3</v>
      </c>
      <c r="C59">
        <f t="shared" si="1"/>
        <v>1</v>
      </c>
      <c r="D59" cm="1">
        <f t="array" ref="D59">INDEX('Linha 04'!$A$4:$A$1000,B59)</f>
        <v>20030003</v>
      </c>
      <c r="E59" t="str" cm="1">
        <f t="array" ref="E59">INDEX('Linha 04'!$B$4:$B$1000,B59)</f>
        <v>Detergente Aquafast Neutro Cx/24 X 500ml</v>
      </c>
      <c r="F59" cm="1">
        <f t="array" ref="F59">INDEX('Linha 04'!$C$3:$ZZ$3,C59)</f>
        <v>20030001</v>
      </c>
      <c r="G59" t="str" cm="1">
        <f t="array" ref="G59">INDEX('Linha 04'!$C$2:$ZZ$2,C59)</f>
        <v>Detergente Aquafast Maca Cx/24 X 500ml</v>
      </c>
      <c r="H59" s="5" cm="1">
        <f t="array" ref="H59">INDEX('Linha 04'!$C$4:$ZZ$1000,B59,C59)</f>
        <v>0</v>
      </c>
    </row>
    <row r="60" spans="1:8" x14ac:dyDescent="0.25">
      <c r="A60">
        <v>58</v>
      </c>
      <c r="B60">
        <f t="shared" si="0"/>
        <v>3</v>
      </c>
      <c r="C60">
        <f t="shared" si="1"/>
        <v>2</v>
      </c>
      <c r="D60" cm="1">
        <f t="array" ref="D60">INDEX('Linha 04'!$A$4:$A$1000,B60)</f>
        <v>20030003</v>
      </c>
      <c r="E60" t="str" cm="1">
        <f t="array" ref="E60">INDEX('Linha 04'!$B$4:$B$1000,B60)</f>
        <v>Detergente Aquafast Neutro Cx/24 X 500ml</v>
      </c>
      <c r="F60" cm="1">
        <f t="array" ref="F60">INDEX('Linha 04'!$C$3:$ZZ$3,C60)</f>
        <v>20030002</v>
      </c>
      <c r="G60" t="str" cm="1">
        <f t="array" ref="G60">INDEX('Linha 04'!$C$2:$ZZ$2,C60)</f>
        <v>Detergente Aquafast Limao Cx/24 X 500ml</v>
      </c>
      <c r="H60" s="5" cm="1">
        <f t="array" ref="H60">INDEX('Linha 04'!$C$4:$ZZ$1000,B60,C60)</f>
        <v>0</v>
      </c>
    </row>
    <row r="61" spans="1:8" x14ac:dyDescent="0.25">
      <c r="A61">
        <v>59</v>
      </c>
      <c r="B61">
        <f t="shared" si="0"/>
        <v>3</v>
      </c>
      <c r="C61">
        <f t="shared" si="1"/>
        <v>3</v>
      </c>
      <c r="D61" cm="1">
        <f t="array" ref="D61">INDEX('Linha 04'!$A$4:$A$1000,B61)</f>
        <v>20030003</v>
      </c>
      <c r="E61" t="str" cm="1">
        <f t="array" ref="E61">INDEX('Linha 04'!$B$4:$B$1000,B61)</f>
        <v>Detergente Aquafast Neutro Cx/24 X 500ml</v>
      </c>
      <c r="F61" cm="1">
        <f t="array" ref="F61">INDEX('Linha 04'!$C$3:$ZZ$3,C61)</f>
        <v>20030003</v>
      </c>
      <c r="G61" t="str" cm="1">
        <f t="array" ref="G61">INDEX('Linha 04'!$C$2:$ZZ$2,C61)</f>
        <v>Detergente Aquafast Neutro Cx/24 X 500ml</v>
      </c>
      <c r="H61" s="5" cm="1">
        <f t="array" ref="H61">INDEX('Linha 04'!$C$4:$ZZ$1000,B61,C61)</f>
        <v>0</v>
      </c>
    </row>
    <row r="62" spans="1:8" x14ac:dyDescent="0.25">
      <c r="A62">
        <v>60</v>
      </c>
      <c r="B62">
        <f t="shared" si="0"/>
        <v>3</v>
      </c>
      <c r="C62">
        <f t="shared" si="1"/>
        <v>4</v>
      </c>
      <c r="D62" cm="1">
        <f t="array" ref="D62">INDEX('Linha 04'!$A$4:$A$1000,B62)</f>
        <v>20030003</v>
      </c>
      <c r="E62" t="str" cm="1">
        <f t="array" ref="E62">INDEX('Linha 04'!$B$4:$B$1000,B62)</f>
        <v>Detergente Aquafast Neutro Cx/24 X 500ml</v>
      </c>
      <c r="F62" cm="1">
        <f t="array" ref="F62">INDEX('Linha 04'!$C$3:$ZZ$3,C62)</f>
        <v>20030004</v>
      </c>
      <c r="G62" t="str" cm="1">
        <f t="array" ref="G62">INDEX('Linha 04'!$C$2:$ZZ$2,C62)</f>
        <v>Detergente Aquafast Clear Cx/24 X 500ml (Natural)</v>
      </c>
      <c r="H62" s="5" cm="1">
        <f t="array" ref="H62">INDEX('Linha 04'!$C$4:$ZZ$1000,B62,C62)</f>
        <v>0</v>
      </c>
    </row>
    <row r="63" spans="1:8" x14ac:dyDescent="0.25">
      <c r="A63">
        <v>61</v>
      </c>
      <c r="B63">
        <f t="shared" si="0"/>
        <v>3</v>
      </c>
      <c r="C63">
        <f t="shared" si="1"/>
        <v>5</v>
      </c>
      <c r="D63" cm="1">
        <f t="array" ref="D63">INDEX('Linha 04'!$A$4:$A$1000,B63)</f>
        <v>20030003</v>
      </c>
      <c r="E63" t="str" cm="1">
        <f t="array" ref="E63">INDEX('Linha 04'!$B$4:$B$1000,B63)</f>
        <v>Detergente Aquafast Neutro Cx/24 X 500ml</v>
      </c>
      <c r="F63" cm="1">
        <f t="array" ref="F63">INDEX('Linha 04'!$C$3:$ZZ$3,C63)</f>
        <v>20030011</v>
      </c>
      <c r="G63" t="str" cm="1">
        <f t="array" ref="G63">INDEX('Linha 04'!$C$2:$ZZ$2,C63)</f>
        <v>Detergente Aquafast Maca Cx/12 X 1l</v>
      </c>
      <c r="H63" s="5" cm="1">
        <f t="array" ref="H63">INDEX('Linha 04'!$C$4:$ZZ$1000,B63,C63)</f>
        <v>0</v>
      </c>
    </row>
    <row r="64" spans="1:8" x14ac:dyDescent="0.25">
      <c r="A64">
        <v>62</v>
      </c>
      <c r="B64">
        <f t="shared" si="0"/>
        <v>3</v>
      </c>
      <c r="C64">
        <f t="shared" si="1"/>
        <v>6</v>
      </c>
      <c r="D64" cm="1">
        <f t="array" ref="D64">INDEX('Linha 04'!$A$4:$A$1000,B64)</f>
        <v>20030003</v>
      </c>
      <c r="E64" t="str" cm="1">
        <f t="array" ref="E64">INDEX('Linha 04'!$B$4:$B$1000,B64)</f>
        <v>Detergente Aquafast Neutro Cx/24 X 500ml</v>
      </c>
      <c r="F64" cm="1">
        <f t="array" ref="F64">INDEX('Linha 04'!$C$3:$ZZ$3,C64)</f>
        <v>20030012</v>
      </c>
      <c r="G64" t="str" cm="1">
        <f t="array" ref="G64">INDEX('Linha 04'!$C$2:$ZZ$2,C64)</f>
        <v>Detergente Aquafast Limao Cx/12 X 1l</v>
      </c>
      <c r="H64" s="5" cm="1">
        <f t="array" ref="H64">INDEX('Linha 04'!$C$4:$ZZ$1000,B64,C64)</f>
        <v>0</v>
      </c>
    </row>
    <row r="65" spans="1:8" x14ac:dyDescent="0.25">
      <c r="A65">
        <v>63</v>
      </c>
      <c r="B65">
        <f t="shared" si="0"/>
        <v>3</v>
      </c>
      <c r="C65">
        <f t="shared" si="1"/>
        <v>7</v>
      </c>
      <c r="D65" cm="1">
        <f t="array" ref="D65">INDEX('Linha 04'!$A$4:$A$1000,B65)</f>
        <v>20030003</v>
      </c>
      <c r="E65" t="str" cm="1">
        <f t="array" ref="E65">INDEX('Linha 04'!$B$4:$B$1000,B65)</f>
        <v>Detergente Aquafast Neutro Cx/24 X 500ml</v>
      </c>
      <c r="F65" cm="1">
        <f t="array" ref="F65">INDEX('Linha 04'!$C$3:$ZZ$3,C65)</f>
        <v>20030013</v>
      </c>
      <c r="G65" t="str" cm="1">
        <f t="array" ref="G65">INDEX('Linha 04'!$C$2:$ZZ$2,C65)</f>
        <v>Detergente Aquafast Neutro Cx/12 X 1l</v>
      </c>
      <c r="H65" s="5" cm="1">
        <f t="array" ref="H65">INDEX('Linha 04'!$C$4:$ZZ$1000,B65,C65)</f>
        <v>0</v>
      </c>
    </row>
    <row r="66" spans="1:8" x14ac:dyDescent="0.25">
      <c r="A66">
        <v>64</v>
      </c>
      <c r="B66">
        <f t="shared" si="0"/>
        <v>3</v>
      </c>
      <c r="C66">
        <f t="shared" si="1"/>
        <v>8</v>
      </c>
      <c r="D66" cm="1">
        <f t="array" ref="D66">INDEX('Linha 04'!$A$4:$A$1000,B66)</f>
        <v>20030003</v>
      </c>
      <c r="E66" t="str" cm="1">
        <f t="array" ref="E66">INDEX('Linha 04'!$B$4:$B$1000,B66)</f>
        <v>Detergente Aquafast Neutro Cx/24 X 500ml</v>
      </c>
      <c r="F66" cm="1">
        <f t="array" ref="F66">INDEX('Linha 04'!$C$3:$ZZ$3,C66)</f>
        <v>20030014</v>
      </c>
      <c r="G66" t="str" cm="1">
        <f t="array" ref="G66">INDEX('Linha 04'!$C$2:$ZZ$2,C66)</f>
        <v>Detergente Aquafast Clear Cx/12 X 1l (Natural)</v>
      </c>
      <c r="H66" s="5" cm="1">
        <f t="array" ref="H66">INDEX('Linha 04'!$C$4:$ZZ$1000,B66,C66)</f>
        <v>0</v>
      </c>
    </row>
    <row r="67" spans="1:8" x14ac:dyDescent="0.25">
      <c r="A67">
        <v>65</v>
      </c>
      <c r="B67">
        <f t="shared" si="0"/>
        <v>3</v>
      </c>
      <c r="C67">
        <f t="shared" si="1"/>
        <v>9</v>
      </c>
      <c r="D67" cm="1">
        <f t="array" ref="D67">INDEX('Linha 04'!$A$4:$A$1000,B67)</f>
        <v>20030003</v>
      </c>
      <c r="E67" t="str" cm="1">
        <f t="array" ref="E67">INDEX('Linha 04'!$B$4:$B$1000,B67)</f>
        <v>Detergente Aquafast Neutro Cx/24 X 500ml</v>
      </c>
      <c r="F67" cm="1">
        <f t="array" ref="F67">INDEX('Linha 04'!$C$3:$ZZ$3,C67)</f>
        <v>20030020</v>
      </c>
      <c r="G67" t="str" cm="1">
        <f t="array" ref="G67">INDEX('Linha 04'!$C$2:$ZZ$2,C67)</f>
        <v>Detergente Ito Maca Cx/24 X 500ml</v>
      </c>
      <c r="H67" s="5" cm="1">
        <f t="array" ref="H67">INDEX('Linha 04'!$C$4:$ZZ$1000,B67,C67)</f>
        <v>0</v>
      </c>
    </row>
    <row r="68" spans="1:8" x14ac:dyDescent="0.25">
      <c r="A68">
        <v>66</v>
      </c>
      <c r="B68">
        <f t="shared" ref="B68:B131" si="2">INT((A68-1)/$B$1)+1</f>
        <v>3</v>
      </c>
      <c r="C68">
        <f t="shared" ref="C68:C131" si="3">MOD(A68-1,$B$1)+1</f>
        <v>10</v>
      </c>
      <c r="D68" cm="1">
        <f t="array" ref="D68">INDEX('Linha 04'!$A$4:$A$1000,B68)</f>
        <v>20030003</v>
      </c>
      <c r="E68" t="str" cm="1">
        <f t="array" ref="E68">INDEX('Linha 04'!$B$4:$B$1000,B68)</f>
        <v>Detergente Aquafast Neutro Cx/24 X 500ml</v>
      </c>
      <c r="F68" cm="1">
        <f t="array" ref="F68">INDEX('Linha 04'!$C$3:$ZZ$3,C68)</f>
        <v>20030021</v>
      </c>
      <c r="G68" t="str" cm="1">
        <f t="array" ref="G68">INDEX('Linha 04'!$C$2:$ZZ$2,C68)</f>
        <v>Detergente Ito Limao Cx/24 X 500ml</v>
      </c>
      <c r="H68" s="5" cm="1">
        <f t="array" ref="H68">INDEX('Linha 04'!$C$4:$ZZ$1000,B68,C68)</f>
        <v>0</v>
      </c>
    </row>
    <row r="69" spans="1:8" x14ac:dyDescent="0.25">
      <c r="A69">
        <v>67</v>
      </c>
      <c r="B69">
        <f t="shared" si="2"/>
        <v>3</v>
      </c>
      <c r="C69">
        <f t="shared" si="3"/>
        <v>11</v>
      </c>
      <c r="D69" cm="1">
        <f t="array" ref="D69">INDEX('Linha 04'!$A$4:$A$1000,B69)</f>
        <v>20030003</v>
      </c>
      <c r="E69" t="str" cm="1">
        <f t="array" ref="E69">INDEX('Linha 04'!$B$4:$B$1000,B69)</f>
        <v>Detergente Aquafast Neutro Cx/24 X 500ml</v>
      </c>
      <c r="F69" cm="1">
        <f t="array" ref="F69">INDEX('Linha 04'!$C$3:$ZZ$3,C69)</f>
        <v>20030022</v>
      </c>
      <c r="G69" t="str" cm="1">
        <f t="array" ref="G69">INDEX('Linha 04'!$C$2:$ZZ$2,C69)</f>
        <v>Detergente Ito Neutro Cx/24 X 500ml</v>
      </c>
      <c r="H69" s="5" cm="1">
        <f t="array" ref="H69">INDEX('Linha 04'!$C$4:$ZZ$1000,B69,C69)</f>
        <v>0</v>
      </c>
    </row>
    <row r="70" spans="1:8" x14ac:dyDescent="0.25">
      <c r="A70">
        <v>68</v>
      </c>
      <c r="B70">
        <f t="shared" si="2"/>
        <v>3</v>
      </c>
      <c r="C70">
        <f t="shared" si="3"/>
        <v>12</v>
      </c>
      <c r="D70" cm="1">
        <f t="array" ref="D70">INDEX('Linha 04'!$A$4:$A$1000,B70)</f>
        <v>20030003</v>
      </c>
      <c r="E70" t="str" cm="1">
        <f t="array" ref="E70">INDEX('Linha 04'!$B$4:$B$1000,B70)</f>
        <v>Detergente Aquafast Neutro Cx/24 X 500ml</v>
      </c>
      <c r="F70" cm="1">
        <f t="array" ref="F70">INDEX('Linha 04'!$C$3:$ZZ$3,C70)</f>
        <v>20030023</v>
      </c>
      <c r="G70" t="str" cm="1">
        <f t="array" ref="G70">INDEX('Linha 04'!$C$2:$ZZ$2,C70)</f>
        <v>Detergente Ito Clear Cx/24 X 500ml</v>
      </c>
      <c r="H70" s="5" cm="1">
        <f t="array" ref="H70">INDEX('Linha 04'!$C$4:$ZZ$1000,B70,C70)</f>
        <v>0</v>
      </c>
    </row>
    <row r="71" spans="1:8" x14ac:dyDescent="0.25">
      <c r="A71">
        <v>69</v>
      </c>
      <c r="B71">
        <f t="shared" si="2"/>
        <v>3</v>
      </c>
      <c r="C71">
        <f t="shared" si="3"/>
        <v>13</v>
      </c>
      <c r="D71" cm="1">
        <f t="array" ref="D71">INDEX('Linha 04'!$A$4:$A$1000,B71)</f>
        <v>20030003</v>
      </c>
      <c r="E71" t="str" cm="1">
        <f t="array" ref="E71">INDEX('Linha 04'!$B$4:$B$1000,B71)</f>
        <v>Detergente Aquafast Neutro Cx/24 X 500ml</v>
      </c>
      <c r="F71" cm="1">
        <f t="array" ref="F71">INDEX('Linha 04'!$C$3:$ZZ$3,C71)</f>
        <v>20030038</v>
      </c>
      <c r="G71" t="str" cm="1">
        <f t="array" ref="G71">INDEX('Linha 04'!$C$2:$ZZ$2,C71)</f>
        <v>Detergente Myata Maca Cx/24 X 500ml</v>
      </c>
      <c r="H71" s="5" cm="1">
        <f t="array" ref="H71">INDEX('Linha 04'!$C$4:$ZZ$1000,B71,C71)</f>
        <v>0</v>
      </c>
    </row>
    <row r="72" spans="1:8" x14ac:dyDescent="0.25">
      <c r="A72">
        <v>70</v>
      </c>
      <c r="B72">
        <f t="shared" si="2"/>
        <v>3</v>
      </c>
      <c r="C72">
        <f t="shared" si="3"/>
        <v>14</v>
      </c>
      <c r="D72" cm="1">
        <f t="array" ref="D72">INDEX('Linha 04'!$A$4:$A$1000,B72)</f>
        <v>20030003</v>
      </c>
      <c r="E72" t="str" cm="1">
        <f t="array" ref="E72">INDEX('Linha 04'!$B$4:$B$1000,B72)</f>
        <v>Detergente Aquafast Neutro Cx/24 X 500ml</v>
      </c>
      <c r="F72" cm="1">
        <f t="array" ref="F72">INDEX('Linha 04'!$C$3:$ZZ$3,C72)</f>
        <v>20030039</v>
      </c>
      <c r="G72" t="str" cm="1">
        <f t="array" ref="G72">INDEX('Linha 04'!$C$2:$ZZ$2,C72)</f>
        <v>Detergente Myata Limao Cx/24 X 500ml</v>
      </c>
      <c r="H72" s="5" cm="1">
        <f t="array" ref="H72">INDEX('Linha 04'!$C$4:$ZZ$1000,B72,C72)</f>
        <v>0</v>
      </c>
    </row>
    <row r="73" spans="1:8" x14ac:dyDescent="0.25">
      <c r="A73">
        <v>71</v>
      </c>
      <c r="B73">
        <f t="shared" si="2"/>
        <v>3</v>
      </c>
      <c r="C73">
        <f t="shared" si="3"/>
        <v>15</v>
      </c>
      <c r="D73" cm="1">
        <f t="array" ref="D73">INDEX('Linha 04'!$A$4:$A$1000,B73)</f>
        <v>20030003</v>
      </c>
      <c r="E73" t="str" cm="1">
        <f t="array" ref="E73">INDEX('Linha 04'!$B$4:$B$1000,B73)</f>
        <v>Detergente Aquafast Neutro Cx/24 X 500ml</v>
      </c>
      <c r="F73" cm="1">
        <f t="array" ref="F73">INDEX('Linha 04'!$C$3:$ZZ$3,C73)</f>
        <v>20030040</v>
      </c>
      <c r="G73" t="str" cm="1">
        <f t="array" ref="G73">INDEX('Linha 04'!$C$2:$ZZ$2,C73)</f>
        <v>Detergente Myata Neutro Cx/24 X 500ml</v>
      </c>
      <c r="H73" s="5" cm="1">
        <f t="array" ref="H73">INDEX('Linha 04'!$C$4:$ZZ$1000,B73,C73)</f>
        <v>0</v>
      </c>
    </row>
    <row r="74" spans="1:8" x14ac:dyDescent="0.25">
      <c r="A74">
        <v>72</v>
      </c>
      <c r="B74">
        <f t="shared" si="2"/>
        <v>3</v>
      </c>
      <c r="C74">
        <f t="shared" si="3"/>
        <v>16</v>
      </c>
      <c r="D74" cm="1">
        <f t="array" ref="D74">INDEX('Linha 04'!$A$4:$A$1000,B74)</f>
        <v>20030003</v>
      </c>
      <c r="E74" t="str" cm="1">
        <f t="array" ref="E74">INDEX('Linha 04'!$B$4:$B$1000,B74)</f>
        <v>Detergente Aquafast Neutro Cx/24 X 500ml</v>
      </c>
      <c r="F74" cm="1">
        <f t="array" ref="F74">INDEX('Linha 04'!$C$3:$ZZ$3,C74)</f>
        <v>20030067</v>
      </c>
      <c r="G74" t="str" cm="1">
        <f t="array" ref="G74">INDEX('Linha 04'!$C$2:$ZZ$2,C74)</f>
        <v>Detergente Aquafast Coco Cx/24 X 500ml</v>
      </c>
      <c r="H74" s="5" cm="1">
        <f t="array" ref="H74">INDEX('Linha 04'!$C$4:$ZZ$1000,B74,C74)</f>
        <v>0</v>
      </c>
    </row>
    <row r="75" spans="1:8" x14ac:dyDescent="0.25">
      <c r="A75">
        <v>73</v>
      </c>
      <c r="B75">
        <f t="shared" si="2"/>
        <v>3</v>
      </c>
      <c r="C75">
        <f t="shared" si="3"/>
        <v>17</v>
      </c>
      <c r="D75" cm="1">
        <f t="array" ref="D75">INDEX('Linha 04'!$A$4:$A$1000,B75)</f>
        <v>20030003</v>
      </c>
      <c r="E75" t="str" cm="1">
        <f t="array" ref="E75">INDEX('Linha 04'!$B$4:$B$1000,B75)</f>
        <v>Detergente Aquafast Neutro Cx/24 X 500ml</v>
      </c>
      <c r="F75" cm="1">
        <f t="array" ref="F75">INDEX('Linha 04'!$C$3:$ZZ$3,C75)</f>
        <v>20050001</v>
      </c>
      <c r="G75" t="str" cm="1">
        <f t="array" ref="G75">INDEX('Linha 04'!$C$2:$ZZ$2,C75)</f>
        <v>Desinfetante Aquafast Campos Lavanda Cx/12 X 500ml</v>
      </c>
      <c r="H75" s="5" cm="1">
        <f t="array" ref="H75">INDEX('Linha 04'!$C$4:$ZZ$1000,B75,C75)</f>
        <v>0</v>
      </c>
    </row>
    <row r="76" spans="1:8" x14ac:dyDescent="0.25">
      <c r="A76">
        <v>74</v>
      </c>
      <c r="B76">
        <f t="shared" si="2"/>
        <v>3</v>
      </c>
      <c r="C76">
        <f t="shared" si="3"/>
        <v>18</v>
      </c>
      <c r="D76" cm="1">
        <f t="array" ref="D76">INDEX('Linha 04'!$A$4:$A$1000,B76)</f>
        <v>20030003</v>
      </c>
      <c r="E76" t="str" cm="1">
        <f t="array" ref="E76">INDEX('Linha 04'!$B$4:$B$1000,B76)</f>
        <v>Detergente Aquafast Neutro Cx/24 X 500ml</v>
      </c>
      <c r="F76" cm="1">
        <f t="array" ref="F76">INDEX('Linha 04'!$C$3:$ZZ$3,C76)</f>
        <v>20050026</v>
      </c>
      <c r="G76" t="str" cm="1">
        <f t="array" ref="G76">INDEX('Linha 04'!$C$2:$ZZ$2,C76)</f>
        <v>Desinfetante Ito Lavanda Cx/12 X 500ml</v>
      </c>
      <c r="H76" s="5" cm="1">
        <f t="array" ref="H76">INDEX('Linha 04'!$C$4:$ZZ$1000,B76,C76)</f>
        <v>0</v>
      </c>
    </row>
    <row r="77" spans="1:8" x14ac:dyDescent="0.25">
      <c r="A77">
        <v>75</v>
      </c>
      <c r="B77">
        <f t="shared" si="2"/>
        <v>3</v>
      </c>
      <c r="C77">
        <f t="shared" si="3"/>
        <v>19</v>
      </c>
      <c r="D77" cm="1">
        <f t="array" ref="D77">INDEX('Linha 04'!$A$4:$A$1000,B77)</f>
        <v>20030003</v>
      </c>
      <c r="E77" t="str" cm="1">
        <f t="array" ref="E77">INDEX('Linha 04'!$B$4:$B$1000,B77)</f>
        <v>Detergente Aquafast Neutro Cx/24 X 500ml</v>
      </c>
      <c r="F77" cm="1">
        <f t="array" ref="F77">INDEX('Linha 04'!$C$3:$ZZ$3,C77)</f>
        <v>20050119</v>
      </c>
      <c r="G77" t="str" cm="1">
        <f t="array" ref="G77">INDEX('Linha 04'!$C$2:$ZZ$2,C77)</f>
        <v>Desinfetante Aquafast Paixao Cx/12 X 500ml</v>
      </c>
      <c r="H77" s="5" cm="1">
        <f t="array" ref="H77">INDEX('Linha 04'!$C$4:$ZZ$1000,B77,C77)</f>
        <v>0</v>
      </c>
    </row>
    <row r="78" spans="1:8" x14ac:dyDescent="0.25">
      <c r="A78">
        <v>76</v>
      </c>
      <c r="B78">
        <f t="shared" si="2"/>
        <v>3</v>
      </c>
      <c r="C78">
        <f t="shared" si="3"/>
        <v>20</v>
      </c>
      <c r="D78" cm="1">
        <f t="array" ref="D78">INDEX('Linha 04'!$A$4:$A$1000,B78)</f>
        <v>20030003</v>
      </c>
      <c r="E78" t="str" cm="1">
        <f t="array" ref="E78">INDEX('Linha 04'!$B$4:$B$1000,B78)</f>
        <v>Detergente Aquafast Neutro Cx/24 X 500ml</v>
      </c>
      <c r="F78" cm="1">
        <f t="array" ref="F78">INDEX('Linha 04'!$C$3:$ZZ$3,C78)</f>
        <v>20050145</v>
      </c>
      <c r="G78" t="str" cm="1">
        <f t="array" ref="G78">INDEX('Linha 04'!$C$2:$ZZ$2,C78)</f>
        <v>Desinfetante Aquafast Harmonia Natural Cx/12 X 500ml</v>
      </c>
      <c r="H78" s="5" cm="1">
        <f t="array" ref="H78">INDEX('Linha 04'!$C$4:$ZZ$1000,B78,C78)</f>
        <v>0</v>
      </c>
    </row>
    <row r="79" spans="1:8" x14ac:dyDescent="0.25">
      <c r="A79">
        <v>77</v>
      </c>
      <c r="B79">
        <f t="shared" si="2"/>
        <v>3</v>
      </c>
      <c r="C79">
        <f t="shared" si="3"/>
        <v>21</v>
      </c>
      <c r="D79" cm="1">
        <f t="array" ref="D79">INDEX('Linha 04'!$A$4:$A$1000,B79)</f>
        <v>20030003</v>
      </c>
      <c r="E79" t="str" cm="1">
        <f t="array" ref="E79">INDEX('Linha 04'!$B$4:$B$1000,B79)</f>
        <v>Detergente Aquafast Neutro Cx/24 X 500ml</v>
      </c>
      <c r="F79" cm="1">
        <f t="array" ref="F79">INDEX('Linha 04'!$C$3:$ZZ$3,C79)</f>
        <v>20050149</v>
      </c>
      <c r="G79" t="str" cm="1">
        <f t="array" ref="G79">INDEX('Linha 04'!$C$2:$ZZ$2,C79)</f>
        <v>Desinfetante Aquafast Campos Lavanda Cx/12 X 1l</v>
      </c>
      <c r="H79" s="5" cm="1">
        <f t="array" ref="H79">INDEX('Linha 04'!$C$4:$ZZ$1000,B79,C79)</f>
        <v>0</v>
      </c>
    </row>
    <row r="80" spans="1:8" x14ac:dyDescent="0.25">
      <c r="A80">
        <v>78</v>
      </c>
      <c r="B80">
        <f t="shared" si="2"/>
        <v>3</v>
      </c>
      <c r="C80">
        <f t="shared" si="3"/>
        <v>22</v>
      </c>
      <c r="D80" cm="1">
        <f t="array" ref="D80">INDEX('Linha 04'!$A$4:$A$1000,B80)</f>
        <v>20030003</v>
      </c>
      <c r="E80" t="str" cm="1">
        <f t="array" ref="E80">INDEX('Linha 04'!$B$4:$B$1000,B80)</f>
        <v>Detergente Aquafast Neutro Cx/24 X 500ml</v>
      </c>
      <c r="F80" cm="1">
        <f t="array" ref="F80">INDEX('Linha 04'!$C$3:$ZZ$3,C80)</f>
        <v>20050150</v>
      </c>
      <c r="G80" t="str" cm="1">
        <f t="array" ref="G80">INDEX('Linha 04'!$C$2:$ZZ$2,C80)</f>
        <v>Desinfetante Aquafast Marine Cx/12 X 1l</v>
      </c>
      <c r="H80" s="5" cm="1">
        <f t="array" ref="H80">INDEX('Linha 04'!$C$4:$ZZ$1000,B80,C80)</f>
        <v>0</v>
      </c>
    </row>
    <row r="81" spans="1:8" x14ac:dyDescent="0.25">
      <c r="A81">
        <v>79</v>
      </c>
      <c r="B81">
        <f t="shared" si="2"/>
        <v>3</v>
      </c>
      <c r="C81">
        <f t="shared" si="3"/>
        <v>23</v>
      </c>
      <c r="D81" cm="1">
        <f t="array" ref="D81">INDEX('Linha 04'!$A$4:$A$1000,B81)</f>
        <v>20030003</v>
      </c>
      <c r="E81" t="str" cm="1">
        <f t="array" ref="E81">INDEX('Linha 04'!$B$4:$B$1000,B81)</f>
        <v>Detergente Aquafast Neutro Cx/24 X 500ml</v>
      </c>
      <c r="F81" cm="1">
        <f t="array" ref="F81">INDEX('Linha 04'!$C$3:$ZZ$3,C81)</f>
        <v>20050151</v>
      </c>
      <c r="G81" t="str" cm="1">
        <f t="array" ref="G81">INDEX('Linha 04'!$C$2:$ZZ$2,C81)</f>
        <v>Desinfetante Aquafast Paixao Cx/12 X 1l</v>
      </c>
      <c r="H81" s="5" cm="1">
        <f t="array" ref="H81">INDEX('Linha 04'!$C$4:$ZZ$1000,B81,C81)</f>
        <v>0</v>
      </c>
    </row>
    <row r="82" spans="1:8" x14ac:dyDescent="0.25">
      <c r="A82">
        <v>80</v>
      </c>
      <c r="B82">
        <f t="shared" si="2"/>
        <v>3</v>
      </c>
      <c r="C82">
        <f t="shared" si="3"/>
        <v>24</v>
      </c>
      <c r="D82" cm="1">
        <f t="array" ref="D82">INDEX('Linha 04'!$A$4:$A$1000,B82)</f>
        <v>20030003</v>
      </c>
      <c r="E82" t="str" cm="1">
        <f t="array" ref="E82">INDEX('Linha 04'!$B$4:$B$1000,B82)</f>
        <v>Detergente Aquafast Neutro Cx/24 X 500ml</v>
      </c>
      <c r="F82" cm="1">
        <f t="array" ref="F82">INDEX('Linha 04'!$C$3:$ZZ$3,C82)</f>
        <v>20050152</v>
      </c>
      <c r="G82" t="str" cm="1">
        <f t="array" ref="G82">INDEX('Linha 04'!$C$2:$ZZ$2,C82)</f>
        <v>Desinfetante Aquafast Harmonia Natural Cx/12 X 1l</v>
      </c>
      <c r="H82" s="5" cm="1">
        <f t="array" ref="H82">INDEX('Linha 04'!$C$4:$ZZ$1000,B82,C82)</f>
        <v>0</v>
      </c>
    </row>
    <row r="83" spans="1:8" x14ac:dyDescent="0.25">
      <c r="A83">
        <v>81</v>
      </c>
      <c r="B83">
        <f t="shared" si="2"/>
        <v>3</v>
      </c>
      <c r="C83">
        <f t="shared" si="3"/>
        <v>25</v>
      </c>
      <c r="D83" cm="1">
        <f t="array" ref="D83">INDEX('Linha 04'!$A$4:$A$1000,B83)</f>
        <v>20030003</v>
      </c>
      <c r="E83" t="str" cm="1">
        <f t="array" ref="E83">INDEX('Linha 04'!$B$4:$B$1000,B83)</f>
        <v>Detergente Aquafast Neutro Cx/24 X 500ml</v>
      </c>
      <c r="F83" cm="1">
        <f t="array" ref="F83">INDEX('Linha 04'!$C$3:$ZZ$3,C83)</f>
        <v>20050153</v>
      </c>
      <c r="G83" t="str" cm="1">
        <f t="array" ref="G83">INDEX('Linha 04'!$C$2:$ZZ$2,C83)</f>
        <v>Desinfetante Ito Harmonia Natural Cx/12 X 500ml</v>
      </c>
      <c r="H83" s="5" cm="1">
        <f t="array" ref="H83">INDEX('Linha 04'!$C$4:$ZZ$1000,B83,C83)</f>
        <v>0</v>
      </c>
    </row>
    <row r="84" spans="1:8" x14ac:dyDescent="0.25">
      <c r="A84">
        <v>82</v>
      </c>
      <c r="B84">
        <f t="shared" si="2"/>
        <v>3</v>
      </c>
      <c r="C84">
        <f t="shared" si="3"/>
        <v>26</v>
      </c>
      <c r="D84" cm="1">
        <f t="array" ref="D84">INDEX('Linha 04'!$A$4:$A$1000,B84)</f>
        <v>20030003</v>
      </c>
      <c r="E84" t="str" cm="1">
        <f t="array" ref="E84">INDEX('Linha 04'!$B$4:$B$1000,B84)</f>
        <v>Detergente Aquafast Neutro Cx/24 X 500ml</v>
      </c>
      <c r="F84" cm="1">
        <f t="array" ref="F84">INDEX('Linha 04'!$C$3:$ZZ$3,C84)</f>
        <v>20050155</v>
      </c>
      <c r="G84" t="str" cm="1">
        <f t="array" ref="G84">INDEX('Linha 04'!$C$2:$ZZ$2,C84)</f>
        <v>Intermed Pack Desinfetante Paixao Cx/12 X 1l</v>
      </c>
      <c r="H84" s="5" cm="1">
        <f t="array" ref="H84">INDEX('Linha 04'!$C$4:$ZZ$1000,B84,C84)</f>
        <v>0</v>
      </c>
    </row>
    <row r="85" spans="1:8" x14ac:dyDescent="0.25">
      <c r="A85">
        <v>83</v>
      </c>
      <c r="B85">
        <f t="shared" si="2"/>
        <v>3</v>
      </c>
      <c r="C85">
        <f t="shared" si="3"/>
        <v>27</v>
      </c>
      <c r="D85" cm="1">
        <f t="array" ref="D85">INDEX('Linha 04'!$A$4:$A$1000,B85)</f>
        <v>20030003</v>
      </c>
      <c r="E85" t="str" cm="1">
        <f t="array" ref="E85">INDEX('Linha 04'!$B$4:$B$1000,B85)</f>
        <v>Detergente Aquafast Neutro Cx/24 X 500ml</v>
      </c>
      <c r="F85" cm="1">
        <f t="array" ref="F85">INDEX('Linha 04'!$C$3:$ZZ$3,C85)</f>
        <v>20050156</v>
      </c>
      <c r="G85" t="str" cm="1">
        <f t="array" ref="G85">INDEX('Linha 04'!$C$2:$ZZ$2,C85)</f>
        <v>Intermed Pack Desinfetante Campos Lavanda Cx/12 X 1l</v>
      </c>
      <c r="H85" s="5" cm="1">
        <f t="array" ref="H85">INDEX('Linha 04'!$C$4:$ZZ$1000,B85,C85)</f>
        <v>0</v>
      </c>
    </row>
    <row r="86" spans="1:8" x14ac:dyDescent="0.25">
      <c r="A86">
        <v>84</v>
      </c>
      <c r="B86">
        <f t="shared" si="2"/>
        <v>3</v>
      </c>
      <c r="C86">
        <f t="shared" si="3"/>
        <v>28</v>
      </c>
      <c r="D86" cm="1">
        <f t="array" ref="D86">INDEX('Linha 04'!$A$4:$A$1000,B86)</f>
        <v>20030003</v>
      </c>
      <c r="E86" t="str" cm="1">
        <f t="array" ref="E86">INDEX('Linha 04'!$B$4:$B$1000,B86)</f>
        <v>Detergente Aquafast Neutro Cx/24 X 500ml</v>
      </c>
      <c r="F86" cm="1">
        <f t="array" ref="F86">INDEX('Linha 04'!$C$3:$ZZ$3,C86)</f>
        <v>20050157</v>
      </c>
      <c r="G86" t="str" cm="1">
        <f t="array" ref="G86">INDEX('Linha 04'!$C$2:$ZZ$2,C86)</f>
        <v>Intermed Pack Desinfetante Marine Cx/12 X 1l</v>
      </c>
      <c r="H86" s="5" cm="1">
        <f t="array" ref="H86">INDEX('Linha 04'!$C$4:$ZZ$1000,B86,C86)</f>
        <v>0</v>
      </c>
    </row>
    <row r="87" spans="1:8" x14ac:dyDescent="0.25">
      <c r="A87">
        <v>85</v>
      </c>
      <c r="B87">
        <f t="shared" si="2"/>
        <v>4</v>
      </c>
      <c r="C87">
        <f t="shared" si="3"/>
        <v>1</v>
      </c>
      <c r="D87" cm="1">
        <f t="array" ref="D87">INDEX('Linha 04'!$A$4:$A$1000,B87)</f>
        <v>20030004</v>
      </c>
      <c r="E87" t="str" cm="1">
        <f t="array" ref="E87">INDEX('Linha 04'!$B$4:$B$1000,B87)</f>
        <v>Detergente Aquafast Clear Cx/24 X 500ml (Natural)</v>
      </c>
      <c r="F87" cm="1">
        <f t="array" ref="F87">INDEX('Linha 04'!$C$3:$ZZ$3,C87)</f>
        <v>20030001</v>
      </c>
      <c r="G87" t="str" cm="1">
        <f t="array" ref="G87">INDEX('Linha 04'!$C$2:$ZZ$2,C87)</f>
        <v>Detergente Aquafast Maca Cx/24 X 500ml</v>
      </c>
      <c r="H87" s="5" cm="1">
        <f t="array" ref="H87">INDEX('Linha 04'!$C$4:$ZZ$1000,B87,C87)</f>
        <v>0</v>
      </c>
    </row>
    <row r="88" spans="1:8" x14ac:dyDescent="0.25">
      <c r="A88">
        <v>86</v>
      </c>
      <c r="B88">
        <f t="shared" si="2"/>
        <v>4</v>
      </c>
      <c r="C88">
        <f t="shared" si="3"/>
        <v>2</v>
      </c>
      <c r="D88" cm="1">
        <f t="array" ref="D88">INDEX('Linha 04'!$A$4:$A$1000,B88)</f>
        <v>20030004</v>
      </c>
      <c r="E88" t="str" cm="1">
        <f t="array" ref="E88">INDEX('Linha 04'!$B$4:$B$1000,B88)</f>
        <v>Detergente Aquafast Clear Cx/24 X 500ml (Natural)</v>
      </c>
      <c r="F88" cm="1">
        <f t="array" ref="F88">INDEX('Linha 04'!$C$3:$ZZ$3,C88)</f>
        <v>20030002</v>
      </c>
      <c r="G88" t="str" cm="1">
        <f t="array" ref="G88">INDEX('Linha 04'!$C$2:$ZZ$2,C88)</f>
        <v>Detergente Aquafast Limao Cx/24 X 500ml</v>
      </c>
      <c r="H88" s="5" cm="1">
        <f t="array" ref="H88">INDEX('Linha 04'!$C$4:$ZZ$1000,B88,C88)</f>
        <v>0</v>
      </c>
    </row>
    <row r="89" spans="1:8" x14ac:dyDescent="0.25">
      <c r="A89">
        <v>87</v>
      </c>
      <c r="B89">
        <f t="shared" si="2"/>
        <v>4</v>
      </c>
      <c r="C89">
        <f t="shared" si="3"/>
        <v>3</v>
      </c>
      <c r="D89" cm="1">
        <f t="array" ref="D89">INDEX('Linha 04'!$A$4:$A$1000,B89)</f>
        <v>20030004</v>
      </c>
      <c r="E89" t="str" cm="1">
        <f t="array" ref="E89">INDEX('Linha 04'!$B$4:$B$1000,B89)</f>
        <v>Detergente Aquafast Clear Cx/24 X 500ml (Natural)</v>
      </c>
      <c r="F89" cm="1">
        <f t="array" ref="F89">INDEX('Linha 04'!$C$3:$ZZ$3,C89)</f>
        <v>20030003</v>
      </c>
      <c r="G89" t="str" cm="1">
        <f t="array" ref="G89">INDEX('Linha 04'!$C$2:$ZZ$2,C89)</f>
        <v>Detergente Aquafast Neutro Cx/24 X 500ml</v>
      </c>
      <c r="H89" s="5" cm="1">
        <f t="array" ref="H89">INDEX('Linha 04'!$C$4:$ZZ$1000,B89,C89)</f>
        <v>0</v>
      </c>
    </row>
    <row r="90" spans="1:8" x14ac:dyDescent="0.25">
      <c r="A90">
        <v>88</v>
      </c>
      <c r="B90">
        <f t="shared" si="2"/>
        <v>4</v>
      </c>
      <c r="C90">
        <f t="shared" si="3"/>
        <v>4</v>
      </c>
      <c r="D90" cm="1">
        <f t="array" ref="D90">INDEX('Linha 04'!$A$4:$A$1000,B90)</f>
        <v>20030004</v>
      </c>
      <c r="E90" t="str" cm="1">
        <f t="array" ref="E90">INDEX('Linha 04'!$B$4:$B$1000,B90)</f>
        <v>Detergente Aquafast Clear Cx/24 X 500ml (Natural)</v>
      </c>
      <c r="F90" cm="1">
        <f t="array" ref="F90">INDEX('Linha 04'!$C$3:$ZZ$3,C90)</f>
        <v>20030004</v>
      </c>
      <c r="G90" t="str" cm="1">
        <f t="array" ref="G90">INDEX('Linha 04'!$C$2:$ZZ$2,C90)</f>
        <v>Detergente Aquafast Clear Cx/24 X 500ml (Natural)</v>
      </c>
      <c r="H90" s="5" cm="1">
        <f t="array" ref="H90">INDEX('Linha 04'!$C$4:$ZZ$1000,B90,C90)</f>
        <v>0</v>
      </c>
    </row>
    <row r="91" spans="1:8" x14ac:dyDescent="0.25">
      <c r="A91">
        <v>89</v>
      </c>
      <c r="B91">
        <f t="shared" si="2"/>
        <v>4</v>
      </c>
      <c r="C91">
        <f t="shared" si="3"/>
        <v>5</v>
      </c>
      <c r="D91" cm="1">
        <f t="array" ref="D91">INDEX('Linha 04'!$A$4:$A$1000,B91)</f>
        <v>20030004</v>
      </c>
      <c r="E91" t="str" cm="1">
        <f t="array" ref="E91">INDEX('Linha 04'!$B$4:$B$1000,B91)</f>
        <v>Detergente Aquafast Clear Cx/24 X 500ml (Natural)</v>
      </c>
      <c r="F91" cm="1">
        <f t="array" ref="F91">INDEX('Linha 04'!$C$3:$ZZ$3,C91)</f>
        <v>20030011</v>
      </c>
      <c r="G91" t="str" cm="1">
        <f t="array" ref="G91">INDEX('Linha 04'!$C$2:$ZZ$2,C91)</f>
        <v>Detergente Aquafast Maca Cx/12 X 1l</v>
      </c>
      <c r="H91" s="5" cm="1">
        <f t="array" ref="H91">INDEX('Linha 04'!$C$4:$ZZ$1000,B91,C91)</f>
        <v>0</v>
      </c>
    </row>
    <row r="92" spans="1:8" x14ac:dyDescent="0.25">
      <c r="A92">
        <v>90</v>
      </c>
      <c r="B92">
        <f t="shared" si="2"/>
        <v>4</v>
      </c>
      <c r="C92">
        <f t="shared" si="3"/>
        <v>6</v>
      </c>
      <c r="D92" cm="1">
        <f t="array" ref="D92">INDEX('Linha 04'!$A$4:$A$1000,B92)</f>
        <v>20030004</v>
      </c>
      <c r="E92" t="str" cm="1">
        <f t="array" ref="E92">INDEX('Linha 04'!$B$4:$B$1000,B92)</f>
        <v>Detergente Aquafast Clear Cx/24 X 500ml (Natural)</v>
      </c>
      <c r="F92" cm="1">
        <f t="array" ref="F92">INDEX('Linha 04'!$C$3:$ZZ$3,C92)</f>
        <v>20030012</v>
      </c>
      <c r="G92" t="str" cm="1">
        <f t="array" ref="G92">INDEX('Linha 04'!$C$2:$ZZ$2,C92)</f>
        <v>Detergente Aquafast Limao Cx/12 X 1l</v>
      </c>
      <c r="H92" s="5" cm="1">
        <f t="array" ref="H92">INDEX('Linha 04'!$C$4:$ZZ$1000,B92,C92)</f>
        <v>0</v>
      </c>
    </row>
    <row r="93" spans="1:8" x14ac:dyDescent="0.25">
      <c r="A93">
        <v>91</v>
      </c>
      <c r="B93">
        <f t="shared" si="2"/>
        <v>4</v>
      </c>
      <c r="C93">
        <f t="shared" si="3"/>
        <v>7</v>
      </c>
      <c r="D93" cm="1">
        <f t="array" ref="D93">INDEX('Linha 04'!$A$4:$A$1000,B93)</f>
        <v>20030004</v>
      </c>
      <c r="E93" t="str" cm="1">
        <f t="array" ref="E93">INDEX('Linha 04'!$B$4:$B$1000,B93)</f>
        <v>Detergente Aquafast Clear Cx/24 X 500ml (Natural)</v>
      </c>
      <c r="F93" cm="1">
        <f t="array" ref="F93">INDEX('Linha 04'!$C$3:$ZZ$3,C93)</f>
        <v>20030013</v>
      </c>
      <c r="G93" t="str" cm="1">
        <f t="array" ref="G93">INDEX('Linha 04'!$C$2:$ZZ$2,C93)</f>
        <v>Detergente Aquafast Neutro Cx/12 X 1l</v>
      </c>
      <c r="H93" s="5" cm="1">
        <f t="array" ref="H93">INDEX('Linha 04'!$C$4:$ZZ$1000,B93,C93)</f>
        <v>0</v>
      </c>
    </row>
    <row r="94" spans="1:8" x14ac:dyDescent="0.25">
      <c r="A94">
        <v>92</v>
      </c>
      <c r="B94">
        <f t="shared" si="2"/>
        <v>4</v>
      </c>
      <c r="C94">
        <f t="shared" si="3"/>
        <v>8</v>
      </c>
      <c r="D94" cm="1">
        <f t="array" ref="D94">INDEX('Linha 04'!$A$4:$A$1000,B94)</f>
        <v>20030004</v>
      </c>
      <c r="E94" t="str" cm="1">
        <f t="array" ref="E94">INDEX('Linha 04'!$B$4:$B$1000,B94)</f>
        <v>Detergente Aquafast Clear Cx/24 X 500ml (Natural)</v>
      </c>
      <c r="F94" cm="1">
        <f t="array" ref="F94">INDEX('Linha 04'!$C$3:$ZZ$3,C94)</f>
        <v>20030014</v>
      </c>
      <c r="G94" t="str" cm="1">
        <f t="array" ref="G94">INDEX('Linha 04'!$C$2:$ZZ$2,C94)</f>
        <v>Detergente Aquafast Clear Cx/12 X 1l (Natural)</v>
      </c>
      <c r="H94" s="5" cm="1">
        <f t="array" ref="H94">INDEX('Linha 04'!$C$4:$ZZ$1000,B94,C94)</f>
        <v>0</v>
      </c>
    </row>
    <row r="95" spans="1:8" x14ac:dyDescent="0.25">
      <c r="A95">
        <v>93</v>
      </c>
      <c r="B95">
        <f t="shared" si="2"/>
        <v>4</v>
      </c>
      <c r="C95">
        <f t="shared" si="3"/>
        <v>9</v>
      </c>
      <c r="D95" cm="1">
        <f t="array" ref="D95">INDEX('Linha 04'!$A$4:$A$1000,B95)</f>
        <v>20030004</v>
      </c>
      <c r="E95" t="str" cm="1">
        <f t="array" ref="E95">INDEX('Linha 04'!$B$4:$B$1000,B95)</f>
        <v>Detergente Aquafast Clear Cx/24 X 500ml (Natural)</v>
      </c>
      <c r="F95" cm="1">
        <f t="array" ref="F95">INDEX('Linha 04'!$C$3:$ZZ$3,C95)</f>
        <v>20030020</v>
      </c>
      <c r="G95" t="str" cm="1">
        <f t="array" ref="G95">INDEX('Linha 04'!$C$2:$ZZ$2,C95)</f>
        <v>Detergente Ito Maca Cx/24 X 500ml</v>
      </c>
      <c r="H95" s="5" cm="1">
        <f t="array" ref="H95">INDEX('Linha 04'!$C$4:$ZZ$1000,B95,C95)</f>
        <v>0</v>
      </c>
    </row>
    <row r="96" spans="1:8" x14ac:dyDescent="0.25">
      <c r="A96">
        <v>94</v>
      </c>
      <c r="B96">
        <f t="shared" si="2"/>
        <v>4</v>
      </c>
      <c r="C96">
        <f t="shared" si="3"/>
        <v>10</v>
      </c>
      <c r="D96" cm="1">
        <f t="array" ref="D96">INDEX('Linha 04'!$A$4:$A$1000,B96)</f>
        <v>20030004</v>
      </c>
      <c r="E96" t="str" cm="1">
        <f t="array" ref="E96">INDEX('Linha 04'!$B$4:$B$1000,B96)</f>
        <v>Detergente Aquafast Clear Cx/24 X 500ml (Natural)</v>
      </c>
      <c r="F96" cm="1">
        <f t="array" ref="F96">INDEX('Linha 04'!$C$3:$ZZ$3,C96)</f>
        <v>20030021</v>
      </c>
      <c r="G96" t="str" cm="1">
        <f t="array" ref="G96">INDEX('Linha 04'!$C$2:$ZZ$2,C96)</f>
        <v>Detergente Ito Limao Cx/24 X 500ml</v>
      </c>
      <c r="H96" s="5" cm="1">
        <f t="array" ref="H96">INDEX('Linha 04'!$C$4:$ZZ$1000,B96,C96)</f>
        <v>0</v>
      </c>
    </row>
    <row r="97" spans="1:8" x14ac:dyDescent="0.25">
      <c r="A97">
        <v>95</v>
      </c>
      <c r="B97">
        <f t="shared" si="2"/>
        <v>4</v>
      </c>
      <c r="C97">
        <f t="shared" si="3"/>
        <v>11</v>
      </c>
      <c r="D97" cm="1">
        <f t="array" ref="D97">INDEX('Linha 04'!$A$4:$A$1000,B97)</f>
        <v>20030004</v>
      </c>
      <c r="E97" t="str" cm="1">
        <f t="array" ref="E97">INDEX('Linha 04'!$B$4:$B$1000,B97)</f>
        <v>Detergente Aquafast Clear Cx/24 X 500ml (Natural)</v>
      </c>
      <c r="F97" cm="1">
        <f t="array" ref="F97">INDEX('Linha 04'!$C$3:$ZZ$3,C97)</f>
        <v>20030022</v>
      </c>
      <c r="G97" t="str" cm="1">
        <f t="array" ref="G97">INDEX('Linha 04'!$C$2:$ZZ$2,C97)</f>
        <v>Detergente Ito Neutro Cx/24 X 500ml</v>
      </c>
      <c r="H97" s="5" cm="1">
        <f t="array" ref="H97">INDEX('Linha 04'!$C$4:$ZZ$1000,B97,C97)</f>
        <v>0</v>
      </c>
    </row>
    <row r="98" spans="1:8" x14ac:dyDescent="0.25">
      <c r="A98">
        <v>96</v>
      </c>
      <c r="B98">
        <f t="shared" si="2"/>
        <v>4</v>
      </c>
      <c r="C98">
        <f t="shared" si="3"/>
        <v>12</v>
      </c>
      <c r="D98" cm="1">
        <f t="array" ref="D98">INDEX('Linha 04'!$A$4:$A$1000,B98)</f>
        <v>20030004</v>
      </c>
      <c r="E98" t="str" cm="1">
        <f t="array" ref="E98">INDEX('Linha 04'!$B$4:$B$1000,B98)</f>
        <v>Detergente Aquafast Clear Cx/24 X 500ml (Natural)</v>
      </c>
      <c r="F98" cm="1">
        <f t="array" ref="F98">INDEX('Linha 04'!$C$3:$ZZ$3,C98)</f>
        <v>20030023</v>
      </c>
      <c r="G98" t="str" cm="1">
        <f t="array" ref="G98">INDEX('Linha 04'!$C$2:$ZZ$2,C98)</f>
        <v>Detergente Ito Clear Cx/24 X 500ml</v>
      </c>
      <c r="H98" s="5" cm="1">
        <f t="array" ref="H98">INDEX('Linha 04'!$C$4:$ZZ$1000,B98,C98)</f>
        <v>0</v>
      </c>
    </row>
    <row r="99" spans="1:8" x14ac:dyDescent="0.25">
      <c r="A99">
        <v>97</v>
      </c>
      <c r="B99">
        <f t="shared" si="2"/>
        <v>4</v>
      </c>
      <c r="C99">
        <f t="shared" si="3"/>
        <v>13</v>
      </c>
      <c r="D99" cm="1">
        <f t="array" ref="D99">INDEX('Linha 04'!$A$4:$A$1000,B99)</f>
        <v>20030004</v>
      </c>
      <c r="E99" t="str" cm="1">
        <f t="array" ref="E99">INDEX('Linha 04'!$B$4:$B$1000,B99)</f>
        <v>Detergente Aquafast Clear Cx/24 X 500ml (Natural)</v>
      </c>
      <c r="F99" cm="1">
        <f t="array" ref="F99">INDEX('Linha 04'!$C$3:$ZZ$3,C99)</f>
        <v>20030038</v>
      </c>
      <c r="G99" t="str" cm="1">
        <f t="array" ref="G99">INDEX('Linha 04'!$C$2:$ZZ$2,C99)</f>
        <v>Detergente Myata Maca Cx/24 X 500ml</v>
      </c>
      <c r="H99" s="5" cm="1">
        <f t="array" ref="H99">INDEX('Linha 04'!$C$4:$ZZ$1000,B99,C99)</f>
        <v>0</v>
      </c>
    </row>
    <row r="100" spans="1:8" x14ac:dyDescent="0.25">
      <c r="A100">
        <v>98</v>
      </c>
      <c r="B100">
        <f t="shared" si="2"/>
        <v>4</v>
      </c>
      <c r="C100">
        <f t="shared" si="3"/>
        <v>14</v>
      </c>
      <c r="D100" cm="1">
        <f t="array" ref="D100">INDEX('Linha 04'!$A$4:$A$1000,B100)</f>
        <v>20030004</v>
      </c>
      <c r="E100" t="str" cm="1">
        <f t="array" ref="E100">INDEX('Linha 04'!$B$4:$B$1000,B100)</f>
        <v>Detergente Aquafast Clear Cx/24 X 500ml (Natural)</v>
      </c>
      <c r="F100" cm="1">
        <f t="array" ref="F100">INDEX('Linha 04'!$C$3:$ZZ$3,C100)</f>
        <v>20030039</v>
      </c>
      <c r="G100" t="str" cm="1">
        <f t="array" ref="G100">INDEX('Linha 04'!$C$2:$ZZ$2,C100)</f>
        <v>Detergente Myata Limao Cx/24 X 500ml</v>
      </c>
      <c r="H100" s="5" cm="1">
        <f t="array" ref="H100">INDEX('Linha 04'!$C$4:$ZZ$1000,B100,C100)</f>
        <v>0</v>
      </c>
    </row>
    <row r="101" spans="1:8" x14ac:dyDescent="0.25">
      <c r="A101">
        <v>99</v>
      </c>
      <c r="B101">
        <f t="shared" si="2"/>
        <v>4</v>
      </c>
      <c r="C101">
        <f t="shared" si="3"/>
        <v>15</v>
      </c>
      <c r="D101" cm="1">
        <f t="array" ref="D101">INDEX('Linha 04'!$A$4:$A$1000,B101)</f>
        <v>20030004</v>
      </c>
      <c r="E101" t="str" cm="1">
        <f t="array" ref="E101">INDEX('Linha 04'!$B$4:$B$1000,B101)</f>
        <v>Detergente Aquafast Clear Cx/24 X 500ml (Natural)</v>
      </c>
      <c r="F101" cm="1">
        <f t="array" ref="F101">INDEX('Linha 04'!$C$3:$ZZ$3,C101)</f>
        <v>20030040</v>
      </c>
      <c r="G101" t="str" cm="1">
        <f t="array" ref="G101">INDEX('Linha 04'!$C$2:$ZZ$2,C101)</f>
        <v>Detergente Myata Neutro Cx/24 X 500ml</v>
      </c>
      <c r="H101" s="5" cm="1">
        <f t="array" ref="H101">INDEX('Linha 04'!$C$4:$ZZ$1000,B101,C101)</f>
        <v>0</v>
      </c>
    </row>
    <row r="102" spans="1:8" x14ac:dyDescent="0.25">
      <c r="A102">
        <v>100</v>
      </c>
      <c r="B102">
        <f t="shared" si="2"/>
        <v>4</v>
      </c>
      <c r="C102">
        <f t="shared" si="3"/>
        <v>16</v>
      </c>
      <c r="D102" cm="1">
        <f t="array" ref="D102">INDEX('Linha 04'!$A$4:$A$1000,B102)</f>
        <v>20030004</v>
      </c>
      <c r="E102" t="str" cm="1">
        <f t="array" ref="E102">INDEX('Linha 04'!$B$4:$B$1000,B102)</f>
        <v>Detergente Aquafast Clear Cx/24 X 500ml (Natural)</v>
      </c>
      <c r="F102" cm="1">
        <f t="array" ref="F102">INDEX('Linha 04'!$C$3:$ZZ$3,C102)</f>
        <v>20030067</v>
      </c>
      <c r="G102" t="str" cm="1">
        <f t="array" ref="G102">INDEX('Linha 04'!$C$2:$ZZ$2,C102)</f>
        <v>Detergente Aquafast Coco Cx/24 X 500ml</v>
      </c>
      <c r="H102" s="5" cm="1">
        <f t="array" ref="H102">INDEX('Linha 04'!$C$4:$ZZ$1000,B102,C102)</f>
        <v>0</v>
      </c>
    </row>
    <row r="103" spans="1:8" x14ac:dyDescent="0.25">
      <c r="A103">
        <v>101</v>
      </c>
      <c r="B103">
        <f t="shared" si="2"/>
        <v>4</v>
      </c>
      <c r="C103">
        <f t="shared" si="3"/>
        <v>17</v>
      </c>
      <c r="D103" cm="1">
        <f t="array" ref="D103">INDEX('Linha 04'!$A$4:$A$1000,B103)</f>
        <v>20030004</v>
      </c>
      <c r="E103" t="str" cm="1">
        <f t="array" ref="E103">INDEX('Linha 04'!$B$4:$B$1000,B103)</f>
        <v>Detergente Aquafast Clear Cx/24 X 500ml (Natural)</v>
      </c>
      <c r="F103" cm="1">
        <f t="array" ref="F103">INDEX('Linha 04'!$C$3:$ZZ$3,C103)</f>
        <v>20050001</v>
      </c>
      <c r="G103" t="str" cm="1">
        <f t="array" ref="G103">INDEX('Linha 04'!$C$2:$ZZ$2,C103)</f>
        <v>Desinfetante Aquafast Campos Lavanda Cx/12 X 500ml</v>
      </c>
      <c r="H103" s="5" cm="1">
        <f t="array" ref="H103">INDEX('Linha 04'!$C$4:$ZZ$1000,B103,C103)</f>
        <v>0</v>
      </c>
    </row>
    <row r="104" spans="1:8" x14ac:dyDescent="0.25">
      <c r="A104">
        <v>102</v>
      </c>
      <c r="B104">
        <f t="shared" si="2"/>
        <v>4</v>
      </c>
      <c r="C104">
        <f t="shared" si="3"/>
        <v>18</v>
      </c>
      <c r="D104" cm="1">
        <f t="array" ref="D104">INDEX('Linha 04'!$A$4:$A$1000,B104)</f>
        <v>20030004</v>
      </c>
      <c r="E104" t="str" cm="1">
        <f t="array" ref="E104">INDEX('Linha 04'!$B$4:$B$1000,B104)</f>
        <v>Detergente Aquafast Clear Cx/24 X 500ml (Natural)</v>
      </c>
      <c r="F104" cm="1">
        <f t="array" ref="F104">INDEX('Linha 04'!$C$3:$ZZ$3,C104)</f>
        <v>20050026</v>
      </c>
      <c r="G104" t="str" cm="1">
        <f t="array" ref="G104">INDEX('Linha 04'!$C$2:$ZZ$2,C104)</f>
        <v>Desinfetante Ito Lavanda Cx/12 X 500ml</v>
      </c>
      <c r="H104" s="5" cm="1">
        <f t="array" ref="H104">INDEX('Linha 04'!$C$4:$ZZ$1000,B104,C104)</f>
        <v>0</v>
      </c>
    </row>
    <row r="105" spans="1:8" x14ac:dyDescent="0.25">
      <c r="A105">
        <v>103</v>
      </c>
      <c r="B105">
        <f t="shared" si="2"/>
        <v>4</v>
      </c>
      <c r="C105">
        <f t="shared" si="3"/>
        <v>19</v>
      </c>
      <c r="D105" cm="1">
        <f t="array" ref="D105">INDEX('Linha 04'!$A$4:$A$1000,B105)</f>
        <v>20030004</v>
      </c>
      <c r="E105" t="str" cm="1">
        <f t="array" ref="E105">INDEX('Linha 04'!$B$4:$B$1000,B105)</f>
        <v>Detergente Aquafast Clear Cx/24 X 500ml (Natural)</v>
      </c>
      <c r="F105" cm="1">
        <f t="array" ref="F105">INDEX('Linha 04'!$C$3:$ZZ$3,C105)</f>
        <v>20050119</v>
      </c>
      <c r="G105" t="str" cm="1">
        <f t="array" ref="G105">INDEX('Linha 04'!$C$2:$ZZ$2,C105)</f>
        <v>Desinfetante Aquafast Paixao Cx/12 X 500ml</v>
      </c>
      <c r="H105" s="5" cm="1">
        <f t="array" ref="H105">INDEX('Linha 04'!$C$4:$ZZ$1000,B105,C105)</f>
        <v>0</v>
      </c>
    </row>
    <row r="106" spans="1:8" x14ac:dyDescent="0.25">
      <c r="A106">
        <v>104</v>
      </c>
      <c r="B106">
        <f t="shared" si="2"/>
        <v>4</v>
      </c>
      <c r="C106">
        <f t="shared" si="3"/>
        <v>20</v>
      </c>
      <c r="D106" cm="1">
        <f t="array" ref="D106">INDEX('Linha 04'!$A$4:$A$1000,B106)</f>
        <v>20030004</v>
      </c>
      <c r="E106" t="str" cm="1">
        <f t="array" ref="E106">INDEX('Linha 04'!$B$4:$B$1000,B106)</f>
        <v>Detergente Aquafast Clear Cx/24 X 500ml (Natural)</v>
      </c>
      <c r="F106" cm="1">
        <f t="array" ref="F106">INDEX('Linha 04'!$C$3:$ZZ$3,C106)</f>
        <v>20050145</v>
      </c>
      <c r="G106" t="str" cm="1">
        <f t="array" ref="G106">INDEX('Linha 04'!$C$2:$ZZ$2,C106)</f>
        <v>Desinfetante Aquafast Harmonia Natural Cx/12 X 500ml</v>
      </c>
      <c r="H106" s="5" cm="1">
        <f t="array" ref="H106">INDEX('Linha 04'!$C$4:$ZZ$1000,B106,C106)</f>
        <v>0</v>
      </c>
    </row>
    <row r="107" spans="1:8" x14ac:dyDescent="0.25">
      <c r="A107">
        <v>105</v>
      </c>
      <c r="B107">
        <f t="shared" si="2"/>
        <v>4</v>
      </c>
      <c r="C107">
        <f t="shared" si="3"/>
        <v>21</v>
      </c>
      <c r="D107" cm="1">
        <f t="array" ref="D107">INDEX('Linha 04'!$A$4:$A$1000,B107)</f>
        <v>20030004</v>
      </c>
      <c r="E107" t="str" cm="1">
        <f t="array" ref="E107">INDEX('Linha 04'!$B$4:$B$1000,B107)</f>
        <v>Detergente Aquafast Clear Cx/24 X 500ml (Natural)</v>
      </c>
      <c r="F107" cm="1">
        <f t="array" ref="F107">INDEX('Linha 04'!$C$3:$ZZ$3,C107)</f>
        <v>20050149</v>
      </c>
      <c r="G107" t="str" cm="1">
        <f t="array" ref="G107">INDEX('Linha 04'!$C$2:$ZZ$2,C107)</f>
        <v>Desinfetante Aquafast Campos Lavanda Cx/12 X 1l</v>
      </c>
      <c r="H107" s="5" cm="1">
        <f t="array" ref="H107">INDEX('Linha 04'!$C$4:$ZZ$1000,B107,C107)</f>
        <v>0</v>
      </c>
    </row>
    <row r="108" spans="1:8" x14ac:dyDescent="0.25">
      <c r="A108">
        <v>106</v>
      </c>
      <c r="B108">
        <f t="shared" si="2"/>
        <v>4</v>
      </c>
      <c r="C108">
        <f t="shared" si="3"/>
        <v>22</v>
      </c>
      <c r="D108" cm="1">
        <f t="array" ref="D108">INDEX('Linha 04'!$A$4:$A$1000,B108)</f>
        <v>20030004</v>
      </c>
      <c r="E108" t="str" cm="1">
        <f t="array" ref="E108">INDEX('Linha 04'!$B$4:$B$1000,B108)</f>
        <v>Detergente Aquafast Clear Cx/24 X 500ml (Natural)</v>
      </c>
      <c r="F108" cm="1">
        <f t="array" ref="F108">INDEX('Linha 04'!$C$3:$ZZ$3,C108)</f>
        <v>20050150</v>
      </c>
      <c r="G108" t="str" cm="1">
        <f t="array" ref="G108">INDEX('Linha 04'!$C$2:$ZZ$2,C108)</f>
        <v>Desinfetante Aquafast Marine Cx/12 X 1l</v>
      </c>
      <c r="H108" s="5" cm="1">
        <f t="array" ref="H108">INDEX('Linha 04'!$C$4:$ZZ$1000,B108,C108)</f>
        <v>0</v>
      </c>
    </row>
    <row r="109" spans="1:8" x14ac:dyDescent="0.25">
      <c r="A109">
        <v>107</v>
      </c>
      <c r="B109">
        <f t="shared" si="2"/>
        <v>4</v>
      </c>
      <c r="C109">
        <f t="shared" si="3"/>
        <v>23</v>
      </c>
      <c r="D109" cm="1">
        <f t="array" ref="D109">INDEX('Linha 04'!$A$4:$A$1000,B109)</f>
        <v>20030004</v>
      </c>
      <c r="E109" t="str" cm="1">
        <f t="array" ref="E109">INDEX('Linha 04'!$B$4:$B$1000,B109)</f>
        <v>Detergente Aquafast Clear Cx/24 X 500ml (Natural)</v>
      </c>
      <c r="F109" cm="1">
        <f t="array" ref="F109">INDEX('Linha 04'!$C$3:$ZZ$3,C109)</f>
        <v>20050151</v>
      </c>
      <c r="G109" t="str" cm="1">
        <f t="array" ref="G109">INDEX('Linha 04'!$C$2:$ZZ$2,C109)</f>
        <v>Desinfetante Aquafast Paixao Cx/12 X 1l</v>
      </c>
      <c r="H109" s="5" cm="1">
        <f t="array" ref="H109">INDEX('Linha 04'!$C$4:$ZZ$1000,B109,C109)</f>
        <v>0</v>
      </c>
    </row>
    <row r="110" spans="1:8" x14ac:dyDescent="0.25">
      <c r="A110">
        <v>108</v>
      </c>
      <c r="B110">
        <f t="shared" si="2"/>
        <v>4</v>
      </c>
      <c r="C110">
        <f t="shared" si="3"/>
        <v>24</v>
      </c>
      <c r="D110" cm="1">
        <f t="array" ref="D110">INDEX('Linha 04'!$A$4:$A$1000,B110)</f>
        <v>20030004</v>
      </c>
      <c r="E110" t="str" cm="1">
        <f t="array" ref="E110">INDEX('Linha 04'!$B$4:$B$1000,B110)</f>
        <v>Detergente Aquafast Clear Cx/24 X 500ml (Natural)</v>
      </c>
      <c r="F110" cm="1">
        <f t="array" ref="F110">INDEX('Linha 04'!$C$3:$ZZ$3,C110)</f>
        <v>20050152</v>
      </c>
      <c r="G110" t="str" cm="1">
        <f t="array" ref="G110">INDEX('Linha 04'!$C$2:$ZZ$2,C110)</f>
        <v>Desinfetante Aquafast Harmonia Natural Cx/12 X 1l</v>
      </c>
      <c r="H110" s="5" cm="1">
        <f t="array" ref="H110">INDEX('Linha 04'!$C$4:$ZZ$1000,B110,C110)</f>
        <v>0</v>
      </c>
    </row>
    <row r="111" spans="1:8" x14ac:dyDescent="0.25">
      <c r="A111">
        <v>109</v>
      </c>
      <c r="B111">
        <f t="shared" si="2"/>
        <v>4</v>
      </c>
      <c r="C111">
        <f t="shared" si="3"/>
        <v>25</v>
      </c>
      <c r="D111" cm="1">
        <f t="array" ref="D111">INDEX('Linha 04'!$A$4:$A$1000,B111)</f>
        <v>20030004</v>
      </c>
      <c r="E111" t="str" cm="1">
        <f t="array" ref="E111">INDEX('Linha 04'!$B$4:$B$1000,B111)</f>
        <v>Detergente Aquafast Clear Cx/24 X 500ml (Natural)</v>
      </c>
      <c r="F111" cm="1">
        <f t="array" ref="F111">INDEX('Linha 04'!$C$3:$ZZ$3,C111)</f>
        <v>20050153</v>
      </c>
      <c r="G111" t="str" cm="1">
        <f t="array" ref="G111">INDEX('Linha 04'!$C$2:$ZZ$2,C111)</f>
        <v>Desinfetante Ito Harmonia Natural Cx/12 X 500ml</v>
      </c>
      <c r="H111" s="5" cm="1">
        <f t="array" ref="H111">INDEX('Linha 04'!$C$4:$ZZ$1000,B111,C111)</f>
        <v>0</v>
      </c>
    </row>
    <row r="112" spans="1:8" x14ac:dyDescent="0.25">
      <c r="A112">
        <v>110</v>
      </c>
      <c r="B112">
        <f t="shared" si="2"/>
        <v>4</v>
      </c>
      <c r="C112">
        <f t="shared" si="3"/>
        <v>26</v>
      </c>
      <c r="D112" cm="1">
        <f t="array" ref="D112">INDEX('Linha 04'!$A$4:$A$1000,B112)</f>
        <v>20030004</v>
      </c>
      <c r="E112" t="str" cm="1">
        <f t="array" ref="E112">INDEX('Linha 04'!$B$4:$B$1000,B112)</f>
        <v>Detergente Aquafast Clear Cx/24 X 500ml (Natural)</v>
      </c>
      <c r="F112" cm="1">
        <f t="array" ref="F112">INDEX('Linha 04'!$C$3:$ZZ$3,C112)</f>
        <v>20050155</v>
      </c>
      <c r="G112" t="str" cm="1">
        <f t="array" ref="G112">INDEX('Linha 04'!$C$2:$ZZ$2,C112)</f>
        <v>Intermed Pack Desinfetante Paixao Cx/12 X 1l</v>
      </c>
      <c r="H112" s="5" cm="1">
        <f t="array" ref="H112">INDEX('Linha 04'!$C$4:$ZZ$1000,B112,C112)</f>
        <v>0</v>
      </c>
    </row>
    <row r="113" spans="1:8" x14ac:dyDescent="0.25">
      <c r="A113">
        <v>111</v>
      </c>
      <c r="B113">
        <f t="shared" si="2"/>
        <v>4</v>
      </c>
      <c r="C113">
        <f t="shared" si="3"/>
        <v>27</v>
      </c>
      <c r="D113" cm="1">
        <f t="array" ref="D113">INDEX('Linha 04'!$A$4:$A$1000,B113)</f>
        <v>20030004</v>
      </c>
      <c r="E113" t="str" cm="1">
        <f t="array" ref="E113">INDEX('Linha 04'!$B$4:$B$1000,B113)</f>
        <v>Detergente Aquafast Clear Cx/24 X 500ml (Natural)</v>
      </c>
      <c r="F113" cm="1">
        <f t="array" ref="F113">INDEX('Linha 04'!$C$3:$ZZ$3,C113)</f>
        <v>20050156</v>
      </c>
      <c r="G113" t="str" cm="1">
        <f t="array" ref="G113">INDEX('Linha 04'!$C$2:$ZZ$2,C113)</f>
        <v>Intermed Pack Desinfetante Campos Lavanda Cx/12 X 1l</v>
      </c>
      <c r="H113" s="5" cm="1">
        <f t="array" ref="H113">INDEX('Linha 04'!$C$4:$ZZ$1000,B113,C113)</f>
        <v>0</v>
      </c>
    </row>
    <row r="114" spans="1:8" x14ac:dyDescent="0.25">
      <c r="A114">
        <v>112</v>
      </c>
      <c r="B114">
        <f t="shared" si="2"/>
        <v>4</v>
      </c>
      <c r="C114">
        <f t="shared" si="3"/>
        <v>28</v>
      </c>
      <c r="D114" cm="1">
        <f t="array" ref="D114">INDEX('Linha 04'!$A$4:$A$1000,B114)</f>
        <v>20030004</v>
      </c>
      <c r="E114" t="str" cm="1">
        <f t="array" ref="E114">INDEX('Linha 04'!$B$4:$B$1000,B114)</f>
        <v>Detergente Aquafast Clear Cx/24 X 500ml (Natural)</v>
      </c>
      <c r="F114" cm="1">
        <f t="array" ref="F114">INDEX('Linha 04'!$C$3:$ZZ$3,C114)</f>
        <v>20050157</v>
      </c>
      <c r="G114" t="str" cm="1">
        <f t="array" ref="G114">INDEX('Linha 04'!$C$2:$ZZ$2,C114)</f>
        <v>Intermed Pack Desinfetante Marine Cx/12 X 1l</v>
      </c>
      <c r="H114" s="5" cm="1">
        <f t="array" ref="H114">INDEX('Linha 04'!$C$4:$ZZ$1000,B114,C114)</f>
        <v>0</v>
      </c>
    </row>
    <row r="115" spans="1:8" x14ac:dyDescent="0.25">
      <c r="A115">
        <v>113</v>
      </c>
      <c r="B115">
        <f t="shared" si="2"/>
        <v>5</v>
      </c>
      <c r="C115">
        <f t="shared" si="3"/>
        <v>1</v>
      </c>
      <c r="D115" cm="1">
        <f t="array" ref="D115">INDEX('Linha 04'!$A$4:$A$1000,B115)</f>
        <v>20030011</v>
      </c>
      <c r="E115" t="str" cm="1">
        <f t="array" ref="E115">INDEX('Linha 04'!$B$4:$B$1000,B115)</f>
        <v>Detergente Aquafast Maca Cx/12 X 1l</v>
      </c>
      <c r="F115" cm="1">
        <f t="array" ref="F115">INDEX('Linha 04'!$C$3:$ZZ$3,C115)</f>
        <v>20030001</v>
      </c>
      <c r="G115" t="str" cm="1">
        <f t="array" ref="G115">INDEX('Linha 04'!$C$2:$ZZ$2,C115)</f>
        <v>Detergente Aquafast Maca Cx/24 X 500ml</v>
      </c>
      <c r="H115" s="5" cm="1">
        <f t="array" ref="H115">INDEX('Linha 04'!$C$4:$ZZ$1000,B115,C115)</f>
        <v>0</v>
      </c>
    </row>
    <row r="116" spans="1:8" x14ac:dyDescent="0.25">
      <c r="A116">
        <v>114</v>
      </c>
      <c r="B116">
        <f t="shared" si="2"/>
        <v>5</v>
      </c>
      <c r="C116">
        <f t="shared" si="3"/>
        <v>2</v>
      </c>
      <c r="D116" cm="1">
        <f t="array" ref="D116">INDEX('Linha 04'!$A$4:$A$1000,B116)</f>
        <v>20030011</v>
      </c>
      <c r="E116" t="str" cm="1">
        <f t="array" ref="E116">INDEX('Linha 04'!$B$4:$B$1000,B116)</f>
        <v>Detergente Aquafast Maca Cx/12 X 1l</v>
      </c>
      <c r="F116" cm="1">
        <f t="array" ref="F116">INDEX('Linha 04'!$C$3:$ZZ$3,C116)</f>
        <v>20030002</v>
      </c>
      <c r="G116" t="str" cm="1">
        <f t="array" ref="G116">INDEX('Linha 04'!$C$2:$ZZ$2,C116)</f>
        <v>Detergente Aquafast Limao Cx/24 X 500ml</v>
      </c>
      <c r="H116" s="5" cm="1">
        <f t="array" ref="H116">INDEX('Linha 04'!$C$4:$ZZ$1000,B116,C116)</f>
        <v>0</v>
      </c>
    </row>
    <row r="117" spans="1:8" x14ac:dyDescent="0.25">
      <c r="A117">
        <v>115</v>
      </c>
      <c r="B117">
        <f t="shared" si="2"/>
        <v>5</v>
      </c>
      <c r="C117">
        <f t="shared" si="3"/>
        <v>3</v>
      </c>
      <c r="D117" cm="1">
        <f t="array" ref="D117">INDEX('Linha 04'!$A$4:$A$1000,B117)</f>
        <v>20030011</v>
      </c>
      <c r="E117" t="str" cm="1">
        <f t="array" ref="E117">INDEX('Linha 04'!$B$4:$B$1000,B117)</f>
        <v>Detergente Aquafast Maca Cx/12 X 1l</v>
      </c>
      <c r="F117" cm="1">
        <f t="array" ref="F117">INDEX('Linha 04'!$C$3:$ZZ$3,C117)</f>
        <v>20030003</v>
      </c>
      <c r="G117" t="str" cm="1">
        <f t="array" ref="G117">INDEX('Linha 04'!$C$2:$ZZ$2,C117)</f>
        <v>Detergente Aquafast Neutro Cx/24 X 500ml</v>
      </c>
      <c r="H117" s="5" cm="1">
        <f t="array" ref="H117">INDEX('Linha 04'!$C$4:$ZZ$1000,B117,C117)</f>
        <v>0</v>
      </c>
    </row>
    <row r="118" spans="1:8" x14ac:dyDescent="0.25">
      <c r="A118">
        <v>116</v>
      </c>
      <c r="B118">
        <f t="shared" si="2"/>
        <v>5</v>
      </c>
      <c r="C118">
        <f t="shared" si="3"/>
        <v>4</v>
      </c>
      <c r="D118" cm="1">
        <f t="array" ref="D118">INDEX('Linha 04'!$A$4:$A$1000,B118)</f>
        <v>20030011</v>
      </c>
      <c r="E118" t="str" cm="1">
        <f t="array" ref="E118">INDEX('Linha 04'!$B$4:$B$1000,B118)</f>
        <v>Detergente Aquafast Maca Cx/12 X 1l</v>
      </c>
      <c r="F118" cm="1">
        <f t="array" ref="F118">INDEX('Linha 04'!$C$3:$ZZ$3,C118)</f>
        <v>20030004</v>
      </c>
      <c r="G118" t="str" cm="1">
        <f t="array" ref="G118">INDEX('Linha 04'!$C$2:$ZZ$2,C118)</f>
        <v>Detergente Aquafast Clear Cx/24 X 500ml (Natural)</v>
      </c>
      <c r="H118" s="5" cm="1">
        <f t="array" ref="H118">INDEX('Linha 04'!$C$4:$ZZ$1000,B118,C118)</f>
        <v>0</v>
      </c>
    </row>
    <row r="119" spans="1:8" x14ac:dyDescent="0.25">
      <c r="A119">
        <v>117</v>
      </c>
      <c r="B119">
        <f t="shared" si="2"/>
        <v>5</v>
      </c>
      <c r="C119">
        <f t="shared" si="3"/>
        <v>5</v>
      </c>
      <c r="D119" cm="1">
        <f t="array" ref="D119">INDEX('Linha 04'!$A$4:$A$1000,B119)</f>
        <v>20030011</v>
      </c>
      <c r="E119" t="str" cm="1">
        <f t="array" ref="E119">INDEX('Linha 04'!$B$4:$B$1000,B119)</f>
        <v>Detergente Aquafast Maca Cx/12 X 1l</v>
      </c>
      <c r="F119" cm="1">
        <f t="array" ref="F119">INDEX('Linha 04'!$C$3:$ZZ$3,C119)</f>
        <v>20030011</v>
      </c>
      <c r="G119" t="str" cm="1">
        <f t="array" ref="G119">INDEX('Linha 04'!$C$2:$ZZ$2,C119)</f>
        <v>Detergente Aquafast Maca Cx/12 X 1l</v>
      </c>
      <c r="H119" s="5" cm="1">
        <f t="array" ref="H119">INDEX('Linha 04'!$C$4:$ZZ$1000,B119,C119)</f>
        <v>0</v>
      </c>
    </row>
    <row r="120" spans="1:8" x14ac:dyDescent="0.25">
      <c r="A120">
        <v>118</v>
      </c>
      <c r="B120">
        <f t="shared" si="2"/>
        <v>5</v>
      </c>
      <c r="C120">
        <f t="shared" si="3"/>
        <v>6</v>
      </c>
      <c r="D120" cm="1">
        <f t="array" ref="D120">INDEX('Linha 04'!$A$4:$A$1000,B120)</f>
        <v>20030011</v>
      </c>
      <c r="E120" t="str" cm="1">
        <f t="array" ref="E120">INDEX('Linha 04'!$B$4:$B$1000,B120)</f>
        <v>Detergente Aquafast Maca Cx/12 X 1l</v>
      </c>
      <c r="F120" cm="1">
        <f t="array" ref="F120">INDEX('Linha 04'!$C$3:$ZZ$3,C120)</f>
        <v>20030012</v>
      </c>
      <c r="G120" t="str" cm="1">
        <f t="array" ref="G120">INDEX('Linha 04'!$C$2:$ZZ$2,C120)</f>
        <v>Detergente Aquafast Limao Cx/12 X 1l</v>
      </c>
      <c r="H120" s="5" cm="1">
        <f t="array" ref="H120">INDEX('Linha 04'!$C$4:$ZZ$1000,B120,C120)</f>
        <v>0</v>
      </c>
    </row>
    <row r="121" spans="1:8" x14ac:dyDescent="0.25">
      <c r="A121">
        <v>119</v>
      </c>
      <c r="B121">
        <f t="shared" si="2"/>
        <v>5</v>
      </c>
      <c r="C121">
        <f t="shared" si="3"/>
        <v>7</v>
      </c>
      <c r="D121" cm="1">
        <f t="array" ref="D121">INDEX('Linha 04'!$A$4:$A$1000,B121)</f>
        <v>20030011</v>
      </c>
      <c r="E121" t="str" cm="1">
        <f t="array" ref="E121">INDEX('Linha 04'!$B$4:$B$1000,B121)</f>
        <v>Detergente Aquafast Maca Cx/12 X 1l</v>
      </c>
      <c r="F121" cm="1">
        <f t="array" ref="F121">INDEX('Linha 04'!$C$3:$ZZ$3,C121)</f>
        <v>20030013</v>
      </c>
      <c r="G121" t="str" cm="1">
        <f t="array" ref="G121">INDEX('Linha 04'!$C$2:$ZZ$2,C121)</f>
        <v>Detergente Aquafast Neutro Cx/12 X 1l</v>
      </c>
      <c r="H121" s="5" cm="1">
        <f t="array" ref="H121">INDEX('Linha 04'!$C$4:$ZZ$1000,B121,C121)</f>
        <v>0</v>
      </c>
    </row>
    <row r="122" spans="1:8" x14ac:dyDescent="0.25">
      <c r="A122">
        <v>120</v>
      </c>
      <c r="B122">
        <f t="shared" si="2"/>
        <v>5</v>
      </c>
      <c r="C122">
        <f t="shared" si="3"/>
        <v>8</v>
      </c>
      <c r="D122" cm="1">
        <f t="array" ref="D122">INDEX('Linha 04'!$A$4:$A$1000,B122)</f>
        <v>20030011</v>
      </c>
      <c r="E122" t="str" cm="1">
        <f t="array" ref="E122">INDEX('Linha 04'!$B$4:$B$1000,B122)</f>
        <v>Detergente Aquafast Maca Cx/12 X 1l</v>
      </c>
      <c r="F122" cm="1">
        <f t="array" ref="F122">INDEX('Linha 04'!$C$3:$ZZ$3,C122)</f>
        <v>20030014</v>
      </c>
      <c r="G122" t="str" cm="1">
        <f t="array" ref="G122">INDEX('Linha 04'!$C$2:$ZZ$2,C122)</f>
        <v>Detergente Aquafast Clear Cx/12 X 1l (Natural)</v>
      </c>
      <c r="H122" s="5" cm="1">
        <f t="array" ref="H122">INDEX('Linha 04'!$C$4:$ZZ$1000,B122,C122)</f>
        <v>0</v>
      </c>
    </row>
    <row r="123" spans="1:8" x14ac:dyDescent="0.25">
      <c r="A123">
        <v>121</v>
      </c>
      <c r="B123">
        <f t="shared" si="2"/>
        <v>5</v>
      </c>
      <c r="C123">
        <f t="shared" si="3"/>
        <v>9</v>
      </c>
      <c r="D123" cm="1">
        <f t="array" ref="D123">INDEX('Linha 04'!$A$4:$A$1000,B123)</f>
        <v>20030011</v>
      </c>
      <c r="E123" t="str" cm="1">
        <f t="array" ref="E123">INDEX('Linha 04'!$B$4:$B$1000,B123)</f>
        <v>Detergente Aquafast Maca Cx/12 X 1l</v>
      </c>
      <c r="F123" cm="1">
        <f t="array" ref="F123">INDEX('Linha 04'!$C$3:$ZZ$3,C123)</f>
        <v>20030020</v>
      </c>
      <c r="G123" t="str" cm="1">
        <f t="array" ref="G123">INDEX('Linha 04'!$C$2:$ZZ$2,C123)</f>
        <v>Detergente Ito Maca Cx/24 X 500ml</v>
      </c>
      <c r="H123" s="5" cm="1">
        <f t="array" ref="H123">INDEX('Linha 04'!$C$4:$ZZ$1000,B123,C123)</f>
        <v>0</v>
      </c>
    </row>
    <row r="124" spans="1:8" x14ac:dyDescent="0.25">
      <c r="A124">
        <v>122</v>
      </c>
      <c r="B124">
        <f t="shared" si="2"/>
        <v>5</v>
      </c>
      <c r="C124">
        <f t="shared" si="3"/>
        <v>10</v>
      </c>
      <c r="D124" cm="1">
        <f t="array" ref="D124">INDEX('Linha 04'!$A$4:$A$1000,B124)</f>
        <v>20030011</v>
      </c>
      <c r="E124" t="str" cm="1">
        <f t="array" ref="E124">INDEX('Linha 04'!$B$4:$B$1000,B124)</f>
        <v>Detergente Aquafast Maca Cx/12 X 1l</v>
      </c>
      <c r="F124" cm="1">
        <f t="array" ref="F124">INDEX('Linha 04'!$C$3:$ZZ$3,C124)</f>
        <v>20030021</v>
      </c>
      <c r="G124" t="str" cm="1">
        <f t="array" ref="G124">INDEX('Linha 04'!$C$2:$ZZ$2,C124)</f>
        <v>Detergente Ito Limao Cx/24 X 500ml</v>
      </c>
      <c r="H124" s="5" cm="1">
        <f t="array" ref="H124">INDEX('Linha 04'!$C$4:$ZZ$1000,B124,C124)</f>
        <v>0</v>
      </c>
    </row>
    <row r="125" spans="1:8" x14ac:dyDescent="0.25">
      <c r="A125">
        <v>123</v>
      </c>
      <c r="B125">
        <f t="shared" si="2"/>
        <v>5</v>
      </c>
      <c r="C125">
        <f t="shared" si="3"/>
        <v>11</v>
      </c>
      <c r="D125" cm="1">
        <f t="array" ref="D125">INDEX('Linha 04'!$A$4:$A$1000,B125)</f>
        <v>20030011</v>
      </c>
      <c r="E125" t="str" cm="1">
        <f t="array" ref="E125">INDEX('Linha 04'!$B$4:$B$1000,B125)</f>
        <v>Detergente Aquafast Maca Cx/12 X 1l</v>
      </c>
      <c r="F125" cm="1">
        <f t="array" ref="F125">INDEX('Linha 04'!$C$3:$ZZ$3,C125)</f>
        <v>20030022</v>
      </c>
      <c r="G125" t="str" cm="1">
        <f t="array" ref="G125">INDEX('Linha 04'!$C$2:$ZZ$2,C125)</f>
        <v>Detergente Ito Neutro Cx/24 X 500ml</v>
      </c>
      <c r="H125" s="5" cm="1">
        <f t="array" ref="H125">INDEX('Linha 04'!$C$4:$ZZ$1000,B125,C125)</f>
        <v>0</v>
      </c>
    </row>
    <row r="126" spans="1:8" x14ac:dyDescent="0.25">
      <c r="A126">
        <v>124</v>
      </c>
      <c r="B126">
        <f t="shared" si="2"/>
        <v>5</v>
      </c>
      <c r="C126">
        <f t="shared" si="3"/>
        <v>12</v>
      </c>
      <c r="D126" cm="1">
        <f t="array" ref="D126">INDEX('Linha 04'!$A$4:$A$1000,B126)</f>
        <v>20030011</v>
      </c>
      <c r="E126" t="str" cm="1">
        <f t="array" ref="E126">INDEX('Linha 04'!$B$4:$B$1000,B126)</f>
        <v>Detergente Aquafast Maca Cx/12 X 1l</v>
      </c>
      <c r="F126" cm="1">
        <f t="array" ref="F126">INDEX('Linha 04'!$C$3:$ZZ$3,C126)</f>
        <v>20030023</v>
      </c>
      <c r="G126" t="str" cm="1">
        <f t="array" ref="G126">INDEX('Linha 04'!$C$2:$ZZ$2,C126)</f>
        <v>Detergente Ito Clear Cx/24 X 500ml</v>
      </c>
      <c r="H126" s="5" cm="1">
        <f t="array" ref="H126">INDEX('Linha 04'!$C$4:$ZZ$1000,B126,C126)</f>
        <v>0</v>
      </c>
    </row>
    <row r="127" spans="1:8" x14ac:dyDescent="0.25">
      <c r="A127">
        <v>125</v>
      </c>
      <c r="B127">
        <f t="shared" si="2"/>
        <v>5</v>
      </c>
      <c r="C127">
        <f t="shared" si="3"/>
        <v>13</v>
      </c>
      <c r="D127" cm="1">
        <f t="array" ref="D127">INDEX('Linha 04'!$A$4:$A$1000,B127)</f>
        <v>20030011</v>
      </c>
      <c r="E127" t="str" cm="1">
        <f t="array" ref="E127">INDEX('Linha 04'!$B$4:$B$1000,B127)</f>
        <v>Detergente Aquafast Maca Cx/12 X 1l</v>
      </c>
      <c r="F127" cm="1">
        <f t="array" ref="F127">INDEX('Linha 04'!$C$3:$ZZ$3,C127)</f>
        <v>20030038</v>
      </c>
      <c r="G127" t="str" cm="1">
        <f t="array" ref="G127">INDEX('Linha 04'!$C$2:$ZZ$2,C127)</f>
        <v>Detergente Myata Maca Cx/24 X 500ml</v>
      </c>
      <c r="H127" s="5" cm="1">
        <f t="array" ref="H127">INDEX('Linha 04'!$C$4:$ZZ$1000,B127,C127)</f>
        <v>0</v>
      </c>
    </row>
    <row r="128" spans="1:8" x14ac:dyDescent="0.25">
      <c r="A128">
        <v>126</v>
      </c>
      <c r="B128">
        <f t="shared" si="2"/>
        <v>5</v>
      </c>
      <c r="C128">
        <f t="shared" si="3"/>
        <v>14</v>
      </c>
      <c r="D128" cm="1">
        <f t="array" ref="D128">INDEX('Linha 04'!$A$4:$A$1000,B128)</f>
        <v>20030011</v>
      </c>
      <c r="E128" t="str" cm="1">
        <f t="array" ref="E128">INDEX('Linha 04'!$B$4:$B$1000,B128)</f>
        <v>Detergente Aquafast Maca Cx/12 X 1l</v>
      </c>
      <c r="F128" cm="1">
        <f t="array" ref="F128">INDEX('Linha 04'!$C$3:$ZZ$3,C128)</f>
        <v>20030039</v>
      </c>
      <c r="G128" t="str" cm="1">
        <f t="array" ref="G128">INDEX('Linha 04'!$C$2:$ZZ$2,C128)</f>
        <v>Detergente Myata Limao Cx/24 X 500ml</v>
      </c>
      <c r="H128" s="5" cm="1">
        <f t="array" ref="H128">INDEX('Linha 04'!$C$4:$ZZ$1000,B128,C128)</f>
        <v>0</v>
      </c>
    </row>
    <row r="129" spans="1:8" x14ac:dyDescent="0.25">
      <c r="A129">
        <v>127</v>
      </c>
      <c r="B129">
        <f t="shared" si="2"/>
        <v>5</v>
      </c>
      <c r="C129">
        <f t="shared" si="3"/>
        <v>15</v>
      </c>
      <c r="D129" cm="1">
        <f t="array" ref="D129">INDEX('Linha 04'!$A$4:$A$1000,B129)</f>
        <v>20030011</v>
      </c>
      <c r="E129" t="str" cm="1">
        <f t="array" ref="E129">INDEX('Linha 04'!$B$4:$B$1000,B129)</f>
        <v>Detergente Aquafast Maca Cx/12 X 1l</v>
      </c>
      <c r="F129" cm="1">
        <f t="array" ref="F129">INDEX('Linha 04'!$C$3:$ZZ$3,C129)</f>
        <v>20030040</v>
      </c>
      <c r="G129" t="str" cm="1">
        <f t="array" ref="G129">INDEX('Linha 04'!$C$2:$ZZ$2,C129)</f>
        <v>Detergente Myata Neutro Cx/24 X 500ml</v>
      </c>
      <c r="H129" s="5" cm="1">
        <f t="array" ref="H129">INDEX('Linha 04'!$C$4:$ZZ$1000,B129,C129)</f>
        <v>0</v>
      </c>
    </row>
    <row r="130" spans="1:8" x14ac:dyDescent="0.25">
      <c r="A130">
        <v>128</v>
      </c>
      <c r="B130">
        <f t="shared" si="2"/>
        <v>5</v>
      </c>
      <c r="C130">
        <f t="shared" si="3"/>
        <v>16</v>
      </c>
      <c r="D130" cm="1">
        <f t="array" ref="D130">INDEX('Linha 04'!$A$4:$A$1000,B130)</f>
        <v>20030011</v>
      </c>
      <c r="E130" t="str" cm="1">
        <f t="array" ref="E130">INDEX('Linha 04'!$B$4:$B$1000,B130)</f>
        <v>Detergente Aquafast Maca Cx/12 X 1l</v>
      </c>
      <c r="F130" cm="1">
        <f t="array" ref="F130">INDEX('Linha 04'!$C$3:$ZZ$3,C130)</f>
        <v>20030067</v>
      </c>
      <c r="G130" t="str" cm="1">
        <f t="array" ref="G130">INDEX('Linha 04'!$C$2:$ZZ$2,C130)</f>
        <v>Detergente Aquafast Coco Cx/24 X 500ml</v>
      </c>
      <c r="H130" s="5" cm="1">
        <f t="array" ref="H130">INDEX('Linha 04'!$C$4:$ZZ$1000,B130,C130)</f>
        <v>0</v>
      </c>
    </row>
    <row r="131" spans="1:8" x14ac:dyDescent="0.25">
      <c r="A131">
        <v>129</v>
      </c>
      <c r="B131">
        <f t="shared" si="2"/>
        <v>5</v>
      </c>
      <c r="C131">
        <f t="shared" si="3"/>
        <v>17</v>
      </c>
      <c r="D131" cm="1">
        <f t="array" ref="D131">INDEX('Linha 04'!$A$4:$A$1000,B131)</f>
        <v>20030011</v>
      </c>
      <c r="E131" t="str" cm="1">
        <f t="array" ref="E131">INDEX('Linha 04'!$B$4:$B$1000,B131)</f>
        <v>Detergente Aquafast Maca Cx/12 X 1l</v>
      </c>
      <c r="F131" cm="1">
        <f t="array" ref="F131">INDEX('Linha 04'!$C$3:$ZZ$3,C131)</f>
        <v>20050001</v>
      </c>
      <c r="G131" t="str" cm="1">
        <f t="array" ref="G131">INDEX('Linha 04'!$C$2:$ZZ$2,C131)</f>
        <v>Desinfetante Aquafast Campos Lavanda Cx/12 X 500ml</v>
      </c>
      <c r="H131" s="5" cm="1">
        <f t="array" ref="H131">INDEX('Linha 04'!$C$4:$ZZ$1000,B131,C131)</f>
        <v>0</v>
      </c>
    </row>
    <row r="132" spans="1:8" x14ac:dyDescent="0.25">
      <c r="A132">
        <v>130</v>
      </c>
      <c r="B132">
        <f t="shared" ref="B132:B195" si="4">INT((A132-1)/$B$1)+1</f>
        <v>5</v>
      </c>
      <c r="C132">
        <f t="shared" ref="C132:C195" si="5">MOD(A132-1,$B$1)+1</f>
        <v>18</v>
      </c>
      <c r="D132" cm="1">
        <f t="array" ref="D132">INDEX('Linha 04'!$A$4:$A$1000,B132)</f>
        <v>20030011</v>
      </c>
      <c r="E132" t="str" cm="1">
        <f t="array" ref="E132">INDEX('Linha 04'!$B$4:$B$1000,B132)</f>
        <v>Detergente Aquafast Maca Cx/12 X 1l</v>
      </c>
      <c r="F132" cm="1">
        <f t="array" ref="F132">INDEX('Linha 04'!$C$3:$ZZ$3,C132)</f>
        <v>20050026</v>
      </c>
      <c r="G132" t="str" cm="1">
        <f t="array" ref="G132">INDEX('Linha 04'!$C$2:$ZZ$2,C132)</f>
        <v>Desinfetante Ito Lavanda Cx/12 X 500ml</v>
      </c>
      <c r="H132" s="5" cm="1">
        <f t="array" ref="H132">INDEX('Linha 04'!$C$4:$ZZ$1000,B132,C132)</f>
        <v>0</v>
      </c>
    </row>
    <row r="133" spans="1:8" x14ac:dyDescent="0.25">
      <c r="A133">
        <v>131</v>
      </c>
      <c r="B133">
        <f t="shared" si="4"/>
        <v>5</v>
      </c>
      <c r="C133">
        <f t="shared" si="5"/>
        <v>19</v>
      </c>
      <c r="D133" cm="1">
        <f t="array" ref="D133">INDEX('Linha 04'!$A$4:$A$1000,B133)</f>
        <v>20030011</v>
      </c>
      <c r="E133" t="str" cm="1">
        <f t="array" ref="E133">INDEX('Linha 04'!$B$4:$B$1000,B133)</f>
        <v>Detergente Aquafast Maca Cx/12 X 1l</v>
      </c>
      <c r="F133" cm="1">
        <f t="array" ref="F133">INDEX('Linha 04'!$C$3:$ZZ$3,C133)</f>
        <v>20050119</v>
      </c>
      <c r="G133" t="str" cm="1">
        <f t="array" ref="G133">INDEX('Linha 04'!$C$2:$ZZ$2,C133)</f>
        <v>Desinfetante Aquafast Paixao Cx/12 X 500ml</v>
      </c>
      <c r="H133" s="5" cm="1">
        <f t="array" ref="H133">INDEX('Linha 04'!$C$4:$ZZ$1000,B133,C133)</f>
        <v>0</v>
      </c>
    </row>
    <row r="134" spans="1:8" x14ac:dyDescent="0.25">
      <c r="A134">
        <v>132</v>
      </c>
      <c r="B134">
        <f t="shared" si="4"/>
        <v>5</v>
      </c>
      <c r="C134">
        <f t="shared" si="5"/>
        <v>20</v>
      </c>
      <c r="D134" cm="1">
        <f t="array" ref="D134">INDEX('Linha 04'!$A$4:$A$1000,B134)</f>
        <v>20030011</v>
      </c>
      <c r="E134" t="str" cm="1">
        <f t="array" ref="E134">INDEX('Linha 04'!$B$4:$B$1000,B134)</f>
        <v>Detergente Aquafast Maca Cx/12 X 1l</v>
      </c>
      <c r="F134" cm="1">
        <f t="array" ref="F134">INDEX('Linha 04'!$C$3:$ZZ$3,C134)</f>
        <v>20050145</v>
      </c>
      <c r="G134" t="str" cm="1">
        <f t="array" ref="G134">INDEX('Linha 04'!$C$2:$ZZ$2,C134)</f>
        <v>Desinfetante Aquafast Harmonia Natural Cx/12 X 500ml</v>
      </c>
      <c r="H134" s="5" cm="1">
        <f t="array" ref="H134">INDEX('Linha 04'!$C$4:$ZZ$1000,B134,C134)</f>
        <v>0</v>
      </c>
    </row>
    <row r="135" spans="1:8" x14ac:dyDescent="0.25">
      <c r="A135">
        <v>133</v>
      </c>
      <c r="B135">
        <f t="shared" si="4"/>
        <v>5</v>
      </c>
      <c r="C135">
        <f t="shared" si="5"/>
        <v>21</v>
      </c>
      <c r="D135" cm="1">
        <f t="array" ref="D135">INDEX('Linha 04'!$A$4:$A$1000,B135)</f>
        <v>20030011</v>
      </c>
      <c r="E135" t="str" cm="1">
        <f t="array" ref="E135">INDEX('Linha 04'!$B$4:$B$1000,B135)</f>
        <v>Detergente Aquafast Maca Cx/12 X 1l</v>
      </c>
      <c r="F135" cm="1">
        <f t="array" ref="F135">INDEX('Linha 04'!$C$3:$ZZ$3,C135)</f>
        <v>20050149</v>
      </c>
      <c r="G135" t="str" cm="1">
        <f t="array" ref="G135">INDEX('Linha 04'!$C$2:$ZZ$2,C135)</f>
        <v>Desinfetante Aquafast Campos Lavanda Cx/12 X 1l</v>
      </c>
      <c r="H135" s="5" cm="1">
        <f t="array" ref="H135">INDEX('Linha 04'!$C$4:$ZZ$1000,B135,C135)</f>
        <v>0</v>
      </c>
    </row>
    <row r="136" spans="1:8" x14ac:dyDescent="0.25">
      <c r="A136">
        <v>134</v>
      </c>
      <c r="B136">
        <f t="shared" si="4"/>
        <v>5</v>
      </c>
      <c r="C136">
        <f t="shared" si="5"/>
        <v>22</v>
      </c>
      <c r="D136" cm="1">
        <f t="array" ref="D136">INDEX('Linha 04'!$A$4:$A$1000,B136)</f>
        <v>20030011</v>
      </c>
      <c r="E136" t="str" cm="1">
        <f t="array" ref="E136">INDEX('Linha 04'!$B$4:$B$1000,B136)</f>
        <v>Detergente Aquafast Maca Cx/12 X 1l</v>
      </c>
      <c r="F136" cm="1">
        <f t="array" ref="F136">INDEX('Linha 04'!$C$3:$ZZ$3,C136)</f>
        <v>20050150</v>
      </c>
      <c r="G136" t="str" cm="1">
        <f t="array" ref="G136">INDEX('Linha 04'!$C$2:$ZZ$2,C136)</f>
        <v>Desinfetante Aquafast Marine Cx/12 X 1l</v>
      </c>
      <c r="H136" s="5" cm="1">
        <f t="array" ref="H136">INDEX('Linha 04'!$C$4:$ZZ$1000,B136,C136)</f>
        <v>0</v>
      </c>
    </row>
    <row r="137" spans="1:8" x14ac:dyDescent="0.25">
      <c r="A137">
        <v>135</v>
      </c>
      <c r="B137">
        <f t="shared" si="4"/>
        <v>5</v>
      </c>
      <c r="C137">
        <f t="shared" si="5"/>
        <v>23</v>
      </c>
      <c r="D137" cm="1">
        <f t="array" ref="D137">INDEX('Linha 04'!$A$4:$A$1000,B137)</f>
        <v>20030011</v>
      </c>
      <c r="E137" t="str" cm="1">
        <f t="array" ref="E137">INDEX('Linha 04'!$B$4:$B$1000,B137)</f>
        <v>Detergente Aquafast Maca Cx/12 X 1l</v>
      </c>
      <c r="F137" cm="1">
        <f t="array" ref="F137">INDEX('Linha 04'!$C$3:$ZZ$3,C137)</f>
        <v>20050151</v>
      </c>
      <c r="G137" t="str" cm="1">
        <f t="array" ref="G137">INDEX('Linha 04'!$C$2:$ZZ$2,C137)</f>
        <v>Desinfetante Aquafast Paixao Cx/12 X 1l</v>
      </c>
      <c r="H137" s="5" cm="1">
        <f t="array" ref="H137">INDEX('Linha 04'!$C$4:$ZZ$1000,B137,C137)</f>
        <v>0</v>
      </c>
    </row>
    <row r="138" spans="1:8" x14ac:dyDescent="0.25">
      <c r="A138">
        <v>136</v>
      </c>
      <c r="B138">
        <f t="shared" si="4"/>
        <v>5</v>
      </c>
      <c r="C138">
        <f t="shared" si="5"/>
        <v>24</v>
      </c>
      <c r="D138" cm="1">
        <f t="array" ref="D138">INDEX('Linha 04'!$A$4:$A$1000,B138)</f>
        <v>20030011</v>
      </c>
      <c r="E138" t="str" cm="1">
        <f t="array" ref="E138">INDEX('Linha 04'!$B$4:$B$1000,B138)</f>
        <v>Detergente Aquafast Maca Cx/12 X 1l</v>
      </c>
      <c r="F138" cm="1">
        <f t="array" ref="F138">INDEX('Linha 04'!$C$3:$ZZ$3,C138)</f>
        <v>20050152</v>
      </c>
      <c r="G138" t="str" cm="1">
        <f t="array" ref="G138">INDEX('Linha 04'!$C$2:$ZZ$2,C138)</f>
        <v>Desinfetante Aquafast Harmonia Natural Cx/12 X 1l</v>
      </c>
      <c r="H138" s="5" cm="1">
        <f t="array" ref="H138">INDEX('Linha 04'!$C$4:$ZZ$1000,B138,C138)</f>
        <v>0</v>
      </c>
    </row>
    <row r="139" spans="1:8" x14ac:dyDescent="0.25">
      <c r="A139">
        <v>137</v>
      </c>
      <c r="B139">
        <f t="shared" si="4"/>
        <v>5</v>
      </c>
      <c r="C139">
        <f t="shared" si="5"/>
        <v>25</v>
      </c>
      <c r="D139" cm="1">
        <f t="array" ref="D139">INDEX('Linha 04'!$A$4:$A$1000,B139)</f>
        <v>20030011</v>
      </c>
      <c r="E139" t="str" cm="1">
        <f t="array" ref="E139">INDEX('Linha 04'!$B$4:$B$1000,B139)</f>
        <v>Detergente Aquafast Maca Cx/12 X 1l</v>
      </c>
      <c r="F139" cm="1">
        <f t="array" ref="F139">INDEX('Linha 04'!$C$3:$ZZ$3,C139)</f>
        <v>20050153</v>
      </c>
      <c r="G139" t="str" cm="1">
        <f t="array" ref="G139">INDEX('Linha 04'!$C$2:$ZZ$2,C139)</f>
        <v>Desinfetante Ito Harmonia Natural Cx/12 X 500ml</v>
      </c>
      <c r="H139" s="5" cm="1">
        <f t="array" ref="H139">INDEX('Linha 04'!$C$4:$ZZ$1000,B139,C139)</f>
        <v>0</v>
      </c>
    </row>
    <row r="140" spans="1:8" x14ac:dyDescent="0.25">
      <c r="A140">
        <v>138</v>
      </c>
      <c r="B140">
        <f t="shared" si="4"/>
        <v>5</v>
      </c>
      <c r="C140">
        <f t="shared" si="5"/>
        <v>26</v>
      </c>
      <c r="D140" cm="1">
        <f t="array" ref="D140">INDEX('Linha 04'!$A$4:$A$1000,B140)</f>
        <v>20030011</v>
      </c>
      <c r="E140" t="str" cm="1">
        <f t="array" ref="E140">INDEX('Linha 04'!$B$4:$B$1000,B140)</f>
        <v>Detergente Aquafast Maca Cx/12 X 1l</v>
      </c>
      <c r="F140" cm="1">
        <f t="array" ref="F140">INDEX('Linha 04'!$C$3:$ZZ$3,C140)</f>
        <v>20050155</v>
      </c>
      <c r="G140" t="str" cm="1">
        <f t="array" ref="G140">INDEX('Linha 04'!$C$2:$ZZ$2,C140)</f>
        <v>Intermed Pack Desinfetante Paixao Cx/12 X 1l</v>
      </c>
      <c r="H140" s="5" cm="1">
        <f t="array" ref="H140">INDEX('Linha 04'!$C$4:$ZZ$1000,B140,C140)</f>
        <v>0</v>
      </c>
    </row>
    <row r="141" spans="1:8" x14ac:dyDescent="0.25">
      <c r="A141">
        <v>139</v>
      </c>
      <c r="B141">
        <f t="shared" si="4"/>
        <v>5</v>
      </c>
      <c r="C141">
        <f t="shared" si="5"/>
        <v>27</v>
      </c>
      <c r="D141" cm="1">
        <f t="array" ref="D141">INDEX('Linha 04'!$A$4:$A$1000,B141)</f>
        <v>20030011</v>
      </c>
      <c r="E141" t="str" cm="1">
        <f t="array" ref="E141">INDEX('Linha 04'!$B$4:$B$1000,B141)</f>
        <v>Detergente Aquafast Maca Cx/12 X 1l</v>
      </c>
      <c r="F141" cm="1">
        <f t="array" ref="F141">INDEX('Linha 04'!$C$3:$ZZ$3,C141)</f>
        <v>20050156</v>
      </c>
      <c r="G141" t="str" cm="1">
        <f t="array" ref="G141">INDEX('Linha 04'!$C$2:$ZZ$2,C141)</f>
        <v>Intermed Pack Desinfetante Campos Lavanda Cx/12 X 1l</v>
      </c>
      <c r="H141" s="5" cm="1">
        <f t="array" ref="H141">INDEX('Linha 04'!$C$4:$ZZ$1000,B141,C141)</f>
        <v>0</v>
      </c>
    </row>
    <row r="142" spans="1:8" x14ac:dyDescent="0.25">
      <c r="A142">
        <v>140</v>
      </c>
      <c r="B142">
        <f t="shared" si="4"/>
        <v>5</v>
      </c>
      <c r="C142">
        <f t="shared" si="5"/>
        <v>28</v>
      </c>
      <c r="D142" cm="1">
        <f t="array" ref="D142">INDEX('Linha 04'!$A$4:$A$1000,B142)</f>
        <v>20030011</v>
      </c>
      <c r="E142" t="str" cm="1">
        <f t="array" ref="E142">INDEX('Linha 04'!$B$4:$B$1000,B142)</f>
        <v>Detergente Aquafast Maca Cx/12 X 1l</v>
      </c>
      <c r="F142" cm="1">
        <f t="array" ref="F142">INDEX('Linha 04'!$C$3:$ZZ$3,C142)</f>
        <v>20050157</v>
      </c>
      <c r="G142" t="str" cm="1">
        <f t="array" ref="G142">INDEX('Linha 04'!$C$2:$ZZ$2,C142)</f>
        <v>Intermed Pack Desinfetante Marine Cx/12 X 1l</v>
      </c>
      <c r="H142" s="5" cm="1">
        <f t="array" ref="H142">INDEX('Linha 04'!$C$4:$ZZ$1000,B142,C142)</f>
        <v>0</v>
      </c>
    </row>
    <row r="143" spans="1:8" x14ac:dyDescent="0.25">
      <c r="A143">
        <v>141</v>
      </c>
      <c r="B143">
        <f t="shared" si="4"/>
        <v>6</v>
      </c>
      <c r="C143">
        <f t="shared" si="5"/>
        <v>1</v>
      </c>
      <c r="D143" cm="1">
        <f t="array" ref="D143">INDEX('Linha 04'!$A$4:$A$1000,B143)</f>
        <v>20030012</v>
      </c>
      <c r="E143" t="str" cm="1">
        <f t="array" ref="E143">INDEX('Linha 04'!$B$4:$B$1000,B143)</f>
        <v>Detergente Aquafast Limao Cx/12 X 1l</v>
      </c>
      <c r="F143" cm="1">
        <f t="array" ref="F143">INDEX('Linha 04'!$C$3:$ZZ$3,C143)</f>
        <v>20030001</v>
      </c>
      <c r="G143" t="str" cm="1">
        <f t="array" ref="G143">INDEX('Linha 04'!$C$2:$ZZ$2,C143)</f>
        <v>Detergente Aquafast Maca Cx/24 X 500ml</v>
      </c>
      <c r="H143" s="5" cm="1">
        <f t="array" ref="H143">INDEX('Linha 04'!$C$4:$ZZ$1000,B143,C143)</f>
        <v>0</v>
      </c>
    </row>
    <row r="144" spans="1:8" x14ac:dyDescent="0.25">
      <c r="A144">
        <v>142</v>
      </c>
      <c r="B144">
        <f t="shared" si="4"/>
        <v>6</v>
      </c>
      <c r="C144">
        <f t="shared" si="5"/>
        <v>2</v>
      </c>
      <c r="D144" cm="1">
        <f t="array" ref="D144">INDEX('Linha 04'!$A$4:$A$1000,B144)</f>
        <v>20030012</v>
      </c>
      <c r="E144" t="str" cm="1">
        <f t="array" ref="E144">INDEX('Linha 04'!$B$4:$B$1000,B144)</f>
        <v>Detergente Aquafast Limao Cx/12 X 1l</v>
      </c>
      <c r="F144" cm="1">
        <f t="array" ref="F144">INDEX('Linha 04'!$C$3:$ZZ$3,C144)</f>
        <v>20030002</v>
      </c>
      <c r="G144" t="str" cm="1">
        <f t="array" ref="G144">INDEX('Linha 04'!$C$2:$ZZ$2,C144)</f>
        <v>Detergente Aquafast Limao Cx/24 X 500ml</v>
      </c>
      <c r="H144" s="5" cm="1">
        <f t="array" ref="H144">INDEX('Linha 04'!$C$4:$ZZ$1000,B144,C144)</f>
        <v>0</v>
      </c>
    </row>
    <row r="145" spans="1:8" x14ac:dyDescent="0.25">
      <c r="A145">
        <v>143</v>
      </c>
      <c r="B145">
        <f t="shared" si="4"/>
        <v>6</v>
      </c>
      <c r="C145">
        <f t="shared" si="5"/>
        <v>3</v>
      </c>
      <c r="D145" cm="1">
        <f t="array" ref="D145">INDEX('Linha 04'!$A$4:$A$1000,B145)</f>
        <v>20030012</v>
      </c>
      <c r="E145" t="str" cm="1">
        <f t="array" ref="E145">INDEX('Linha 04'!$B$4:$B$1000,B145)</f>
        <v>Detergente Aquafast Limao Cx/12 X 1l</v>
      </c>
      <c r="F145" cm="1">
        <f t="array" ref="F145">INDEX('Linha 04'!$C$3:$ZZ$3,C145)</f>
        <v>20030003</v>
      </c>
      <c r="G145" t="str" cm="1">
        <f t="array" ref="G145">INDEX('Linha 04'!$C$2:$ZZ$2,C145)</f>
        <v>Detergente Aquafast Neutro Cx/24 X 500ml</v>
      </c>
      <c r="H145" s="5" cm="1">
        <f t="array" ref="H145">INDEX('Linha 04'!$C$4:$ZZ$1000,B145,C145)</f>
        <v>0</v>
      </c>
    </row>
    <row r="146" spans="1:8" x14ac:dyDescent="0.25">
      <c r="A146">
        <v>144</v>
      </c>
      <c r="B146">
        <f t="shared" si="4"/>
        <v>6</v>
      </c>
      <c r="C146">
        <f t="shared" si="5"/>
        <v>4</v>
      </c>
      <c r="D146" cm="1">
        <f t="array" ref="D146">INDEX('Linha 04'!$A$4:$A$1000,B146)</f>
        <v>20030012</v>
      </c>
      <c r="E146" t="str" cm="1">
        <f t="array" ref="E146">INDEX('Linha 04'!$B$4:$B$1000,B146)</f>
        <v>Detergente Aquafast Limao Cx/12 X 1l</v>
      </c>
      <c r="F146" cm="1">
        <f t="array" ref="F146">INDEX('Linha 04'!$C$3:$ZZ$3,C146)</f>
        <v>20030004</v>
      </c>
      <c r="G146" t="str" cm="1">
        <f t="array" ref="G146">INDEX('Linha 04'!$C$2:$ZZ$2,C146)</f>
        <v>Detergente Aquafast Clear Cx/24 X 500ml (Natural)</v>
      </c>
      <c r="H146" s="5" cm="1">
        <f t="array" ref="H146">INDEX('Linha 04'!$C$4:$ZZ$1000,B146,C146)</f>
        <v>0</v>
      </c>
    </row>
    <row r="147" spans="1:8" x14ac:dyDescent="0.25">
      <c r="A147">
        <v>145</v>
      </c>
      <c r="B147">
        <f t="shared" si="4"/>
        <v>6</v>
      </c>
      <c r="C147">
        <f t="shared" si="5"/>
        <v>5</v>
      </c>
      <c r="D147" cm="1">
        <f t="array" ref="D147">INDEX('Linha 04'!$A$4:$A$1000,B147)</f>
        <v>20030012</v>
      </c>
      <c r="E147" t="str" cm="1">
        <f t="array" ref="E147">INDEX('Linha 04'!$B$4:$B$1000,B147)</f>
        <v>Detergente Aquafast Limao Cx/12 X 1l</v>
      </c>
      <c r="F147" cm="1">
        <f t="array" ref="F147">INDEX('Linha 04'!$C$3:$ZZ$3,C147)</f>
        <v>20030011</v>
      </c>
      <c r="G147" t="str" cm="1">
        <f t="array" ref="G147">INDEX('Linha 04'!$C$2:$ZZ$2,C147)</f>
        <v>Detergente Aquafast Maca Cx/12 X 1l</v>
      </c>
      <c r="H147" s="5" cm="1">
        <f t="array" ref="H147">INDEX('Linha 04'!$C$4:$ZZ$1000,B147,C147)</f>
        <v>0</v>
      </c>
    </row>
    <row r="148" spans="1:8" x14ac:dyDescent="0.25">
      <c r="A148">
        <v>146</v>
      </c>
      <c r="B148">
        <f t="shared" si="4"/>
        <v>6</v>
      </c>
      <c r="C148">
        <f t="shared" si="5"/>
        <v>6</v>
      </c>
      <c r="D148" cm="1">
        <f t="array" ref="D148">INDEX('Linha 04'!$A$4:$A$1000,B148)</f>
        <v>20030012</v>
      </c>
      <c r="E148" t="str" cm="1">
        <f t="array" ref="E148">INDEX('Linha 04'!$B$4:$B$1000,B148)</f>
        <v>Detergente Aquafast Limao Cx/12 X 1l</v>
      </c>
      <c r="F148" cm="1">
        <f t="array" ref="F148">INDEX('Linha 04'!$C$3:$ZZ$3,C148)</f>
        <v>20030012</v>
      </c>
      <c r="G148" t="str" cm="1">
        <f t="array" ref="G148">INDEX('Linha 04'!$C$2:$ZZ$2,C148)</f>
        <v>Detergente Aquafast Limao Cx/12 X 1l</v>
      </c>
      <c r="H148" s="5" cm="1">
        <f t="array" ref="H148">INDEX('Linha 04'!$C$4:$ZZ$1000,B148,C148)</f>
        <v>0</v>
      </c>
    </row>
    <row r="149" spans="1:8" x14ac:dyDescent="0.25">
      <c r="A149">
        <v>147</v>
      </c>
      <c r="B149">
        <f t="shared" si="4"/>
        <v>6</v>
      </c>
      <c r="C149">
        <f t="shared" si="5"/>
        <v>7</v>
      </c>
      <c r="D149" cm="1">
        <f t="array" ref="D149">INDEX('Linha 04'!$A$4:$A$1000,B149)</f>
        <v>20030012</v>
      </c>
      <c r="E149" t="str" cm="1">
        <f t="array" ref="E149">INDEX('Linha 04'!$B$4:$B$1000,B149)</f>
        <v>Detergente Aquafast Limao Cx/12 X 1l</v>
      </c>
      <c r="F149" cm="1">
        <f t="array" ref="F149">INDEX('Linha 04'!$C$3:$ZZ$3,C149)</f>
        <v>20030013</v>
      </c>
      <c r="G149" t="str" cm="1">
        <f t="array" ref="G149">INDEX('Linha 04'!$C$2:$ZZ$2,C149)</f>
        <v>Detergente Aquafast Neutro Cx/12 X 1l</v>
      </c>
      <c r="H149" s="5" cm="1">
        <f t="array" ref="H149">INDEX('Linha 04'!$C$4:$ZZ$1000,B149,C149)</f>
        <v>0</v>
      </c>
    </row>
    <row r="150" spans="1:8" x14ac:dyDescent="0.25">
      <c r="A150">
        <v>148</v>
      </c>
      <c r="B150">
        <f t="shared" si="4"/>
        <v>6</v>
      </c>
      <c r="C150">
        <f t="shared" si="5"/>
        <v>8</v>
      </c>
      <c r="D150" cm="1">
        <f t="array" ref="D150">INDEX('Linha 04'!$A$4:$A$1000,B150)</f>
        <v>20030012</v>
      </c>
      <c r="E150" t="str" cm="1">
        <f t="array" ref="E150">INDEX('Linha 04'!$B$4:$B$1000,B150)</f>
        <v>Detergente Aquafast Limao Cx/12 X 1l</v>
      </c>
      <c r="F150" cm="1">
        <f t="array" ref="F150">INDEX('Linha 04'!$C$3:$ZZ$3,C150)</f>
        <v>20030014</v>
      </c>
      <c r="G150" t="str" cm="1">
        <f t="array" ref="G150">INDEX('Linha 04'!$C$2:$ZZ$2,C150)</f>
        <v>Detergente Aquafast Clear Cx/12 X 1l (Natural)</v>
      </c>
      <c r="H150" s="5" cm="1">
        <f t="array" ref="H150">INDEX('Linha 04'!$C$4:$ZZ$1000,B150,C150)</f>
        <v>0</v>
      </c>
    </row>
    <row r="151" spans="1:8" x14ac:dyDescent="0.25">
      <c r="A151">
        <v>149</v>
      </c>
      <c r="B151">
        <f t="shared" si="4"/>
        <v>6</v>
      </c>
      <c r="C151">
        <f t="shared" si="5"/>
        <v>9</v>
      </c>
      <c r="D151" cm="1">
        <f t="array" ref="D151">INDEX('Linha 04'!$A$4:$A$1000,B151)</f>
        <v>20030012</v>
      </c>
      <c r="E151" t="str" cm="1">
        <f t="array" ref="E151">INDEX('Linha 04'!$B$4:$B$1000,B151)</f>
        <v>Detergente Aquafast Limao Cx/12 X 1l</v>
      </c>
      <c r="F151" cm="1">
        <f t="array" ref="F151">INDEX('Linha 04'!$C$3:$ZZ$3,C151)</f>
        <v>20030020</v>
      </c>
      <c r="G151" t="str" cm="1">
        <f t="array" ref="G151">INDEX('Linha 04'!$C$2:$ZZ$2,C151)</f>
        <v>Detergente Ito Maca Cx/24 X 500ml</v>
      </c>
      <c r="H151" s="5" cm="1">
        <f t="array" ref="H151">INDEX('Linha 04'!$C$4:$ZZ$1000,B151,C151)</f>
        <v>0</v>
      </c>
    </row>
    <row r="152" spans="1:8" x14ac:dyDescent="0.25">
      <c r="A152">
        <v>150</v>
      </c>
      <c r="B152">
        <f t="shared" si="4"/>
        <v>6</v>
      </c>
      <c r="C152">
        <f t="shared" si="5"/>
        <v>10</v>
      </c>
      <c r="D152" cm="1">
        <f t="array" ref="D152">INDEX('Linha 04'!$A$4:$A$1000,B152)</f>
        <v>20030012</v>
      </c>
      <c r="E152" t="str" cm="1">
        <f t="array" ref="E152">INDEX('Linha 04'!$B$4:$B$1000,B152)</f>
        <v>Detergente Aquafast Limao Cx/12 X 1l</v>
      </c>
      <c r="F152" cm="1">
        <f t="array" ref="F152">INDEX('Linha 04'!$C$3:$ZZ$3,C152)</f>
        <v>20030021</v>
      </c>
      <c r="G152" t="str" cm="1">
        <f t="array" ref="G152">INDEX('Linha 04'!$C$2:$ZZ$2,C152)</f>
        <v>Detergente Ito Limao Cx/24 X 500ml</v>
      </c>
      <c r="H152" s="5" cm="1">
        <f t="array" ref="H152">INDEX('Linha 04'!$C$4:$ZZ$1000,B152,C152)</f>
        <v>0</v>
      </c>
    </row>
    <row r="153" spans="1:8" x14ac:dyDescent="0.25">
      <c r="A153">
        <v>151</v>
      </c>
      <c r="B153">
        <f t="shared" si="4"/>
        <v>6</v>
      </c>
      <c r="C153">
        <f t="shared" si="5"/>
        <v>11</v>
      </c>
      <c r="D153" cm="1">
        <f t="array" ref="D153">INDEX('Linha 04'!$A$4:$A$1000,B153)</f>
        <v>20030012</v>
      </c>
      <c r="E153" t="str" cm="1">
        <f t="array" ref="E153">INDEX('Linha 04'!$B$4:$B$1000,B153)</f>
        <v>Detergente Aquafast Limao Cx/12 X 1l</v>
      </c>
      <c r="F153" cm="1">
        <f t="array" ref="F153">INDEX('Linha 04'!$C$3:$ZZ$3,C153)</f>
        <v>20030022</v>
      </c>
      <c r="G153" t="str" cm="1">
        <f t="array" ref="G153">INDEX('Linha 04'!$C$2:$ZZ$2,C153)</f>
        <v>Detergente Ito Neutro Cx/24 X 500ml</v>
      </c>
      <c r="H153" s="5" cm="1">
        <f t="array" ref="H153">INDEX('Linha 04'!$C$4:$ZZ$1000,B153,C153)</f>
        <v>0</v>
      </c>
    </row>
    <row r="154" spans="1:8" x14ac:dyDescent="0.25">
      <c r="A154">
        <v>152</v>
      </c>
      <c r="B154">
        <f t="shared" si="4"/>
        <v>6</v>
      </c>
      <c r="C154">
        <f t="shared" si="5"/>
        <v>12</v>
      </c>
      <c r="D154" cm="1">
        <f t="array" ref="D154">INDEX('Linha 04'!$A$4:$A$1000,B154)</f>
        <v>20030012</v>
      </c>
      <c r="E154" t="str" cm="1">
        <f t="array" ref="E154">INDEX('Linha 04'!$B$4:$B$1000,B154)</f>
        <v>Detergente Aquafast Limao Cx/12 X 1l</v>
      </c>
      <c r="F154" cm="1">
        <f t="array" ref="F154">INDEX('Linha 04'!$C$3:$ZZ$3,C154)</f>
        <v>20030023</v>
      </c>
      <c r="G154" t="str" cm="1">
        <f t="array" ref="G154">INDEX('Linha 04'!$C$2:$ZZ$2,C154)</f>
        <v>Detergente Ito Clear Cx/24 X 500ml</v>
      </c>
      <c r="H154" s="5" cm="1">
        <f t="array" ref="H154">INDEX('Linha 04'!$C$4:$ZZ$1000,B154,C154)</f>
        <v>0</v>
      </c>
    </row>
    <row r="155" spans="1:8" x14ac:dyDescent="0.25">
      <c r="A155">
        <v>153</v>
      </c>
      <c r="B155">
        <f t="shared" si="4"/>
        <v>6</v>
      </c>
      <c r="C155">
        <f t="shared" si="5"/>
        <v>13</v>
      </c>
      <c r="D155" cm="1">
        <f t="array" ref="D155">INDEX('Linha 04'!$A$4:$A$1000,B155)</f>
        <v>20030012</v>
      </c>
      <c r="E155" t="str" cm="1">
        <f t="array" ref="E155">INDEX('Linha 04'!$B$4:$B$1000,B155)</f>
        <v>Detergente Aquafast Limao Cx/12 X 1l</v>
      </c>
      <c r="F155" cm="1">
        <f t="array" ref="F155">INDEX('Linha 04'!$C$3:$ZZ$3,C155)</f>
        <v>20030038</v>
      </c>
      <c r="G155" t="str" cm="1">
        <f t="array" ref="G155">INDEX('Linha 04'!$C$2:$ZZ$2,C155)</f>
        <v>Detergente Myata Maca Cx/24 X 500ml</v>
      </c>
      <c r="H155" s="5" cm="1">
        <f t="array" ref="H155">INDEX('Linha 04'!$C$4:$ZZ$1000,B155,C155)</f>
        <v>0</v>
      </c>
    </row>
    <row r="156" spans="1:8" x14ac:dyDescent="0.25">
      <c r="A156">
        <v>154</v>
      </c>
      <c r="B156">
        <f t="shared" si="4"/>
        <v>6</v>
      </c>
      <c r="C156">
        <f t="shared" si="5"/>
        <v>14</v>
      </c>
      <c r="D156" cm="1">
        <f t="array" ref="D156">INDEX('Linha 04'!$A$4:$A$1000,B156)</f>
        <v>20030012</v>
      </c>
      <c r="E156" t="str" cm="1">
        <f t="array" ref="E156">INDEX('Linha 04'!$B$4:$B$1000,B156)</f>
        <v>Detergente Aquafast Limao Cx/12 X 1l</v>
      </c>
      <c r="F156" cm="1">
        <f t="array" ref="F156">INDEX('Linha 04'!$C$3:$ZZ$3,C156)</f>
        <v>20030039</v>
      </c>
      <c r="G156" t="str" cm="1">
        <f t="array" ref="G156">INDEX('Linha 04'!$C$2:$ZZ$2,C156)</f>
        <v>Detergente Myata Limao Cx/24 X 500ml</v>
      </c>
      <c r="H156" s="5" cm="1">
        <f t="array" ref="H156">INDEX('Linha 04'!$C$4:$ZZ$1000,B156,C156)</f>
        <v>0</v>
      </c>
    </row>
    <row r="157" spans="1:8" x14ac:dyDescent="0.25">
      <c r="A157">
        <v>155</v>
      </c>
      <c r="B157">
        <f t="shared" si="4"/>
        <v>6</v>
      </c>
      <c r="C157">
        <f t="shared" si="5"/>
        <v>15</v>
      </c>
      <c r="D157" cm="1">
        <f t="array" ref="D157">INDEX('Linha 04'!$A$4:$A$1000,B157)</f>
        <v>20030012</v>
      </c>
      <c r="E157" t="str" cm="1">
        <f t="array" ref="E157">INDEX('Linha 04'!$B$4:$B$1000,B157)</f>
        <v>Detergente Aquafast Limao Cx/12 X 1l</v>
      </c>
      <c r="F157" cm="1">
        <f t="array" ref="F157">INDEX('Linha 04'!$C$3:$ZZ$3,C157)</f>
        <v>20030040</v>
      </c>
      <c r="G157" t="str" cm="1">
        <f t="array" ref="G157">INDEX('Linha 04'!$C$2:$ZZ$2,C157)</f>
        <v>Detergente Myata Neutro Cx/24 X 500ml</v>
      </c>
      <c r="H157" s="5" cm="1">
        <f t="array" ref="H157">INDEX('Linha 04'!$C$4:$ZZ$1000,B157,C157)</f>
        <v>0</v>
      </c>
    </row>
    <row r="158" spans="1:8" x14ac:dyDescent="0.25">
      <c r="A158">
        <v>156</v>
      </c>
      <c r="B158">
        <f t="shared" si="4"/>
        <v>6</v>
      </c>
      <c r="C158">
        <f t="shared" si="5"/>
        <v>16</v>
      </c>
      <c r="D158" cm="1">
        <f t="array" ref="D158">INDEX('Linha 04'!$A$4:$A$1000,B158)</f>
        <v>20030012</v>
      </c>
      <c r="E158" t="str" cm="1">
        <f t="array" ref="E158">INDEX('Linha 04'!$B$4:$B$1000,B158)</f>
        <v>Detergente Aquafast Limao Cx/12 X 1l</v>
      </c>
      <c r="F158" cm="1">
        <f t="array" ref="F158">INDEX('Linha 04'!$C$3:$ZZ$3,C158)</f>
        <v>20030067</v>
      </c>
      <c r="G158" t="str" cm="1">
        <f t="array" ref="G158">INDEX('Linha 04'!$C$2:$ZZ$2,C158)</f>
        <v>Detergente Aquafast Coco Cx/24 X 500ml</v>
      </c>
      <c r="H158" s="5" cm="1">
        <f t="array" ref="H158">INDEX('Linha 04'!$C$4:$ZZ$1000,B158,C158)</f>
        <v>0</v>
      </c>
    </row>
    <row r="159" spans="1:8" x14ac:dyDescent="0.25">
      <c r="A159">
        <v>157</v>
      </c>
      <c r="B159">
        <f t="shared" si="4"/>
        <v>6</v>
      </c>
      <c r="C159">
        <f t="shared" si="5"/>
        <v>17</v>
      </c>
      <c r="D159" cm="1">
        <f t="array" ref="D159">INDEX('Linha 04'!$A$4:$A$1000,B159)</f>
        <v>20030012</v>
      </c>
      <c r="E159" t="str" cm="1">
        <f t="array" ref="E159">INDEX('Linha 04'!$B$4:$B$1000,B159)</f>
        <v>Detergente Aquafast Limao Cx/12 X 1l</v>
      </c>
      <c r="F159" cm="1">
        <f t="array" ref="F159">INDEX('Linha 04'!$C$3:$ZZ$3,C159)</f>
        <v>20050001</v>
      </c>
      <c r="G159" t="str" cm="1">
        <f t="array" ref="G159">INDEX('Linha 04'!$C$2:$ZZ$2,C159)</f>
        <v>Desinfetante Aquafast Campos Lavanda Cx/12 X 500ml</v>
      </c>
      <c r="H159" s="5" cm="1">
        <f t="array" ref="H159">INDEX('Linha 04'!$C$4:$ZZ$1000,B159,C159)</f>
        <v>0</v>
      </c>
    </row>
    <row r="160" spans="1:8" x14ac:dyDescent="0.25">
      <c r="A160">
        <v>158</v>
      </c>
      <c r="B160">
        <f t="shared" si="4"/>
        <v>6</v>
      </c>
      <c r="C160">
        <f t="shared" si="5"/>
        <v>18</v>
      </c>
      <c r="D160" cm="1">
        <f t="array" ref="D160">INDEX('Linha 04'!$A$4:$A$1000,B160)</f>
        <v>20030012</v>
      </c>
      <c r="E160" t="str" cm="1">
        <f t="array" ref="E160">INDEX('Linha 04'!$B$4:$B$1000,B160)</f>
        <v>Detergente Aquafast Limao Cx/12 X 1l</v>
      </c>
      <c r="F160" cm="1">
        <f t="array" ref="F160">INDEX('Linha 04'!$C$3:$ZZ$3,C160)</f>
        <v>20050026</v>
      </c>
      <c r="G160" t="str" cm="1">
        <f t="array" ref="G160">INDEX('Linha 04'!$C$2:$ZZ$2,C160)</f>
        <v>Desinfetante Ito Lavanda Cx/12 X 500ml</v>
      </c>
      <c r="H160" s="5" cm="1">
        <f t="array" ref="H160">INDEX('Linha 04'!$C$4:$ZZ$1000,B160,C160)</f>
        <v>0</v>
      </c>
    </row>
    <row r="161" spans="1:8" x14ac:dyDescent="0.25">
      <c r="A161">
        <v>159</v>
      </c>
      <c r="B161">
        <f t="shared" si="4"/>
        <v>6</v>
      </c>
      <c r="C161">
        <f t="shared" si="5"/>
        <v>19</v>
      </c>
      <c r="D161" cm="1">
        <f t="array" ref="D161">INDEX('Linha 04'!$A$4:$A$1000,B161)</f>
        <v>20030012</v>
      </c>
      <c r="E161" t="str" cm="1">
        <f t="array" ref="E161">INDEX('Linha 04'!$B$4:$B$1000,B161)</f>
        <v>Detergente Aquafast Limao Cx/12 X 1l</v>
      </c>
      <c r="F161" cm="1">
        <f t="array" ref="F161">INDEX('Linha 04'!$C$3:$ZZ$3,C161)</f>
        <v>20050119</v>
      </c>
      <c r="G161" t="str" cm="1">
        <f t="array" ref="G161">INDEX('Linha 04'!$C$2:$ZZ$2,C161)</f>
        <v>Desinfetante Aquafast Paixao Cx/12 X 500ml</v>
      </c>
      <c r="H161" s="5" cm="1">
        <f t="array" ref="H161">INDEX('Linha 04'!$C$4:$ZZ$1000,B161,C161)</f>
        <v>0</v>
      </c>
    </row>
    <row r="162" spans="1:8" x14ac:dyDescent="0.25">
      <c r="A162">
        <v>160</v>
      </c>
      <c r="B162">
        <f t="shared" si="4"/>
        <v>6</v>
      </c>
      <c r="C162">
        <f t="shared" si="5"/>
        <v>20</v>
      </c>
      <c r="D162" cm="1">
        <f t="array" ref="D162">INDEX('Linha 04'!$A$4:$A$1000,B162)</f>
        <v>20030012</v>
      </c>
      <c r="E162" t="str" cm="1">
        <f t="array" ref="E162">INDEX('Linha 04'!$B$4:$B$1000,B162)</f>
        <v>Detergente Aquafast Limao Cx/12 X 1l</v>
      </c>
      <c r="F162" cm="1">
        <f t="array" ref="F162">INDEX('Linha 04'!$C$3:$ZZ$3,C162)</f>
        <v>20050145</v>
      </c>
      <c r="G162" t="str" cm="1">
        <f t="array" ref="G162">INDEX('Linha 04'!$C$2:$ZZ$2,C162)</f>
        <v>Desinfetante Aquafast Harmonia Natural Cx/12 X 500ml</v>
      </c>
      <c r="H162" s="5" cm="1">
        <f t="array" ref="H162">INDEX('Linha 04'!$C$4:$ZZ$1000,B162,C162)</f>
        <v>0</v>
      </c>
    </row>
    <row r="163" spans="1:8" x14ac:dyDescent="0.25">
      <c r="A163">
        <v>161</v>
      </c>
      <c r="B163">
        <f t="shared" si="4"/>
        <v>6</v>
      </c>
      <c r="C163">
        <f t="shared" si="5"/>
        <v>21</v>
      </c>
      <c r="D163" cm="1">
        <f t="array" ref="D163">INDEX('Linha 04'!$A$4:$A$1000,B163)</f>
        <v>20030012</v>
      </c>
      <c r="E163" t="str" cm="1">
        <f t="array" ref="E163">INDEX('Linha 04'!$B$4:$B$1000,B163)</f>
        <v>Detergente Aquafast Limao Cx/12 X 1l</v>
      </c>
      <c r="F163" cm="1">
        <f t="array" ref="F163">INDEX('Linha 04'!$C$3:$ZZ$3,C163)</f>
        <v>20050149</v>
      </c>
      <c r="G163" t="str" cm="1">
        <f t="array" ref="G163">INDEX('Linha 04'!$C$2:$ZZ$2,C163)</f>
        <v>Desinfetante Aquafast Campos Lavanda Cx/12 X 1l</v>
      </c>
      <c r="H163" s="5" cm="1">
        <f t="array" ref="H163">INDEX('Linha 04'!$C$4:$ZZ$1000,B163,C163)</f>
        <v>0</v>
      </c>
    </row>
    <row r="164" spans="1:8" x14ac:dyDescent="0.25">
      <c r="A164">
        <v>162</v>
      </c>
      <c r="B164">
        <f t="shared" si="4"/>
        <v>6</v>
      </c>
      <c r="C164">
        <f t="shared" si="5"/>
        <v>22</v>
      </c>
      <c r="D164" cm="1">
        <f t="array" ref="D164">INDEX('Linha 04'!$A$4:$A$1000,B164)</f>
        <v>20030012</v>
      </c>
      <c r="E164" t="str" cm="1">
        <f t="array" ref="E164">INDEX('Linha 04'!$B$4:$B$1000,B164)</f>
        <v>Detergente Aquafast Limao Cx/12 X 1l</v>
      </c>
      <c r="F164" cm="1">
        <f t="array" ref="F164">INDEX('Linha 04'!$C$3:$ZZ$3,C164)</f>
        <v>20050150</v>
      </c>
      <c r="G164" t="str" cm="1">
        <f t="array" ref="G164">INDEX('Linha 04'!$C$2:$ZZ$2,C164)</f>
        <v>Desinfetante Aquafast Marine Cx/12 X 1l</v>
      </c>
      <c r="H164" s="5" cm="1">
        <f t="array" ref="H164">INDEX('Linha 04'!$C$4:$ZZ$1000,B164,C164)</f>
        <v>0</v>
      </c>
    </row>
    <row r="165" spans="1:8" x14ac:dyDescent="0.25">
      <c r="A165">
        <v>163</v>
      </c>
      <c r="B165">
        <f t="shared" si="4"/>
        <v>6</v>
      </c>
      <c r="C165">
        <f t="shared" si="5"/>
        <v>23</v>
      </c>
      <c r="D165" cm="1">
        <f t="array" ref="D165">INDEX('Linha 04'!$A$4:$A$1000,B165)</f>
        <v>20030012</v>
      </c>
      <c r="E165" t="str" cm="1">
        <f t="array" ref="E165">INDEX('Linha 04'!$B$4:$B$1000,B165)</f>
        <v>Detergente Aquafast Limao Cx/12 X 1l</v>
      </c>
      <c r="F165" cm="1">
        <f t="array" ref="F165">INDEX('Linha 04'!$C$3:$ZZ$3,C165)</f>
        <v>20050151</v>
      </c>
      <c r="G165" t="str" cm="1">
        <f t="array" ref="G165">INDEX('Linha 04'!$C$2:$ZZ$2,C165)</f>
        <v>Desinfetante Aquafast Paixao Cx/12 X 1l</v>
      </c>
      <c r="H165" s="5" cm="1">
        <f t="array" ref="H165">INDEX('Linha 04'!$C$4:$ZZ$1000,B165,C165)</f>
        <v>0</v>
      </c>
    </row>
    <row r="166" spans="1:8" x14ac:dyDescent="0.25">
      <c r="A166">
        <v>164</v>
      </c>
      <c r="B166">
        <f t="shared" si="4"/>
        <v>6</v>
      </c>
      <c r="C166">
        <f t="shared" si="5"/>
        <v>24</v>
      </c>
      <c r="D166" cm="1">
        <f t="array" ref="D166">INDEX('Linha 04'!$A$4:$A$1000,B166)</f>
        <v>20030012</v>
      </c>
      <c r="E166" t="str" cm="1">
        <f t="array" ref="E166">INDEX('Linha 04'!$B$4:$B$1000,B166)</f>
        <v>Detergente Aquafast Limao Cx/12 X 1l</v>
      </c>
      <c r="F166" cm="1">
        <f t="array" ref="F166">INDEX('Linha 04'!$C$3:$ZZ$3,C166)</f>
        <v>20050152</v>
      </c>
      <c r="G166" t="str" cm="1">
        <f t="array" ref="G166">INDEX('Linha 04'!$C$2:$ZZ$2,C166)</f>
        <v>Desinfetante Aquafast Harmonia Natural Cx/12 X 1l</v>
      </c>
      <c r="H166" s="5" cm="1">
        <f t="array" ref="H166">INDEX('Linha 04'!$C$4:$ZZ$1000,B166,C166)</f>
        <v>0</v>
      </c>
    </row>
    <row r="167" spans="1:8" x14ac:dyDescent="0.25">
      <c r="A167">
        <v>165</v>
      </c>
      <c r="B167">
        <f t="shared" si="4"/>
        <v>6</v>
      </c>
      <c r="C167">
        <f t="shared" si="5"/>
        <v>25</v>
      </c>
      <c r="D167" cm="1">
        <f t="array" ref="D167">INDEX('Linha 04'!$A$4:$A$1000,B167)</f>
        <v>20030012</v>
      </c>
      <c r="E167" t="str" cm="1">
        <f t="array" ref="E167">INDEX('Linha 04'!$B$4:$B$1000,B167)</f>
        <v>Detergente Aquafast Limao Cx/12 X 1l</v>
      </c>
      <c r="F167" cm="1">
        <f t="array" ref="F167">INDEX('Linha 04'!$C$3:$ZZ$3,C167)</f>
        <v>20050153</v>
      </c>
      <c r="G167" t="str" cm="1">
        <f t="array" ref="G167">INDEX('Linha 04'!$C$2:$ZZ$2,C167)</f>
        <v>Desinfetante Ito Harmonia Natural Cx/12 X 500ml</v>
      </c>
      <c r="H167" s="5" cm="1">
        <f t="array" ref="H167">INDEX('Linha 04'!$C$4:$ZZ$1000,B167,C167)</f>
        <v>0</v>
      </c>
    </row>
    <row r="168" spans="1:8" x14ac:dyDescent="0.25">
      <c r="A168">
        <v>166</v>
      </c>
      <c r="B168">
        <f t="shared" si="4"/>
        <v>6</v>
      </c>
      <c r="C168">
        <f t="shared" si="5"/>
        <v>26</v>
      </c>
      <c r="D168" cm="1">
        <f t="array" ref="D168">INDEX('Linha 04'!$A$4:$A$1000,B168)</f>
        <v>20030012</v>
      </c>
      <c r="E168" t="str" cm="1">
        <f t="array" ref="E168">INDEX('Linha 04'!$B$4:$B$1000,B168)</f>
        <v>Detergente Aquafast Limao Cx/12 X 1l</v>
      </c>
      <c r="F168" cm="1">
        <f t="array" ref="F168">INDEX('Linha 04'!$C$3:$ZZ$3,C168)</f>
        <v>20050155</v>
      </c>
      <c r="G168" t="str" cm="1">
        <f t="array" ref="G168">INDEX('Linha 04'!$C$2:$ZZ$2,C168)</f>
        <v>Intermed Pack Desinfetante Paixao Cx/12 X 1l</v>
      </c>
      <c r="H168" s="5" cm="1">
        <f t="array" ref="H168">INDEX('Linha 04'!$C$4:$ZZ$1000,B168,C168)</f>
        <v>0</v>
      </c>
    </row>
    <row r="169" spans="1:8" x14ac:dyDescent="0.25">
      <c r="A169">
        <v>167</v>
      </c>
      <c r="B169">
        <f t="shared" si="4"/>
        <v>6</v>
      </c>
      <c r="C169">
        <f t="shared" si="5"/>
        <v>27</v>
      </c>
      <c r="D169" cm="1">
        <f t="array" ref="D169">INDEX('Linha 04'!$A$4:$A$1000,B169)</f>
        <v>20030012</v>
      </c>
      <c r="E169" t="str" cm="1">
        <f t="array" ref="E169">INDEX('Linha 04'!$B$4:$B$1000,B169)</f>
        <v>Detergente Aquafast Limao Cx/12 X 1l</v>
      </c>
      <c r="F169" cm="1">
        <f t="array" ref="F169">INDEX('Linha 04'!$C$3:$ZZ$3,C169)</f>
        <v>20050156</v>
      </c>
      <c r="G169" t="str" cm="1">
        <f t="array" ref="G169">INDEX('Linha 04'!$C$2:$ZZ$2,C169)</f>
        <v>Intermed Pack Desinfetante Campos Lavanda Cx/12 X 1l</v>
      </c>
      <c r="H169" s="5" cm="1">
        <f t="array" ref="H169">INDEX('Linha 04'!$C$4:$ZZ$1000,B169,C169)</f>
        <v>0</v>
      </c>
    </row>
    <row r="170" spans="1:8" x14ac:dyDescent="0.25">
      <c r="A170">
        <v>168</v>
      </c>
      <c r="B170">
        <f t="shared" si="4"/>
        <v>6</v>
      </c>
      <c r="C170">
        <f t="shared" si="5"/>
        <v>28</v>
      </c>
      <c r="D170" cm="1">
        <f t="array" ref="D170">INDEX('Linha 04'!$A$4:$A$1000,B170)</f>
        <v>20030012</v>
      </c>
      <c r="E170" t="str" cm="1">
        <f t="array" ref="E170">INDEX('Linha 04'!$B$4:$B$1000,B170)</f>
        <v>Detergente Aquafast Limao Cx/12 X 1l</v>
      </c>
      <c r="F170" cm="1">
        <f t="array" ref="F170">INDEX('Linha 04'!$C$3:$ZZ$3,C170)</f>
        <v>20050157</v>
      </c>
      <c r="G170" t="str" cm="1">
        <f t="array" ref="G170">INDEX('Linha 04'!$C$2:$ZZ$2,C170)</f>
        <v>Intermed Pack Desinfetante Marine Cx/12 X 1l</v>
      </c>
      <c r="H170" s="5" cm="1">
        <f t="array" ref="H170">INDEX('Linha 04'!$C$4:$ZZ$1000,B170,C170)</f>
        <v>0</v>
      </c>
    </row>
    <row r="171" spans="1:8" x14ac:dyDescent="0.25">
      <c r="A171">
        <v>169</v>
      </c>
      <c r="B171">
        <f t="shared" si="4"/>
        <v>7</v>
      </c>
      <c r="C171">
        <f t="shared" si="5"/>
        <v>1</v>
      </c>
      <c r="D171" cm="1">
        <f t="array" ref="D171">INDEX('Linha 04'!$A$4:$A$1000,B171)</f>
        <v>20030013</v>
      </c>
      <c r="E171" t="str" cm="1">
        <f t="array" ref="E171">INDEX('Linha 04'!$B$4:$B$1000,B171)</f>
        <v>Detergente Aquafast Neutro Cx/12 X 1l</v>
      </c>
      <c r="F171" cm="1">
        <f t="array" ref="F171">INDEX('Linha 04'!$C$3:$ZZ$3,C171)</f>
        <v>20030001</v>
      </c>
      <c r="G171" t="str" cm="1">
        <f t="array" ref="G171">INDEX('Linha 04'!$C$2:$ZZ$2,C171)</f>
        <v>Detergente Aquafast Maca Cx/24 X 500ml</v>
      </c>
      <c r="H171" s="5" cm="1">
        <f t="array" ref="H171">INDEX('Linha 04'!$C$4:$ZZ$1000,B171,C171)</f>
        <v>0</v>
      </c>
    </row>
    <row r="172" spans="1:8" x14ac:dyDescent="0.25">
      <c r="A172">
        <v>170</v>
      </c>
      <c r="B172">
        <f t="shared" si="4"/>
        <v>7</v>
      </c>
      <c r="C172">
        <f t="shared" si="5"/>
        <v>2</v>
      </c>
      <c r="D172" cm="1">
        <f t="array" ref="D172">INDEX('Linha 04'!$A$4:$A$1000,B172)</f>
        <v>20030013</v>
      </c>
      <c r="E172" t="str" cm="1">
        <f t="array" ref="E172">INDEX('Linha 04'!$B$4:$B$1000,B172)</f>
        <v>Detergente Aquafast Neutro Cx/12 X 1l</v>
      </c>
      <c r="F172" cm="1">
        <f t="array" ref="F172">INDEX('Linha 04'!$C$3:$ZZ$3,C172)</f>
        <v>20030002</v>
      </c>
      <c r="G172" t="str" cm="1">
        <f t="array" ref="G172">INDEX('Linha 04'!$C$2:$ZZ$2,C172)</f>
        <v>Detergente Aquafast Limao Cx/24 X 500ml</v>
      </c>
      <c r="H172" s="5" cm="1">
        <f t="array" ref="H172">INDEX('Linha 04'!$C$4:$ZZ$1000,B172,C172)</f>
        <v>0</v>
      </c>
    </row>
    <row r="173" spans="1:8" x14ac:dyDescent="0.25">
      <c r="A173">
        <v>171</v>
      </c>
      <c r="B173">
        <f t="shared" si="4"/>
        <v>7</v>
      </c>
      <c r="C173">
        <f t="shared" si="5"/>
        <v>3</v>
      </c>
      <c r="D173" cm="1">
        <f t="array" ref="D173">INDEX('Linha 04'!$A$4:$A$1000,B173)</f>
        <v>20030013</v>
      </c>
      <c r="E173" t="str" cm="1">
        <f t="array" ref="E173">INDEX('Linha 04'!$B$4:$B$1000,B173)</f>
        <v>Detergente Aquafast Neutro Cx/12 X 1l</v>
      </c>
      <c r="F173" cm="1">
        <f t="array" ref="F173">INDEX('Linha 04'!$C$3:$ZZ$3,C173)</f>
        <v>20030003</v>
      </c>
      <c r="G173" t="str" cm="1">
        <f t="array" ref="G173">INDEX('Linha 04'!$C$2:$ZZ$2,C173)</f>
        <v>Detergente Aquafast Neutro Cx/24 X 500ml</v>
      </c>
      <c r="H173" s="5" cm="1">
        <f t="array" ref="H173">INDEX('Linha 04'!$C$4:$ZZ$1000,B173,C173)</f>
        <v>0</v>
      </c>
    </row>
    <row r="174" spans="1:8" x14ac:dyDescent="0.25">
      <c r="A174">
        <v>172</v>
      </c>
      <c r="B174">
        <f t="shared" si="4"/>
        <v>7</v>
      </c>
      <c r="C174">
        <f t="shared" si="5"/>
        <v>4</v>
      </c>
      <c r="D174" cm="1">
        <f t="array" ref="D174">INDEX('Linha 04'!$A$4:$A$1000,B174)</f>
        <v>20030013</v>
      </c>
      <c r="E174" t="str" cm="1">
        <f t="array" ref="E174">INDEX('Linha 04'!$B$4:$B$1000,B174)</f>
        <v>Detergente Aquafast Neutro Cx/12 X 1l</v>
      </c>
      <c r="F174" cm="1">
        <f t="array" ref="F174">INDEX('Linha 04'!$C$3:$ZZ$3,C174)</f>
        <v>20030004</v>
      </c>
      <c r="G174" t="str" cm="1">
        <f t="array" ref="G174">INDEX('Linha 04'!$C$2:$ZZ$2,C174)</f>
        <v>Detergente Aquafast Clear Cx/24 X 500ml (Natural)</v>
      </c>
      <c r="H174" s="5" cm="1">
        <f t="array" ref="H174">INDEX('Linha 04'!$C$4:$ZZ$1000,B174,C174)</f>
        <v>0</v>
      </c>
    </row>
    <row r="175" spans="1:8" x14ac:dyDescent="0.25">
      <c r="A175">
        <v>173</v>
      </c>
      <c r="B175">
        <f t="shared" si="4"/>
        <v>7</v>
      </c>
      <c r="C175">
        <f t="shared" si="5"/>
        <v>5</v>
      </c>
      <c r="D175" cm="1">
        <f t="array" ref="D175">INDEX('Linha 04'!$A$4:$A$1000,B175)</f>
        <v>20030013</v>
      </c>
      <c r="E175" t="str" cm="1">
        <f t="array" ref="E175">INDEX('Linha 04'!$B$4:$B$1000,B175)</f>
        <v>Detergente Aquafast Neutro Cx/12 X 1l</v>
      </c>
      <c r="F175" cm="1">
        <f t="array" ref="F175">INDEX('Linha 04'!$C$3:$ZZ$3,C175)</f>
        <v>20030011</v>
      </c>
      <c r="G175" t="str" cm="1">
        <f t="array" ref="G175">INDEX('Linha 04'!$C$2:$ZZ$2,C175)</f>
        <v>Detergente Aquafast Maca Cx/12 X 1l</v>
      </c>
      <c r="H175" s="5" cm="1">
        <f t="array" ref="H175">INDEX('Linha 04'!$C$4:$ZZ$1000,B175,C175)</f>
        <v>0</v>
      </c>
    </row>
    <row r="176" spans="1:8" x14ac:dyDescent="0.25">
      <c r="A176">
        <v>174</v>
      </c>
      <c r="B176">
        <f t="shared" si="4"/>
        <v>7</v>
      </c>
      <c r="C176">
        <f t="shared" si="5"/>
        <v>6</v>
      </c>
      <c r="D176" cm="1">
        <f t="array" ref="D176">INDEX('Linha 04'!$A$4:$A$1000,B176)</f>
        <v>20030013</v>
      </c>
      <c r="E176" t="str" cm="1">
        <f t="array" ref="E176">INDEX('Linha 04'!$B$4:$B$1000,B176)</f>
        <v>Detergente Aquafast Neutro Cx/12 X 1l</v>
      </c>
      <c r="F176" cm="1">
        <f t="array" ref="F176">INDEX('Linha 04'!$C$3:$ZZ$3,C176)</f>
        <v>20030012</v>
      </c>
      <c r="G176" t="str" cm="1">
        <f t="array" ref="G176">INDEX('Linha 04'!$C$2:$ZZ$2,C176)</f>
        <v>Detergente Aquafast Limao Cx/12 X 1l</v>
      </c>
      <c r="H176" s="5" cm="1">
        <f t="array" ref="H176">INDEX('Linha 04'!$C$4:$ZZ$1000,B176,C176)</f>
        <v>0</v>
      </c>
    </row>
    <row r="177" spans="1:8" x14ac:dyDescent="0.25">
      <c r="A177">
        <v>175</v>
      </c>
      <c r="B177">
        <f t="shared" si="4"/>
        <v>7</v>
      </c>
      <c r="C177">
        <f t="shared" si="5"/>
        <v>7</v>
      </c>
      <c r="D177" cm="1">
        <f t="array" ref="D177">INDEX('Linha 04'!$A$4:$A$1000,B177)</f>
        <v>20030013</v>
      </c>
      <c r="E177" t="str" cm="1">
        <f t="array" ref="E177">INDEX('Linha 04'!$B$4:$B$1000,B177)</f>
        <v>Detergente Aquafast Neutro Cx/12 X 1l</v>
      </c>
      <c r="F177" cm="1">
        <f t="array" ref="F177">INDEX('Linha 04'!$C$3:$ZZ$3,C177)</f>
        <v>20030013</v>
      </c>
      <c r="G177" t="str" cm="1">
        <f t="array" ref="G177">INDEX('Linha 04'!$C$2:$ZZ$2,C177)</f>
        <v>Detergente Aquafast Neutro Cx/12 X 1l</v>
      </c>
      <c r="H177" s="5" cm="1">
        <f t="array" ref="H177">INDEX('Linha 04'!$C$4:$ZZ$1000,B177,C177)</f>
        <v>0</v>
      </c>
    </row>
    <row r="178" spans="1:8" x14ac:dyDescent="0.25">
      <c r="A178">
        <v>176</v>
      </c>
      <c r="B178">
        <f t="shared" si="4"/>
        <v>7</v>
      </c>
      <c r="C178">
        <f t="shared" si="5"/>
        <v>8</v>
      </c>
      <c r="D178" cm="1">
        <f t="array" ref="D178">INDEX('Linha 04'!$A$4:$A$1000,B178)</f>
        <v>20030013</v>
      </c>
      <c r="E178" t="str" cm="1">
        <f t="array" ref="E178">INDEX('Linha 04'!$B$4:$B$1000,B178)</f>
        <v>Detergente Aquafast Neutro Cx/12 X 1l</v>
      </c>
      <c r="F178" cm="1">
        <f t="array" ref="F178">INDEX('Linha 04'!$C$3:$ZZ$3,C178)</f>
        <v>20030014</v>
      </c>
      <c r="G178" t="str" cm="1">
        <f t="array" ref="G178">INDEX('Linha 04'!$C$2:$ZZ$2,C178)</f>
        <v>Detergente Aquafast Clear Cx/12 X 1l (Natural)</v>
      </c>
      <c r="H178" s="5" cm="1">
        <f t="array" ref="H178">INDEX('Linha 04'!$C$4:$ZZ$1000,B178,C178)</f>
        <v>0</v>
      </c>
    </row>
    <row r="179" spans="1:8" x14ac:dyDescent="0.25">
      <c r="A179">
        <v>177</v>
      </c>
      <c r="B179">
        <f t="shared" si="4"/>
        <v>7</v>
      </c>
      <c r="C179">
        <f t="shared" si="5"/>
        <v>9</v>
      </c>
      <c r="D179" cm="1">
        <f t="array" ref="D179">INDEX('Linha 04'!$A$4:$A$1000,B179)</f>
        <v>20030013</v>
      </c>
      <c r="E179" t="str" cm="1">
        <f t="array" ref="E179">INDEX('Linha 04'!$B$4:$B$1000,B179)</f>
        <v>Detergente Aquafast Neutro Cx/12 X 1l</v>
      </c>
      <c r="F179" cm="1">
        <f t="array" ref="F179">INDEX('Linha 04'!$C$3:$ZZ$3,C179)</f>
        <v>20030020</v>
      </c>
      <c r="G179" t="str" cm="1">
        <f t="array" ref="G179">INDEX('Linha 04'!$C$2:$ZZ$2,C179)</f>
        <v>Detergente Ito Maca Cx/24 X 500ml</v>
      </c>
      <c r="H179" s="5" cm="1">
        <f t="array" ref="H179">INDEX('Linha 04'!$C$4:$ZZ$1000,B179,C179)</f>
        <v>0</v>
      </c>
    </row>
    <row r="180" spans="1:8" x14ac:dyDescent="0.25">
      <c r="A180">
        <v>178</v>
      </c>
      <c r="B180">
        <f t="shared" si="4"/>
        <v>7</v>
      </c>
      <c r="C180">
        <f t="shared" si="5"/>
        <v>10</v>
      </c>
      <c r="D180" cm="1">
        <f t="array" ref="D180">INDEX('Linha 04'!$A$4:$A$1000,B180)</f>
        <v>20030013</v>
      </c>
      <c r="E180" t="str" cm="1">
        <f t="array" ref="E180">INDEX('Linha 04'!$B$4:$B$1000,B180)</f>
        <v>Detergente Aquafast Neutro Cx/12 X 1l</v>
      </c>
      <c r="F180" cm="1">
        <f t="array" ref="F180">INDEX('Linha 04'!$C$3:$ZZ$3,C180)</f>
        <v>20030021</v>
      </c>
      <c r="G180" t="str" cm="1">
        <f t="array" ref="G180">INDEX('Linha 04'!$C$2:$ZZ$2,C180)</f>
        <v>Detergente Ito Limao Cx/24 X 500ml</v>
      </c>
      <c r="H180" s="5" cm="1">
        <f t="array" ref="H180">INDEX('Linha 04'!$C$4:$ZZ$1000,B180,C180)</f>
        <v>0</v>
      </c>
    </row>
    <row r="181" spans="1:8" x14ac:dyDescent="0.25">
      <c r="A181">
        <v>179</v>
      </c>
      <c r="B181">
        <f t="shared" si="4"/>
        <v>7</v>
      </c>
      <c r="C181">
        <f t="shared" si="5"/>
        <v>11</v>
      </c>
      <c r="D181" cm="1">
        <f t="array" ref="D181">INDEX('Linha 04'!$A$4:$A$1000,B181)</f>
        <v>20030013</v>
      </c>
      <c r="E181" t="str" cm="1">
        <f t="array" ref="E181">INDEX('Linha 04'!$B$4:$B$1000,B181)</f>
        <v>Detergente Aquafast Neutro Cx/12 X 1l</v>
      </c>
      <c r="F181" cm="1">
        <f t="array" ref="F181">INDEX('Linha 04'!$C$3:$ZZ$3,C181)</f>
        <v>20030022</v>
      </c>
      <c r="G181" t="str" cm="1">
        <f t="array" ref="G181">INDEX('Linha 04'!$C$2:$ZZ$2,C181)</f>
        <v>Detergente Ito Neutro Cx/24 X 500ml</v>
      </c>
      <c r="H181" s="5" cm="1">
        <f t="array" ref="H181">INDEX('Linha 04'!$C$4:$ZZ$1000,B181,C181)</f>
        <v>0</v>
      </c>
    </row>
    <row r="182" spans="1:8" x14ac:dyDescent="0.25">
      <c r="A182">
        <v>180</v>
      </c>
      <c r="B182">
        <f t="shared" si="4"/>
        <v>7</v>
      </c>
      <c r="C182">
        <f t="shared" si="5"/>
        <v>12</v>
      </c>
      <c r="D182" cm="1">
        <f t="array" ref="D182">INDEX('Linha 04'!$A$4:$A$1000,B182)</f>
        <v>20030013</v>
      </c>
      <c r="E182" t="str" cm="1">
        <f t="array" ref="E182">INDEX('Linha 04'!$B$4:$B$1000,B182)</f>
        <v>Detergente Aquafast Neutro Cx/12 X 1l</v>
      </c>
      <c r="F182" cm="1">
        <f t="array" ref="F182">INDEX('Linha 04'!$C$3:$ZZ$3,C182)</f>
        <v>20030023</v>
      </c>
      <c r="G182" t="str" cm="1">
        <f t="array" ref="G182">INDEX('Linha 04'!$C$2:$ZZ$2,C182)</f>
        <v>Detergente Ito Clear Cx/24 X 500ml</v>
      </c>
      <c r="H182" s="5" cm="1">
        <f t="array" ref="H182">INDEX('Linha 04'!$C$4:$ZZ$1000,B182,C182)</f>
        <v>0</v>
      </c>
    </row>
    <row r="183" spans="1:8" x14ac:dyDescent="0.25">
      <c r="A183">
        <v>181</v>
      </c>
      <c r="B183">
        <f t="shared" si="4"/>
        <v>7</v>
      </c>
      <c r="C183">
        <f t="shared" si="5"/>
        <v>13</v>
      </c>
      <c r="D183" cm="1">
        <f t="array" ref="D183">INDEX('Linha 04'!$A$4:$A$1000,B183)</f>
        <v>20030013</v>
      </c>
      <c r="E183" t="str" cm="1">
        <f t="array" ref="E183">INDEX('Linha 04'!$B$4:$B$1000,B183)</f>
        <v>Detergente Aquafast Neutro Cx/12 X 1l</v>
      </c>
      <c r="F183" cm="1">
        <f t="array" ref="F183">INDEX('Linha 04'!$C$3:$ZZ$3,C183)</f>
        <v>20030038</v>
      </c>
      <c r="G183" t="str" cm="1">
        <f t="array" ref="G183">INDEX('Linha 04'!$C$2:$ZZ$2,C183)</f>
        <v>Detergente Myata Maca Cx/24 X 500ml</v>
      </c>
      <c r="H183" s="5" cm="1">
        <f t="array" ref="H183">INDEX('Linha 04'!$C$4:$ZZ$1000,B183,C183)</f>
        <v>0</v>
      </c>
    </row>
    <row r="184" spans="1:8" x14ac:dyDescent="0.25">
      <c r="A184">
        <v>182</v>
      </c>
      <c r="B184">
        <f t="shared" si="4"/>
        <v>7</v>
      </c>
      <c r="C184">
        <f t="shared" si="5"/>
        <v>14</v>
      </c>
      <c r="D184" cm="1">
        <f t="array" ref="D184">INDEX('Linha 04'!$A$4:$A$1000,B184)</f>
        <v>20030013</v>
      </c>
      <c r="E184" t="str" cm="1">
        <f t="array" ref="E184">INDEX('Linha 04'!$B$4:$B$1000,B184)</f>
        <v>Detergente Aquafast Neutro Cx/12 X 1l</v>
      </c>
      <c r="F184" cm="1">
        <f t="array" ref="F184">INDEX('Linha 04'!$C$3:$ZZ$3,C184)</f>
        <v>20030039</v>
      </c>
      <c r="G184" t="str" cm="1">
        <f t="array" ref="G184">INDEX('Linha 04'!$C$2:$ZZ$2,C184)</f>
        <v>Detergente Myata Limao Cx/24 X 500ml</v>
      </c>
      <c r="H184" s="5" cm="1">
        <f t="array" ref="H184">INDEX('Linha 04'!$C$4:$ZZ$1000,B184,C184)</f>
        <v>0</v>
      </c>
    </row>
    <row r="185" spans="1:8" x14ac:dyDescent="0.25">
      <c r="A185">
        <v>183</v>
      </c>
      <c r="B185">
        <f t="shared" si="4"/>
        <v>7</v>
      </c>
      <c r="C185">
        <f t="shared" si="5"/>
        <v>15</v>
      </c>
      <c r="D185" cm="1">
        <f t="array" ref="D185">INDEX('Linha 04'!$A$4:$A$1000,B185)</f>
        <v>20030013</v>
      </c>
      <c r="E185" t="str" cm="1">
        <f t="array" ref="E185">INDEX('Linha 04'!$B$4:$B$1000,B185)</f>
        <v>Detergente Aquafast Neutro Cx/12 X 1l</v>
      </c>
      <c r="F185" cm="1">
        <f t="array" ref="F185">INDEX('Linha 04'!$C$3:$ZZ$3,C185)</f>
        <v>20030040</v>
      </c>
      <c r="G185" t="str" cm="1">
        <f t="array" ref="G185">INDEX('Linha 04'!$C$2:$ZZ$2,C185)</f>
        <v>Detergente Myata Neutro Cx/24 X 500ml</v>
      </c>
      <c r="H185" s="5" cm="1">
        <f t="array" ref="H185">INDEX('Linha 04'!$C$4:$ZZ$1000,B185,C185)</f>
        <v>0</v>
      </c>
    </row>
    <row r="186" spans="1:8" x14ac:dyDescent="0.25">
      <c r="A186">
        <v>184</v>
      </c>
      <c r="B186">
        <f t="shared" si="4"/>
        <v>7</v>
      </c>
      <c r="C186">
        <f t="shared" si="5"/>
        <v>16</v>
      </c>
      <c r="D186" cm="1">
        <f t="array" ref="D186">INDEX('Linha 04'!$A$4:$A$1000,B186)</f>
        <v>20030013</v>
      </c>
      <c r="E186" t="str" cm="1">
        <f t="array" ref="E186">INDEX('Linha 04'!$B$4:$B$1000,B186)</f>
        <v>Detergente Aquafast Neutro Cx/12 X 1l</v>
      </c>
      <c r="F186" cm="1">
        <f t="array" ref="F186">INDEX('Linha 04'!$C$3:$ZZ$3,C186)</f>
        <v>20030067</v>
      </c>
      <c r="G186" t="str" cm="1">
        <f t="array" ref="G186">INDEX('Linha 04'!$C$2:$ZZ$2,C186)</f>
        <v>Detergente Aquafast Coco Cx/24 X 500ml</v>
      </c>
      <c r="H186" s="5" cm="1">
        <f t="array" ref="H186">INDEX('Linha 04'!$C$4:$ZZ$1000,B186,C186)</f>
        <v>0</v>
      </c>
    </row>
    <row r="187" spans="1:8" x14ac:dyDescent="0.25">
      <c r="A187">
        <v>185</v>
      </c>
      <c r="B187">
        <f t="shared" si="4"/>
        <v>7</v>
      </c>
      <c r="C187">
        <f t="shared" si="5"/>
        <v>17</v>
      </c>
      <c r="D187" cm="1">
        <f t="array" ref="D187">INDEX('Linha 04'!$A$4:$A$1000,B187)</f>
        <v>20030013</v>
      </c>
      <c r="E187" t="str" cm="1">
        <f t="array" ref="E187">INDEX('Linha 04'!$B$4:$B$1000,B187)</f>
        <v>Detergente Aquafast Neutro Cx/12 X 1l</v>
      </c>
      <c r="F187" cm="1">
        <f t="array" ref="F187">INDEX('Linha 04'!$C$3:$ZZ$3,C187)</f>
        <v>20050001</v>
      </c>
      <c r="G187" t="str" cm="1">
        <f t="array" ref="G187">INDEX('Linha 04'!$C$2:$ZZ$2,C187)</f>
        <v>Desinfetante Aquafast Campos Lavanda Cx/12 X 500ml</v>
      </c>
      <c r="H187" s="5" cm="1">
        <f t="array" ref="H187">INDEX('Linha 04'!$C$4:$ZZ$1000,B187,C187)</f>
        <v>0</v>
      </c>
    </row>
    <row r="188" spans="1:8" x14ac:dyDescent="0.25">
      <c r="A188">
        <v>186</v>
      </c>
      <c r="B188">
        <f t="shared" si="4"/>
        <v>7</v>
      </c>
      <c r="C188">
        <f t="shared" si="5"/>
        <v>18</v>
      </c>
      <c r="D188" cm="1">
        <f t="array" ref="D188">INDEX('Linha 04'!$A$4:$A$1000,B188)</f>
        <v>20030013</v>
      </c>
      <c r="E188" t="str" cm="1">
        <f t="array" ref="E188">INDEX('Linha 04'!$B$4:$B$1000,B188)</f>
        <v>Detergente Aquafast Neutro Cx/12 X 1l</v>
      </c>
      <c r="F188" cm="1">
        <f t="array" ref="F188">INDEX('Linha 04'!$C$3:$ZZ$3,C188)</f>
        <v>20050026</v>
      </c>
      <c r="G188" t="str" cm="1">
        <f t="array" ref="G188">INDEX('Linha 04'!$C$2:$ZZ$2,C188)</f>
        <v>Desinfetante Ito Lavanda Cx/12 X 500ml</v>
      </c>
      <c r="H188" s="5" cm="1">
        <f t="array" ref="H188">INDEX('Linha 04'!$C$4:$ZZ$1000,B188,C188)</f>
        <v>0</v>
      </c>
    </row>
    <row r="189" spans="1:8" x14ac:dyDescent="0.25">
      <c r="A189">
        <v>187</v>
      </c>
      <c r="B189">
        <f t="shared" si="4"/>
        <v>7</v>
      </c>
      <c r="C189">
        <f t="shared" si="5"/>
        <v>19</v>
      </c>
      <c r="D189" cm="1">
        <f t="array" ref="D189">INDEX('Linha 04'!$A$4:$A$1000,B189)</f>
        <v>20030013</v>
      </c>
      <c r="E189" t="str" cm="1">
        <f t="array" ref="E189">INDEX('Linha 04'!$B$4:$B$1000,B189)</f>
        <v>Detergente Aquafast Neutro Cx/12 X 1l</v>
      </c>
      <c r="F189" cm="1">
        <f t="array" ref="F189">INDEX('Linha 04'!$C$3:$ZZ$3,C189)</f>
        <v>20050119</v>
      </c>
      <c r="G189" t="str" cm="1">
        <f t="array" ref="G189">INDEX('Linha 04'!$C$2:$ZZ$2,C189)</f>
        <v>Desinfetante Aquafast Paixao Cx/12 X 500ml</v>
      </c>
      <c r="H189" s="5" cm="1">
        <f t="array" ref="H189">INDEX('Linha 04'!$C$4:$ZZ$1000,B189,C189)</f>
        <v>0</v>
      </c>
    </row>
    <row r="190" spans="1:8" x14ac:dyDescent="0.25">
      <c r="A190">
        <v>188</v>
      </c>
      <c r="B190">
        <f t="shared" si="4"/>
        <v>7</v>
      </c>
      <c r="C190">
        <f t="shared" si="5"/>
        <v>20</v>
      </c>
      <c r="D190" cm="1">
        <f t="array" ref="D190">INDEX('Linha 04'!$A$4:$A$1000,B190)</f>
        <v>20030013</v>
      </c>
      <c r="E190" t="str" cm="1">
        <f t="array" ref="E190">INDEX('Linha 04'!$B$4:$B$1000,B190)</f>
        <v>Detergente Aquafast Neutro Cx/12 X 1l</v>
      </c>
      <c r="F190" cm="1">
        <f t="array" ref="F190">INDEX('Linha 04'!$C$3:$ZZ$3,C190)</f>
        <v>20050145</v>
      </c>
      <c r="G190" t="str" cm="1">
        <f t="array" ref="G190">INDEX('Linha 04'!$C$2:$ZZ$2,C190)</f>
        <v>Desinfetante Aquafast Harmonia Natural Cx/12 X 500ml</v>
      </c>
      <c r="H190" s="5" cm="1">
        <f t="array" ref="H190">INDEX('Linha 04'!$C$4:$ZZ$1000,B190,C190)</f>
        <v>0</v>
      </c>
    </row>
    <row r="191" spans="1:8" x14ac:dyDescent="0.25">
      <c r="A191">
        <v>189</v>
      </c>
      <c r="B191">
        <f t="shared" si="4"/>
        <v>7</v>
      </c>
      <c r="C191">
        <f t="shared" si="5"/>
        <v>21</v>
      </c>
      <c r="D191" cm="1">
        <f t="array" ref="D191">INDEX('Linha 04'!$A$4:$A$1000,B191)</f>
        <v>20030013</v>
      </c>
      <c r="E191" t="str" cm="1">
        <f t="array" ref="E191">INDEX('Linha 04'!$B$4:$B$1000,B191)</f>
        <v>Detergente Aquafast Neutro Cx/12 X 1l</v>
      </c>
      <c r="F191" cm="1">
        <f t="array" ref="F191">INDEX('Linha 04'!$C$3:$ZZ$3,C191)</f>
        <v>20050149</v>
      </c>
      <c r="G191" t="str" cm="1">
        <f t="array" ref="G191">INDEX('Linha 04'!$C$2:$ZZ$2,C191)</f>
        <v>Desinfetante Aquafast Campos Lavanda Cx/12 X 1l</v>
      </c>
      <c r="H191" s="5" cm="1">
        <f t="array" ref="H191">INDEX('Linha 04'!$C$4:$ZZ$1000,B191,C191)</f>
        <v>0</v>
      </c>
    </row>
    <row r="192" spans="1:8" x14ac:dyDescent="0.25">
      <c r="A192">
        <v>190</v>
      </c>
      <c r="B192">
        <f t="shared" si="4"/>
        <v>7</v>
      </c>
      <c r="C192">
        <f t="shared" si="5"/>
        <v>22</v>
      </c>
      <c r="D192" cm="1">
        <f t="array" ref="D192">INDEX('Linha 04'!$A$4:$A$1000,B192)</f>
        <v>20030013</v>
      </c>
      <c r="E192" t="str" cm="1">
        <f t="array" ref="E192">INDEX('Linha 04'!$B$4:$B$1000,B192)</f>
        <v>Detergente Aquafast Neutro Cx/12 X 1l</v>
      </c>
      <c r="F192" cm="1">
        <f t="array" ref="F192">INDEX('Linha 04'!$C$3:$ZZ$3,C192)</f>
        <v>20050150</v>
      </c>
      <c r="G192" t="str" cm="1">
        <f t="array" ref="G192">INDEX('Linha 04'!$C$2:$ZZ$2,C192)</f>
        <v>Desinfetante Aquafast Marine Cx/12 X 1l</v>
      </c>
      <c r="H192" s="5" cm="1">
        <f t="array" ref="H192">INDEX('Linha 04'!$C$4:$ZZ$1000,B192,C192)</f>
        <v>0</v>
      </c>
    </row>
    <row r="193" spans="1:8" x14ac:dyDescent="0.25">
      <c r="A193">
        <v>191</v>
      </c>
      <c r="B193">
        <f t="shared" si="4"/>
        <v>7</v>
      </c>
      <c r="C193">
        <f t="shared" si="5"/>
        <v>23</v>
      </c>
      <c r="D193" cm="1">
        <f t="array" ref="D193">INDEX('Linha 04'!$A$4:$A$1000,B193)</f>
        <v>20030013</v>
      </c>
      <c r="E193" t="str" cm="1">
        <f t="array" ref="E193">INDEX('Linha 04'!$B$4:$B$1000,B193)</f>
        <v>Detergente Aquafast Neutro Cx/12 X 1l</v>
      </c>
      <c r="F193" cm="1">
        <f t="array" ref="F193">INDEX('Linha 04'!$C$3:$ZZ$3,C193)</f>
        <v>20050151</v>
      </c>
      <c r="G193" t="str" cm="1">
        <f t="array" ref="G193">INDEX('Linha 04'!$C$2:$ZZ$2,C193)</f>
        <v>Desinfetante Aquafast Paixao Cx/12 X 1l</v>
      </c>
      <c r="H193" s="5" cm="1">
        <f t="array" ref="H193">INDEX('Linha 04'!$C$4:$ZZ$1000,B193,C193)</f>
        <v>0</v>
      </c>
    </row>
    <row r="194" spans="1:8" x14ac:dyDescent="0.25">
      <c r="A194">
        <v>192</v>
      </c>
      <c r="B194">
        <f t="shared" si="4"/>
        <v>7</v>
      </c>
      <c r="C194">
        <f t="shared" si="5"/>
        <v>24</v>
      </c>
      <c r="D194" cm="1">
        <f t="array" ref="D194">INDEX('Linha 04'!$A$4:$A$1000,B194)</f>
        <v>20030013</v>
      </c>
      <c r="E194" t="str" cm="1">
        <f t="array" ref="E194">INDEX('Linha 04'!$B$4:$B$1000,B194)</f>
        <v>Detergente Aquafast Neutro Cx/12 X 1l</v>
      </c>
      <c r="F194" cm="1">
        <f t="array" ref="F194">INDEX('Linha 04'!$C$3:$ZZ$3,C194)</f>
        <v>20050152</v>
      </c>
      <c r="G194" t="str" cm="1">
        <f t="array" ref="G194">INDEX('Linha 04'!$C$2:$ZZ$2,C194)</f>
        <v>Desinfetante Aquafast Harmonia Natural Cx/12 X 1l</v>
      </c>
      <c r="H194" s="5" cm="1">
        <f t="array" ref="H194">INDEX('Linha 04'!$C$4:$ZZ$1000,B194,C194)</f>
        <v>0</v>
      </c>
    </row>
    <row r="195" spans="1:8" x14ac:dyDescent="0.25">
      <c r="A195">
        <v>193</v>
      </c>
      <c r="B195">
        <f t="shared" si="4"/>
        <v>7</v>
      </c>
      <c r="C195">
        <f t="shared" si="5"/>
        <v>25</v>
      </c>
      <c r="D195" cm="1">
        <f t="array" ref="D195">INDEX('Linha 04'!$A$4:$A$1000,B195)</f>
        <v>20030013</v>
      </c>
      <c r="E195" t="str" cm="1">
        <f t="array" ref="E195">INDEX('Linha 04'!$B$4:$B$1000,B195)</f>
        <v>Detergente Aquafast Neutro Cx/12 X 1l</v>
      </c>
      <c r="F195" cm="1">
        <f t="array" ref="F195">INDEX('Linha 04'!$C$3:$ZZ$3,C195)</f>
        <v>20050153</v>
      </c>
      <c r="G195" t="str" cm="1">
        <f t="array" ref="G195">INDEX('Linha 04'!$C$2:$ZZ$2,C195)</f>
        <v>Desinfetante Ito Harmonia Natural Cx/12 X 500ml</v>
      </c>
      <c r="H195" s="5" cm="1">
        <f t="array" ref="H195">INDEX('Linha 04'!$C$4:$ZZ$1000,B195,C195)</f>
        <v>0</v>
      </c>
    </row>
    <row r="196" spans="1:8" x14ac:dyDescent="0.25">
      <c r="A196">
        <v>194</v>
      </c>
      <c r="B196">
        <f t="shared" ref="B196:B259" si="6">INT((A196-1)/$B$1)+1</f>
        <v>7</v>
      </c>
      <c r="C196">
        <f t="shared" ref="C196:C259" si="7">MOD(A196-1,$B$1)+1</f>
        <v>26</v>
      </c>
      <c r="D196" cm="1">
        <f t="array" ref="D196">INDEX('Linha 04'!$A$4:$A$1000,B196)</f>
        <v>20030013</v>
      </c>
      <c r="E196" t="str" cm="1">
        <f t="array" ref="E196">INDEX('Linha 04'!$B$4:$B$1000,B196)</f>
        <v>Detergente Aquafast Neutro Cx/12 X 1l</v>
      </c>
      <c r="F196" cm="1">
        <f t="array" ref="F196">INDEX('Linha 04'!$C$3:$ZZ$3,C196)</f>
        <v>20050155</v>
      </c>
      <c r="G196" t="str" cm="1">
        <f t="array" ref="G196">INDEX('Linha 04'!$C$2:$ZZ$2,C196)</f>
        <v>Intermed Pack Desinfetante Paixao Cx/12 X 1l</v>
      </c>
      <c r="H196" s="5" cm="1">
        <f t="array" ref="H196">INDEX('Linha 04'!$C$4:$ZZ$1000,B196,C196)</f>
        <v>0</v>
      </c>
    </row>
    <row r="197" spans="1:8" x14ac:dyDescent="0.25">
      <c r="A197">
        <v>195</v>
      </c>
      <c r="B197">
        <f t="shared" si="6"/>
        <v>7</v>
      </c>
      <c r="C197">
        <f t="shared" si="7"/>
        <v>27</v>
      </c>
      <c r="D197" cm="1">
        <f t="array" ref="D197">INDEX('Linha 04'!$A$4:$A$1000,B197)</f>
        <v>20030013</v>
      </c>
      <c r="E197" t="str" cm="1">
        <f t="array" ref="E197">INDEX('Linha 04'!$B$4:$B$1000,B197)</f>
        <v>Detergente Aquafast Neutro Cx/12 X 1l</v>
      </c>
      <c r="F197" cm="1">
        <f t="array" ref="F197">INDEX('Linha 04'!$C$3:$ZZ$3,C197)</f>
        <v>20050156</v>
      </c>
      <c r="G197" t="str" cm="1">
        <f t="array" ref="G197">INDEX('Linha 04'!$C$2:$ZZ$2,C197)</f>
        <v>Intermed Pack Desinfetante Campos Lavanda Cx/12 X 1l</v>
      </c>
      <c r="H197" s="5" cm="1">
        <f t="array" ref="H197">INDEX('Linha 04'!$C$4:$ZZ$1000,B197,C197)</f>
        <v>0</v>
      </c>
    </row>
    <row r="198" spans="1:8" x14ac:dyDescent="0.25">
      <c r="A198">
        <v>196</v>
      </c>
      <c r="B198">
        <f t="shared" si="6"/>
        <v>7</v>
      </c>
      <c r="C198">
        <f t="shared" si="7"/>
        <v>28</v>
      </c>
      <c r="D198" cm="1">
        <f t="array" ref="D198">INDEX('Linha 04'!$A$4:$A$1000,B198)</f>
        <v>20030013</v>
      </c>
      <c r="E198" t="str" cm="1">
        <f t="array" ref="E198">INDEX('Linha 04'!$B$4:$B$1000,B198)</f>
        <v>Detergente Aquafast Neutro Cx/12 X 1l</v>
      </c>
      <c r="F198" cm="1">
        <f t="array" ref="F198">INDEX('Linha 04'!$C$3:$ZZ$3,C198)</f>
        <v>20050157</v>
      </c>
      <c r="G198" t="str" cm="1">
        <f t="array" ref="G198">INDEX('Linha 04'!$C$2:$ZZ$2,C198)</f>
        <v>Intermed Pack Desinfetante Marine Cx/12 X 1l</v>
      </c>
      <c r="H198" s="5" cm="1">
        <f t="array" ref="H198">INDEX('Linha 04'!$C$4:$ZZ$1000,B198,C198)</f>
        <v>0</v>
      </c>
    </row>
    <row r="199" spans="1:8" x14ac:dyDescent="0.25">
      <c r="A199">
        <v>197</v>
      </c>
      <c r="B199">
        <f t="shared" si="6"/>
        <v>8</v>
      </c>
      <c r="C199">
        <f t="shared" si="7"/>
        <v>1</v>
      </c>
      <c r="D199" cm="1">
        <f t="array" ref="D199">INDEX('Linha 04'!$A$4:$A$1000,B199)</f>
        <v>20030014</v>
      </c>
      <c r="E199" t="str" cm="1">
        <f t="array" ref="E199">INDEX('Linha 04'!$B$4:$B$1000,B199)</f>
        <v>Detergente Aquafast Clear Cx/12 X 1l (Natural)</v>
      </c>
      <c r="F199" cm="1">
        <f t="array" ref="F199">INDEX('Linha 04'!$C$3:$ZZ$3,C199)</f>
        <v>20030001</v>
      </c>
      <c r="G199" t="str" cm="1">
        <f t="array" ref="G199">INDEX('Linha 04'!$C$2:$ZZ$2,C199)</f>
        <v>Detergente Aquafast Maca Cx/24 X 500ml</v>
      </c>
      <c r="H199" s="5" cm="1">
        <f t="array" ref="H199">INDEX('Linha 04'!$C$4:$ZZ$1000,B199,C199)</f>
        <v>0</v>
      </c>
    </row>
    <row r="200" spans="1:8" x14ac:dyDescent="0.25">
      <c r="A200">
        <v>198</v>
      </c>
      <c r="B200">
        <f t="shared" si="6"/>
        <v>8</v>
      </c>
      <c r="C200">
        <f t="shared" si="7"/>
        <v>2</v>
      </c>
      <c r="D200" cm="1">
        <f t="array" ref="D200">INDEX('Linha 04'!$A$4:$A$1000,B200)</f>
        <v>20030014</v>
      </c>
      <c r="E200" t="str" cm="1">
        <f t="array" ref="E200">INDEX('Linha 04'!$B$4:$B$1000,B200)</f>
        <v>Detergente Aquafast Clear Cx/12 X 1l (Natural)</v>
      </c>
      <c r="F200" cm="1">
        <f t="array" ref="F200">INDEX('Linha 04'!$C$3:$ZZ$3,C200)</f>
        <v>20030002</v>
      </c>
      <c r="G200" t="str" cm="1">
        <f t="array" ref="G200">INDEX('Linha 04'!$C$2:$ZZ$2,C200)</f>
        <v>Detergente Aquafast Limao Cx/24 X 500ml</v>
      </c>
      <c r="H200" s="5" cm="1">
        <f t="array" ref="H200">INDEX('Linha 04'!$C$4:$ZZ$1000,B200,C200)</f>
        <v>0</v>
      </c>
    </row>
    <row r="201" spans="1:8" x14ac:dyDescent="0.25">
      <c r="A201">
        <v>199</v>
      </c>
      <c r="B201">
        <f t="shared" si="6"/>
        <v>8</v>
      </c>
      <c r="C201">
        <f t="shared" si="7"/>
        <v>3</v>
      </c>
      <c r="D201" cm="1">
        <f t="array" ref="D201">INDEX('Linha 04'!$A$4:$A$1000,B201)</f>
        <v>20030014</v>
      </c>
      <c r="E201" t="str" cm="1">
        <f t="array" ref="E201">INDEX('Linha 04'!$B$4:$B$1000,B201)</f>
        <v>Detergente Aquafast Clear Cx/12 X 1l (Natural)</v>
      </c>
      <c r="F201" cm="1">
        <f t="array" ref="F201">INDEX('Linha 04'!$C$3:$ZZ$3,C201)</f>
        <v>20030003</v>
      </c>
      <c r="G201" t="str" cm="1">
        <f t="array" ref="G201">INDEX('Linha 04'!$C$2:$ZZ$2,C201)</f>
        <v>Detergente Aquafast Neutro Cx/24 X 500ml</v>
      </c>
      <c r="H201" s="5" cm="1">
        <f t="array" ref="H201">INDEX('Linha 04'!$C$4:$ZZ$1000,B201,C201)</f>
        <v>0</v>
      </c>
    </row>
    <row r="202" spans="1:8" x14ac:dyDescent="0.25">
      <c r="A202">
        <v>200</v>
      </c>
      <c r="B202">
        <f t="shared" si="6"/>
        <v>8</v>
      </c>
      <c r="C202">
        <f t="shared" si="7"/>
        <v>4</v>
      </c>
      <c r="D202" cm="1">
        <f t="array" ref="D202">INDEX('Linha 04'!$A$4:$A$1000,B202)</f>
        <v>20030014</v>
      </c>
      <c r="E202" t="str" cm="1">
        <f t="array" ref="E202">INDEX('Linha 04'!$B$4:$B$1000,B202)</f>
        <v>Detergente Aquafast Clear Cx/12 X 1l (Natural)</v>
      </c>
      <c r="F202" cm="1">
        <f t="array" ref="F202">INDEX('Linha 04'!$C$3:$ZZ$3,C202)</f>
        <v>20030004</v>
      </c>
      <c r="G202" t="str" cm="1">
        <f t="array" ref="G202">INDEX('Linha 04'!$C$2:$ZZ$2,C202)</f>
        <v>Detergente Aquafast Clear Cx/24 X 500ml (Natural)</v>
      </c>
      <c r="H202" s="5" cm="1">
        <f t="array" ref="H202">INDEX('Linha 04'!$C$4:$ZZ$1000,B202,C202)</f>
        <v>0</v>
      </c>
    </row>
    <row r="203" spans="1:8" x14ac:dyDescent="0.25">
      <c r="A203">
        <v>201</v>
      </c>
      <c r="B203">
        <f t="shared" si="6"/>
        <v>8</v>
      </c>
      <c r="C203">
        <f t="shared" si="7"/>
        <v>5</v>
      </c>
      <c r="D203" cm="1">
        <f t="array" ref="D203">INDEX('Linha 04'!$A$4:$A$1000,B203)</f>
        <v>20030014</v>
      </c>
      <c r="E203" t="str" cm="1">
        <f t="array" ref="E203">INDEX('Linha 04'!$B$4:$B$1000,B203)</f>
        <v>Detergente Aquafast Clear Cx/12 X 1l (Natural)</v>
      </c>
      <c r="F203" cm="1">
        <f t="array" ref="F203">INDEX('Linha 04'!$C$3:$ZZ$3,C203)</f>
        <v>20030011</v>
      </c>
      <c r="G203" t="str" cm="1">
        <f t="array" ref="G203">INDEX('Linha 04'!$C$2:$ZZ$2,C203)</f>
        <v>Detergente Aquafast Maca Cx/12 X 1l</v>
      </c>
      <c r="H203" s="5" cm="1">
        <f t="array" ref="H203">INDEX('Linha 04'!$C$4:$ZZ$1000,B203,C203)</f>
        <v>0</v>
      </c>
    </row>
    <row r="204" spans="1:8" x14ac:dyDescent="0.25">
      <c r="A204">
        <v>202</v>
      </c>
      <c r="B204">
        <f t="shared" si="6"/>
        <v>8</v>
      </c>
      <c r="C204">
        <f t="shared" si="7"/>
        <v>6</v>
      </c>
      <c r="D204" cm="1">
        <f t="array" ref="D204">INDEX('Linha 04'!$A$4:$A$1000,B204)</f>
        <v>20030014</v>
      </c>
      <c r="E204" t="str" cm="1">
        <f t="array" ref="E204">INDEX('Linha 04'!$B$4:$B$1000,B204)</f>
        <v>Detergente Aquafast Clear Cx/12 X 1l (Natural)</v>
      </c>
      <c r="F204" cm="1">
        <f t="array" ref="F204">INDEX('Linha 04'!$C$3:$ZZ$3,C204)</f>
        <v>20030012</v>
      </c>
      <c r="G204" t="str" cm="1">
        <f t="array" ref="G204">INDEX('Linha 04'!$C$2:$ZZ$2,C204)</f>
        <v>Detergente Aquafast Limao Cx/12 X 1l</v>
      </c>
      <c r="H204" s="5" cm="1">
        <f t="array" ref="H204">INDEX('Linha 04'!$C$4:$ZZ$1000,B204,C204)</f>
        <v>0</v>
      </c>
    </row>
    <row r="205" spans="1:8" x14ac:dyDescent="0.25">
      <c r="A205">
        <v>203</v>
      </c>
      <c r="B205">
        <f t="shared" si="6"/>
        <v>8</v>
      </c>
      <c r="C205">
        <f t="shared" si="7"/>
        <v>7</v>
      </c>
      <c r="D205" cm="1">
        <f t="array" ref="D205">INDEX('Linha 04'!$A$4:$A$1000,B205)</f>
        <v>20030014</v>
      </c>
      <c r="E205" t="str" cm="1">
        <f t="array" ref="E205">INDEX('Linha 04'!$B$4:$B$1000,B205)</f>
        <v>Detergente Aquafast Clear Cx/12 X 1l (Natural)</v>
      </c>
      <c r="F205" cm="1">
        <f t="array" ref="F205">INDEX('Linha 04'!$C$3:$ZZ$3,C205)</f>
        <v>20030013</v>
      </c>
      <c r="G205" t="str" cm="1">
        <f t="array" ref="G205">INDEX('Linha 04'!$C$2:$ZZ$2,C205)</f>
        <v>Detergente Aquafast Neutro Cx/12 X 1l</v>
      </c>
      <c r="H205" s="5" cm="1">
        <f t="array" ref="H205">INDEX('Linha 04'!$C$4:$ZZ$1000,B205,C205)</f>
        <v>0</v>
      </c>
    </row>
    <row r="206" spans="1:8" x14ac:dyDescent="0.25">
      <c r="A206">
        <v>204</v>
      </c>
      <c r="B206">
        <f t="shared" si="6"/>
        <v>8</v>
      </c>
      <c r="C206">
        <f t="shared" si="7"/>
        <v>8</v>
      </c>
      <c r="D206" cm="1">
        <f t="array" ref="D206">INDEX('Linha 04'!$A$4:$A$1000,B206)</f>
        <v>20030014</v>
      </c>
      <c r="E206" t="str" cm="1">
        <f t="array" ref="E206">INDEX('Linha 04'!$B$4:$B$1000,B206)</f>
        <v>Detergente Aquafast Clear Cx/12 X 1l (Natural)</v>
      </c>
      <c r="F206" cm="1">
        <f t="array" ref="F206">INDEX('Linha 04'!$C$3:$ZZ$3,C206)</f>
        <v>20030014</v>
      </c>
      <c r="G206" t="str" cm="1">
        <f t="array" ref="G206">INDEX('Linha 04'!$C$2:$ZZ$2,C206)</f>
        <v>Detergente Aquafast Clear Cx/12 X 1l (Natural)</v>
      </c>
      <c r="H206" s="5" cm="1">
        <f t="array" ref="H206">INDEX('Linha 04'!$C$4:$ZZ$1000,B206,C206)</f>
        <v>0</v>
      </c>
    </row>
    <row r="207" spans="1:8" x14ac:dyDescent="0.25">
      <c r="A207">
        <v>205</v>
      </c>
      <c r="B207">
        <f t="shared" si="6"/>
        <v>8</v>
      </c>
      <c r="C207">
        <f t="shared" si="7"/>
        <v>9</v>
      </c>
      <c r="D207" cm="1">
        <f t="array" ref="D207">INDEX('Linha 04'!$A$4:$A$1000,B207)</f>
        <v>20030014</v>
      </c>
      <c r="E207" t="str" cm="1">
        <f t="array" ref="E207">INDEX('Linha 04'!$B$4:$B$1000,B207)</f>
        <v>Detergente Aquafast Clear Cx/12 X 1l (Natural)</v>
      </c>
      <c r="F207" cm="1">
        <f t="array" ref="F207">INDEX('Linha 04'!$C$3:$ZZ$3,C207)</f>
        <v>20030020</v>
      </c>
      <c r="G207" t="str" cm="1">
        <f t="array" ref="G207">INDEX('Linha 04'!$C$2:$ZZ$2,C207)</f>
        <v>Detergente Ito Maca Cx/24 X 500ml</v>
      </c>
      <c r="H207" s="5" cm="1">
        <f t="array" ref="H207">INDEX('Linha 04'!$C$4:$ZZ$1000,B207,C207)</f>
        <v>0</v>
      </c>
    </row>
    <row r="208" spans="1:8" x14ac:dyDescent="0.25">
      <c r="A208">
        <v>206</v>
      </c>
      <c r="B208">
        <f t="shared" si="6"/>
        <v>8</v>
      </c>
      <c r="C208">
        <f t="shared" si="7"/>
        <v>10</v>
      </c>
      <c r="D208" cm="1">
        <f t="array" ref="D208">INDEX('Linha 04'!$A$4:$A$1000,B208)</f>
        <v>20030014</v>
      </c>
      <c r="E208" t="str" cm="1">
        <f t="array" ref="E208">INDEX('Linha 04'!$B$4:$B$1000,B208)</f>
        <v>Detergente Aquafast Clear Cx/12 X 1l (Natural)</v>
      </c>
      <c r="F208" cm="1">
        <f t="array" ref="F208">INDEX('Linha 04'!$C$3:$ZZ$3,C208)</f>
        <v>20030021</v>
      </c>
      <c r="G208" t="str" cm="1">
        <f t="array" ref="G208">INDEX('Linha 04'!$C$2:$ZZ$2,C208)</f>
        <v>Detergente Ito Limao Cx/24 X 500ml</v>
      </c>
      <c r="H208" s="5" cm="1">
        <f t="array" ref="H208">INDEX('Linha 04'!$C$4:$ZZ$1000,B208,C208)</f>
        <v>0</v>
      </c>
    </row>
    <row r="209" spans="1:8" x14ac:dyDescent="0.25">
      <c r="A209">
        <v>207</v>
      </c>
      <c r="B209">
        <f t="shared" si="6"/>
        <v>8</v>
      </c>
      <c r="C209">
        <f t="shared" si="7"/>
        <v>11</v>
      </c>
      <c r="D209" cm="1">
        <f t="array" ref="D209">INDEX('Linha 04'!$A$4:$A$1000,B209)</f>
        <v>20030014</v>
      </c>
      <c r="E209" t="str" cm="1">
        <f t="array" ref="E209">INDEX('Linha 04'!$B$4:$B$1000,B209)</f>
        <v>Detergente Aquafast Clear Cx/12 X 1l (Natural)</v>
      </c>
      <c r="F209" cm="1">
        <f t="array" ref="F209">INDEX('Linha 04'!$C$3:$ZZ$3,C209)</f>
        <v>20030022</v>
      </c>
      <c r="G209" t="str" cm="1">
        <f t="array" ref="G209">INDEX('Linha 04'!$C$2:$ZZ$2,C209)</f>
        <v>Detergente Ito Neutro Cx/24 X 500ml</v>
      </c>
      <c r="H209" s="5" cm="1">
        <f t="array" ref="H209">INDEX('Linha 04'!$C$4:$ZZ$1000,B209,C209)</f>
        <v>0</v>
      </c>
    </row>
    <row r="210" spans="1:8" x14ac:dyDescent="0.25">
      <c r="A210">
        <v>208</v>
      </c>
      <c r="B210">
        <f t="shared" si="6"/>
        <v>8</v>
      </c>
      <c r="C210">
        <f t="shared" si="7"/>
        <v>12</v>
      </c>
      <c r="D210" cm="1">
        <f t="array" ref="D210">INDEX('Linha 04'!$A$4:$A$1000,B210)</f>
        <v>20030014</v>
      </c>
      <c r="E210" t="str" cm="1">
        <f t="array" ref="E210">INDEX('Linha 04'!$B$4:$B$1000,B210)</f>
        <v>Detergente Aquafast Clear Cx/12 X 1l (Natural)</v>
      </c>
      <c r="F210" cm="1">
        <f t="array" ref="F210">INDEX('Linha 04'!$C$3:$ZZ$3,C210)</f>
        <v>20030023</v>
      </c>
      <c r="G210" t="str" cm="1">
        <f t="array" ref="G210">INDEX('Linha 04'!$C$2:$ZZ$2,C210)</f>
        <v>Detergente Ito Clear Cx/24 X 500ml</v>
      </c>
      <c r="H210" s="5" cm="1">
        <f t="array" ref="H210">INDEX('Linha 04'!$C$4:$ZZ$1000,B210,C210)</f>
        <v>0</v>
      </c>
    </row>
    <row r="211" spans="1:8" x14ac:dyDescent="0.25">
      <c r="A211">
        <v>209</v>
      </c>
      <c r="B211">
        <f t="shared" si="6"/>
        <v>8</v>
      </c>
      <c r="C211">
        <f t="shared" si="7"/>
        <v>13</v>
      </c>
      <c r="D211" cm="1">
        <f t="array" ref="D211">INDEX('Linha 04'!$A$4:$A$1000,B211)</f>
        <v>20030014</v>
      </c>
      <c r="E211" t="str" cm="1">
        <f t="array" ref="E211">INDEX('Linha 04'!$B$4:$B$1000,B211)</f>
        <v>Detergente Aquafast Clear Cx/12 X 1l (Natural)</v>
      </c>
      <c r="F211" cm="1">
        <f t="array" ref="F211">INDEX('Linha 04'!$C$3:$ZZ$3,C211)</f>
        <v>20030038</v>
      </c>
      <c r="G211" t="str" cm="1">
        <f t="array" ref="G211">INDEX('Linha 04'!$C$2:$ZZ$2,C211)</f>
        <v>Detergente Myata Maca Cx/24 X 500ml</v>
      </c>
      <c r="H211" s="5" cm="1">
        <f t="array" ref="H211">INDEX('Linha 04'!$C$4:$ZZ$1000,B211,C211)</f>
        <v>0</v>
      </c>
    </row>
    <row r="212" spans="1:8" x14ac:dyDescent="0.25">
      <c r="A212">
        <v>210</v>
      </c>
      <c r="B212">
        <f t="shared" si="6"/>
        <v>8</v>
      </c>
      <c r="C212">
        <f t="shared" si="7"/>
        <v>14</v>
      </c>
      <c r="D212" cm="1">
        <f t="array" ref="D212">INDEX('Linha 04'!$A$4:$A$1000,B212)</f>
        <v>20030014</v>
      </c>
      <c r="E212" t="str" cm="1">
        <f t="array" ref="E212">INDEX('Linha 04'!$B$4:$B$1000,B212)</f>
        <v>Detergente Aquafast Clear Cx/12 X 1l (Natural)</v>
      </c>
      <c r="F212" cm="1">
        <f t="array" ref="F212">INDEX('Linha 04'!$C$3:$ZZ$3,C212)</f>
        <v>20030039</v>
      </c>
      <c r="G212" t="str" cm="1">
        <f t="array" ref="G212">INDEX('Linha 04'!$C$2:$ZZ$2,C212)</f>
        <v>Detergente Myata Limao Cx/24 X 500ml</v>
      </c>
      <c r="H212" s="5" cm="1">
        <f t="array" ref="H212">INDEX('Linha 04'!$C$4:$ZZ$1000,B212,C212)</f>
        <v>0</v>
      </c>
    </row>
    <row r="213" spans="1:8" x14ac:dyDescent="0.25">
      <c r="A213">
        <v>211</v>
      </c>
      <c r="B213">
        <f t="shared" si="6"/>
        <v>8</v>
      </c>
      <c r="C213">
        <f t="shared" si="7"/>
        <v>15</v>
      </c>
      <c r="D213" cm="1">
        <f t="array" ref="D213">INDEX('Linha 04'!$A$4:$A$1000,B213)</f>
        <v>20030014</v>
      </c>
      <c r="E213" t="str" cm="1">
        <f t="array" ref="E213">INDEX('Linha 04'!$B$4:$B$1000,B213)</f>
        <v>Detergente Aquafast Clear Cx/12 X 1l (Natural)</v>
      </c>
      <c r="F213" cm="1">
        <f t="array" ref="F213">INDEX('Linha 04'!$C$3:$ZZ$3,C213)</f>
        <v>20030040</v>
      </c>
      <c r="G213" t="str" cm="1">
        <f t="array" ref="G213">INDEX('Linha 04'!$C$2:$ZZ$2,C213)</f>
        <v>Detergente Myata Neutro Cx/24 X 500ml</v>
      </c>
      <c r="H213" s="5" cm="1">
        <f t="array" ref="H213">INDEX('Linha 04'!$C$4:$ZZ$1000,B213,C213)</f>
        <v>0</v>
      </c>
    </row>
    <row r="214" spans="1:8" x14ac:dyDescent="0.25">
      <c r="A214">
        <v>212</v>
      </c>
      <c r="B214">
        <f t="shared" si="6"/>
        <v>8</v>
      </c>
      <c r="C214">
        <f t="shared" si="7"/>
        <v>16</v>
      </c>
      <c r="D214" cm="1">
        <f t="array" ref="D214">INDEX('Linha 04'!$A$4:$A$1000,B214)</f>
        <v>20030014</v>
      </c>
      <c r="E214" t="str" cm="1">
        <f t="array" ref="E214">INDEX('Linha 04'!$B$4:$B$1000,B214)</f>
        <v>Detergente Aquafast Clear Cx/12 X 1l (Natural)</v>
      </c>
      <c r="F214" cm="1">
        <f t="array" ref="F214">INDEX('Linha 04'!$C$3:$ZZ$3,C214)</f>
        <v>20030067</v>
      </c>
      <c r="G214" t="str" cm="1">
        <f t="array" ref="G214">INDEX('Linha 04'!$C$2:$ZZ$2,C214)</f>
        <v>Detergente Aquafast Coco Cx/24 X 500ml</v>
      </c>
      <c r="H214" s="5" cm="1">
        <f t="array" ref="H214">INDEX('Linha 04'!$C$4:$ZZ$1000,B214,C214)</f>
        <v>0</v>
      </c>
    </row>
    <row r="215" spans="1:8" x14ac:dyDescent="0.25">
      <c r="A215">
        <v>213</v>
      </c>
      <c r="B215">
        <f t="shared" si="6"/>
        <v>8</v>
      </c>
      <c r="C215">
        <f t="shared" si="7"/>
        <v>17</v>
      </c>
      <c r="D215" cm="1">
        <f t="array" ref="D215">INDEX('Linha 04'!$A$4:$A$1000,B215)</f>
        <v>20030014</v>
      </c>
      <c r="E215" t="str" cm="1">
        <f t="array" ref="E215">INDEX('Linha 04'!$B$4:$B$1000,B215)</f>
        <v>Detergente Aquafast Clear Cx/12 X 1l (Natural)</v>
      </c>
      <c r="F215" cm="1">
        <f t="array" ref="F215">INDEX('Linha 04'!$C$3:$ZZ$3,C215)</f>
        <v>20050001</v>
      </c>
      <c r="G215" t="str" cm="1">
        <f t="array" ref="G215">INDEX('Linha 04'!$C$2:$ZZ$2,C215)</f>
        <v>Desinfetante Aquafast Campos Lavanda Cx/12 X 500ml</v>
      </c>
      <c r="H215" s="5" cm="1">
        <f t="array" ref="H215">INDEX('Linha 04'!$C$4:$ZZ$1000,B215,C215)</f>
        <v>0</v>
      </c>
    </row>
    <row r="216" spans="1:8" x14ac:dyDescent="0.25">
      <c r="A216">
        <v>214</v>
      </c>
      <c r="B216">
        <f t="shared" si="6"/>
        <v>8</v>
      </c>
      <c r="C216">
        <f t="shared" si="7"/>
        <v>18</v>
      </c>
      <c r="D216" cm="1">
        <f t="array" ref="D216">INDEX('Linha 04'!$A$4:$A$1000,B216)</f>
        <v>20030014</v>
      </c>
      <c r="E216" t="str" cm="1">
        <f t="array" ref="E216">INDEX('Linha 04'!$B$4:$B$1000,B216)</f>
        <v>Detergente Aquafast Clear Cx/12 X 1l (Natural)</v>
      </c>
      <c r="F216" cm="1">
        <f t="array" ref="F216">INDEX('Linha 04'!$C$3:$ZZ$3,C216)</f>
        <v>20050026</v>
      </c>
      <c r="G216" t="str" cm="1">
        <f t="array" ref="G216">INDEX('Linha 04'!$C$2:$ZZ$2,C216)</f>
        <v>Desinfetante Ito Lavanda Cx/12 X 500ml</v>
      </c>
      <c r="H216" s="5" cm="1">
        <f t="array" ref="H216">INDEX('Linha 04'!$C$4:$ZZ$1000,B216,C216)</f>
        <v>0</v>
      </c>
    </row>
    <row r="217" spans="1:8" x14ac:dyDescent="0.25">
      <c r="A217">
        <v>215</v>
      </c>
      <c r="B217">
        <f t="shared" si="6"/>
        <v>8</v>
      </c>
      <c r="C217">
        <f t="shared" si="7"/>
        <v>19</v>
      </c>
      <c r="D217" cm="1">
        <f t="array" ref="D217">INDEX('Linha 04'!$A$4:$A$1000,B217)</f>
        <v>20030014</v>
      </c>
      <c r="E217" t="str" cm="1">
        <f t="array" ref="E217">INDEX('Linha 04'!$B$4:$B$1000,B217)</f>
        <v>Detergente Aquafast Clear Cx/12 X 1l (Natural)</v>
      </c>
      <c r="F217" cm="1">
        <f t="array" ref="F217">INDEX('Linha 04'!$C$3:$ZZ$3,C217)</f>
        <v>20050119</v>
      </c>
      <c r="G217" t="str" cm="1">
        <f t="array" ref="G217">INDEX('Linha 04'!$C$2:$ZZ$2,C217)</f>
        <v>Desinfetante Aquafast Paixao Cx/12 X 500ml</v>
      </c>
      <c r="H217" s="5" cm="1">
        <f t="array" ref="H217">INDEX('Linha 04'!$C$4:$ZZ$1000,B217,C217)</f>
        <v>0</v>
      </c>
    </row>
    <row r="218" spans="1:8" x14ac:dyDescent="0.25">
      <c r="A218">
        <v>216</v>
      </c>
      <c r="B218">
        <f t="shared" si="6"/>
        <v>8</v>
      </c>
      <c r="C218">
        <f t="shared" si="7"/>
        <v>20</v>
      </c>
      <c r="D218" cm="1">
        <f t="array" ref="D218">INDEX('Linha 04'!$A$4:$A$1000,B218)</f>
        <v>20030014</v>
      </c>
      <c r="E218" t="str" cm="1">
        <f t="array" ref="E218">INDEX('Linha 04'!$B$4:$B$1000,B218)</f>
        <v>Detergente Aquafast Clear Cx/12 X 1l (Natural)</v>
      </c>
      <c r="F218" cm="1">
        <f t="array" ref="F218">INDEX('Linha 04'!$C$3:$ZZ$3,C218)</f>
        <v>20050145</v>
      </c>
      <c r="G218" t="str" cm="1">
        <f t="array" ref="G218">INDEX('Linha 04'!$C$2:$ZZ$2,C218)</f>
        <v>Desinfetante Aquafast Harmonia Natural Cx/12 X 500ml</v>
      </c>
      <c r="H218" s="5" cm="1">
        <f t="array" ref="H218">INDEX('Linha 04'!$C$4:$ZZ$1000,B218,C218)</f>
        <v>0</v>
      </c>
    </row>
    <row r="219" spans="1:8" x14ac:dyDescent="0.25">
      <c r="A219">
        <v>217</v>
      </c>
      <c r="B219">
        <f t="shared" si="6"/>
        <v>8</v>
      </c>
      <c r="C219">
        <f t="shared" si="7"/>
        <v>21</v>
      </c>
      <c r="D219" cm="1">
        <f t="array" ref="D219">INDEX('Linha 04'!$A$4:$A$1000,B219)</f>
        <v>20030014</v>
      </c>
      <c r="E219" t="str" cm="1">
        <f t="array" ref="E219">INDEX('Linha 04'!$B$4:$B$1000,B219)</f>
        <v>Detergente Aquafast Clear Cx/12 X 1l (Natural)</v>
      </c>
      <c r="F219" cm="1">
        <f t="array" ref="F219">INDEX('Linha 04'!$C$3:$ZZ$3,C219)</f>
        <v>20050149</v>
      </c>
      <c r="G219" t="str" cm="1">
        <f t="array" ref="G219">INDEX('Linha 04'!$C$2:$ZZ$2,C219)</f>
        <v>Desinfetante Aquafast Campos Lavanda Cx/12 X 1l</v>
      </c>
      <c r="H219" s="5" cm="1">
        <f t="array" ref="H219">INDEX('Linha 04'!$C$4:$ZZ$1000,B219,C219)</f>
        <v>0</v>
      </c>
    </row>
    <row r="220" spans="1:8" x14ac:dyDescent="0.25">
      <c r="A220">
        <v>218</v>
      </c>
      <c r="B220">
        <f t="shared" si="6"/>
        <v>8</v>
      </c>
      <c r="C220">
        <f t="shared" si="7"/>
        <v>22</v>
      </c>
      <c r="D220" cm="1">
        <f t="array" ref="D220">INDEX('Linha 04'!$A$4:$A$1000,B220)</f>
        <v>20030014</v>
      </c>
      <c r="E220" t="str" cm="1">
        <f t="array" ref="E220">INDEX('Linha 04'!$B$4:$B$1000,B220)</f>
        <v>Detergente Aquafast Clear Cx/12 X 1l (Natural)</v>
      </c>
      <c r="F220" cm="1">
        <f t="array" ref="F220">INDEX('Linha 04'!$C$3:$ZZ$3,C220)</f>
        <v>20050150</v>
      </c>
      <c r="G220" t="str" cm="1">
        <f t="array" ref="G220">INDEX('Linha 04'!$C$2:$ZZ$2,C220)</f>
        <v>Desinfetante Aquafast Marine Cx/12 X 1l</v>
      </c>
      <c r="H220" s="5" cm="1">
        <f t="array" ref="H220">INDEX('Linha 04'!$C$4:$ZZ$1000,B220,C220)</f>
        <v>0</v>
      </c>
    </row>
    <row r="221" spans="1:8" x14ac:dyDescent="0.25">
      <c r="A221">
        <v>219</v>
      </c>
      <c r="B221">
        <f t="shared" si="6"/>
        <v>8</v>
      </c>
      <c r="C221">
        <f t="shared" si="7"/>
        <v>23</v>
      </c>
      <c r="D221" cm="1">
        <f t="array" ref="D221">INDEX('Linha 04'!$A$4:$A$1000,B221)</f>
        <v>20030014</v>
      </c>
      <c r="E221" t="str" cm="1">
        <f t="array" ref="E221">INDEX('Linha 04'!$B$4:$B$1000,B221)</f>
        <v>Detergente Aquafast Clear Cx/12 X 1l (Natural)</v>
      </c>
      <c r="F221" cm="1">
        <f t="array" ref="F221">INDEX('Linha 04'!$C$3:$ZZ$3,C221)</f>
        <v>20050151</v>
      </c>
      <c r="G221" t="str" cm="1">
        <f t="array" ref="G221">INDEX('Linha 04'!$C$2:$ZZ$2,C221)</f>
        <v>Desinfetante Aquafast Paixao Cx/12 X 1l</v>
      </c>
      <c r="H221" s="5" cm="1">
        <f t="array" ref="H221">INDEX('Linha 04'!$C$4:$ZZ$1000,B221,C221)</f>
        <v>0</v>
      </c>
    </row>
    <row r="222" spans="1:8" x14ac:dyDescent="0.25">
      <c r="A222">
        <v>220</v>
      </c>
      <c r="B222">
        <f t="shared" si="6"/>
        <v>8</v>
      </c>
      <c r="C222">
        <f t="shared" si="7"/>
        <v>24</v>
      </c>
      <c r="D222" cm="1">
        <f t="array" ref="D222">INDEX('Linha 04'!$A$4:$A$1000,B222)</f>
        <v>20030014</v>
      </c>
      <c r="E222" t="str" cm="1">
        <f t="array" ref="E222">INDEX('Linha 04'!$B$4:$B$1000,B222)</f>
        <v>Detergente Aquafast Clear Cx/12 X 1l (Natural)</v>
      </c>
      <c r="F222" cm="1">
        <f t="array" ref="F222">INDEX('Linha 04'!$C$3:$ZZ$3,C222)</f>
        <v>20050152</v>
      </c>
      <c r="G222" t="str" cm="1">
        <f t="array" ref="G222">INDEX('Linha 04'!$C$2:$ZZ$2,C222)</f>
        <v>Desinfetante Aquafast Harmonia Natural Cx/12 X 1l</v>
      </c>
      <c r="H222" s="5" cm="1">
        <f t="array" ref="H222">INDEX('Linha 04'!$C$4:$ZZ$1000,B222,C222)</f>
        <v>0</v>
      </c>
    </row>
    <row r="223" spans="1:8" x14ac:dyDescent="0.25">
      <c r="A223">
        <v>221</v>
      </c>
      <c r="B223">
        <f t="shared" si="6"/>
        <v>8</v>
      </c>
      <c r="C223">
        <f t="shared" si="7"/>
        <v>25</v>
      </c>
      <c r="D223" cm="1">
        <f t="array" ref="D223">INDEX('Linha 04'!$A$4:$A$1000,B223)</f>
        <v>20030014</v>
      </c>
      <c r="E223" t="str" cm="1">
        <f t="array" ref="E223">INDEX('Linha 04'!$B$4:$B$1000,B223)</f>
        <v>Detergente Aquafast Clear Cx/12 X 1l (Natural)</v>
      </c>
      <c r="F223" cm="1">
        <f t="array" ref="F223">INDEX('Linha 04'!$C$3:$ZZ$3,C223)</f>
        <v>20050153</v>
      </c>
      <c r="G223" t="str" cm="1">
        <f t="array" ref="G223">INDEX('Linha 04'!$C$2:$ZZ$2,C223)</f>
        <v>Desinfetante Ito Harmonia Natural Cx/12 X 500ml</v>
      </c>
      <c r="H223" s="5" cm="1">
        <f t="array" ref="H223">INDEX('Linha 04'!$C$4:$ZZ$1000,B223,C223)</f>
        <v>0</v>
      </c>
    </row>
    <row r="224" spans="1:8" x14ac:dyDescent="0.25">
      <c r="A224">
        <v>222</v>
      </c>
      <c r="B224">
        <f t="shared" si="6"/>
        <v>8</v>
      </c>
      <c r="C224">
        <f t="shared" si="7"/>
        <v>26</v>
      </c>
      <c r="D224" cm="1">
        <f t="array" ref="D224">INDEX('Linha 04'!$A$4:$A$1000,B224)</f>
        <v>20030014</v>
      </c>
      <c r="E224" t="str" cm="1">
        <f t="array" ref="E224">INDEX('Linha 04'!$B$4:$B$1000,B224)</f>
        <v>Detergente Aquafast Clear Cx/12 X 1l (Natural)</v>
      </c>
      <c r="F224" cm="1">
        <f t="array" ref="F224">INDEX('Linha 04'!$C$3:$ZZ$3,C224)</f>
        <v>20050155</v>
      </c>
      <c r="G224" t="str" cm="1">
        <f t="array" ref="G224">INDEX('Linha 04'!$C$2:$ZZ$2,C224)</f>
        <v>Intermed Pack Desinfetante Paixao Cx/12 X 1l</v>
      </c>
      <c r="H224" s="5" cm="1">
        <f t="array" ref="H224">INDEX('Linha 04'!$C$4:$ZZ$1000,B224,C224)</f>
        <v>0</v>
      </c>
    </row>
    <row r="225" spans="1:8" x14ac:dyDescent="0.25">
      <c r="A225">
        <v>223</v>
      </c>
      <c r="B225">
        <f t="shared" si="6"/>
        <v>8</v>
      </c>
      <c r="C225">
        <f t="shared" si="7"/>
        <v>27</v>
      </c>
      <c r="D225" cm="1">
        <f t="array" ref="D225">INDEX('Linha 04'!$A$4:$A$1000,B225)</f>
        <v>20030014</v>
      </c>
      <c r="E225" t="str" cm="1">
        <f t="array" ref="E225">INDEX('Linha 04'!$B$4:$B$1000,B225)</f>
        <v>Detergente Aquafast Clear Cx/12 X 1l (Natural)</v>
      </c>
      <c r="F225" cm="1">
        <f t="array" ref="F225">INDEX('Linha 04'!$C$3:$ZZ$3,C225)</f>
        <v>20050156</v>
      </c>
      <c r="G225" t="str" cm="1">
        <f t="array" ref="G225">INDEX('Linha 04'!$C$2:$ZZ$2,C225)</f>
        <v>Intermed Pack Desinfetante Campos Lavanda Cx/12 X 1l</v>
      </c>
      <c r="H225" s="5" cm="1">
        <f t="array" ref="H225">INDEX('Linha 04'!$C$4:$ZZ$1000,B225,C225)</f>
        <v>0</v>
      </c>
    </row>
    <row r="226" spans="1:8" x14ac:dyDescent="0.25">
      <c r="A226">
        <v>224</v>
      </c>
      <c r="B226">
        <f t="shared" si="6"/>
        <v>8</v>
      </c>
      <c r="C226">
        <f t="shared" si="7"/>
        <v>28</v>
      </c>
      <c r="D226" cm="1">
        <f t="array" ref="D226">INDEX('Linha 04'!$A$4:$A$1000,B226)</f>
        <v>20030014</v>
      </c>
      <c r="E226" t="str" cm="1">
        <f t="array" ref="E226">INDEX('Linha 04'!$B$4:$B$1000,B226)</f>
        <v>Detergente Aquafast Clear Cx/12 X 1l (Natural)</v>
      </c>
      <c r="F226" cm="1">
        <f t="array" ref="F226">INDEX('Linha 04'!$C$3:$ZZ$3,C226)</f>
        <v>20050157</v>
      </c>
      <c r="G226" t="str" cm="1">
        <f t="array" ref="G226">INDEX('Linha 04'!$C$2:$ZZ$2,C226)</f>
        <v>Intermed Pack Desinfetante Marine Cx/12 X 1l</v>
      </c>
      <c r="H226" s="5" cm="1">
        <f t="array" ref="H226">INDEX('Linha 04'!$C$4:$ZZ$1000,B226,C226)</f>
        <v>0</v>
      </c>
    </row>
    <row r="227" spans="1:8" x14ac:dyDescent="0.25">
      <c r="A227">
        <v>225</v>
      </c>
      <c r="B227">
        <f t="shared" si="6"/>
        <v>9</v>
      </c>
      <c r="C227">
        <f t="shared" si="7"/>
        <v>1</v>
      </c>
      <c r="D227" cm="1">
        <f t="array" ref="D227">INDEX('Linha 04'!$A$4:$A$1000,B227)</f>
        <v>20030020</v>
      </c>
      <c r="E227" t="str" cm="1">
        <f t="array" ref="E227">INDEX('Linha 04'!$B$4:$B$1000,B227)</f>
        <v>Detergente Ito Maca Cx/24 X 500ml</v>
      </c>
      <c r="F227" cm="1">
        <f t="array" ref="F227">INDEX('Linha 04'!$C$3:$ZZ$3,C227)</f>
        <v>20030001</v>
      </c>
      <c r="G227" t="str" cm="1">
        <f t="array" ref="G227">INDEX('Linha 04'!$C$2:$ZZ$2,C227)</f>
        <v>Detergente Aquafast Maca Cx/24 X 500ml</v>
      </c>
      <c r="H227" s="5" cm="1">
        <f t="array" ref="H227">INDEX('Linha 04'!$C$4:$ZZ$1000,B227,C227)</f>
        <v>0</v>
      </c>
    </row>
    <row r="228" spans="1:8" x14ac:dyDescent="0.25">
      <c r="A228">
        <v>226</v>
      </c>
      <c r="B228">
        <f t="shared" si="6"/>
        <v>9</v>
      </c>
      <c r="C228">
        <f t="shared" si="7"/>
        <v>2</v>
      </c>
      <c r="D228" cm="1">
        <f t="array" ref="D228">INDEX('Linha 04'!$A$4:$A$1000,B228)</f>
        <v>20030020</v>
      </c>
      <c r="E228" t="str" cm="1">
        <f t="array" ref="E228">INDEX('Linha 04'!$B$4:$B$1000,B228)</f>
        <v>Detergente Ito Maca Cx/24 X 500ml</v>
      </c>
      <c r="F228" cm="1">
        <f t="array" ref="F228">INDEX('Linha 04'!$C$3:$ZZ$3,C228)</f>
        <v>20030002</v>
      </c>
      <c r="G228" t="str" cm="1">
        <f t="array" ref="G228">INDEX('Linha 04'!$C$2:$ZZ$2,C228)</f>
        <v>Detergente Aquafast Limao Cx/24 X 500ml</v>
      </c>
      <c r="H228" s="5" cm="1">
        <f t="array" ref="H228">INDEX('Linha 04'!$C$4:$ZZ$1000,B228,C228)</f>
        <v>0</v>
      </c>
    </row>
    <row r="229" spans="1:8" x14ac:dyDescent="0.25">
      <c r="A229">
        <v>227</v>
      </c>
      <c r="B229">
        <f t="shared" si="6"/>
        <v>9</v>
      </c>
      <c r="C229">
        <f t="shared" si="7"/>
        <v>3</v>
      </c>
      <c r="D229" cm="1">
        <f t="array" ref="D229">INDEX('Linha 04'!$A$4:$A$1000,B229)</f>
        <v>20030020</v>
      </c>
      <c r="E229" t="str" cm="1">
        <f t="array" ref="E229">INDEX('Linha 04'!$B$4:$B$1000,B229)</f>
        <v>Detergente Ito Maca Cx/24 X 500ml</v>
      </c>
      <c r="F229" cm="1">
        <f t="array" ref="F229">INDEX('Linha 04'!$C$3:$ZZ$3,C229)</f>
        <v>20030003</v>
      </c>
      <c r="G229" t="str" cm="1">
        <f t="array" ref="G229">INDEX('Linha 04'!$C$2:$ZZ$2,C229)</f>
        <v>Detergente Aquafast Neutro Cx/24 X 500ml</v>
      </c>
      <c r="H229" s="5" cm="1">
        <f t="array" ref="H229">INDEX('Linha 04'!$C$4:$ZZ$1000,B229,C229)</f>
        <v>0</v>
      </c>
    </row>
    <row r="230" spans="1:8" x14ac:dyDescent="0.25">
      <c r="A230">
        <v>228</v>
      </c>
      <c r="B230">
        <f t="shared" si="6"/>
        <v>9</v>
      </c>
      <c r="C230">
        <f t="shared" si="7"/>
        <v>4</v>
      </c>
      <c r="D230" cm="1">
        <f t="array" ref="D230">INDEX('Linha 04'!$A$4:$A$1000,B230)</f>
        <v>20030020</v>
      </c>
      <c r="E230" t="str" cm="1">
        <f t="array" ref="E230">INDEX('Linha 04'!$B$4:$B$1000,B230)</f>
        <v>Detergente Ito Maca Cx/24 X 500ml</v>
      </c>
      <c r="F230" cm="1">
        <f t="array" ref="F230">INDEX('Linha 04'!$C$3:$ZZ$3,C230)</f>
        <v>20030004</v>
      </c>
      <c r="G230" t="str" cm="1">
        <f t="array" ref="G230">INDEX('Linha 04'!$C$2:$ZZ$2,C230)</f>
        <v>Detergente Aquafast Clear Cx/24 X 500ml (Natural)</v>
      </c>
      <c r="H230" s="5" cm="1">
        <f t="array" ref="H230">INDEX('Linha 04'!$C$4:$ZZ$1000,B230,C230)</f>
        <v>0</v>
      </c>
    </row>
    <row r="231" spans="1:8" x14ac:dyDescent="0.25">
      <c r="A231">
        <v>229</v>
      </c>
      <c r="B231">
        <f t="shared" si="6"/>
        <v>9</v>
      </c>
      <c r="C231">
        <f t="shared" si="7"/>
        <v>5</v>
      </c>
      <c r="D231" cm="1">
        <f t="array" ref="D231">INDEX('Linha 04'!$A$4:$A$1000,B231)</f>
        <v>20030020</v>
      </c>
      <c r="E231" t="str" cm="1">
        <f t="array" ref="E231">INDEX('Linha 04'!$B$4:$B$1000,B231)</f>
        <v>Detergente Ito Maca Cx/24 X 500ml</v>
      </c>
      <c r="F231" cm="1">
        <f t="array" ref="F231">INDEX('Linha 04'!$C$3:$ZZ$3,C231)</f>
        <v>20030011</v>
      </c>
      <c r="G231" t="str" cm="1">
        <f t="array" ref="G231">INDEX('Linha 04'!$C$2:$ZZ$2,C231)</f>
        <v>Detergente Aquafast Maca Cx/12 X 1l</v>
      </c>
      <c r="H231" s="5" cm="1">
        <f t="array" ref="H231">INDEX('Linha 04'!$C$4:$ZZ$1000,B231,C231)</f>
        <v>0</v>
      </c>
    </row>
    <row r="232" spans="1:8" x14ac:dyDescent="0.25">
      <c r="A232">
        <v>230</v>
      </c>
      <c r="B232">
        <f t="shared" si="6"/>
        <v>9</v>
      </c>
      <c r="C232">
        <f t="shared" si="7"/>
        <v>6</v>
      </c>
      <c r="D232" cm="1">
        <f t="array" ref="D232">INDEX('Linha 04'!$A$4:$A$1000,B232)</f>
        <v>20030020</v>
      </c>
      <c r="E232" t="str" cm="1">
        <f t="array" ref="E232">INDEX('Linha 04'!$B$4:$B$1000,B232)</f>
        <v>Detergente Ito Maca Cx/24 X 500ml</v>
      </c>
      <c r="F232" cm="1">
        <f t="array" ref="F232">INDEX('Linha 04'!$C$3:$ZZ$3,C232)</f>
        <v>20030012</v>
      </c>
      <c r="G232" t="str" cm="1">
        <f t="array" ref="G232">INDEX('Linha 04'!$C$2:$ZZ$2,C232)</f>
        <v>Detergente Aquafast Limao Cx/12 X 1l</v>
      </c>
      <c r="H232" s="5" cm="1">
        <f t="array" ref="H232">INDEX('Linha 04'!$C$4:$ZZ$1000,B232,C232)</f>
        <v>0</v>
      </c>
    </row>
    <row r="233" spans="1:8" x14ac:dyDescent="0.25">
      <c r="A233">
        <v>231</v>
      </c>
      <c r="B233">
        <f t="shared" si="6"/>
        <v>9</v>
      </c>
      <c r="C233">
        <f t="shared" si="7"/>
        <v>7</v>
      </c>
      <c r="D233" cm="1">
        <f t="array" ref="D233">INDEX('Linha 04'!$A$4:$A$1000,B233)</f>
        <v>20030020</v>
      </c>
      <c r="E233" t="str" cm="1">
        <f t="array" ref="E233">INDEX('Linha 04'!$B$4:$B$1000,B233)</f>
        <v>Detergente Ito Maca Cx/24 X 500ml</v>
      </c>
      <c r="F233" cm="1">
        <f t="array" ref="F233">INDEX('Linha 04'!$C$3:$ZZ$3,C233)</f>
        <v>20030013</v>
      </c>
      <c r="G233" t="str" cm="1">
        <f t="array" ref="G233">INDEX('Linha 04'!$C$2:$ZZ$2,C233)</f>
        <v>Detergente Aquafast Neutro Cx/12 X 1l</v>
      </c>
      <c r="H233" s="5" cm="1">
        <f t="array" ref="H233">INDEX('Linha 04'!$C$4:$ZZ$1000,B233,C233)</f>
        <v>0</v>
      </c>
    </row>
    <row r="234" spans="1:8" x14ac:dyDescent="0.25">
      <c r="A234">
        <v>232</v>
      </c>
      <c r="B234">
        <f t="shared" si="6"/>
        <v>9</v>
      </c>
      <c r="C234">
        <f t="shared" si="7"/>
        <v>8</v>
      </c>
      <c r="D234" cm="1">
        <f t="array" ref="D234">INDEX('Linha 04'!$A$4:$A$1000,B234)</f>
        <v>20030020</v>
      </c>
      <c r="E234" t="str" cm="1">
        <f t="array" ref="E234">INDEX('Linha 04'!$B$4:$B$1000,B234)</f>
        <v>Detergente Ito Maca Cx/24 X 500ml</v>
      </c>
      <c r="F234" cm="1">
        <f t="array" ref="F234">INDEX('Linha 04'!$C$3:$ZZ$3,C234)</f>
        <v>20030014</v>
      </c>
      <c r="G234" t="str" cm="1">
        <f t="array" ref="G234">INDEX('Linha 04'!$C$2:$ZZ$2,C234)</f>
        <v>Detergente Aquafast Clear Cx/12 X 1l (Natural)</v>
      </c>
      <c r="H234" s="5" cm="1">
        <f t="array" ref="H234">INDEX('Linha 04'!$C$4:$ZZ$1000,B234,C234)</f>
        <v>0</v>
      </c>
    </row>
    <row r="235" spans="1:8" x14ac:dyDescent="0.25">
      <c r="A235">
        <v>233</v>
      </c>
      <c r="B235">
        <f t="shared" si="6"/>
        <v>9</v>
      </c>
      <c r="C235">
        <f t="shared" si="7"/>
        <v>9</v>
      </c>
      <c r="D235" cm="1">
        <f t="array" ref="D235">INDEX('Linha 04'!$A$4:$A$1000,B235)</f>
        <v>20030020</v>
      </c>
      <c r="E235" t="str" cm="1">
        <f t="array" ref="E235">INDEX('Linha 04'!$B$4:$B$1000,B235)</f>
        <v>Detergente Ito Maca Cx/24 X 500ml</v>
      </c>
      <c r="F235" cm="1">
        <f t="array" ref="F235">INDEX('Linha 04'!$C$3:$ZZ$3,C235)</f>
        <v>20030020</v>
      </c>
      <c r="G235" t="str" cm="1">
        <f t="array" ref="G235">INDEX('Linha 04'!$C$2:$ZZ$2,C235)</f>
        <v>Detergente Ito Maca Cx/24 X 500ml</v>
      </c>
      <c r="H235" s="5" cm="1">
        <f t="array" ref="H235">INDEX('Linha 04'!$C$4:$ZZ$1000,B235,C235)</f>
        <v>0</v>
      </c>
    </row>
    <row r="236" spans="1:8" x14ac:dyDescent="0.25">
      <c r="A236">
        <v>234</v>
      </c>
      <c r="B236">
        <f t="shared" si="6"/>
        <v>9</v>
      </c>
      <c r="C236">
        <f t="shared" si="7"/>
        <v>10</v>
      </c>
      <c r="D236" cm="1">
        <f t="array" ref="D236">INDEX('Linha 04'!$A$4:$A$1000,B236)</f>
        <v>20030020</v>
      </c>
      <c r="E236" t="str" cm="1">
        <f t="array" ref="E236">INDEX('Linha 04'!$B$4:$B$1000,B236)</f>
        <v>Detergente Ito Maca Cx/24 X 500ml</v>
      </c>
      <c r="F236" cm="1">
        <f t="array" ref="F236">INDEX('Linha 04'!$C$3:$ZZ$3,C236)</f>
        <v>20030021</v>
      </c>
      <c r="G236" t="str" cm="1">
        <f t="array" ref="G236">INDEX('Linha 04'!$C$2:$ZZ$2,C236)</f>
        <v>Detergente Ito Limao Cx/24 X 500ml</v>
      </c>
      <c r="H236" s="5" cm="1">
        <f t="array" ref="H236">INDEX('Linha 04'!$C$4:$ZZ$1000,B236,C236)</f>
        <v>0</v>
      </c>
    </row>
    <row r="237" spans="1:8" x14ac:dyDescent="0.25">
      <c r="A237">
        <v>235</v>
      </c>
      <c r="B237">
        <f t="shared" si="6"/>
        <v>9</v>
      </c>
      <c r="C237">
        <f t="shared" si="7"/>
        <v>11</v>
      </c>
      <c r="D237" cm="1">
        <f t="array" ref="D237">INDEX('Linha 04'!$A$4:$A$1000,B237)</f>
        <v>20030020</v>
      </c>
      <c r="E237" t="str" cm="1">
        <f t="array" ref="E237">INDEX('Linha 04'!$B$4:$B$1000,B237)</f>
        <v>Detergente Ito Maca Cx/24 X 500ml</v>
      </c>
      <c r="F237" cm="1">
        <f t="array" ref="F237">INDEX('Linha 04'!$C$3:$ZZ$3,C237)</f>
        <v>20030022</v>
      </c>
      <c r="G237" t="str" cm="1">
        <f t="array" ref="G237">INDEX('Linha 04'!$C$2:$ZZ$2,C237)</f>
        <v>Detergente Ito Neutro Cx/24 X 500ml</v>
      </c>
      <c r="H237" s="5" cm="1">
        <f t="array" ref="H237">INDEX('Linha 04'!$C$4:$ZZ$1000,B237,C237)</f>
        <v>0</v>
      </c>
    </row>
    <row r="238" spans="1:8" x14ac:dyDescent="0.25">
      <c r="A238">
        <v>236</v>
      </c>
      <c r="B238">
        <f t="shared" si="6"/>
        <v>9</v>
      </c>
      <c r="C238">
        <f t="shared" si="7"/>
        <v>12</v>
      </c>
      <c r="D238" cm="1">
        <f t="array" ref="D238">INDEX('Linha 04'!$A$4:$A$1000,B238)</f>
        <v>20030020</v>
      </c>
      <c r="E238" t="str" cm="1">
        <f t="array" ref="E238">INDEX('Linha 04'!$B$4:$B$1000,B238)</f>
        <v>Detergente Ito Maca Cx/24 X 500ml</v>
      </c>
      <c r="F238" cm="1">
        <f t="array" ref="F238">INDEX('Linha 04'!$C$3:$ZZ$3,C238)</f>
        <v>20030023</v>
      </c>
      <c r="G238" t="str" cm="1">
        <f t="array" ref="G238">INDEX('Linha 04'!$C$2:$ZZ$2,C238)</f>
        <v>Detergente Ito Clear Cx/24 X 500ml</v>
      </c>
      <c r="H238" s="5" cm="1">
        <f t="array" ref="H238">INDEX('Linha 04'!$C$4:$ZZ$1000,B238,C238)</f>
        <v>0</v>
      </c>
    </row>
    <row r="239" spans="1:8" x14ac:dyDescent="0.25">
      <c r="A239">
        <v>237</v>
      </c>
      <c r="B239">
        <f t="shared" si="6"/>
        <v>9</v>
      </c>
      <c r="C239">
        <f t="shared" si="7"/>
        <v>13</v>
      </c>
      <c r="D239" cm="1">
        <f t="array" ref="D239">INDEX('Linha 04'!$A$4:$A$1000,B239)</f>
        <v>20030020</v>
      </c>
      <c r="E239" t="str" cm="1">
        <f t="array" ref="E239">INDEX('Linha 04'!$B$4:$B$1000,B239)</f>
        <v>Detergente Ito Maca Cx/24 X 500ml</v>
      </c>
      <c r="F239" cm="1">
        <f t="array" ref="F239">INDEX('Linha 04'!$C$3:$ZZ$3,C239)</f>
        <v>20030038</v>
      </c>
      <c r="G239" t="str" cm="1">
        <f t="array" ref="G239">INDEX('Linha 04'!$C$2:$ZZ$2,C239)</f>
        <v>Detergente Myata Maca Cx/24 X 500ml</v>
      </c>
      <c r="H239" s="5" cm="1">
        <f t="array" ref="H239">INDEX('Linha 04'!$C$4:$ZZ$1000,B239,C239)</f>
        <v>0</v>
      </c>
    </row>
    <row r="240" spans="1:8" x14ac:dyDescent="0.25">
      <c r="A240">
        <v>238</v>
      </c>
      <c r="B240">
        <f t="shared" si="6"/>
        <v>9</v>
      </c>
      <c r="C240">
        <f t="shared" si="7"/>
        <v>14</v>
      </c>
      <c r="D240" cm="1">
        <f t="array" ref="D240">INDEX('Linha 04'!$A$4:$A$1000,B240)</f>
        <v>20030020</v>
      </c>
      <c r="E240" t="str" cm="1">
        <f t="array" ref="E240">INDEX('Linha 04'!$B$4:$B$1000,B240)</f>
        <v>Detergente Ito Maca Cx/24 X 500ml</v>
      </c>
      <c r="F240" cm="1">
        <f t="array" ref="F240">INDEX('Linha 04'!$C$3:$ZZ$3,C240)</f>
        <v>20030039</v>
      </c>
      <c r="G240" t="str" cm="1">
        <f t="array" ref="G240">INDEX('Linha 04'!$C$2:$ZZ$2,C240)</f>
        <v>Detergente Myata Limao Cx/24 X 500ml</v>
      </c>
      <c r="H240" s="5" cm="1">
        <f t="array" ref="H240">INDEX('Linha 04'!$C$4:$ZZ$1000,B240,C240)</f>
        <v>0</v>
      </c>
    </row>
    <row r="241" spans="1:8" x14ac:dyDescent="0.25">
      <c r="A241">
        <v>239</v>
      </c>
      <c r="B241">
        <f t="shared" si="6"/>
        <v>9</v>
      </c>
      <c r="C241">
        <f t="shared" si="7"/>
        <v>15</v>
      </c>
      <c r="D241" cm="1">
        <f t="array" ref="D241">INDEX('Linha 04'!$A$4:$A$1000,B241)</f>
        <v>20030020</v>
      </c>
      <c r="E241" t="str" cm="1">
        <f t="array" ref="E241">INDEX('Linha 04'!$B$4:$B$1000,B241)</f>
        <v>Detergente Ito Maca Cx/24 X 500ml</v>
      </c>
      <c r="F241" cm="1">
        <f t="array" ref="F241">INDEX('Linha 04'!$C$3:$ZZ$3,C241)</f>
        <v>20030040</v>
      </c>
      <c r="G241" t="str" cm="1">
        <f t="array" ref="G241">INDEX('Linha 04'!$C$2:$ZZ$2,C241)</f>
        <v>Detergente Myata Neutro Cx/24 X 500ml</v>
      </c>
      <c r="H241" s="5" cm="1">
        <f t="array" ref="H241">INDEX('Linha 04'!$C$4:$ZZ$1000,B241,C241)</f>
        <v>0</v>
      </c>
    </row>
    <row r="242" spans="1:8" x14ac:dyDescent="0.25">
      <c r="A242">
        <v>240</v>
      </c>
      <c r="B242">
        <f t="shared" si="6"/>
        <v>9</v>
      </c>
      <c r="C242">
        <f t="shared" si="7"/>
        <v>16</v>
      </c>
      <c r="D242" cm="1">
        <f t="array" ref="D242">INDEX('Linha 04'!$A$4:$A$1000,B242)</f>
        <v>20030020</v>
      </c>
      <c r="E242" t="str" cm="1">
        <f t="array" ref="E242">INDEX('Linha 04'!$B$4:$B$1000,B242)</f>
        <v>Detergente Ito Maca Cx/24 X 500ml</v>
      </c>
      <c r="F242" cm="1">
        <f t="array" ref="F242">INDEX('Linha 04'!$C$3:$ZZ$3,C242)</f>
        <v>20030067</v>
      </c>
      <c r="G242" t="str" cm="1">
        <f t="array" ref="G242">INDEX('Linha 04'!$C$2:$ZZ$2,C242)</f>
        <v>Detergente Aquafast Coco Cx/24 X 500ml</v>
      </c>
      <c r="H242" s="5" cm="1">
        <f t="array" ref="H242">INDEX('Linha 04'!$C$4:$ZZ$1000,B242,C242)</f>
        <v>0</v>
      </c>
    </row>
    <row r="243" spans="1:8" x14ac:dyDescent="0.25">
      <c r="A243">
        <v>241</v>
      </c>
      <c r="B243">
        <f t="shared" si="6"/>
        <v>9</v>
      </c>
      <c r="C243">
        <f t="shared" si="7"/>
        <v>17</v>
      </c>
      <c r="D243" cm="1">
        <f t="array" ref="D243">INDEX('Linha 04'!$A$4:$A$1000,B243)</f>
        <v>20030020</v>
      </c>
      <c r="E243" t="str" cm="1">
        <f t="array" ref="E243">INDEX('Linha 04'!$B$4:$B$1000,B243)</f>
        <v>Detergente Ito Maca Cx/24 X 500ml</v>
      </c>
      <c r="F243" cm="1">
        <f t="array" ref="F243">INDEX('Linha 04'!$C$3:$ZZ$3,C243)</f>
        <v>20050001</v>
      </c>
      <c r="G243" t="str" cm="1">
        <f t="array" ref="G243">INDEX('Linha 04'!$C$2:$ZZ$2,C243)</f>
        <v>Desinfetante Aquafast Campos Lavanda Cx/12 X 500ml</v>
      </c>
      <c r="H243" s="5" cm="1">
        <f t="array" ref="H243">INDEX('Linha 04'!$C$4:$ZZ$1000,B243,C243)</f>
        <v>0</v>
      </c>
    </row>
    <row r="244" spans="1:8" x14ac:dyDescent="0.25">
      <c r="A244">
        <v>242</v>
      </c>
      <c r="B244">
        <f t="shared" si="6"/>
        <v>9</v>
      </c>
      <c r="C244">
        <f t="shared" si="7"/>
        <v>18</v>
      </c>
      <c r="D244" cm="1">
        <f t="array" ref="D244">INDEX('Linha 04'!$A$4:$A$1000,B244)</f>
        <v>20030020</v>
      </c>
      <c r="E244" t="str" cm="1">
        <f t="array" ref="E244">INDEX('Linha 04'!$B$4:$B$1000,B244)</f>
        <v>Detergente Ito Maca Cx/24 X 500ml</v>
      </c>
      <c r="F244" cm="1">
        <f t="array" ref="F244">INDEX('Linha 04'!$C$3:$ZZ$3,C244)</f>
        <v>20050026</v>
      </c>
      <c r="G244" t="str" cm="1">
        <f t="array" ref="G244">INDEX('Linha 04'!$C$2:$ZZ$2,C244)</f>
        <v>Desinfetante Ito Lavanda Cx/12 X 500ml</v>
      </c>
      <c r="H244" s="5" cm="1">
        <f t="array" ref="H244">INDEX('Linha 04'!$C$4:$ZZ$1000,B244,C244)</f>
        <v>0</v>
      </c>
    </row>
    <row r="245" spans="1:8" x14ac:dyDescent="0.25">
      <c r="A245">
        <v>243</v>
      </c>
      <c r="B245">
        <f t="shared" si="6"/>
        <v>9</v>
      </c>
      <c r="C245">
        <f t="shared" si="7"/>
        <v>19</v>
      </c>
      <c r="D245" cm="1">
        <f t="array" ref="D245">INDEX('Linha 04'!$A$4:$A$1000,B245)</f>
        <v>20030020</v>
      </c>
      <c r="E245" t="str" cm="1">
        <f t="array" ref="E245">INDEX('Linha 04'!$B$4:$B$1000,B245)</f>
        <v>Detergente Ito Maca Cx/24 X 500ml</v>
      </c>
      <c r="F245" cm="1">
        <f t="array" ref="F245">INDEX('Linha 04'!$C$3:$ZZ$3,C245)</f>
        <v>20050119</v>
      </c>
      <c r="G245" t="str" cm="1">
        <f t="array" ref="G245">INDEX('Linha 04'!$C$2:$ZZ$2,C245)</f>
        <v>Desinfetante Aquafast Paixao Cx/12 X 500ml</v>
      </c>
      <c r="H245" s="5" cm="1">
        <f t="array" ref="H245">INDEX('Linha 04'!$C$4:$ZZ$1000,B245,C245)</f>
        <v>0</v>
      </c>
    </row>
    <row r="246" spans="1:8" x14ac:dyDescent="0.25">
      <c r="A246">
        <v>244</v>
      </c>
      <c r="B246">
        <f t="shared" si="6"/>
        <v>9</v>
      </c>
      <c r="C246">
        <f t="shared" si="7"/>
        <v>20</v>
      </c>
      <c r="D246" cm="1">
        <f t="array" ref="D246">INDEX('Linha 04'!$A$4:$A$1000,B246)</f>
        <v>20030020</v>
      </c>
      <c r="E246" t="str" cm="1">
        <f t="array" ref="E246">INDEX('Linha 04'!$B$4:$B$1000,B246)</f>
        <v>Detergente Ito Maca Cx/24 X 500ml</v>
      </c>
      <c r="F246" cm="1">
        <f t="array" ref="F246">INDEX('Linha 04'!$C$3:$ZZ$3,C246)</f>
        <v>20050145</v>
      </c>
      <c r="G246" t="str" cm="1">
        <f t="array" ref="G246">INDEX('Linha 04'!$C$2:$ZZ$2,C246)</f>
        <v>Desinfetante Aquafast Harmonia Natural Cx/12 X 500ml</v>
      </c>
      <c r="H246" s="5" cm="1">
        <f t="array" ref="H246">INDEX('Linha 04'!$C$4:$ZZ$1000,B246,C246)</f>
        <v>0</v>
      </c>
    </row>
    <row r="247" spans="1:8" x14ac:dyDescent="0.25">
      <c r="A247">
        <v>245</v>
      </c>
      <c r="B247">
        <f t="shared" si="6"/>
        <v>9</v>
      </c>
      <c r="C247">
        <f t="shared" si="7"/>
        <v>21</v>
      </c>
      <c r="D247" cm="1">
        <f t="array" ref="D247">INDEX('Linha 04'!$A$4:$A$1000,B247)</f>
        <v>20030020</v>
      </c>
      <c r="E247" t="str" cm="1">
        <f t="array" ref="E247">INDEX('Linha 04'!$B$4:$B$1000,B247)</f>
        <v>Detergente Ito Maca Cx/24 X 500ml</v>
      </c>
      <c r="F247" cm="1">
        <f t="array" ref="F247">INDEX('Linha 04'!$C$3:$ZZ$3,C247)</f>
        <v>20050149</v>
      </c>
      <c r="G247" t="str" cm="1">
        <f t="array" ref="G247">INDEX('Linha 04'!$C$2:$ZZ$2,C247)</f>
        <v>Desinfetante Aquafast Campos Lavanda Cx/12 X 1l</v>
      </c>
      <c r="H247" s="5" cm="1">
        <f t="array" ref="H247">INDEX('Linha 04'!$C$4:$ZZ$1000,B247,C247)</f>
        <v>0</v>
      </c>
    </row>
    <row r="248" spans="1:8" x14ac:dyDescent="0.25">
      <c r="A248">
        <v>246</v>
      </c>
      <c r="B248">
        <f t="shared" si="6"/>
        <v>9</v>
      </c>
      <c r="C248">
        <f t="shared" si="7"/>
        <v>22</v>
      </c>
      <c r="D248" cm="1">
        <f t="array" ref="D248">INDEX('Linha 04'!$A$4:$A$1000,B248)</f>
        <v>20030020</v>
      </c>
      <c r="E248" t="str" cm="1">
        <f t="array" ref="E248">INDEX('Linha 04'!$B$4:$B$1000,B248)</f>
        <v>Detergente Ito Maca Cx/24 X 500ml</v>
      </c>
      <c r="F248" cm="1">
        <f t="array" ref="F248">INDEX('Linha 04'!$C$3:$ZZ$3,C248)</f>
        <v>20050150</v>
      </c>
      <c r="G248" t="str" cm="1">
        <f t="array" ref="G248">INDEX('Linha 04'!$C$2:$ZZ$2,C248)</f>
        <v>Desinfetante Aquafast Marine Cx/12 X 1l</v>
      </c>
      <c r="H248" s="5" cm="1">
        <f t="array" ref="H248">INDEX('Linha 04'!$C$4:$ZZ$1000,B248,C248)</f>
        <v>0</v>
      </c>
    </row>
    <row r="249" spans="1:8" x14ac:dyDescent="0.25">
      <c r="A249">
        <v>247</v>
      </c>
      <c r="B249">
        <f t="shared" si="6"/>
        <v>9</v>
      </c>
      <c r="C249">
        <f t="shared" si="7"/>
        <v>23</v>
      </c>
      <c r="D249" cm="1">
        <f t="array" ref="D249">INDEX('Linha 04'!$A$4:$A$1000,B249)</f>
        <v>20030020</v>
      </c>
      <c r="E249" t="str" cm="1">
        <f t="array" ref="E249">INDEX('Linha 04'!$B$4:$B$1000,B249)</f>
        <v>Detergente Ito Maca Cx/24 X 500ml</v>
      </c>
      <c r="F249" cm="1">
        <f t="array" ref="F249">INDEX('Linha 04'!$C$3:$ZZ$3,C249)</f>
        <v>20050151</v>
      </c>
      <c r="G249" t="str" cm="1">
        <f t="array" ref="G249">INDEX('Linha 04'!$C$2:$ZZ$2,C249)</f>
        <v>Desinfetante Aquafast Paixao Cx/12 X 1l</v>
      </c>
      <c r="H249" s="5" cm="1">
        <f t="array" ref="H249">INDEX('Linha 04'!$C$4:$ZZ$1000,B249,C249)</f>
        <v>0</v>
      </c>
    </row>
    <row r="250" spans="1:8" x14ac:dyDescent="0.25">
      <c r="A250">
        <v>248</v>
      </c>
      <c r="B250">
        <f t="shared" si="6"/>
        <v>9</v>
      </c>
      <c r="C250">
        <f t="shared" si="7"/>
        <v>24</v>
      </c>
      <c r="D250" cm="1">
        <f t="array" ref="D250">INDEX('Linha 04'!$A$4:$A$1000,B250)</f>
        <v>20030020</v>
      </c>
      <c r="E250" t="str" cm="1">
        <f t="array" ref="E250">INDEX('Linha 04'!$B$4:$B$1000,B250)</f>
        <v>Detergente Ito Maca Cx/24 X 500ml</v>
      </c>
      <c r="F250" cm="1">
        <f t="array" ref="F250">INDEX('Linha 04'!$C$3:$ZZ$3,C250)</f>
        <v>20050152</v>
      </c>
      <c r="G250" t="str" cm="1">
        <f t="array" ref="G250">INDEX('Linha 04'!$C$2:$ZZ$2,C250)</f>
        <v>Desinfetante Aquafast Harmonia Natural Cx/12 X 1l</v>
      </c>
      <c r="H250" s="5" cm="1">
        <f t="array" ref="H250">INDEX('Linha 04'!$C$4:$ZZ$1000,B250,C250)</f>
        <v>0</v>
      </c>
    </row>
    <row r="251" spans="1:8" x14ac:dyDescent="0.25">
      <c r="A251">
        <v>249</v>
      </c>
      <c r="B251">
        <f t="shared" si="6"/>
        <v>9</v>
      </c>
      <c r="C251">
        <f t="shared" si="7"/>
        <v>25</v>
      </c>
      <c r="D251" cm="1">
        <f t="array" ref="D251">INDEX('Linha 04'!$A$4:$A$1000,B251)</f>
        <v>20030020</v>
      </c>
      <c r="E251" t="str" cm="1">
        <f t="array" ref="E251">INDEX('Linha 04'!$B$4:$B$1000,B251)</f>
        <v>Detergente Ito Maca Cx/24 X 500ml</v>
      </c>
      <c r="F251" cm="1">
        <f t="array" ref="F251">INDEX('Linha 04'!$C$3:$ZZ$3,C251)</f>
        <v>20050153</v>
      </c>
      <c r="G251" t="str" cm="1">
        <f t="array" ref="G251">INDEX('Linha 04'!$C$2:$ZZ$2,C251)</f>
        <v>Desinfetante Ito Harmonia Natural Cx/12 X 500ml</v>
      </c>
      <c r="H251" s="5" cm="1">
        <f t="array" ref="H251">INDEX('Linha 04'!$C$4:$ZZ$1000,B251,C251)</f>
        <v>0</v>
      </c>
    </row>
    <row r="252" spans="1:8" x14ac:dyDescent="0.25">
      <c r="A252">
        <v>250</v>
      </c>
      <c r="B252">
        <f t="shared" si="6"/>
        <v>9</v>
      </c>
      <c r="C252">
        <f t="shared" si="7"/>
        <v>26</v>
      </c>
      <c r="D252" cm="1">
        <f t="array" ref="D252">INDEX('Linha 04'!$A$4:$A$1000,B252)</f>
        <v>20030020</v>
      </c>
      <c r="E252" t="str" cm="1">
        <f t="array" ref="E252">INDEX('Linha 04'!$B$4:$B$1000,B252)</f>
        <v>Detergente Ito Maca Cx/24 X 500ml</v>
      </c>
      <c r="F252" cm="1">
        <f t="array" ref="F252">INDEX('Linha 04'!$C$3:$ZZ$3,C252)</f>
        <v>20050155</v>
      </c>
      <c r="G252" t="str" cm="1">
        <f t="array" ref="G252">INDEX('Linha 04'!$C$2:$ZZ$2,C252)</f>
        <v>Intermed Pack Desinfetante Paixao Cx/12 X 1l</v>
      </c>
      <c r="H252" s="5" cm="1">
        <f t="array" ref="H252">INDEX('Linha 04'!$C$4:$ZZ$1000,B252,C252)</f>
        <v>0</v>
      </c>
    </row>
    <row r="253" spans="1:8" x14ac:dyDescent="0.25">
      <c r="A253">
        <v>251</v>
      </c>
      <c r="B253">
        <f t="shared" si="6"/>
        <v>9</v>
      </c>
      <c r="C253">
        <f t="shared" si="7"/>
        <v>27</v>
      </c>
      <c r="D253" cm="1">
        <f t="array" ref="D253">INDEX('Linha 04'!$A$4:$A$1000,B253)</f>
        <v>20030020</v>
      </c>
      <c r="E253" t="str" cm="1">
        <f t="array" ref="E253">INDEX('Linha 04'!$B$4:$B$1000,B253)</f>
        <v>Detergente Ito Maca Cx/24 X 500ml</v>
      </c>
      <c r="F253" cm="1">
        <f t="array" ref="F253">INDEX('Linha 04'!$C$3:$ZZ$3,C253)</f>
        <v>20050156</v>
      </c>
      <c r="G253" t="str" cm="1">
        <f t="array" ref="G253">INDEX('Linha 04'!$C$2:$ZZ$2,C253)</f>
        <v>Intermed Pack Desinfetante Campos Lavanda Cx/12 X 1l</v>
      </c>
      <c r="H253" s="5" cm="1">
        <f t="array" ref="H253">INDEX('Linha 04'!$C$4:$ZZ$1000,B253,C253)</f>
        <v>0</v>
      </c>
    </row>
    <row r="254" spans="1:8" x14ac:dyDescent="0.25">
      <c r="A254">
        <v>252</v>
      </c>
      <c r="B254">
        <f t="shared" si="6"/>
        <v>9</v>
      </c>
      <c r="C254">
        <f t="shared" si="7"/>
        <v>28</v>
      </c>
      <c r="D254" cm="1">
        <f t="array" ref="D254">INDEX('Linha 04'!$A$4:$A$1000,B254)</f>
        <v>20030020</v>
      </c>
      <c r="E254" t="str" cm="1">
        <f t="array" ref="E254">INDEX('Linha 04'!$B$4:$B$1000,B254)</f>
        <v>Detergente Ito Maca Cx/24 X 500ml</v>
      </c>
      <c r="F254" cm="1">
        <f t="array" ref="F254">INDEX('Linha 04'!$C$3:$ZZ$3,C254)</f>
        <v>20050157</v>
      </c>
      <c r="G254" t="str" cm="1">
        <f t="array" ref="G254">INDEX('Linha 04'!$C$2:$ZZ$2,C254)</f>
        <v>Intermed Pack Desinfetante Marine Cx/12 X 1l</v>
      </c>
      <c r="H254" s="5" cm="1">
        <f t="array" ref="H254">INDEX('Linha 04'!$C$4:$ZZ$1000,B254,C254)</f>
        <v>0</v>
      </c>
    </row>
    <row r="255" spans="1:8" x14ac:dyDescent="0.25">
      <c r="A255">
        <v>253</v>
      </c>
      <c r="B255">
        <f t="shared" si="6"/>
        <v>10</v>
      </c>
      <c r="C255">
        <f t="shared" si="7"/>
        <v>1</v>
      </c>
      <c r="D255" cm="1">
        <f t="array" ref="D255">INDEX('Linha 04'!$A$4:$A$1000,B255)</f>
        <v>20030021</v>
      </c>
      <c r="E255" t="str" cm="1">
        <f t="array" ref="E255">INDEX('Linha 04'!$B$4:$B$1000,B255)</f>
        <v>Detergente Ito Limao Cx/24 X 500ml</v>
      </c>
      <c r="F255" cm="1">
        <f t="array" ref="F255">INDEX('Linha 04'!$C$3:$ZZ$3,C255)</f>
        <v>20030001</v>
      </c>
      <c r="G255" t="str" cm="1">
        <f t="array" ref="G255">INDEX('Linha 04'!$C$2:$ZZ$2,C255)</f>
        <v>Detergente Aquafast Maca Cx/24 X 500ml</v>
      </c>
      <c r="H255" s="5" cm="1">
        <f t="array" ref="H255">INDEX('Linha 04'!$C$4:$ZZ$1000,B255,C255)</f>
        <v>0</v>
      </c>
    </row>
    <row r="256" spans="1:8" x14ac:dyDescent="0.25">
      <c r="A256">
        <v>254</v>
      </c>
      <c r="B256">
        <f t="shared" si="6"/>
        <v>10</v>
      </c>
      <c r="C256">
        <f t="shared" si="7"/>
        <v>2</v>
      </c>
      <c r="D256" cm="1">
        <f t="array" ref="D256">INDEX('Linha 04'!$A$4:$A$1000,B256)</f>
        <v>20030021</v>
      </c>
      <c r="E256" t="str" cm="1">
        <f t="array" ref="E256">INDEX('Linha 04'!$B$4:$B$1000,B256)</f>
        <v>Detergente Ito Limao Cx/24 X 500ml</v>
      </c>
      <c r="F256" cm="1">
        <f t="array" ref="F256">INDEX('Linha 04'!$C$3:$ZZ$3,C256)</f>
        <v>20030002</v>
      </c>
      <c r="G256" t="str" cm="1">
        <f t="array" ref="G256">INDEX('Linha 04'!$C$2:$ZZ$2,C256)</f>
        <v>Detergente Aquafast Limao Cx/24 X 500ml</v>
      </c>
      <c r="H256" s="5" cm="1">
        <f t="array" ref="H256">INDEX('Linha 04'!$C$4:$ZZ$1000,B256,C256)</f>
        <v>0</v>
      </c>
    </row>
    <row r="257" spans="1:8" x14ac:dyDescent="0.25">
      <c r="A257">
        <v>255</v>
      </c>
      <c r="B257">
        <f t="shared" si="6"/>
        <v>10</v>
      </c>
      <c r="C257">
        <f t="shared" si="7"/>
        <v>3</v>
      </c>
      <c r="D257" cm="1">
        <f t="array" ref="D257">INDEX('Linha 04'!$A$4:$A$1000,B257)</f>
        <v>20030021</v>
      </c>
      <c r="E257" t="str" cm="1">
        <f t="array" ref="E257">INDEX('Linha 04'!$B$4:$B$1000,B257)</f>
        <v>Detergente Ito Limao Cx/24 X 500ml</v>
      </c>
      <c r="F257" cm="1">
        <f t="array" ref="F257">INDEX('Linha 04'!$C$3:$ZZ$3,C257)</f>
        <v>20030003</v>
      </c>
      <c r="G257" t="str" cm="1">
        <f t="array" ref="G257">INDEX('Linha 04'!$C$2:$ZZ$2,C257)</f>
        <v>Detergente Aquafast Neutro Cx/24 X 500ml</v>
      </c>
      <c r="H257" s="5" cm="1">
        <f t="array" ref="H257">INDEX('Linha 04'!$C$4:$ZZ$1000,B257,C257)</f>
        <v>0</v>
      </c>
    </row>
    <row r="258" spans="1:8" x14ac:dyDescent="0.25">
      <c r="A258">
        <v>256</v>
      </c>
      <c r="B258">
        <f t="shared" si="6"/>
        <v>10</v>
      </c>
      <c r="C258">
        <f t="shared" si="7"/>
        <v>4</v>
      </c>
      <c r="D258" cm="1">
        <f t="array" ref="D258">INDEX('Linha 04'!$A$4:$A$1000,B258)</f>
        <v>20030021</v>
      </c>
      <c r="E258" t="str" cm="1">
        <f t="array" ref="E258">INDEX('Linha 04'!$B$4:$B$1000,B258)</f>
        <v>Detergente Ito Limao Cx/24 X 500ml</v>
      </c>
      <c r="F258" cm="1">
        <f t="array" ref="F258">INDEX('Linha 04'!$C$3:$ZZ$3,C258)</f>
        <v>20030004</v>
      </c>
      <c r="G258" t="str" cm="1">
        <f t="array" ref="G258">INDEX('Linha 04'!$C$2:$ZZ$2,C258)</f>
        <v>Detergente Aquafast Clear Cx/24 X 500ml (Natural)</v>
      </c>
      <c r="H258" s="5" cm="1">
        <f t="array" ref="H258">INDEX('Linha 04'!$C$4:$ZZ$1000,B258,C258)</f>
        <v>0</v>
      </c>
    </row>
    <row r="259" spans="1:8" x14ac:dyDescent="0.25">
      <c r="A259">
        <v>257</v>
      </c>
      <c r="B259">
        <f t="shared" si="6"/>
        <v>10</v>
      </c>
      <c r="C259">
        <f t="shared" si="7"/>
        <v>5</v>
      </c>
      <c r="D259" cm="1">
        <f t="array" ref="D259">INDEX('Linha 04'!$A$4:$A$1000,B259)</f>
        <v>20030021</v>
      </c>
      <c r="E259" t="str" cm="1">
        <f t="array" ref="E259">INDEX('Linha 04'!$B$4:$B$1000,B259)</f>
        <v>Detergente Ito Limao Cx/24 X 500ml</v>
      </c>
      <c r="F259" cm="1">
        <f t="array" ref="F259">INDEX('Linha 04'!$C$3:$ZZ$3,C259)</f>
        <v>20030011</v>
      </c>
      <c r="G259" t="str" cm="1">
        <f t="array" ref="G259">INDEX('Linha 04'!$C$2:$ZZ$2,C259)</f>
        <v>Detergente Aquafast Maca Cx/12 X 1l</v>
      </c>
      <c r="H259" s="5" cm="1">
        <f t="array" ref="H259">INDEX('Linha 04'!$C$4:$ZZ$1000,B259,C259)</f>
        <v>0</v>
      </c>
    </row>
    <row r="260" spans="1:8" x14ac:dyDescent="0.25">
      <c r="A260">
        <v>258</v>
      </c>
      <c r="B260">
        <f t="shared" ref="B260:B323" si="8">INT((A260-1)/$B$1)+1</f>
        <v>10</v>
      </c>
      <c r="C260">
        <f t="shared" ref="C260:C323" si="9">MOD(A260-1,$B$1)+1</f>
        <v>6</v>
      </c>
      <c r="D260" cm="1">
        <f t="array" ref="D260">INDEX('Linha 04'!$A$4:$A$1000,B260)</f>
        <v>20030021</v>
      </c>
      <c r="E260" t="str" cm="1">
        <f t="array" ref="E260">INDEX('Linha 04'!$B$4:$B$1000,B260)</f>
        <v>Detergente Ito Limao Cx/24 X 500ml</v>
      </c>
      <c r="F260" cm="1">
        <f t="array" ref="F260">INDEX('Linha 04'!$C$3:$ZZ$3,C260)</f>
        <v>20030012</v>
      </c>
      <c r="G260" t="str" cm="1">
        <f t="array" ref="G260">INDEX('Linha 04'!$C$2:$ZZ$2,C260)</f>
        <v>Detergente Aquafast Limao Cx/12 X 1l</v>
      </c>
      <c r="H260" s="5" cm="1">
        <f t="array" ref="H260">INDEX('Linha 04'!$C$4:$ZZ$1000,B260,C260)</f>
        <v>0</v>
      </c>
    </row>
    <row r="261" spans="1:8" x14ac:dyDescent="0.25">
      <c r="A261">
        <v>259</v>
      </c>
      <c r="B261">
        <f t="shared" si="8"/>
        <v>10</v>
      </c>
      <c r="C261">
        <f t="shared" si="9"/>
        <v>7</v>
      </c>
      <c r="D261" cm="1">
        <f t="array" ref="D261">INDEX('Linha 04'!$A$4:$A$1000,B261)</f>
        <v>20030021</v>
      </c>
      <c r="E261" t="str" cm="1">
        <f t="array" ref="E261">INDEX('Linha 04'!$B$4:$B$1000,B261)</f>
        <v>Detergente Ito Limao Cx/24 X 500ml</v>
      </c>
      <c r="F261" cm="1">
        <f t="array" ref="F261">INDEX('Linha 04'!$C$3:$ZZ$3,C261)</f>
        <v>20030013</v>
      </c>
      <c r="G261" t="str" cm="1">
        <f t="array" ref="G261">INDEX('Linha 04'!$C$2:$ZZ$2,C261)</f>
        <v>Detergente Aquafast Neutro Cx/12 X 1l</v>
      </c>
      <c r="H261" s="5" cm="1">
        <f t="array" ref="H261">INDEX('Linha 04'!$C$4:$ZZ$1000,B261,C261)</f>
        <v>0</v>
      </c>
    </row>
    <row r="262" spans="1:8" x14ac:dyDescent="0.25">
      <c r="A262">
        <v>260</v>
      </c>
      <c r="B262">
        <f t="shared" si="8"/>
        <v>10</v>
      </c>
      <c r="C262">
        <f t="shared" si="9"/>
        <v>8</v>
      </c>
      <c r="D262" cm="1">
        <f t="array" ref="D262">INDEX('Linha 04'!$A$4:$A$1000,B262)</f>
        <v>20030021</v>
      </c>
      <c r="E262" t="str" cm="1">
        <f t="array" ref="E262">INDEX('Linha 04'!$B$4:$B$1000,B262)</f>
        <v>Detergente Ito Limao Cx/24 X 500ml</v>
      </c>
      <c r="F262" cm="1">
        <f t="array" ref="F262">INDEX('Linha 04'!$C$3:$ZZ$3,C262)</f>
        <v>20030014</v>
      </c>
      <c r="G262" t="str" cm="1">
        <f t="array" ref="G262">INDEX('Linha 04'!$C$2:$ZZ$2,C262)</f>
        <v>Detergente Aquafast Clear Cx/12 X 1l (Natural)</v>
      </c>
      <c r="H262" s="5" cm="1">
        <f t="array" ref="H262">INDEX('Linha 04'!$C$4:$ZZ$1000,B262,C262)</f>
        <v>0</v>
      </c>
    </row>
    <row r="263" spans="1:8" x14ac:dyDescent="0.25">
      <c r="A263">
        <v>261</v>
      </c>
      <c r="B263">
        <f t="shared" si="8"/>
        <v>10</v>
      </c>
      <c r="C263">
        <f t="shared" si="9"/>
        <v>9</v>
      </c>
      <c r="D263" cm="1">
        <f t="array" ref="D263">INDEX('Linha 04'!$A$4:$A$1000,B263)</f>
        <v>20030021</v>
      </c>
      <c r="E263" t="str" cm="1">
        <f t="array" ref="E263">INDEX('Linha 04'!$B$4:$B$1000,B263)</f>
        <v>Detergente Ito Limao Cx/24 X 500ml</v>
      </c>
      <c r="F263" cm="1">
        <f t="array" ref="F263">INDEX('Linha 04'!$C$3:$ZZ$3,C263)</f>
        <v>20030020</v>
      </c>
      <c r="G263" t="str" cm="1">
        <f t="array" ref="G263">INDEX('Linha 04'!$C$2:$ZZ$2,C263)</f>
        <v>Detergente Ito Maca Cx/24 X 500ml</v>
      </c>
      <c r="H263" s="5" cm="1">
        <f t="array" ref="H263">INDEX('Linha 04'!$C$4:$ZZ$1000,B263,C263)</f>
        <v>0</v>
      </c>
    </row>
    <row r="264" spans="1:8" x14ac:dyDescent="0.25">
      <c r="A264">
        <v>262</v>
      </c>
      <c r="B264">
        <f t="shared" si="8"/>
        <v>10</v>
      </c>
      <c r="C264">
        <f t="shared" si="9"/>
        <v>10</v>
      </c>
      <c r="D264" cm="1">
        <f t="array" ref="D264">INDEX('Linha 04'!$A$4:$A$1000,B264)</f>
        <v>20030021</v>
      </c>
      <c r="E264" t="str" cm="1">
        <f t="array" ref="E264">INDEX('Linha 04'!$B$4:$B$1000,B264)</f>
        <v>Detergente Ito Limao Cx/24 X 500ml</v>
      </c>
      <c r="F264" cm="1">
        <f t="array" ref="F264">INDEX('Linha 04'!$C$3:$ZZ$3,C264)</f>
        <v>20030021</v>
      </c>
      <c r="G264" t="str" cm="1">
        <f t="array" ref="G264">INDEX('Linha 04'!$C$2:$ZZ$2,C264)</f>
        <v>Detergente Ito Limao Cx/24 X 500ml</v>
      </c>
      <c r="H264" s="5" cm="1">
        <f t="array" ref="H264">INDEX('Linha 04'!$C$4:$ZZ$1000,B264,C264)</f>
        <v>0</v>
      </c>
    </row>
    <row r="265" spans="1:8" x14ac:dyDescent="0.25">
      <c r="A265">
        <v>263</v>
      </c>
      <c r="B265">
        <f t="shared" si="8"/>
        <v>10</v>
      </c>
      <c r="C265">
        <f t="shared" si="9"/>
        <v>11</v>
      </c>
      <c r="D265" cm="1">
        <f t="array" ref="D265">INDEX('Linha 04'!$A$4:$A$1000,B265)</f>
        <v>20030021</v>
      </c>
      <c r="E265" t="str" cm="1">
        <f t="array" ref="E265">INDEX('Linha 04'!$B$4:$B$1000,B265)</f>
        <v>Detergente Ito Limao Cx/24 X 500ml</v>
      </c>
      <c r="F265" cm="1">
        <f t="array" ref="F265">INDEX('Linha 04'!$C$3:$ZZ$3,C265)</f>
        <v>20030022</v>
      </c>
      <c r="G265" t="str" cm="1">
        <f t="array" ref="G265">INDEX('Linha 04'!$C$2:$ZZ$2,C265)</f>
        <v>Detergente Ito Neutro Cx/24 X 500ml</v>
      </c>
      <c r="H265" s="5" cm="1">
        <f t="array" ref="H265">INDEX('Linha 04'!$C$4:$ZZ$1000,B265,C265)</f>
        <v>0</v>
      </c>
    </row>
    <row r="266" spans="1:8" x14ac:dyDescent="0.25">
      <c r="A266">
        <v>264</v>
      </c>
      <c r="B266">
        <f t="shared" si="8"/>
        <v>10</v>
      </c>
      <c r="C266">
        <f t="shared" si="9"/>
        <v>12</v>
      </c>
      <c r="D266" cm="1">
        <f t="array" ref="D266">INDEX('Linha 04'!$A$4:$A$1000,B266)</f>
        <v>20030021</v>
      </c>
      <c r="E266" t="str" cm="1">
        <f t="array" ref="E266">INDEX('Linha 04'!$B$4:$B$1000,B266)</f>
        <v>Detergente Ito Limao Cx/24 X 500ml</v>
      </c>
      <c r="F266" cm="1">
        <f t="array" ref="F266">INDEX('Linha 04'!$C$3:$ZZ$3,C266)</f>
        <v>20030023</v>
      </c>
      <c r="G266" t="str" cm="1">
        <f t="array" ref="G266">INDEX('Linha 04'!$C$2:$ZZ$2,C266)</f>
        <v>Detergente Ito Clear Cx/24 X 500ml</v>
      </c>
      <c r="H266" s="5" cm="1">
        <f t="array" ref="H266">INDEX('Linha 04'!$C$4:$ZZ$1000,B266,C266)</f>
        <v>0</v>
      </c>
    </row>
    <row r="267" spans="1:8" x14ac:dyDescent="0.25">
      <c r="A267">
        <v>265</v>
      </c>
      <c r="B267">
        <f t="shared" si="8"/>
        <v>10</v>
      </c>
      <c r="C267">
        <f t="shared" si="9"/>
        <v>13</v>
      </c>
      <c r="D267" cm="1">
        <f t="array" ref="D267">INDEX('Linha 04'!$A$4:$A$1000,B267)</f>
        <v>20030021</v>
      </c>
      <c r="E267" t="str" cm="1">
        <f t="array" ref="E267">INDEX('Linha 04'!$B$4:$B$1000,B267)</f>
        <v>Detergente Ito Limao Cx/24 X 500ml</v>
      </c>
      <c r="F267" cm="1">
        <f t="array" ref="F267">INDEX('Linha 04'!$C$3:$ZZ$3,C267)</f>
        <v>20030038</v>
      </c>
      <c r="G267" t="str" cm="1">
        <f t="array" ref="G267">INDEX('Linha 04'!$C$2:$ZZ$2,C267)</f>
        <v>Detergente Myata Maca Cx/24 X 500ml</v>
      </c>
      <c r="H267" s="5" cm="1">
        <f t="array" ref="H267">INDEX('Linha 04'!$C$4:$ZZ$1000,B267,C267)</f>
        <v>0</v>
      </c>
    </row>
    <row r="268" spans="1:8" x14ac:dyDescent="0.25">
      <c r="A268">
        <v>266</v>
      </c>
      <c r="B268">
        <f t="shared" si="8"/>
        <v>10</v>
      </c>
      <c r="C268">
        <f t="shared" si="9"/>
        <v>14</v>
      </c>
      <c r="D268" cm="1">
        <f t="array" ref="D268">INDEX('Linha 04'!$A$4:$A$1000,B268)</f>
        <v>20030021</v>
      </c>
      <c r="E268" t="str" cm="1">
        <f t="array" ref="E268">INDEX('Linha 04'!$B$4:$B$1000,B268)</f>
        <v>Detergente Ito Limao Cx/24 X 500ml</v>
      </c>
      <c r="F268" cm="1">
        <f t="array" ref="F268">INDEX('Linha 04'!$C$3:$ZZ$3,C268)</f>
        <v>20030039</v>
      </c>
      <c r="G268" t="str" cm="1">
        <f t="array" ref="G268">INDEX('Linha 04'!$C$2:$ZZ$2,C268)</f>
        <v>Detergente Myata Limao Cx/24 X 500ml</v>
      </c>
      <c r="H268" s="5" cm="1">
        <f t="array" ref="H268">INDEX('Linha 04'!$C$4:$ZZ$1000,B268,C268)</f>
        <v>0</v>
      </c>
    </row>
    <row r="269" spans="1:8" x14ac:dyDescent="0.25">
      <c r="A269">
        <v>267</v>
      </c>
      <c r="B269">
        <f t="shared" si="8"/>
        <v>10</v>
      </c>
      <c r="C269">
        <f t="shared" si="9"/>
        <v>15</v>
      </c>
      <c r="D269" cm="1">
        <f t="array" ref="D269">INDEX('Linha 04'!$A$4:$A$1000,B269)</f>
        <v>20030021</v>
      </c>
      <c r="E269" t="str" cm="1">
        <f t="array" ref="E269">INDEX('Linha 04'!$B$4:$B$1000,B269)</f>
        <v>Detergente Ito Limao Cx/24 X 500ml</v>
      </c>
      <c r="F269" cm="1">
        <f t="array" ref="F269">INDEX('Linha 04'!$C$3:$ZZ$3,C269)</f>
        <v>20030040</v>
      </c>
      <c r="G269" t="str" cm="1">
        <f t="array" ref="G269">INDEX('Linha 04'!$C$2:$ZZ$2,C269)</f>
        <v>Detergente Myata Neutro Cx/24 X 500ml</v>
      </c>
      <c r="H269" s="5" cm="1">
        <f t="array" ref="H269">INDEX('Linha 04'!$C$4:$ZZ$1000,B269,C269)</f>
        <v>0</v>
      </c>
    </row>
    <row r="270" spans="1:8" x14ac:dyDescent="0.25">
      <c r="A270">
        <v>268</v>
      </c>
      <c r="B270">
        <f t="shared" si="8"/>
        <v>10</v>
      </c>
      <c r="C270">
        <f t="shared" si="9"/>
        <v>16</v>
      </c>
      <c r="D270" cm="1">
        <f t="array" ref="D270">INDEX('Linha 04'!$A$4:$A$1000,B270)</f>
        <v>20030021</v>
      </c>
      <c r="E270" t="str" cm="1">
        <f t="array" ref="E270">INDEX('Linha 04'!$B$4:$B$1000,B270)</f>
        <v>Detergente Ito Limao Cx/24 X 500ml</v>
      </c>
      <c r="F270" cm="1">
        <f t="array" ref="F270">INDEX('Linha 04'!$C$3:$ZZ$3,C270)</f>
        <v>20030067</v>
      </c>
      <c r="G270" t="str" cm="1">
        <f t="array" ref="G270">INDEX('Linha 04'!$C$2:$ZZ$2,C270)</f>
        <v>Detergente Aquafast Coco Cx/24 X 500ml</v>
      </c>
      <c r="H270" s="5" cm="1">
        <f t="array" ref="H270">INDEX('Linha 04'!$C$4:$ZZ$1000,B270,C270)</f>
        <v>0</v>
      </c>
    </row>
    <row r="271" spans="1:8" x14ac:dyDescent="0.25">
      <c r="A271">
        <v>269</v>
      </c>
      <c r="B271">
        <f t="shared" si="8"/>
        <v>10</v>
      </c>
      <c r="C271">
        <f t="shared" si="9"/>
        <v>17</v>
      </c>
      <c r="D271" cm="1">
        <f t="array" ref="D271">INDEX('Linha 04'!$A$4:$A$1000,B271)</f>
        <v>20030021</v>
      </c>
      <c r="E271" t="str" cm="1">
        <f t="array" ref="E271">INDEX('Linha 04'!$B$4:$B$1000,B271)</f>
        <v>Detergente Ito Limao Cx/24 X 500ml</v>
      </c>
      <c r="F271" cm="1">
        <f t="array" ref="F271">INDEX('Linha 04'!$C$3:$ZZ$3,C271)</f>
        <v>20050001</v>
      </c>
      <c r="G271" t="str" cm="1">
        <f t="array" ref="G271">INDEX('Linha 04'!$C$2:$ZZ$2,C271)</f>
        <v>Desinfetante Aquafast Campos Lavanda Cx/12 X 500ml</v>
      </c>
      <c r="H271" s="5" cm="1">
        <f t="array" ref="H271">INDEX('Linha 04'!$C$4:$ZZ$1000,B271,C271)</f>
        <v>0</v>
      </c>
    </row>
    <row r="272" spans="1:8" x14ac:dyDescent="0.25">
      <c r="A272">
        <v>270</v>
      </c>
      <c r="B272">
        <f t="shared" si="8"/>
        <v>10</v>
      </c>
      <c r="C272">
        <f t="shared" si="9"/>
        <v>18</v>
      </c>
      <c r="D272" cm="1">
        <f t="array" ref="D272">INDEX('Linha 04'!$A$4:$A$1000,B272)</f>
        <v>20030021</v>
      </c>
      <c r="E272" t="str" cm="1">
        <f t="array" ref="E272">INDEX('Linha 04'!$B$4:$B$1000,B272)</f>
        <v>Detergente Ito Limao Cx/24 X 500ml</v>
      </c>
      <c r="F272" cm="1">
        <f t="array" ref="F272">INDEX('Linha 04'!$C$3:$ZZ$3,C272)</f>
        <v>20050026</v>
      </c>
      <c r="G272" t="str" cm="1">
        <f t="array" ref="G272">INDEX('Linha 04'!$C$2:$ZZ$2,C272)</f>
        <v>Desinfetante Ito Lavanda Cx/12 X 500ml</v>
      </c>
      <c r="H272" s="5" cm="1">
        <f t="array" ref="H272">INDEX('Linha 04'!$C$4:$ZZ$1000,B272,C272)</f>
        <v>0</v>
      </c>
    </row>
    <row r="273" spans="1:8" x14ac:dyDescent="0.25">
      <c r="A273">
        <v>271</v>
      </c>
      <c r="B273">
        <f t="shared" si="8"/>
        <v>10</v>
      </c>
      <c r="C273">
        <f t="shared" si="9"/>
        <v>19</v>
      </c>
      <c r="D273" cm="1">
        <f t="array" ref="D273">INDEX('Linha 04'!$A$4:$A$1000,B273)</f>
        <v>20030021</v>
      </c>
      <c r="E273" t="str" cm="1">
        <f t="array" ref="E273">INDEX('Linha 04'!$B$4:$B$1000,B273)</f>
        <v>Detergente Ito Limao Cx/24 X 500ml</v>
      </c>
      <c r="F273" cm="1">
        <f t="array" ref="F273">INDEX('Linha 04'!$C$3:$ZZ$3,C273)</f>
        <v>20050119</v>
      </c>
      <c r="G273" t="str" cm="1">
        <f t="array" ref="G273">INDEX('Linha 04'!$C$2:$ZZ$2,C273)</f>
        <v>Desinfetante Aquafast Paixao Cx/12 X 500ml</v>
      </c>
      <c r="H273" s="5" cm="1">
        <f t="array" ref="H273">INDEX('Linha 04'!$C$4:$ZZ$1000,B273,C273)</f>
        <v>0</v>
      </c>
    </row>
    <row r="274" spans="1:8" x14ac:dyDescent="0.25">
      <c r="A274">
        <v>272</v>
      </c>
      <c r="B274">
        <f t="shared" si="8"/>
        <v>10</v>
      </c>
      <c r="C274">
        <f t="shared" si="9"/>
        <v>20</v>
      </c>
      <c r="D274" cm="1">
        <f t="array" ref="D274">INDEX('Linha 04'!$A$4:$A$1000,B274)</f>
        <v>20030021</v>
      </c>
      <c r="E274" t="str" cm="1">
        <f t="array" ref="E274">INDEX('Linha 04'!$B$4:$B$1000,B274)</f>
        <v>Detergente Ito Limao Cx/24 X 500ml</v>
      </c>
      <c r="F274" cm="1">
        <f t="array" ref="F274">INDEX('Linha 04'!$C$3:$ZZ$3,C274)</f>
        <v>20050145</v>
      </c>
      <c r="G274" t="str" cm="1">
        <f t="array" ref="G274">INDEX('Linha 04'!$C$2:$ZZ$2,C274)</f>
        <v>Desinfetante Aquafast Harmonia Natural Cx/12 X 500ml</v>
      </c>
      <c r="H274" s="5" cm="1">
        <f t="array" ref="H274">INDEX('Linha 04'!$C$4:$ZZ$1000,B274,C274)</f>
        <v>0</v>
      </c>
    </row>
    <row r="275" spans="1:8" x14ac:dyDescent="0.25">
      <c r="A275">
        <v>273</v>
      </c>
      <c r="B275">
        <f t="shared" si="8"/>
        <v>10</v>
      </c>
      <c r="C275">
        <f t="shared" si="9"/>
        <v>21</v>
      </c>
      <c r="D275" cm="1">
        <f t="array" ref="D275">INDEX('Linha 04'!$A$4:$A$1000,B275)</f>
        <v>20030021</v>
      </c>
      <c r="E275" t="str" cm="1">
        <f t="array" ref="E275">INDEX('Linha 04'!$B$4:$B$1000,B275)</f>
        <v>Detergente Ito Limao Cx/24 X 500ml</v>
      </c>
      <c r="F275" cm="1">
        <f t="array" ref="F275">INDEX('Linha 04'!$C$3:$ZZ$3,C275)</f>
        <v>20050149</v>
      </c>
      <c r="G275" t="str" cm="1">
        <f t="array" ref="G275">INDEX('Linha 04'!$C$2:$ZZ$2,C275)</f>
        <v>Desinfetante Aquafast Campos Lavanda Cx/12 X 1l</v>
      </c>
      <c r="H275" s="5" cm="1">
        <f t="array" ref="H275">INDEX('Linha 04'!$C$4:$ZZ$1000,B275,C275)</f>
        <v>0</v>
      </c>
    </row>
    <row r="276" spans="1:8" x14ac:dyDescent="0.25">
      <c r="A276">
        <v>274</v>
      </c>
      <c r="B276">
        <f t="shared" si="8"/>
        <v>10</v>
      </c>
      <c r="C276">
        <f t="shared" si="9"/>
        <v>22</v>
      </c>
      <c r="D276" cm="1">
        <f t="array" ref="D276">INDEX('Linha 04'!$A$4:$A$1000,B276)</f>
        <v>20030021</v>
      </c>
      <c r="E276" t="str" cm="1">
        <f t="array" ref="E276">INDEX('Linha 04'!$B$4:$B$1000,B276)</f>
        <v>Detergente Ito Limao Cx/24 X 500ml</v>
      </c>
      <c r="F276" cm="1">
        <f t="array" ref="F276">INDEX('Linha 04'!$C$3:$ZZ$3,C276)</f>
        <v>20050150</v>
      </c>
      <c r="G276" t="str" cm="1">
        <f t="array" ref="G276">INDEX('Linha 04'!$C$2:$ZZ$2,C276)</f>
        <v>Desinfetante Aquafast Marine Cx/12 X 1l</v>
      </c>
      <c r="H276" s="5" cm="1">
        <f t="array" ref="H276">INDEX('Linha 04'!$C$4:$ZZ$1000,B276,C276)</f>
        <v>0</v>
      </c>
    </row>
    <row r="277" spans="1:8" x14ac:dyDescent="0.25">
      <c r="A277">
        <v>275</v>
      </c>
      <c r="B277">
        <f t="shared" si="8"/>
        <v>10</v>
      </c>
      <c r="C277">
        <f t="shared" si="9"/>
        <v>23</v>
      </c>
      <c r="D277" cm="1">
        <f t="array" ref="D277">INDEX('Linha 04'!$A$4:$A$1000,B277)</f>
        <v>20030021</v>
      </c>
      <c r="E277" t="str" cm="1">
        <f t="array" ref="E277">INDEX('Linha 04'!$B$4:$B$1000,B277)</f>
        <v>Detergente Ito Limao Cx/24 X 500ml</v>
      </c>
      <c r="F277" cm="1">
        <f t="array" ref="F277">INDEX('Linha 04'!$C$3:$ZZ$3,C277)</f>
        <v>20050151</v>
      </c>
      <c r="G277" t="str" cm="1">
        <f t="array" ref="G277">INDEX('Linha 04'!$C$2:$ZZ$2,C277)</f>
        <v>Desinfetante Aquafast Paixao Cx/12 X 1l</v>
      </c>
      <c r="H277" s="5" cm="1">
        <f t="array" ref="H277">INDEX('Linha 04'!$C$4:$ZZ$1000,B277,C277)</f>
        <v>0</v>
      </c>
    </row>
    <row r="278" spans="1:8" x14ac:dyDescent="0.25">
      <c r="A278">
        <v>276</v>
      </c>
      <c r="B278">
        <f t="shared" si="8"/>
        <v>10</v>
      </c>
      <c r="C278">
        <f t="shared" si="9"/>
        <v>24</v>
      </c>
      <c r="D278" cm="1">
        <f t="array" ref="D278">INDEX('Linha 04'!$A$4:$A$1000,B278)</f>
        <v>20030021</v>
      </c>
      <c r="E278" t="str" cm="1">
        <f t="array" ref="E278">INDEX('Linha 04'!$B$4:$B$1000,B278)</f>
        <v>Detergente Ito Limao Cx/24 X 500ml</v>
      </c>
      <c r="F278" cm="1">
        <f t="array" ref="F278">INDEX('Linha 04'!$C$3:$ZZ$3,C278)</f>
        <v>20050152</v>
      </c>
      <c r="G278" t="str" cm="1">
        <f t="array" ref="G278">INDEX('Linha 04'!$C$2:$ZZ$2,C278)</f>
        <v>Desinfetante Aquafast Harmonia Natural Cx/12 X 1l</v>
      </c>
      <c r="H278" s="5" cm="1">
        <f t="array" ref="H278">INDEX('Linha 04'!$C$4:$ZZ$1000,B278,C278)</f>
        <v>0</v>
      </c>
    </row>
    <row r="279" spans="1:8" x14ac:dyDescent="0.25">
      <c r="A279">
        <v>277</v>
      </c>
      <c r="B279">
        <f t="shared" si="8"/>
        <v>10</v>
      </c>
      <c r="C279">
        <f t="shared" si="9"/>
        <v>25</v>
      </c>
      <c r="D279" cm="1">
        <f t="array" ref="D279">INDEX('Linha 04'!$A$4:$A$1000,B279)</f>
        <v>20030021</v>
      </c>
      <c r="E279" t="str" cm="1">
        <f t="array" ref="E279">INDEX('Linha 04'!$B$4:$B$1000,B279)</f>
        <v>Detergente Ito Limao Cx/24 X 500ml</v>
      </c>
      <c r="F279" cm="1">
        <f t="array" ref="F279">INDEX('Linha 04'!$C$3:$ZZ$3,C279)</f>
        <v>20050153</v>
      </c>
      <c r="G279" t="str" cm="1">
        <f t="array" ref="G279">INDEX('Linha 04'!$C$2:$ZZ$2,C279)</f>
        <v>Desinfetante Ito Harmonia Natural Cx/12 X 500ml</v>
      </c>
      <c r="H279" s="5" cm="1">
        <f t="array" ref="H279">INDEX('Linha 04'!$C$4:$ZZ$1000,B279,C279)</f>
        <v>0</v>
      </c>
    </row>
    <row r="280" spans="1:8" x14ac:dyDescent="0.25">
      <c r="A280">
        <v>278</v>
      </c>
      <c r="B280">
        <f t="shared" si="8"/>
        <v>10</v>
      </c>
      <c r="C280">
        <f t="shared" si="9"/>
        <v>26</v>
      </c>
      <c r="D280" cm="1">
        <f t="array" ref="D280">INDEX('Linha 04'!$A$4:$A$1000,B280)</f>
        <v>20030021</v>
      </c>
      <c r="E280" t="str" cm="1">
        <f t="array" ref="E280">INDEX('Linha 04'!$B$4:$B$1000,B280)</f>
        <v>Detergente Ito Limao Cx/24 X 500ml</v>
      </c>
      <c r="F280" cm="1">
        <f t="array" ref="F280">INDEX('Linha 04'!$C$3:$ZZ$3,C280)</f>
        <v>20050155</v>
      </c>
      <c r="G280" t="str" cm="1">
        <f t="array" ref="G280">INDEX('Linha 04'!$C$2:$ZZ$2,C280)</f>
        <v>Intermed Pack Desinfetante Paixao Cx/12 X 1l</v>
      </c>
      <c r="H280" s="5" cm="1">
        <f t="array" ref="H280">INDEX('Linha 04'!$C$4:$ZZ$1000,B280,C280)</f>
        <v>0</v>
      </c>
    </row>
    <row r="281" spans="1:8" x14ac:dyDescent="0.25">
      <c r="A281">
        <v>279</v>
      </c>
      <c r="B281">
        <f t="shared" si="8"/>
        <v>10</v>
      </c>
      <c r="C281">
        <f t="shared" si="9"/>
        <v>27</v>
      </c>
      <c r="D281" cm="1">
        <f t="array" ref="D281">INDEX('Linha 04'!$A$4:$A$1000,B281)</f>
        <v>20030021</v>
      </c>
      <c r="E281" t="str" cm="1">
        <f t="array" ref="E281">INDEX('Linha 04'!$B$4:$B$1000,B281)</f>
        <v>Detergente Ito Limao Cx/24 X 500ml</v>
      </c>
      <c r="F281" cm="1">
        <f t="array" ref="F281">INDEX('Linha 04'!$C$3:$ZZ$3,C281)</f>
        <v>20050156</v>
      </c>
      <c r="G281" t="str" cm="1">
        <f t="array" ref="G281">INDEX('Linha 04'!$C$2:$ZZ$2,C281)</f>
        <v>Intermed Pack Desinfetante Campos Lavanda Cx/12 X 1l</v>
      </c>
      <c r="H281" s="5" cm="1">
        <f t="array" ref="H281">INDEX('Linha 04'!$C$4:$ZZ$1000,B281,C281)</f>
        <v>0</v>
      </c>
    </row>
    <row r="282" spans="1:8" x14ac:dyDescent="0.25">
      <c r="A282">
        <v>280</v>
      </c>
      <c r="B282">
        <f t="shared" si="8"/>
        <v>10</v>
      </c>
      <c r="C282">
        <f t="shared" si="9"/>
        <v>28</v>
      </c>
      <c r="D282" cm="1">
        <f t="array" ref="D282">INDEX('Linha 04'!$A$4:$A$1000,B282)</f>
        <v>20030021</v>
      </c>
      <c r="E282" t="str" cm="1">
        <f t="array" ref="E282">INDEX('Linha 04'!$B$4:$B$1000,B282)</f>
        <v>Detergente Ito Limao Cx/24 X 500ml</v>
      </c>
      <c r="F282" cm="1">
        <f t="array" ref="F282">INDEX('Linha 04'!$C$3:$ZZ$3,C282)</f>
        <v>20050157</v>
      </c>
      <c r="G282" t="str" cm="1">
        <f t="array" ref="G282">INDEX('Linha 04'!$C$2:$ZZ$2,C282)</f>
        <v>Intermed Pack Desinfetante Marine Cx/12 X 1l</v>
      </c>
      <c r="H282" s="5" cm="1">
        <f t="array" ref="H282">INDEX('Linha 04'!$C$4:$ZZ$1000,B282,C282)</f>
        <v>0</v>
      </c>
    </row>
    <row r="283" spans="1:8" x14ac:dyDescent="0.25">
      <c r="A283">
        <v>281</v>
      </c>
      <c r="B283">
        <f t="shared" si="8"/>
        <v>11</v>
      </c>
      <c r="C283">
        <f t="shared" si="9"/>
        <v>1</v>
      </c>
      <c r="D283" cm="1">
        <f t="array" ref="D283">INDEX('Linha 04'!$A$4:$A$1000,B283)</f>
        <v>20030022</v>
      </c>
      <c r="E283" t="str" cm="1">
        <f t="array" ref="E283">INDEX('Linha 04'!$B$4:$B$1000,B283)</f>
        <v>Detergente Ito Neutro Cx/24 X 500ml</v>
      </c>
      <c r="F283" cm="1">
        <f t="array" ref="F283">INDEX('Linha 04'!$C$3:$ZZ$3,C283)</f>
        <v>20030001</v>
      </c>
      <c r="G283" t="str" cm="1">
        <f t="array" ref="G283">INDEX('Linha 04'!$C$2:$ZZ$2,C283)</f>
        <v>Detergente Aquafast Maca Cx/24 X 500ml</v>
      </c>
      <c r="H283" s="5" cm="1">
        <f t="array" ref="H283">INDEX('Linha 04'!$C$4:$ZZ$1000,B283,C283)</f>
        <v>0</v>
      </c>
    </row>
    <row r="284" spans="1:8" x14ac:dyDescent="0.25">
      <c r="A284">
        <v>282</v>
      </c>
      <c r="B284">
        <f t="shared" si="8"/>
        <v>11</v>
      </c>
      <c r="C284">
        <f t="shared" si="9"/>
        <v>2</v>
      </c>
      <c r="D284" cm="1">
        <f t="array" ref="D284">INDEX('Linha 04'!$A$4:$A$1000,B284)</f>
        <v>20030022</v>
      </c>
      <c r="E284" t="str" cm="1">
        <f t="array" ref="E284">INDEX('Linha 04'!$B$4:$B$1000,B284)</f>
        <v>Detergente Ito Neutro Cx/24 X 500ml</v>
      </c>
      <c r="F284" cm="1">
        <f t="array" ref="F284">INDEX('Linha 04'!$C$3:$ZZ$3,C284)</f>
        <v>20030002</v>
      </c>
      <c r="G284" t="str" cm="1">
        <f t="array" ref="G284">INDEX('Linha 04'!$C$2:$ZZ$2,C284)</f>
        <v>Detergente Aquafast Limao Cx/24 X 500ml</v>
      </c>
      <c r="H284" s="5" cm="1">
        <f t="array" ref="H284">INDEX('Linha 04'!$C$4:$ZZ$1000,B284,C284)</f>
        <v>0</v>
      </c>
    </row>
    <row r="285" spans="1:8" x14ac:dyDescent="0.25">
      <c r="A285">
        <v>283</v>
      </c>
      <c r="B285">
        <f t="shared" si="8"/>
        <v>11</v>
      </c>
      <c r="C285">
        <f t="shared" si="9"/>
        <v>3</v>
      </c>
      <c r="D285" cm="1">
        <f t="array" ref="D285">INDEX('Linha 04'!$A$4:$A$1000,B285)</f>
        <v>20030022</v>
      </c>
      <c r="E285" t="str" cm="1">
        <f t="array" ref="E285">INDEX('Linha 04'!$B$4:$B$1000,B285)</f>
        <v>Detergente Ito Neutro Cx/24 X 500ml</v>
      </c>
      <c r="F285" cm="1">
        <f t="array" ref="F285">INDEX('Linha 04'!$C$3:$ZZ$3,C285)</f>
        <v>20030003</v>
      </c>
      <c r="G285" t="str" cm="1">
        <f t="array" ref="G285">INDEX('Linha 04'!$C$2:$ZZ$2,C285)</f>
        <v>Detergente Aquafast Neutro Cx/24 X 500ml</v>
      </c>
      <c r="H285" s="5" cm="1">
        <f t="array" ref="H285">INDEX('Linha 04'!$C$4:$ZZ$1000,B285,C285)</f>
        <v>0</v>
      </c>
    </row>
    <row r="286" spans="1:8" x14ac:dyDescent="0.25">
      <c r="A286">
        <v>284</v>
      </c>
      <c r="B286">
        <f t="shared" si="8"/>
        <v>11</v>
      </c>
      <c r="C286">
        <f t="shared" si="9"/>
        <v>4</v>
      </c>
      <c r="D286" cm="1">
        <f t="array" ref="D286">INDEX('Linha 04'!$A$4:$A$1000,B286)</f>
        <v>20030022</v>
      </c>
      <c r="E286" t="str" cm="1">
        <f t="array" ref="E286">INDEX('Linha 04'!$B$4:$B$1000,B286)</f>
        <v>Detergente Ito Neutro Cx/24 X 500ml</v>
      </c>
      <c r="F286" cm="1">
        <f t="array" ref="F286">INDEX('Linha 04'!$C$3:$ZZ$3,C286)</f>
        <v>20030004</v>
      </c>
      <c r="G286" t="str" cm="1">
        <f t="array" ref="G286">INDEX('Linha 04'!$C$2:$ZZ$2,C286)</f>
        <v>Detergente Aquafast Clear Cx/24 X 500ml (Natural)</v>
      </c>
      <c r="H286" s="5" cm="1">
        <f t="array" ref="H286">INDEX('Linha 04'!$C$4:$ZZ$1000,B286,C286)</f>
        <v>0</v>
      </c>
    </row>
    <row r="287" spans="1:8" x14ac:dyDescent="0.25">
      <c r="A287">
        <v>285</v>
      </c>
      <c r="B287">
        <f t="shared" si="8"/>
        <v>11</v>
      </c>
      <c r="C287">
        <f t="shared" si="9"/>
        <v>5</v>
      </c>
      <c r="D287" cm="1">
        <f t="array" ref="D287">INDEX('Linha 04'!$A$4:$A$1000,B287)</f>
        <v>20030022</v>
      </c>
      <c r="E287" t="str" cm="1">
        <f t="array" ref="E287">INDEX('Linha 04'!$B$4:$B$1000,B287)</f>
        <v>Detergente Ito Neutro Cx/24 X 500ml</v>
      </c>
      <c r="F287" cm="1">
        <f t="array" ref="F287">INDEX('Linha 04'!$C$3:$ZZ$3,C287)</f>
        <v>20030011</v>
      </c>
      <c r="G287" t="str" cm="1">
        <f t="array" ref="G287">INDEX('Linha 04'!$C$2:$ZZ$2,C287)</f>
        <v>Detergente Aquafast Maca Cx/12 X 1l</v>
      </c>
      <c r="H287" s="5" cm="1">
        <f t="array" ref="H287">INDEX('Linha 04'!$C$4:$ZZ$1000,B287,C287)</f>
        <v>0</v>
      </c>
    </row>
    <row r="288" spans="1:8" x14ac:dyDescent="0.25">
      <c r="A288">
        <v>286</v>
      </c>
      <c r="B288">
        <f t="shared" si="8"/>
        <v>11</v>
      </c>
      <c r="C288">
        <f t="shared" si="9"/>
        <v>6</v>
      </c>
      <c r="D288" cm="1">
        <f t="array" ref="D288">INDEX('Linha 04'!$A$4:$A$1000,B288)</f>
        <v>20030022</v>
      </c>
      <c r="E288" t="str" cm="1">
        <f t="array" ref="E288">INDEX('Linha 04'!$B$4:$B$1000,B288)</f>
        <v>Detergente Ito Neutro Cx/24 X 500ml</v>
      </c>
      <c r="F288" cm="1">
        <f t="array" ref="F288">INDEX('Linha 04'!$C$3:$ZZ$3,C288)</f>
        <v>20030012</v>
      </c>
      <c r="G288" t="str" cm="1">
        <f t="array" ref="G288">INDEX('Linha 04'!$C$2:$ZZ$2,C288)</f>
        <v>Detergente Aquafast Limao Cx/12 X 1l</v>
      </c>
      <c r="H288" s="5" cm="1">
        <f t="array" ref="H288">INDEX('Linha 04'!$C$4:$ZZ$1000,B288,C288)</f>
        <v>0</v>
      </c>
    </row>
    <row r="289" spans="1:8" x14ac:dyDescent="0.25">
      <c r="A289">
        <v>287</v>
      </c>
      <c r="B289">
        <f t="shared" si="8"/>
        <v>11</v>
      </c>
      <c r="C289">
        <f t="shared" si="9"/>
        <v>7</v>
      </c>
      <c r="D289" cm="1">
        <f t="array" ref="D289">INDEX('Linha 04'!$A$4:$A$1000,B289)</f>
        <v>20030022</v>
      </c>
      <c r="E289" t="str" cm="1">
        <f t="array" ref="E289">INDEX('Linha 04'!$B$4:$B$1000,B289)</f>
        <v>Detergente Ito Neutro Cx/24 X 500ml</v>
      </c>
      <c r="F289" cm="1">
        <f t="array" ref="F289">INDEX('Linha 04'!$C$3:$ZZ$3,C289)</f>
        <v>20030013</v>
      </c>
      <c r="G289" t="str" cm="1">
        <f t="array" ref="G289">INDEX('Linha 04'!$C$2:$ZZ$2,C289)</f>
        <v>Detergente Aquafast Neutro Cx/12 X 1l</v>
      </c>
      <c r="H289" s="5" cm="1">
        <f t="array" ref="H289">INDEX('Linha 04'!$C$4:$ZZ$1000,B289,C289)</f>
        <v>0</v>
      </c>
    </row>
    <row r="290" spans="1:8" x14ac:dyDescent="0.25">
      <c r="A290">
        <v>288</v>
      </c>
      <c r="B290">
        <f t="shared" si="8"/>
        <v>11</v>
      </c>
      <c r="C290">
        <f t="shared" si="9"/>
        <v>8</v>
      </c>
      <c r="D290" cm="1">
        <f t="array" ref="D290">INDEX('Linha 04'!$A$4:$A$1000,B290)</f>
        <v>20030022</v>
      </c>
      <c r="E290" t="str" cm="1">
        <f t="array" ref="E290">INDEX('Linha 04'!$B$4:$B$1000,B290)</f>
        <v>Detergente Ito Neutro Cx/24 X 500ml</v>
      </c>
      <c r="F290" cm="1">
        <f t="array" ref="F290">INDEX('Linha 04'!$C$3:$ZZ$3,C290)</f>
        <v>20030014</v>
      </c>
      <c r="G290" t="str" cm="1">
        <f t="array" ref="G290">INDEX('Linha 04'!$C$2:$ZZ$2,C290)</f>
        <v>Detergente Aquafast Clear Cx/12 X 1l (Natural)</v>
      </c>
      <c r="H290" s="5" cm="1">
        <f t="array" ref="H290">INDEX('Linha 04'!$C$4:$ZZ$1000,B290,C290)</f>
        <v>0</v>
      </c>
    </row>
    <row r="291" spans="1:8" x14ac:dyDescent="0.25">
      <c r="A291">
        <v>289</v>
      </c>
      <c r="B291">
        <f t="shared" si="8"/>
        <v>11</v>
      </c>
      <c r="C291">
        <f t="shared" si="9"/>
        <v>9</v>
      </c>
      <c r="D291" cm="1">
        <f t="array" ref="D291">INDEX('Linha 04'!$A$4:$A$1000,B291)</f>
        <v>20030022</v>
      </c>
      <c r="E291" t="str" cm="1">
        <f t="array" ref="E291">INDEX('Linha 04'!$B$4:$B$1000,B291)</f>
        <v>Detergente Ito Neutro Cx/24 X 500ml</v>
      </c>
      <c r="F291" cm="1">
        <f t="array" ref="F291">INDEX('Linha 04'!$C$3:$ZZ$3,C291)</f>
        <v>20030020</v>
      </c>
      <c r="G291" t="str" cm="1">
        <f t="array" ref="G291">INDEX('Linha 04'!$C$2:$ZZ$2,C291)</f>
        <v>Detergente Ito Maca Cx/24 X 500ml</v>
      </c>
      <c r="H291" s="5" cm="1">
        <f t="array" ref="H291">INDEX('Linha 04'!$C$4:$ZZ$1000,B291,C291)</f>
        <v>0</v>
      </c>
    </row>
    <row r="292" spans="1:8" x14ac:dyDescent="0.25">
      <c r="A292">
        <v>290</v>
      </c>
      <c r="B292">
        <f t="shared" si="8"/>
        <v>11</v>
      </c>
      <c r="C292">
        <f t="shared" si="9"/>
        <v>10</v>
      </c>
      <c r="D292" cm="1">
        <f t="array" ref="D292">INDEX('Linha 04'!$A$4:$A$1000,B292)</f>
        <v>20030022</v>
      </c>
      <c r="E292" t="str" cm="1">
        <f t="array" ref="E292">INDEX('Linha 04'!$B$4:$B$1000,B292)</f>
        <v>Detergente Ito Neutro Cx/24 X 500ml</v>
      </c>
      <c r="F292" cm="1">
        <f t="array" ref="F292">INDEX('Linha 04'!$C$3:$ZZ$3,C292)</f>
        <v>20030021</v>
      </c>
      <c r="G292" t="str" cm="1">
        <f t="array" ref="G292">INDEX('Linha 04'!$C$2:$ZZ$2,C292)</f>
        <v>Detergente Ito Limao Cx/24 X 500ml</v>
      </c>
      <c r="H292" s="5" cm="1">
        <f t="array" ref="H292">INDEX('Linha 04'!$C$4:$ZZ$1000,B292,C292)</f>
        <v>0</v>
      </c>
    </row>
    <row r="293" spans="1:8" x14ac:dyDescent="0.25">
      <c r="A293">
        <v>291</v>
      </c>
      <c r="B293">
        <f t="shared" si="8"/>
        <v>11</v>
      </c>
      <c r="C293">
        <f t="shared" si="9"/>
        <v>11</v>
      </c>
      <c r="D293" cm="1">
        <f t="array" ref="D293">INDEX('Linha 04'!$A$4:$A$1000,B293)</f>
        <v>20030022</v>
      </c>
      <c r="E293" t="str" cm="1">
        <f t="array" ref="E293">INDEX('Linha 04'!$B$4:$B$1000,B293)</f>
        <v>Detergente Ito Neutro Cx/24 X 500ml</v>
      </c>
      <c r="F293" cm="1">
        <f t="array" ref="F293">INDEX('Linha 04'!$C$3:$ZZ$3,C293)</f>
        <v>20030022</v>
      </c>
      <c r="G293" t="str" cm="1">
        <f t="array" ref="G293">INDEX('Linha 04'!$C$2:$ZZ$2,C293)</f>
        <v>Detergente Ito Neutro Cx/24 X 500ml</v>
      </c>
      <c r="H293" s="5" cm="1">
        <f t="array" ref="H293">INDEX('Linha 04'!$C$4:$ZZ$1000,B293,C293)</f>
        <v>0</v>
      </c>
    </row>
    <row r="294" spans="1:8" x14ac:dyDescent="0.25">
      <c r="A294">
        <v>292</v>
      </c>
      <c r="B294">
        <f t="shared" si="8"/>
        <v>11</v>
      </c>
      <c r="C294">
        <f t="shared" si="9"/>
        <v>12</v>
      </c>
      <c r="D294" cm="1">
        <f t="array" ref="D294">INDEX('Linha 04'!$A$4:$A$1000,B294)</f>
        <v>20030022</v>
      </c>
      <c r="E294" t="str" cm="1">
        <f t="array" ref="E294">INDEX('Linha 04'!$B$4:$B$1000,B294)</f>
        <v>Detergente Ito Neutro Cx/24 X 500ml</v>
      </c>
      <c r="F294" cm="1">
        <f t="array" ref="F294">INDEX('Linha 04'!$C$3:$ZZ$3,C294)</f>
        <v>20030023</v>
      </c>
      <c r="G294" t="str" cm="1">
        <f t="array" ref="G294">INDEX('Linha 04'!$C$2:$ZZ$2,C294)</f>
        <v>Detergente Ito Clear Cx/24 X 500ml</v>
      </c>
      <c r="H294" s="5" cm="1">
        <f t="array" ref="H294">INDEX('Linha 04'!$C$4:$ZZ$1000,B294,C294)</f>
        <v>0</v>
      </c>
    </row>
    <row r="295" spans="1:8" x14ac:dyDescent="0.25">
      <c r="A295">
        <v>293</v>
      </c>
      <c r="B295">
        <f t="shared" si="8"/>
        <v>11</v>
      </c>
      <c r="C295">
        <f t="shared" si="9"/>
        <v>13</v>
      </c>
      <c r="D295" cm="1">
        <f t="array" ref="D295">INDEX('Linha 04'!$A$4:$A$1000,B295)</f>
        <v>20030022</v>
      </c>
      <c r="E295" t="str" cm="1">
        <f t="array" ref="E295">INDEX('Linha 04'!$B$4:$B$1000,B295)</f>
        <v>Detergente Ito Neutro Cx/24 X 500ml</v>
      </c>
      <c r="F295" cm="1">
        <f t="array" ref="F295">INDEX('Linha 04'!$C$3:$ZZ$3,C295)</f>
        <v>20030038</v>
      </c>
      <c r="G295" t="str" cm="1">
        <f t="array" ref="G295">INDEX('Linha 04'!$C$2:$ZZ$2,C295)</f>
        <v>Detergente Myata Maca Cx/24 X 500ml</v>
      </c>
      <c r="H295" s="5" cm="1">
        <f t="array" ref="H295">INDEX('Linha 04'!$C$4:$ZZ$1000,B295,C295)</f>
        <v>0</v>
      </c>
    </row>
    <row r="296" spans="1:8" x14ac:dyDescent="0.25">
      <c r="A296">
        <v>294</v>
      </c>
      <c r="B296">
        <f t="shared" si="8"/>
        <v>11</v>
      </c>
      <c r="C296">
        <f t="shared" si="9"/>
        <v>14</v>
      </c>
      <c r="D296" cm="1">
        <f t="array" ref="D296">INDEX('Linha 04'!$A$4:$A$1000,B296)</f>
        <v>20030022</v>
      </c>
      <c r="E296" t="str" cm="1">
        <f t="array" ref="E296">INDEX('Linha 04'!$B$4:$B$1000,B296)</f>
        <v>Detergente Ito Neutro Cx/24 X 500ml</v>
      </c>
      <c r="F296" cm="1">
        <f t="array" ref="F296">INDEX('Linha 04'!$C$3:$ZZ$3,C296)</f>
        <v>20030039</v>
      </c>
      <c r="G296" t="str" cm="1">
        <f t="array" ref="G296">INDEX('Linha 04'!$C$2:$ZZ$2,C296)</f>
        <v>Detergente Myata Limao Cx/24 X 500ml</v>
      </c>
      <c r="H296" s="5" cm="1">
        <f t="array" ref="H296">INDEX('Linha 04'!$C$4:$ZZ$1000,B296,C296)</f>
        <v>0</v>
      </c>
    </row>
    <row r="297" spans="1:8" x14ac:dyDescent="0.25">
      <c r="A297">
        <v>295</v>
      </c>
      <c r="B297">
        <f t="shared" si="8"/>
        <v>11</v>
      </c>
      <c r="C297">
        <f t="shared" si="9"/>
        <v>15</v>
      </c>
      <c r="D297" cm="1">
        <f t="array" ref="D297">INDEX('Linha 04'!$A$4:$A$1000,B297)</f>
        <v>20030022</v>
      </c>
      <c r="E297" t="str" cm="1">
        <f t="array" ref="E297">INDEX('Linha 04'!$B$4:$B$1000,B297)</f>
        <v>Detergente Ito Neutro Cx/24 X 500ml</v>
      </c>
      <c r="F297" cm="1">
        <f t="array" ref="F297">INDEX('Linha 04'!$C$3:$ZZ$3,C297)</f>
        <v>20030040</v>
      </c>
      <c r="G297" t="str" cm="1">
        <f t="array" ref="G297">INDEX('Linha 04'!$C$2:$ZZ$2,C297)</f>
        <v>Detergente Myata Neutro Cx/24 X 500ml</v>
      </c>
      <c r="H297" s="5" cm="1">
        <f t="array" ref="H297">INDEX('Linha 04'!$C$4:$ZZ$1000,B297,C297)</f>
        <v>0</v>
      </c>
    </row>
    <row r="298" spans="1:8" x14ac:dyDescent="0.25">
      <c r="A298">
        <v>296</v>
      </c>
      <c r="B298">
        <f t="shared" si="8"/>
        <v>11</v>
      </c>
      <c r="C298">
        <f t="shared" si="9"/>
        <v>16</v>
      </c>
      <c r="D298" cm="1">
        <f t="array" ref="D298">INDEX('Linha 04'!$A$4:$A$1000,B298)</f>
        <v>20030022</v>
      </c>
      <c r="E298" t="str" cm="1">
        <f t="array" ref="E298">INDEX('Linha 04'!$B$4:$B$1000,B298)</f>
        <v>Detergente Ito Neutro Cx/24 X 500ml</v>
      </c>
      <c r="F298" cm="1">
        <f t="array" ref="F298">INDEX('Linha 04'!$C$3:$ZZ$3,C298)</f>
        <v>20030067</v>
      </c>
      <c r="G298" t="str" cm="1">
        <f t="array" ref="G298">INDEX('Linha 04'!$C$2:$ZZ$2,C298)</f>
        <v>Detergente Aquafast Coco Cx/24 X 500ml</v>
      </c>
      <c r="H298" s="5" cm="1">
        <f t="array" ref="H298">INDEX('Linha 04'!$C$4:$ZZ$1000,B298,C298)</f>
        <v>0</v>
      </c>
    </row>
    <row r="299" spans="1:8" x14ac:dyDescent="0.25">
      <c r="A299">
        <v>297</v>
      </c>
      <c r="B299">
        <f t="shared" si="8"/>
        <v>11</v>
      </c>
      <c r="C299">
        <f t="shared" si="9"/>
        <v>17</v>
      </c>
      <c r="D299" cm="1">
        <f t="array" ref="D299">INDEX('Linha 04'!$A$4:$A$1000,B299)</f>
        <v>20030022</v>
      </c>
      <c r="E299" t="str" cm="1">
        <f t="array" ref="E299">INDEX('Linha 04'!$B$4:$B$1000,B299)</f>
        <v>Detergente Ito Neutro Cx/24 X 500ml</v>
      </c>
      <c r="F299" cm="1">
        <f t="array" ref="F299">INDEX('Linha 04'!$C$3:$ZZ$3,C299)</f>
        <v>20050001</v>
      </c>
      <c r="G299" t="str" cm="1">
        <f t="array" ref="G299">INDEX('Linha 04'!$C$2:$ZZ$2,C299)</f>
        <v>Desinfetante Aquafast Campos Lavanda Cx/12 X 500ml</v>
      </c>
      <c r="H299" s="5" cm="1">
        <f t="array" ref="H299">INDEX('Linha 04'!$C$4:$ZZ$1000,B299,C299)</f>
        <v>0</v>
      </c>
    </row>
    <row r="300" spans="1:8" x14ac:dyDescent="0.25">
      <c r="A300">
        <v>298</v>
      </c>
      <c r="B300">
        <f t="shared" si="8"/>
        <v>11</v>
      </c>
      <c r="C300">
        <f t="shared" si="9"/>
        <v>18</v>
      </c>
      <c r="D300" cm="1">
        <f t="array" ref="D300">INDEX('Linha 04'!$A$4:$A$1000,B300)</f>
        <v>20030022</v>
      </c>
      <c r="E300" t="str" cm="1">
        <f t="array" ref="E300">INDEX('Linha 04'!$B$4:$B$1000,B300)</f>
        <v>Detergente Ito Neutro Cx/24 X 500ml</v>
      </c>
      <c r="F300" cm="1">
        <f t="array" ref="F300">INDEX('Linha 04'!$C$3:$ZZ$3,C300)</f>
        <v>20050026</v>
      </c>
      <c r="G300" t="str" cm="1">
        <f t="array" ref="G300">INDEX('Linha 04'!$C$2:$ZZ$2,C300)</f>
        <v>Desinfetante Ito Lavanda Cx/12 X 500ml</v>
      </c>
      <c r="H300" s="5" cm="1">
        <f t="array" ref="H300">INDEX('Linha 04'!$C$4:$ZZ$1000,B300,C300)</f>
        <v>0</v>
      </c>
    </row>
    <row r="301" spans="1:8" x14ac:dyDescent="0.25">
      <c r="A301">
        <v>299</v>
      </c>
      <c r="B301">
        <f t="shared" si="8"/>
        <v>11</v>
      </c>
      <c r="C301">
        <f t="shared" si="9"/>
        <v>19</v>
      </c>
      <c r="D301" cm="1">
        <f t="array" ref="D301">INDEX('Linha 04'!$A$4:$A$1000,B301)</f>
        <v>20030022</v>
      </c>
      <c r="E301" t="str" cm="1">
        <f t="array" ref="E301">INDEX('Linha 04'!$B$4:$B$1000,B301)</f>
        <v>Detergente Ito Neutro Cx/24 X 500ml</v>
      </c>
      <c r="F301" cm="1">
        <f t="array" ref="F301">INDEX('Linha 04'!$C$3:$ZZ$3,C301)</f>
        <v>20050119</v>
      </c>
      <c r="G301" t="str" cm="1">
        <f t="array" ref="G301">INDEX('Linha 04'!$C$2:$ZZ$2,C301)</f>
        <v>Desinfetante Aquafast Paixao Cx/12 X 500ml</v>
      </c>
      <c r="H301" s="5" cm="1">
        <f t="array" ref="H301">INDEX('Linha 04'!$C$4:$ZZ$1000,B301,C301)</f>
        <v>0</v>
      </c>
    </row>
    <row r="302" spans="1:8" x14ac:dyDescent="0.25">
      <c r="A302">
        <v>300</v>
      </c>
      <c r="B302">
        <f t="shared" si="8"/>
        <v>11</v>
      </c>
      <c r="C302">
        <f t="shared" si="9"/>
        <v>20</v>
      </c>
      <c r="D302" cm="1">
        <f t="array" ref="D302">INDEX('Linha 04'!$A$4:$A$1000,B302)</f>
        <v>20030022</v>
      </c>
      <c r="E302" t="str" cm="1">
        <f t="array" ref="E302">INDEX('Linha 04'!$B$4:$B$1000,B302)</f>
        <v>Detergente Ito Neutro Cx/24 X 500ml</v>
      </c>
      <c r="F302" cm="1">
        <f t="array" ref="F302">INDEX('Linha 04'!$C$3:$ZZ$3,C302)</f>
        <v>20050145</v>
      </c>
      <c r="G302" t="str" cm="1">
        <f t="array" ref="G302">INDEX('Linha 04'!$C$2:$ZZ$2,C302)</f>
        <v>Desinfetante Aquafast Harmonia Natural Cx/12 X 500ml</v>
      </c>
      <c r="H302" s="5" cm="1">
        <f t="array" ref="H302">INDEX('Linha 04'!$C$4:$ZZ$1000,B302,C302)</f>
        <v>0</v>
      </c>
    </row>
    <row r="303" spans="1:8" x14ac:dyDescent="0.25">
      <c r="A303">
        <v>301</v>
      </c>
      <c r="B303">
        <f t="shared" si="8"/>
        <v>11</v>
      </c>
      <c r="C303">
        <f t="shared" si="9"/>
        <v>21</v>
      </c>
      <c r="D303" cm="1">
        <f t="array" ref="D303">INDEX('Linha 04'!$A$4:$A$1000,B303)</f>
        <v>20030022</v>
      </c>
      <c r="E303" t="str" cm="1">
        <f t="array" ref="E303">INDEX('Linha 04'!$B$4:$B$1000,B303)</f>
        <v>Detergente Ito Neutro Cx/24 X 500ml</v>
      </c>
      <c r="F303" cm="1">
        <f t="array" ref="F303">INDEX('Linha 04'!$C$3:$ZZ$3,C303)</f>
        <v>20050149</v>
      </c>
      <c r="G303" t="str" cm="1">
        <f t="array" ref="G303">INDEX('Linha 04'!$C$2:$ZZ$2,C303)</f>
        <v>Desinfetante Aquafast Campos Lavanda Cx/12 X 1l</v>
      </c>
      <c r="H303" s="5" cm="1">
        <f t="array" ref="H303">INDEX('Linha 04'!$C$4:$ZZ$1000,B303,C303)</f>
        <v>0</v>
      </c>
    </row>
    <row r="304" spans="1:8" x14ac:dyDescent="0.25">
      <c r="A304">
        <v>302</v>
      </c>
      <c r="B304">
        <f t="shared" si="8"/>
        <v>11</v>
      </c>
      <c r="C304">
        <f t="shared" si="9"/>
        <v>22</v>
      </c>
      <c r="D304" cm="1">
        <f t="array" ref="D304">INDEX('Linha 04'!$A$4:$A$1000,B304)</f>
        <v>20030022</v>
      </c>
      <c r="E304" t="str" cm="1">
        <f t="array" ref="E304">INDEX('Linha 04'!$B$4:$B$1000,B304)</f>
        <v>Detergente Ito Neutro Cx/24 X 500ml</v>
      </c>
      <c r="F304" cm="1">
        <f t="array" ref="F304">INDEX('Linha 04'!$C$3:$ZZ$3,C304)</f>
        <v>20050150</v>
      </c>
      <c r="G304" t="str" cm="1">
        <f t="array" ref="G304">INDEX('Linha 04'!$C$2:$ZZ$2,C304)</f>
        <v>Desinfetante Aquafast Marine Cx/12 X 1l</v>
      </c>
      <c r="H304" s="5" cm="1">
        <f t="array" ref="H304">INDEX('Linha 04'!$C$4:$ZZ$1000,B304,C304)</f>
        <v>0</v>
      </c>
    </row>
    <row r="305" spans="1:8" x14ac:dyDescent="0.25">
      <c r="A305">
        <v>303</v>
      </c>
      <c r="B305">
        <f t="shared" si="8"/>
        <v>11</v>
      </c>
      <c r="C305">
        <f t="shared" si="9"/>
        <v>23</v>
      </c>
      <c r="D305" cm="1">
        <f t="array" ref="D305">INDEX('Linha 04'!$A$4:$A$1000,B305)</f>
        <v>20030022</v>
      </c>
      <c r="E305" t="str" cm="1">
        <f t="array" ref="E305">INDEX('Linha 04'!$B$4:$B$1000,B305)</f>
        <v>Detergente Ito Neutro Cx/24 X 500ml</v>
      </c>
      <c r="F305" cm="1">
        <f t="array" ref="F305">INDEX('Linha 04'!$C$3:$ZZ$3,C305)</f>
        <v>20050151</v>
      </c>
      <c r="G305" t="str" cm="1">
        <f t="array" ref="G305">INDEX('Linha 04'!$C$2:$ZZ$2,C305)</f>
        <v>Desinfetante Aquafast Paixao Cx/12 X 1l</v>
      </c>
      <c r="H305" s="5" cm="1">
        <f t="array" ref="H305">INDEX('Linha 04'!$C$4:$ZZ$1000,B305,C305)</f>
        <v>0</v>
      </c>
    </row>
    <row r="306" spans="1:8" x14ac:dyDescent="0.25">
      <c r="A306">
        <v>304</v>
      </c>
      <c r="B306">
        <f t="shared" si="8"/>
        <v>11</v>
      </c>
      <c r="C306">
        <f t="shared" si="9"/>
        <v>24</v>
      </c>
      <c r="D306" cm="1">
        <f t="array" ref="D306">INDEX('Linha 04'!$A$4:$A$1000,B306)</f>
        <v>20030022</v>
      </c>
      <c r="E306" t="str" cm="1">
        <f t="array" ref="E306">INDEX('Linha 04'!$B$4:$B$1000,B306)</f>
        <v>Detergente Ito Neutro Cx/24 X 500ml</v>
      </c>
      <c r="F306" cm="1">
        <f t="array" ref="F306">INDEX('Linha 04'!$C$3:$ZZ$3,C306)</f>
        <v>20050152</v>
      </c>
      <c r="G306" t="str" cm="1">
        <f t="array" ref="G306">INDEX('Linha 04'!$C$2:$ZZ$2,C306)</f>
        <v>Desinfetante Aquafast Harmonia Natural Cx/12 X 1l</v>
      </c>
      <c r="H306" s="5" cm="1">
        <f t="array" ref="H306">INDEX('Linha 04'!$C$4:$ZZ$1000,B306,C306)</f>
        <v>0</v>
      </c>
    </row>
    <row r="307" spans="1:8" x14ac:dyDescent="0.25">
      <c r="A307">
        <v>305</v>
      </c>
      <c r="B307">
        <f t="shared" si="8"/>
        <v>11</v>
      </c>
      <c r="C307">
        <f t="shared" si="9"/>
        <v>25</v>
      </c>
      <c r="D307" cm="1">
        <f t="array" ref="D307">INDEX('Linha 04'!$A$4:$A$1000,B307)</f>
        <v>20030022</v>
      </c>
      <c r="E307" t="str" cm="1">
        <f t="array" ref="E307">INDEX('Linha 04'!$B$4:$B$1000,B307)</f>
        <v>Detergente Ito Neutro Cx/24 X 500ml</v>
      </c>
      <c r="F307" cm="1">
        <f t="array" ref="F307">INDEX('Linha 04'!$C$3:$ZZ$3,C307)</f>
        <v>20050153</v>
      </c>
      <c r="G307" t="str" cm="1">
        <f t="array" ref="G307">INDEX('Linha 04'!$C$2:$ZZ$2,C307)</f>
        <v>Desinfetante Ito Harmonia Natural Cx/12 X 500ml</v>
      </c>
      <c r="H307" s="5" cm="1">
        <f t="array" ref="H307">INDEX('Linha 04'!$C$4:$ZZ$1000,B307,C307)</f>
        <v>0</v>
      </c>
    </row>
    <row r="308" spans="1:8" x14ac:dyDescent="0.25">
      <c r="A308">
        <v>306</v>
      </c>
      <c r="B308">
        <f t="shared" si="8"/>
        <v>11</v>
      </c>
      <c r="C308">
        <f t="shared" si="9"/>
        <v>26</v>
      </c>
      <c r="D308" cm="1">
        <f t="array" ref="D308">INDEX('Linha 04'!$A$4:$A$1000,B308)</f>
        <v>20030022</v>
      </c>
      <c r="E308" t="str" cm="1">
        <f t="array" ref="E308">INDEX('Linha 04'!$B$4:$B$1000,B308)</f>
        <v>Detergente Ito Neutro Cx/24 X 500ml</v>
      </c>
      <c r="F308" cm="1">
        <f t="array" ref="F308">INDEX('Linha 04'!$C$3:$ZZ$3,C308)</f>
        <v>20050155</v>
      </c>
      <c r="G308" t="str" cm="1">
        <f t="array" ref="G308">INDEX('Linha 04'!$C$2:$ZZ$2,C308)</f>
        <v>Intermed Pack Desinfetante Paixao Cx/12 X 1l</v>
      </c>
      <c r="H308" s="5" cm="1">
        <f t="array" ref="H308">INDEX('Linha 04'!$C$4:$ZZ$1000,B308,C308)</f>
        <v>0</v>
      </c>
    </row>
    <row r="309" spans="1:8" x14ac:dyDescent="0.25">
      <c r="A309">
        <v>307</v>
      </c>
      <c r="B309">
        <f t="shared" si="8"/>
        <v>11</v>
      </c>
      <c r="C309">
        <f t="shared" si="9"/>
        <v>27</v>
      </c>
      <c r="D309" cm="1">
        <f t="array" ref="D309">INDEX('Linha 04'!$A$4:$A$1000,B309)</f>
        <v>20030022</v>
      </c>
      <c r="E309" t="str" cm="1">
        <f t="array" ref="E309">INDEX('Linha 04'!$B$4:$B$1000,B309)</f>
        <v>Detergente Ito Neutro Cx/24 X 500ml</v>
      </c>
      <c r="F309" cm="1">
        <f t="array" ref="F309">INDEX('Linha 04'!$C$3:$ZZ$3,C309)</f>
        <v>20050156</v>
      </c>
      <c r="G309" t="str" cm="1">
        <f t="array" ref="G309">INDEX('Linha 04'!$C$2:$ZZ$2,C309)</f>
        <v>Intermed Pack Desinfetante Campos Lavanda Cx/12 X 1l</v>
      </c>
      <c r="H309" s="5" cm="1">
        <f t="array" ref="H309">INDEX('Linha 04'!$C$4:$ZZ$1000,B309,C309)</f>
        <v>0</v>
      </c>
    </row>
    <row r="310" spans="1:8" x14ac:dyDescent="0.25">
      <c r="A310">
        <v>308</v>
      </c>
      <c r="B310">
        <f t="shared" si="8"/>
        <v>11</v>
      </c>
      <c r="C310">
        <f t="shared" si="9"/>
        <v>28</v>
      </c>
      <c r="D310" cm="1">
        <f t="array" ref="D310">INDEX('Linha 04'!$A$4:$A$1000,B310)</f>
        <v>20030022</v>
      </c>
      <c r="E310" t="str" cm="1">
        <f t="array" ref="E310">INDEX('Linha 04'!$B$4:$B$1000,B310)</f>
        <v>Detergente Ito Neutro Cx/24 X 500ml</v>
      </c>
      <c r="F310" cm="1">
        <f t="array" ref="F310">INDEX('Linha 04'!$C$3:$ZZ$3,C310)</f>
        <v>20050157</v>
      </c>
      <c r="G310" t="str" cm="1">
        <f t="array" ref="G310">INDEX('Linha 04'!$C$2:$ZZ$2,C310)</f>
        <v>Intermed Pack Desinfetante Marine Cx/12 X 1l</v>
      </c>
      <c r="H310" s="5" cm="1">
        <f t="array" ref="H310">INDEX('Linha 04'!$C$4:$ZZ$1000,B310,C310)</f>
        <v>0</v>
      </c>
    </row>
    <row r="311" spans="1:8" x14ac:dyDescent="0.25">
      <c r="A311">
        <v>309</v>
      </c>
      <c r="B311">
        <f t="shared" si="8"/>
        <v>12</v>
      </c>
      <c r="C311">
        <f t="shared" si="9"/>
        <v>1</v>
      </c>
      <c r="D311" cm="1">
        <f t="array" ref="D311">INDEX('Linha 04'!$A$4:$A$1000,B311)</f>
        <v>20030023</v>
      </c>
      <c r="E311" t="str" cm="1">
        <f t="array" ref="E311">INDEX('Linha 04'!$B$4:$B$1000,B311)</f>
        <v>Detergente Ito Clear Cx/24 X 500ml</v>
      </c>
      <c r="F311" cm="1">
        <f t="array" ref="F311">INDEX('Linha 04'!$C$3:$ZZ$3,C311)</f>
        <v>20030001</v>
      </c>
      <c r="G311" t="str" cm="1">
        <f t="array" ref="G311">INDEX('Linha 04'!$C$2:$ZZ$2,C311)</f>
        <v>Detergente Aquafast Maca Cx/24 X 500ml</v>
      </c>
      <c r="H311" s="5" cm="1">
        <f t="array" ref="H311">INDEX('Linha 04'!$C$4:$ZZ$1000,B311,C311)</f>
        <v>0</v>
      </c>
    </row>
    <row r="312" spans="1:8" x14ac:dyDescent="0.25">
      <c r="A312">
        <v>310</v>
      </c>
      <c r="B312">
        <f t="shared" si="8"/>
        <v>12</v>
      </c>
      <c r="C312">
        <f t="shared" si="9"/>
        <v>2</v>
      </c>
      <c r="D312" cm="1">
        <f t="array" ref="D312">INDEX('Linha 04'!$A$4:$A$1000,B312)</f>
        <v>20030023</v>
      </c>
      <c r="E312" t="str" cm="1">
        <f t="array" ref="E312">INDEX('Linha 04'!$B$4:$B$1000,B312)</f>
        <v>Detergente Ito Clear Cx/24 X 500ml</v>
      </c>
      <c r="F312" cm="1">
        <f t="array" ref="F312">INDEX('Linha 04'!$C$3:$ZZ$3,C312)</f>
        <v>20030002</v>
      </c>
      <c r="G312" t="str" cm="1">
        <f t="array" ref="G312">INDEX('Linha 04'!$C$2:$ZZ$2,C312)</f>
        <v>Detergente Aquafast Limao Cx/24 X 500ml</v>
      </c>
      <c r="H312" s="5" cm="1">
        <f t="array" ref="H312">INDEX('Linha 04'!$C$4:$ZZ$1000,B312,C312)</f>
        <v>0</v>
      </c>
    </row>
    <row r="313" spans="1:8" x14ac:dyDescent="0.25">
      <c r="A313">
        <v>311</v>
      </c>
      <c r="B313">
        <f t="shared" si="8"/>
        <v>12</v>
      </c>
      <c r="C313">
        <f t="shared" si="9"/>
        <v>3</v>
      </c>
      <c r="D313" cm="1">
        <f t="array" ref="D313">INDEX('Linha 04'!$A$4:$A$1000,B313)</f>
        <v>20030023</v>
      </c>
      <c r="E313" t="str" cm="1">
        <f t="array" ref="E313">INDEX('Linha 04'!$B$4:$B$1000,B313)</f>
        <v>Detergente Ito Clear Cx/24 X 500ml</v>
      </c>
      <c r="F313" cm="1">
        <f t="array" ref="F313">INDEX('Linha 04'!$C$3:$ZZ$3,C313)</f>
        <v>20030003</v>
      </c>
      <c r="G313" t="str" cm="1">
        <f t="array" ref="G313">INDEX('Linha 04'!$C$2:$ZZ$2,C313)</f>
        <v>Detergente Aquafast Neutro Cx/24 X 500ml</v>
      </c>
      <c r="H313" s="5" cm="1">
        <f t="array" ref="H313">INDEX('Linha 04'!$C$4:$ZZ$1000,B313,C313)</f>
        <v>0</v>
      </c>
    </row>
    <row r="314" spans="1:8" x14ac:dyDescent="0.25">
      <c r="A314">
        <v>312</v>
      </c>
      <c r="B314">
        <f t="shared" si="8"/>
        <v>12</v>
      </c>
      <c r="C314">
        <f t="shared" si="9"/>
        <v>4</v>
      </c>
      <c r="D314" cm="1">
        <f t="array" ref="D314">INDEX('Linha 04'!$A$4:$A$1000,B314)</f>
        <v>20030023</v>
      </c>
      <c r="E314" t="str" cm="1">
        <f t="array" ref="E314">INDEX('Linha 04'!$B$4:$B$1000,B314)</f>
        <v>Detergente Ito Clear Cx/24 X 500ml</v>
      </c>
      <c r="F314" cm="1">
        <f t="array" ref="F314">INDEX('Linha 04'!$C$3:$ZZ$3,C314)</f>
        <v>20030004</v>
      </c>
      <c r="G314" t="str" cm="1">
        <f t="array" ref="G314">INDEX('Linha 04'!$C$2:$ZZ$2,C314)</f>
        <v>Detergente Aquafast Clear Cx/24 X 500ml (Natural)</v>
      </c>
      <c r="H314" s="5" cm="1">
        <f t="array" ref="H314">INDEX('Linha 04'!$C$4:$ZZ$1000,B314,C314)</f>
        <v>0</v>
      </c>
    </row>
    <row r="315" spans="1:8" x14ac:dyDescent="0.25">
      <c r="A315">
        <v>313</v>
      </c>
      <c r="B315">
        <f t="shared" si="8"/>
        <v>12</v>
      </c>
      <c r="C315">
        <f t="shared" si="9"/>
        <v>5</v>
      </c>
      <c r="D315" cm="1">
        <f t="array" ref="D315">INDEX('Linha 04'!$A$4:$A$1000,B315)</f>
        <v>20030023</v>
      </c>
      <c r="E315" t="str" cm="1">
        <f t="array" ref="E315">INDEX('Linha 04'!$B$4:$B$1000,B315)</f>
        <v>Detergente Ito Clear Cx/24 X 500ml</v>
      </c>
      <c r="F315" cm="1">
        <f t="array" ref="F315">INDEX('Linha 04'!$C$3:$ZZ$3,C315)</f>
        <v>20030011</v>
      </c>
      <c r="G315" t="str" cm="1">
        <f t="array" ref="G315">INDEX('Linha 04'!$C$2:$ZZ$2,C315)</f>
        <v>Detergente Aquafast Maca Cx/12 X 1l</v>
      </c>
      <c r="H315" s="5" cm="1">
        <f t="array" ref="H315">INDEX('Linha 04'!$C$4:$ZZ$1000,B315,C315)</f>
        <v>0</v>
      </c>
    </row>
    <row r="316" spans="1:8" x14ac:dyDescent="0.25">
      <c r="A316">
        <v>314</v>
      </c>
      <c r="B316">
        <f t="shared" si="8"/>
        <v>12</v>
      </c>
      <c r="C316">
        <f t="shared" si="9"/>
        <v>6</v>
      </c>
      <c r="D316" cm="1">
        <f t="array" ref="D316">INDEX('Linha 04'!$A$4:$A$1000,B316)</f>
        <v>20030023</v>
      </c>
      <c r="E316" t="str" cm="1">
        <f t="array" ref="E316">INDEX('Linha 04'!$B$4:$B$1000,B316)</f>
        <v>Detergente Ito Clear Cx/24 X 500ml</v>
      </c>
      <c r="F316" cm="1">
        <f t="array" ref="F316">INDEX('Linha 04'!$C$3:$ZZ$3,C316)</f>
        <v>20030012</v>
      </c>
      <c r="G316" t="str" cm="1">
        <f t="array" ref="G316">INDEX('Linha 04'!$C$2:$ZZ$2,C316)</f>
        <v>Detergente Aquafast Limao Cx/12 X 1l</v>
      </c>
      <c r="H316" s="5" cm="1">
        <f t="array" ref="H316">INDEX('Linha 04'!$C$4:$ZZ$1000,B316,C316)</f>
        <v>0</v>
      </c>
    </row>
    <row r="317" spans="1:8" x14ac:dyDescent="0.25">
      <c r="A317">
        <v>315</v>
      </c>
      <c r="B317">
        <f t="shared" si="8"/>
        <v>12</v>
      </c>
      <c r="C317">
        <f t="shared" si="9"/>
        <v>7</v>
      </c>
      <c r="D317" cm="1">
        <f t="array" ref="D317">INDEX('Linha 04'!$A$4:$A$1000,B317)</f>
        <v>20030023</v>
      </c>
      <c r="E317" t="str" cm="1">
        <f t="array" ref="E317">INDEX('Linha 04'!$B$4:$B$1000,B317)</f>
        <v>Detergente Ito Clear Cx/24 X 500ml</v>
      </c>
      <c r="F317" cm="1">
        <f t="array" ref="F317">INDEX('Linha 04'!$C$3:$ZZ$3,C317)</f>
        <v>20030013</v>
      </c>
      <c r="G317" t="str" cm="1">
        <f t="array" ref="G317">INDEX('Linha 04'!$C$2:$ZZ$2,C317)</f>
        <v>Detergente Aquafast Neutro Cx/12 X 1l</v>
      </c>
      <c r="H317" s="5" cm="1">
        <f t="array" ref="H317">INDEX('Linha 04'!$C$4:$ZZ$1000,B317,C317)</f>
        <v>0</v>
      </c>
    </row>
    <row r="318" spans="1:8" x14ac:dyDescent="0.25">
      <c r="A318">
        <v>316</v>
      </c>
      <c r="B318">
        <f t="shared" si="8"/>
        <v>12</v>
      </c>
      <c r="C318">
        <f t="shared" si="9"/>
        <v>8</v>
      </c>
      <c r="D318" cm="1">
        <f t="array" ref="D318">INDEX('Linha 04'!$A$4:$A$1000,B318)</f>
        <v>20030023</v>
      </c>
      <c r="E318" t="str" cm="1">
        <f t="array" ref="E318">INDEX('Linha 04'!$B$4:$B$1000,B318)</f>
        <v>Detergente Ito Clear Cx/24 X 500ml</v>
      </c>
      <c r="F318" cm="1">
        <f t="array" ref="F318">INDEX('Linha 04'!$C$3:$ZZ$3,C318)</f>
        <v>20030014</v>
      </c>
      <c r="G318" t="str" cm="1">
        <f t="array" ref="G318">INDEX('Linha 04'!$C$2:$ZZ$2,C318)</f>
        <v>Detergente Aquafast Clear Cx/12 X 1l (Natural)</v>
      </c>
      <c r="H318" s="5" cm="1">
        <f t="array" ref="H318">INDEX('Linha 04'!$C$4:$ZZ$1000,B318,C318)</f>
        <v>0</v>
      </c>
    </row>
    <row r="319" spans="1:8" x14ac:dyDescent="0.25">
      <c r="A319">
        <v>317</v>
      </c>
      <c r="B319">
        <f t="shared" si="8"/>
        <v>12</v>
      </c>
      <c r="C319">
        <f t="shared" si="9"/>
        <v>9</v>
      </c>
      <c r="D319" cm="1">
        <f t="array" ref="D319">INDEX('Linha 04'!$A$4:$A$1000,B319)</f>
        <v>20030023</v>
      </c>
      <c r="E319" t="str" cm="1">
        <f t="array" ref="E319">INDEX('Linha 04'!$B$4:$B$1000,B319)</f>
        <v>Detergente Ito Clear Cx/24 X 500ml</v>
      </c>
      <c r="F319" cm="1">
        <f t="array" ref="F319">INDEX('Linha 04'!$C$3:$ZZ$3,C319)</f>
        <v>20030020</v>
      </c>
      <c r="G319" t="str" cm="1">
        <f t="array" ref="G319">INDEX('Linha 04'!$C$2:$ZZ$2,C319)</f>
        <v>Detergente Ito Maca Cx/24 X 500ml</v>
      </c>
      <c r="H319" s="5" cm="1">
        <f t="array" ref="H319">INDEX('Linha 04'!$C$4:$ZZ$1000,B319,C319)</f>
        <v>0</v>
      </c>
    </row>
    <row r="320" spans="1:8" x14ac:dyDescent="0.25">
      <c r="A320">
        <v>318</v>
      </c>
      <c r="B320">
        <f t="shared" si="8"/>
        <v>12</v>
      </c>
      <c r="C320">
        <f t="shared" si="9"/>
        <v>10</v>
      </c>
      <c r="D320" cm="1">
        <f t="array" ref="D320">INDEX('Linha 04'!$A$4:$A$1000,B320)</f>
        <v>20030023</v>
      </c>
      <c r="E320" t="str" cm="1">
        <f t="array" ref="E320">INDEX('Linha 04'!$B$4:$B$1000,B320)</f>
        <v>Detergente Ito Clear Cx/24 X 500ml</v>
      </c>
      <c r="F320" cm="1">
        <f t="array" ref="F320">INDEX('Linha 04'!$C$3:$ZZ$3,C320)</f>
        <v>20030021</v>
      </c>
      <c r="G320" t="str" cm="1">
        <f t="array" ref="G320">INDEX('Linha 04'!$C$2:$ZZ$2,C320)</f>
        <v>Detergente Ito Limao Cx/24 X 500ml</v>
      </c>
      <c r="H320" s="5" cm="1">
        <f t="array" ref="H320">INDEX('Linha 04'!$C$4:$ZZ$1000,B320,C320)</f>
        <v>0</v>
      </c>
    </row>
    <row r="321" spans="1:8" x14ac:dyDescent="0.25">
      <c r="A321">
        <v>319</v>
      </c>
      <c r="B321">
        <f t="shared" si="8"/>
        <v>12</v>
      </c>
      <c r="C321">
        <f t="shared" si="9"/>
        <v>11</v>
      </c>
      <c r="D321" cm="1">
        <f t="array" ref="D321">INDEX('Linha 04'!$A$4:$A$1000,B321)</f>
        <v>20030023</v>
      </c>
      <c r="E321" t="str" cm="1">
        <f t="array" ref="E321">INDEX('Linha 04'!$B$4:$B$1000,B321)</f>
        <v>Detergente Ito Clear Cx/24 X 500ml</v>
      </c>
      <c r="F321" cm="1">
        <f t="array" ref="F321">INDEX('Linha 04'!$C$3:$ZZ$3,C321)</f>
        <v>20030022</v>
      </c>
      <c r="G321" t="str" cm="1">
        <f t="array" ref="G321">INDEX('Linha 04'!$C$2:$ZZ$2,C321)</f>
        <v>Detergente Ito Neutro Cx/24 X 500ml</v>
      </c>
      <c r="H321" s="5" cm="1">
        <f t="array" ref="H321">INDEX('Linha 04'!$C$4:$ZZ$1000,B321,C321)</f>
        <v>0</v>
      </c>
    </row>
    <row r="322" spans="1:8" x14ac:dyDescent="0.25">
      <c r="A322">
        <v>320</v>
      </c>
      <c r="B322">
        <f t="shared" si="8"/>
        <v>12</v>
      </c>
      <c r="C322">
        <f t="shared" si="9"/>
        <v>12</v>
      </c>
      <c r="D322" cm="1">
        <f t="array" ref="D322">INDEX('Linha 04'!$A$4:$A$1000,B322)</f>
        <v>20030023</v>
      </c>
      <c r="E322" t="str" cm="1">
        <f t="array" ref="E322">INDEX('Linha 04'!$B$4:$B$1000,B322)</f>
        <v>Detergente Ito Clear Cx/24 X 500ml</v>
      </c>
      <c r="F322" cm="1">
        <f t="array" ref="F322">INDEX('Linha 04'!$C$3:$ZZ$3,C322)</f>
        <v>20030023</v>
      </c>
      <c r="G322" t="str" cm="1">
        <f t="array" ref="G322">INDEX('Linha 04'!$C$2:$ZZ$2,C322)</f>
        <v>Detergente Ito Clear Cx/24 X 500ml</v>
      </c>
      <c r="H322" s="5" cm="1">
        <f t="array" ref="H322">INDEX('Linha 04'!$C$4:$ZZ$1000,B322,C322)</f>
        <v>0</v>
      </c>
    </row>
    <row r="323" spans="1:8" x14ac:dyDescent="0.25">
      <c r="A323">
        <v>321</v>
      </c>
      <c r="B323">
        <f t="shared" si="8"/>
        <v>12</v>
      </c>
      <c r="C323">
        <f t="shared" si="9"/>
        <v>13</v>
      </c>
      <c r="D323" cm="1">
        <f t="array" ref="D323">INDEX('Linha 04'!$A$4:$A$1000,B323)</f>
        <v>20030023</v>
      </c>
      <c r="E323" t="str" cm="1">
        <f t="array" ref="E323">INDEX('Linha 04'!$B$4:$B$1000,B323)</f>
        <v>Detergente Ito Clear Cx/24 X 500ml</v>
      </c>
      <c r="F323" cm="1">
        <f t="array" ref="F323">INDEX('Linha 04'!$C$3:$ZZ$3,C323)</f>
        <v>20030038</v>
      </c>
      <c r="G323" t="str" cm="1">
        <f t="array" ref="G323">INDEX('Linha 04'!$C$2:$ZZ$2,C323)</f>
        <v>Detergente Myata Maca Cx/24 X 500ml</v>
      </c>
      <c r="H323" s="5" cm="1">
        <f t="array" ref="H323">INDEX('Linha 04'!$C$4:$ZZ$1000,B323,C323)</f>
        <v>0</v>
      </c>
    </row>
    <row r="324" spans="1:8" x14ac:dyDescent="0.25">
      <c r="A324">
        <v>322</v>
      </c>
      <c r="B324">
        <f t="shared" ref="B324:B387" si="10">INT((A324-1)/$B$1)+1</f>
        <v>12</v>
      </c>
      <c r="C324">
        <f t="shared" ref="C324:C387" si="11">MOD(A324-1,$B$1)+1</f>
        <v>14</v>
      </c>
      <c r="D324" cm="1">
        <f t="array" ref="D324">INDEX('Linha 04'!$A$4:$A$1000,B324)</f>
        <v>20030023</v>
      </c>
      <c r="E324" t="str" cm="1">
        <f t="array" ref="E324">INDEX('Linha 04'!$B$4:$B$1000,B324)</f>
        <v>Detergente Ito Clear Cx/24 X 500ml</v>
      </c>
      <c r="F324" cm="1">
        <f t="array" ref="F324">INDEX('Linha 04'!$C$3:$ZZ$3,C324)</f>
        <v>20030039</v>
      </c>
      <c r="G324" t="str" cm="1">
        <f t="array" ref="G324">INDEX('Linha 04'!$C$2:$ZZ$2,C324)</f>
        <v>Detergente Myata Limao Cx/24 X 500ml</v>
      </c>
      <c r="H324" s="5" cm="1">
        <f t="array" ref="H324">INDEX('Linha 04'!$C$4:$ZZ$1000,B324,C324)</f>
        <v>0</v>
      </c>
    </row>
    <row r="325" spans="1:8" x14ac:dyDescent="0.25">
      <c r="A325">
        <v>323</v>
      </c>
      <c r="B325">
        <f t="shared" si="10"/>
        <v>12</v>
      </c>
      <c r="C325">
        <f t="shared" si="11"/>
        <v>15</v>
      </c>
      <c r="D325" cm="1">
        <f t="array" ref="D325">INDEX('Linha 04'!$A$4:$A$1000,B325)</f>
        <v>20030023</v>
      </c>
      <c r="E325" t="str" cm="1">
        <f t="array" ref="E325">INDEX('Linha 04'!$B$4:$B$1000,B325)</f>
        <v>Detergente Ito Clear Cx/24 X 500ml</v>
      </c>
      <c r="F325" cm="1">
        <f t="array" ref="F325">INDEX('Linha 04'!$C$3:$ZZ$3,C325)</f>
        <v>20030040</v>
      </c>
      <c r="G325" t="str" cm="1">
        <f t="array" ref="G325">INDEX('Linha 04'!$C$2:$ZZ$2,C325)</f>
        <v>Detergente Myata Neutro Cx/24 X 500ml</v>
      </c>
      <c r="H325" s="5" cm="1">
        <f t="array" ref="H325">INDEX('Linha 04'!$C$4:$ZZ$1000,B325,C325)</f>
        <v>0</v>
      </c>
    </row>
    <row r="326" spans="1:8" x14ac:dyDescent="0.25">
      <c r="A326">
        <v>324</v>
      </c>
      <c r="B326">
        <f t="shared" si="10"/>
        <v>12</v>
      </c>
      <c r="C326">
        <f t="shared" si="11"/>
        <v>16</v>
      </c>
      <c r="D326" cm="1">
        <f t="array" ref="D326">INDEX('Linha 04'!$A$4:$A$1000,B326)</f>
        <v>20030023</v>
      </c>
      <c r="E326" t="str" cm="1">
        <f t="array" ref="E326">INDEX('Linha 04'!$B$4:$B$1000,B326)</f>
        <v>Detergente Ito Clear Cx/24 X 500ml</v>
      </c>
      <c r="F326" cm="1">
        <f t="array" ref="F326">INDEX('Linha 04'!$C$3:$ZZ$3,C326)</f>
        <v>20030067</v>
      </c>
      <c r="G326" t="str" cm="1">
        <f t="array" ref="G326">INDEX('Linha 04'!$C$2:$ZZ$2,C326)</f>
        <v>Detergente Aquafast Coco Cx/24 X 500ml</v>
      </c>
      <c r="H326" s="5" cm="1">
        <f t="array" ref="H326">INDEX('Linha 04'!$C$4:$ZZ$1000,B326,C326)</f>
        <v>0</v>
      </c>
    </row>
    <row r="327" spans="1:8" x14ac:dyDescent="0.25">
      <c r="A327">
        <v>325</v>
      </c>
      <c r="B327">
        <f t="shared" si="10"/>
        <v>12</v>
      </c>
      <c r="C327">
        <f t="shared" si="11"/>
        <v>17</v>
      </c>
      <c r="D327" cm="1">
        <f t="array" ref="D327">INDEX('Linha 04'!$A$4:$A$1000,B327)</f>
        <v>20030023</v>
      </c>
      <c r="E327" t="str" cm="1">
        <f t="array" ref="E327">INDEX('Linha 04'!$B$4:$B$1000,B327)</f>
        <v>Detergente Ito Clear Cx/24 X 500ml</v>
      </c>
      <c r="F327" cm="1">
        <f t="array" ref="F327">INDEX('Linha 04'!$C$3:$ZZ$3,C327)</f>
        <v>20050001</v>
      </c>
      <c r="G327" t="str" cm="1">
        <f t="array" ref="G327">INDEX('Linha 04'!$C$2:$ZZ$2,C327)</f>
        <v>Desinfetante Aquafast Campos Lavanda Cx/12 X 500ml</v>
      </c>
      <c r="H327" s="5" cm="1">
        <f t="array" ref="H327">INDEX('Linha 04'!$C$4:$ZZ$1000,B327,C327)</f>
        <v>0</v>
      </c>
    </row>
    <row r="328" spans="1:8" x14ac:dyDescent="0.25">
      <c r="A328">
        <v>326</v>
      </c>
      <c r="B328">
        <f t="shared" si="10"/>
        <v>12</v>
      </c>
      <c r="C328">
        <f t="shared" si="11"/>
        <v>18</v>
      </c>
      <c r="D328" cm="1">
        <f t="array" ref="D328">INDEX('Linha 04'!$A$4:$A$1000,B328)</f>
        <v>20030023</v>
      </c>
      <c r="E328" t="str" cm="1">
        <f t="array" ref="E328">INDEX('Linha 04'!$B$4:$B$1000,B328)</f>
        <v>Detergente Ito Clear Cx/24 X 500ml</v>
      </c>
      <c r="F328" cm="1">
        <f t="array" ref="F328">INDEX('Linha 04'!$C$3:$ZZ$3,C328)</f>
        <v>20050026</v>
      </c>
      <c r="G328" t="str" cm="1">
        <f t="array" ref="G328">INDEX('Linha 04'!$C$2:$ZZ$2,C328)</f>
        <v>Desinfetante Ito Lavanda Cx/12 X 500ml</v>
      </c>
      <c r="H328" s="5" cm="1">
        <f t="array" ref="H328">INDEX('Linha 04'!$C$4:$ZZ$1000,B328,C328)</f>
        <v>0</v>
      </c>
    </row>
    <row r="329" spans="1:8" x14ac:dyDescent="0.25">
      <c r="A329">
        <v>327</v>
      </c>
      <c r="B329">
        <f t="shared" si="10"/>
        <v>12</v>
      </c>
      <c r="C329">
        <f t="shared" si="11"/>
        <v>19</v>
      </c>
      <c r="D329" cm="1">
        <f t="array" ref="D329">INDEX('Linha 04'!$A$4:$A$1000,B329)</f>
        <v>20030023</v>
      </c>
      <c r="E329" t="str" cm="1">
        <f t="array" ref="E329">INDEX('Linha 04'!$B$4:$B$1000,B329)</f>
        <v>Detergente Ito Clear Cx/24 X 500ml</v>
      </c>
      <c r="F329" cm="1">
        <f t="array" ref="F329">INDEX('Linha 04'!$C$3:$ZZ$3,C329)</f>
        <v>20050119</v>
      </c>
      <c r="G329" t="str" cm="1">
        <f t="array" ref="G329">INDEX('Linha 04'!$C$2:$ZZ$2,C329)</f>
        <v>Desinfetante Aquafast Paixao Cx/12 X 500ml</v>
      </c>
      <c r="H329" s="5" cm="1">
        <f t="array" ref="H329">INDEX('Linha 04'!$C$4:$ZZ$1000,B329,C329)</f>
        <v>0</v>
      </c>
    </row>
    <row r="330" spans="1:8" x14ac:dyDescent="0.25">
      <c r="A330">
        <v>328</v>
      </c>
      <c r="B330">
        <f t="shared" si="10"/>
        <v>12</v>
      </c>
      <c r="C330">
        <f t="shared" si="11"/>
        <v>20</v>
      </c>
      <c r="D330" cm="1">
        <f t="array" ref="D330">INDEX('Linha 04'!$A$4:$A$1000,B330)</f>
        <v>20030023</v>
      </c>
      <c r="E330" t="str" cm="1">
        <f t="array" ref="E330">INDEX('Linha 04'!$B$4:$B$1000,B330)</f>
        <v>Detergente Ito Clear Cx/24 X 500ml</v>
      </c>
      <c r="F330" cm="1">
        <f t="array" ref="F330">INDEX('Linha 04'!$C$3:$ZZ$3,C330)</f>
        <v>20050145</v>
      </c>
      <c r="G330" t="str" cm="1">
        <f t="array" ref="G330">INDEX('Linha 04'!$C$2:$ZZ$2,C330)</f>
        <v>Desinfetante Aquafast Harmonia Natural Cx/12 X 500ml</v>
      </c>
      <c r="H330" s="5" cm="1">
        <f t="array" ref="H330">INDEX('Linha 04'!$C$4:$ZZ$1000,B330,C330)</f>
        <v>0</v>
      </c>
    </row>
    <row r="331" spans="1:8" x14ac:dyDescent="0.25">
      <c r="A331">
        <v>329</v>
      </c>
      <c r="B331">
        <f t="shared" si="10"/>
        <v>12</v>
      </c>
      <c r="C331">
        <f t="shared" si="11"/>
        <v>21</v>
      </c>
      <c r="D331" cm="1">
        <f t="array" ref="D331">INDEX('Linha 04'!$A$4:$A$1000,B331)</f>
        <v>20030023</v>
      </c>
      <c r="E331" t="str" cm="1">
        <f t="array" ref="E331">INDEX('Linha 04'!$B$4:$B$1000,B331)</f>
        <v>Detergente Ito Clear Cx/24 X 500ml</v>
      </c>
      <c r="F331" cm="1">
        <f t="array" ref="F331">INDEX('Linha 04'!$C$3:$ZZ$3,C331)</f>
        <v>20050149</v>
      </c>
      <c r="G331" t="str" cm="1">
        <f t="array" ref="G331">INDEX('Linha 04'!$C$2:$ZZ$2,C331)</f>
        <v>Desinfetante Aquafast Campos Lavanda Cx/12 X 1l</v>
      </c>
      <c r="H331" s="5" cm="1">
        <f t="array" ref="H331">INDEX('Linha 04'!$C$4:$ZZ$1000,B331,C331)</f>
        <v>0</v>
      </c>
    </row>
    <row r="332" spans="1:8" x14ac:dyDescent="0.25">
      <c r="A332">
        <v>330</v>
      </c>
      <c r="B332">
        <f t="shared" si="10"/>
        <v>12</v>
      </c>
      <c r="C332">
        <f t="shared" si="11"/>
        <v>22</v>
      </c>
      <c r="D332" cm="1">
        <f t="array" ref="D332">INDEX('Linha 04'!$A$4:$A$1000,B332)</f>
        <v>20030023</v>
      </c>
      <c r="E332" t="str" cm="1">
        <f t="array" ref="E332">INDEX('Linha 04'!$B$4:$B$1000,B332)</f>
        <v>Detergente Ito Clear Cx/24 X 500ml</v>
      </c>
      <c r="F332" cm="1">
        <f t="array" ref="F332">INDEX('Linha 04'!$C$3:$ZZ$3,C332)</f>
        <v>20050150</v>
      </c>
      <c r="G332" t="str" cm="1">
        <f t="array" ref="G332">INDEX('Linha 04'!$C$2:$ZZ$2,C332)</f>
        <v>Desinfetante Aquafast Marine Cx/12 X 1l</v>
      </c>
      <c r="H332" s="5" cm="1">
        <f t="array" ref="H332">INDEX('Linha 04'!$C$4:$ZZ$1000,B332,C332)</f>
        <v>0</v>
      </c>
    </row>
    <row r="333" spans="1:8" x14ac:dyDescent="0.25">
      <c r="A333">
        <v>331</v>
      </c>
      <c r="B333">
        <f t="shared" si="10"/>
        <v>12</v>
      </c>
      <c r="C333">
        <f t="shared" si="11"/>
        <v>23</v>
      </c>
      <c r="D333" cm="1">
        <f t="array" ref="D333">INDEX('Linha 04'!$A$4:$A$1000,B333)</f>
        <v>20030023</v>
      </c>
      <c r="E333" t="str" cm="1">
        <f t="array" ref="E333">INDEX('Linha 04'!$B$4:$B$1000,B333)</f>
        <v>Detergente Ito Clear Cx/24 X 500ml</v>
      </c>
      <c r="F333" cm="1">
        <f t="array" ref="F333">INDEX('Linha 04'!$C$3:$ZZ$3,C333)</f>
        <v>20050151</v>
      </c>
      <c r="G333" t="str" cm="1">
        <f t="array" ref="G333">INDEX('Linha 04'!$C$2:$ZZ$2,C333)</f>
        <v>Desinfetante Aquafast Paixao Cx/12 X 1l</v>
      </c>
      <c r="H333" s="5" cm="1">
        <f t="array" ref="H333">INDEX('Linha 04'!$C$4:$ZZ$1000,B333,C333)</f>
        <v>0</v>
      </c>
    </row>
    <row r="334" spans="1:8" x14ac:dyDescent="0.25">
      <c r="A334">
        <v>332</v>
      </c>
      <c r="B334">
        <f t="shared" si="10"/>
        <v>12</v>
      </c>
      <c r="C334">
        <f t="shared" si="11"/>
        <v>24</v>
      </c>
      <c r="D334" cm="1">
        <f t="array" ref="D334">INDEX('Linha 04'!$A$4:$A$1000,B334)</f>
        <v>20030023</v>
      </c>
      <c r="E334" t="str" cm="1">
        <f t="array" ref="E334">INDEX('Linha 04'!$B$4:$B$1000,B334)</f>
        <v>Detergente Ito Clear Cx/24 X 500ml</v>
      </c>
      <c r="F334" cm="1">
        <f t="array" ref="F334">INDEX('Linha 04'!$C$3:$ZZ$3,C334)</f>
        <v>20050152</v>
      </c>
      <c r="G334" t="str" cm="1">
        <f t="array" ref="G334">INDEX('Linha 04'!$C$2:$ZZ$2,C334)</f>
        <v>Desinfetante Aquafast Harmonia Natural Cx/12 X 1l</v>
      </c>
      <c r="H334" s="5" cm="1">
        <f t="array" ref="H334">INDEX('Linha 04'!$C$4:$ZZ$1000,B334,C334)</f>
        <v>0</v>
      </c>
    </row>
    <row r="335" spans="1:8" x14ac:dyDescent="0.25">
      <c r="A335">
        <v>333</v>
      </c>
      <c r="B335">
        <f t="shared" si="10"/>
        <v>12</v>
      </c>
      <c r="C335">
        <f t="shared" si="11"/>
        <v>25</v>
      </c>
      <c r="D335" cm="1">
        <f t="array" ref="D335">INDEX('Linha 04'!$A$4:$A$1000,B335)</f>
        <v>20030023</v>
      </c>
      <c r="E335" t="str" cm="1">
        <f t="array" ref="E335">INDEX('Linha 04'!$B$4:$B$1000,B335)</f>
        <v>Detergente Ito Clear Cx/24 X 500ml</v>
      </c>
      <c r="F335" cm="1">
        <f t="array" ref="F335">INDEX('Linha 04'!$C$3:$ZZ$3,C335)</f>
        <v>20050153</v>
      </c>
      <c r="G335" t="str" cm="1">
        <f t="array" ref="G335">INDEX('Linha 04'!$C$2:$ZZ$2,C335)</f>
        <v>Desinfetante Ito Harmonia Natural Cx/12 X 500ml</v>
      </c>
      <c r="H335" s="5" cm="1">
        <f t="array" ref="H335">INDEX('Linha 04'!$C$4:$ZZ$1000,B335,C335)</f>
        <v>0</v>
      </c>
    </row>
    <row r="336" spans="1:8" x14ac:dyDescent="0.25">
      <c r="A336">
        <v>334</v>
      </c>
      <c r="B336">
        <f t="shared" si="10"/>
        <v>12</v>
      </c>
      <c r="C336">
        <f t="shared" si="11"/>
        <v>26</v>
      </c>
      <c r="D336" cm="1">
        <f t="array" ref="D336">INDEX('Linha 04'!$A$4:$A$1000,B336)</f>
        <v>20030023</v>
      </c>
      <c r="E336" t="str" cm="1">
        <f t="array" ref="E336">INDEX('Linha 04'!$B$4:$B$1000,B336)</f>
        <v>Detergente Ito Clear Cx/24 X 500ml</v>
      </c>
      <c r="F336" cm="1">
        <f t="array" ref="F336">INDEX('Linha 04'!$C$3:$ZZ$3,C336)</f>
        <v>20050155</v>
      </c>
      <c r="G336" t="str" cm="1">
        <f t="array" ref="G336">INDEX('Linha 04'!$C$2:$ZZ$2,C336)</f>
        <v>Intermed Pack Desinfetante Paixao Cx/12 X 1l</v>
      </c>
      <c r="H336" s="5" cm="1">
        <f t="array" ref="H336">INDEX('Linha 04'!$C$4:$ZZ$1000,B336,C336)</f>
        <v>0</v>
      </c>
    </row>
    <row r="337" spans="1:8" x14ac:dyDescent="0.25">
      <c r="A337">
        <v>335</v>
      </c>
      <c r="B337">
        <f t="shared" si="10"/>
        <v>12</v>
      </c>
      <c r="C337">
        <f t="shared" si="11"/>
        <v>27</v>
      </c>
      <c r="D337" cm="1">
        <f t="array" ref="D337">INDEX('Linha 04'!$A$4:$A$1000,B337)</f>
        <v>20030023</v>
      </c>
      <c r="E337" t="str" cm="1">
        <f t="array" ref="E337">INDEX('Linha 04'!$B$4:$B$1000,B337)</f>
        <v>Detergente Ito Clear Cx/24 X 500ml</v>
      </c>
      <c r="F337" cm="1">
        <f t="array" ref="F337">INDEX('Linha 04'!$C$3:$ZZ$3,C337)</f>
        <v>20050156</v>
      </c>
      <c r="G337" t="str" cm="1">
        <f t="array" ref="G337">INDEX('Linha 04'!$C$2:$ZZ$2,C337)</f>
        <v>Intermed Pack Desinfetante Campos Lavanda Cx/12 X 1l</v>
      </c>
      <c r="H337" s="5" cm="1">
        <f t="array" ref="H337">INDEX('Linha 04'!$C$4:$ZZ$1000,B337,C337)</f>
        <v>0</v>
      </c>
    </row>
    <row r="338" spans="1:8" x14ac:dyDescent="0.25">
      <c r="A338">
        <v>336</v>
      </c>
      <c r="B338">
        <f t="shared" si="10"/>
        <v>12</v>
      </c>
      <c r="C338">
        <f t="shared" si="11"/>
        <v>28</v>
      </c>
      <c r="D338" cm="1">
        <f t="array" ref="D338">INDEX('Linha 04'!$A$4:$A$1000,B338)</f>
        <v>20030023</v>
      </c>
      <c r="E338" t="str" cm="1">
        <f t="array" ref="E338">INDEX('Linha 04'!$B$4:$B$1000,B338)</f>
        <v>Detergente Ito Clear Cx/24 X 500ml</v>
      </c>
      <c r="F338" cm="1">
        <f t="array" ref="F338">INDEX('Linha 04'!$C$3:$ZZ$3,C338)</f>
        <v>20050157</v>
      </c>
      <c r="G338" t="str" cm="1">
        <f t="array" ref="G338">INDEX('Linha 04'!$C$2:$ZZ$2,C338)</f>
        <v>Intermed Pack Desinfetante Marine Cx/12 X 1l</v>
      </c>
      <c r="H338" s="5" cm="1">
        <f t="array" ref="H338">INDEX('Linha 04'!$C$4:$ZZ$1000,B338,C338)</f>
        <v>0</v>
      </c>
    </row>
    <row r="339" spans="1:8" x14ac:dyDescent="0.25">
      <c r="A339">
        <v>337</v>
      </c>
      <c r="B339">
        <f t="shared" si="10"/>
        <v>13</v>
      </c>
      <c r="C339">
        <f t="shared" si="11"/>
        <v>1</v>
      </c>
      <c r="D339" cm="1">
        <f t="array" ref="D339">INDEX('Linha 04'!$A$4:$A$1000,B339)</f>
        <v>20030038</v>
      </c>
      <c r="E339" t="str" cm="1">
        <f t="array" ref="E339">INDEX('Linha 04'!$B$4:$B$1000,B339)</f>
        <v>Detergente Myata Maca Cx/24 X 500ml</v>
      </c>
      <c r="F339" cm="1">
        <f t="array" ref="F339">INDEX('Linha 04'!$C$3:$ZZ$3,C339)</f>
        <v>20030001</v>
      </c>
      <c r="G339" t="str" cm="1">
        <f t="array" ref="G339">INDEX('Linha 04'!$C$2:$ZZ$2,C339)</f>
        <v>Detergente Aquafast Maca Cx/24 X 500ml</v>
      </c>
      <c r="H339" s="5" cm="1">
        <f t="array" ref="H339">INDEX('Linha 04'!$C$4:$ZZ$1000,B339,C339)</f>
        <v>0</v>
      </c>
    </row>
    <row r="340" spans="1:8" x14ac:dyDescent="0.25">
      <c r="A340">
        <v>338</v>
      </c>
      <c r="B340">
        <f t="shared" si="10"/>
        <v>13</v>
      </c>
      <c r="C340">
        <f t="shared" si="11"/>
        <v>2</v>
      </c>
      <c r="D340" cm="1">
        <f t="array" ref="D340">INDEX('Linha 04'!$A$4:$A$1000,B340)</f>
        <v>20030038</v>
      </c>
      <c r="E340" t="str" cm="1">
        <f t="array" ref="E340">INDEX('Linha 04'!$B$4:$B$1000,B340)</f>
        <v>Detergente Myata Maca Cx/24 X 500ml</v>
      </c>
      <c r="F340" cm="1">
        <f t="array" ref="F340">INDEX('Linha 04'!$C$3:$ZZ$3,C340)</f>
        <v>20030002</v>
      </c>
      <c r="G340" t="str" cm="1">
        <f t="array" ref="G340">INDEX('Linha 04'!$C$2:$ZZ$2,C340)</f>
        <v>Detergente Aquafast Limao Cx/24 X 500ml</v>
      </c>
      <c r="H340" s="5" cm="1">
        <f t="array" ref="H340">INDEX('Linha 04'!$C$4:$ZZ$1000,B340,C340)</f>
        <v>0</v>
      </c>
    </row>
    <row r="341" spans="1:8" x14ac:dyDescent="0.25">
      <c r="A341">
        <v>339</v>
      </c>
      <c r="B341">
        <f t="shared" si="10"/>
        <v>13</v>
      </c>
      <c r="C341">
        <f t="shared" si="11"/>
        <v>3</v>
      </c>
      <c r="D341" cm="1">
        <f t="array" ref="D341">INDEX('Linha 04'!$A$4:$A$1000,B341)</f>
        <v>20030038</v>
      </c>
      <c r="E341" t="str" cm="1">
        <f t="array" ref="E341">INDEX('Linha 04'!$B$4:$B$1000,B341)</f>
        <v>Detergente Myata Maca Cx/24 X 500ml</v>
      </c>
      <c r="F341" cm="1">
        <f t="array" ref="F341">INDEX('Linha 04'!$C$3:$ZZ$3,C341)</f>
        <v>20030003</v>
      </c>
      <c r="G341" t="str" cm="1">
        <f t="array" ref="G341">INDEX('Linha 04'!$C$2:$ZZ$2,C341)</f>
        <v>Detergente Aquafast Neutro Cx/24 X 500ml</v>
      </c>
      <c r="H341" s="5" cm="1">
        <f t="array" ref="H341">INDEX('Linha 04'!$C$4:$ZZ$1000,B341,C341)</f>
        <v>0</v>
      </c>
    </row>
    <row r="342" spans="1:8" x14ac:dyDescent="0.25">
      <c r="A342">
        <v>340</v>
      </c>
      <c r="B342">
        <f t="shared" si="10"/>
        <v>13</v>
      </c>
      <c r="C342">
        <f t="shared" si="11"/>
        <v>4</v>
      </c>
      <c r="D342" cm="1">
        <f t="array" ref="D342">INDEX('Linha 04'!$A$4:$A$1000,B342)</f>
        <v>20030038</v>
      </c>
      <c r="E342" t="str" cm="1">
        <f t="array" ref="E342">INDEX('Linha 04'!$B$4:$B$1000,B342)</f>
        <v>Detergente Myata Maca Cx/24 X 500ml</v>
      </c>
      <c r="F342" cm="1">
        <f t="array" ref="F342">INDEX('Linha 04'!$C$3:$ZZ$3,C342)</f>
        <v>20030004</v>
      </c>
      <c r="G342" t="str" cm="1">
        <f t="array" ref="G342">INDEX('Linha 04'!$C$2:$ZZ$2,C342)</f>
        <v>Detergente Aquafast Clear Cx/24 X 500ml (Natural)</v>
      </c>
      <c r="H342" s="5" cm="1">
        <f t="array" ref="H342">INDEX('Linha 04'!$C$4:$ZZ$1000,B342,C342)</f>
        <v>0</v>
      </c>
    </row>
    <row r="343" spans="1:8" x14ac:dyDescent="0.25">
      <c r="A343">
        <v>341</v>
      </c>
      <c r="B343">
        <f t="shared" si="10"/>
        <v>13</v>
      </c>
      <c r="C343">
        <f t="shared" si="11"/>
        <v>5</v>
      </c>
      <c r="D343" cm="1">
        <f t="array" ref="D343">INDEX('Linha 04'!$A$4:$A$1000,B343)</f>
        <v>20030038</v>
      </c>
      <c r="E343" t="str" cm="1">
        <f t="array" ref="E343">INDEX('Linha 04'!$B$4:$B$1000,B343)</f>
        <v>Detergente Myata Maca Cx/24 X 500ml</v>
      </c>
      <c r="F343" cm="1">
        <f t="array" ref="F343">INDEX('Linha 04'!$C$3:$ZZ$3,C343)</f>
        <v>20030011</v>
      </c>
      <c r="G343" t="str" cm="1">
        <f t="array" ref="G343">INDEX('Linha 04'!$C$2:$ZZ$2,C343)</f>
        <v>Detergente Aquafast Maca Cx/12 X 1l</v>
      </c>
      <c r="H343" s="5" cm="1">
        <f t="array" ref="H343">INDEX('Linha 04'!$C$4:$ZZ$1000,B343,C343)</f>
        <v>0</v>
      </c>
    </row>
    <row r="344" spans="1:8" x14ac:dyDescent="0.25">
      <c r="A344">
        <v>342</v>
      </c>
      <c r="B344">
        <f t="shared" si="10"/>
        <v>13</v>
      </c>
      <c r="C344">
        <f t="shared" si="11"/>
        <v>6</v>
      </c>
      <c r="D344" cm="1">
        <f t="array" ref="D344">INDEX('Linha 04'!$A$4:$A$1000,B344)</f>
        <v>20030038</v>
      </c>
      <c r="E344" t="str" cm="1">
        <f t="array" ref="E344">INDEX('Linha 04'!$B$4:$B$1000,B344)</f>
        <v>Detergente Myata Maca Cx/24 X 500ml</v>
      </c>
      <c r="F344" cm="1">
        <f t="array" ref="F344">INDEX('Linha 04'!$C$3:$ZZ$3,C344)</f>
        <v>20030012</v>
      </c>
      <c r="G344" t="str" cm="1">
        <f t="array" ref="G344">INDEX('Linha 04'!$C$2:$ZZ$2,C344)</f>
        <v>Detergente Aquafast Limao Cx/12 X 1l</v>
      </c>
      <c r="H344" s="5" cm="1">
        <f t="array" ref="H344">INDEX('Linha 04'!$C$4:$ZZ$1000,B344,C344)</f>
        <v>0</v>
      </c>
    </row>
    <row r="345" spans="1:8" x14ac:dyDescent="0.25">
      <c r="A345">
        <v>343</v>
      </c>
      <c r="B345">
        <f t="shared" si="10"/>
        <v>13</v>
      </c>
      <c r="C345">
        <f t="shared" si="11"/>
        <v>7</v>
      </c>
      <c r="D345" cm="1">
        <f t="array" ref="D345">INDEX('Linha 04'!$A$4:$A$1000,B345)</f>
        <v>20030038</v>
      </c>
      <c r="E345" t="str" cm="1">
        <f t="array" ref="E345">INDEX('Linha 04'!$B$4:$B$1000,B345)</f>
        <v>Detergente Myata Maca Cx/24 X 500ml</v>
      </c>
      <c r="F345" cm="1">
        <f t="array" ref="F345">INDEX('Linha 04'!$C$3:$ZZ$3,C345)</f>
        <v>20030013</v>
      </c>
      <c r="G345" t="str" cm="1">
        <f t="array" ref="G345">INDEX('Linha 04'!$C$2:$ZZ$2,C345)</f>
        <v>Detergente Aquafast Neutro Cx/12 X 1l</v>
      </c>
      <c r="H345" s="5" cm="1">
        <f t="array" ref="H345">INDEX('Linha 04'!$C$4:$ZZ$1000,B345,C345)</f>
        <v>0</v>
      </c>
    </row>
    <row r="346" spans="1:8" x14ac:dyDescent="0.25">
      <c r="A346">
        <v>344</v>
      </c>
      <c r="B346">
        <f t="shared" si="10"/>
        <v>13</v>
      </c>
      <c r="C346">
        <f t="shared" si="11"/>
        <v>8</v>
      </c>
      <c r="D346" cm="1">
        <f t="array" ref="D346">INDEX('Linha 04'!$A$4:$A$1000,B346)</f>
        <v>20030038</v>
      </c>
      <c r="E346" t="str" cm="1">
        <f t="array" ref="E346">INDEX('Linha 04'!$B$4:$B$1000,B346)</f>
        <v>Detergente Myata Maca Cx/24 X 500ml</v>
      </c>
      <c r="F346" cm="1">
        <f t="array" ref="F346">INDEX('Linha 04'!$C$3:$ZZ$3,C346)</f>
        <v>20030014</v>
      </c>
      <c r="G346" t="str" cm="1">
        <f t="array" ref="G346">INDEX('Linha 04'!$C$2:$ZZ$2,C346)</f>
        <v>Detergente Aquafast Clear Cx/12 X 1l (Natural)</v>
      </c>
      <c r="H346" s="5" cm="1">
        <f t="array" ref="H346">INDEX('Linha 04'!$C$4:$ZZ$1000,B346,C346)</f>
        <v>0</v>
      </c>
    </row>
    <row r="347" spans="1:8" x14ac:dyDescent="0.25">
      <c r="A347">
        <v>345</v>
      </c>
      <c r="B347">
        <f t="shared" si="10"/>
        <v>13</v>
      </c>
      <c r="C347">
        <f t="shared" si="11"/>
        <v>9</v>
      </c>
      <c r="D347" cm="1">
        <f t="array" ref="D347">INDEX('Linha 04'!$A$4:$A$1000,B347)</f>
        <v>20030038</v>
      </c>
      <c r="E347" t="str" cm="1">
        <f t="array" ref="E347">INDEX('Linha 04'!$B$4:$B$1000,B347)</f>
        <v>Detergente Myata Maca Cx/24 X 500ml</v>
      </c>
      <c r="F347" cm="1">
        <f t="array" ref="F347">INDEX('Linha 04'!$C$3:$ZZ$3,C347)</f>
        <v>20030020</v>
      </c>
      <c r="G347" t="str" cm="1">
        <f t="array" ref="G347">INDEX('Linha 04'!$C$2:$ZZ$2,C347)</f>
        <v>Detergente Ito Maca Cx/24 X 500ml</v>
      </c>
      <c r="H347" s="5" cm="1">
        <f t="array" ref="H347">INDEX('Linha 04'!$C$4:$ZZ$1000,B347,C347)</f>
        <v>0</v>
      </c>
    </row>
    <row r="348" spans="1:8" x14ac:dyDescent="0.25">
      <c r="A348">
        <v>346</v>
      </c>
      <c r="B348">
        <f t="shared" si="10"/>
        <v>13</v>
      </c>
      <c r="C348">
        <f t="shared" si="11"/>
        <v>10</v>
      </c>
      <c r="D348" cm="1">
        <f t="array" ref="D348">INDEX('Linha 04'!$A$4:$A$1000,B348)</f>
        <v>20030038</v>
      </c>
      <c r="E348" t="str" cm="1">
        <f t="array" ref="E348">INDEX('Linha 04'!$B$4:$B$1000,B348)</f>
        <v>Detergente Myata Maca Cx/24 X 500ml</v>
      </c>
      <c r="F348" cm="1">
        <f t="array" ref="F348">INDEX('Linha 04'!$C$3:$ZZ$3,C348)</f>
        <v>20030021</v>
      </c>
      <c r="G348" t="str" cm="1">
        <f t="array" ref="G348">INDEX('Linha 04'!$C$2:$ZZ$2,C348)</f>
        <v>Detergente Ito Limao Cx/24 X 500ml</v>
      </c>
      <c r="H348" s="5" cm="1">
        <f t="array" ref="H348">INDEX('Linha 04'!$C$4:$ZZ$1000,B348,C348)</f>
        <v>0</v>
      </c>
    </row>
    <row r="349" spans="1:8" x14ac:dyDescent="0.25">
      <c r="A349">
        <v>347</v>
      </c>
      <c r="B349">
        <f t="shared" si="10"/>
        <v>13</v>
      </c>
      <c r="C349">
        <f t="shared" si="11"/>
        <v>11</v>
      </c>
      <c r="D349" cm="1">
        <f t="array" ref="D349">INDEX('Linha 04'!$A$4:$A$1000,B349)</f>
        <v>20030038</v>
      </c>
      <c r="E349" t="str" cm="1">
        <f t="array" ref="E349">INDEX('Linha 04'!$B$4:$B$1000,B349)</f>
        <v>Detergente Myata Maca Cx/24 X 500ml</v>
      </c>
      <c r="F349" cm="1">
        <f t="array" ref="F349">INDEX('Linha 04'!$C$3:$ZZ$3,C349)</f>
        <v>20030022</v>
      </c>
      <c r="G349" t="str" cm="1">
        <f t="array" ref="G349">INDEX('Linha 04'!$C$2:$ZZ$2,C349)</f>
        <v>Detergente Ito Neutro Cx/24 X 500ml</v>
      </c>
      <c r="H349" s="5" cm="1">
        <f t="array" ref="H349">INDEX('Linha 04'!$C$4:$ZZ$1000,B349,C349)</f>
        <v>0</v>
      </c>
    </row>
    <row r="350" spans="1:8" x14ac:dyDescent="0.25">
      <c r="A350">
        <v>348</v>
      </c>
      <c r="B350">
        <f t="shared" si="10"/>
        <v>13</v>
      </c>
      <c r="C350">
        <f t="shared" si="11"/>
        <v>12</v>
      </c>
      <c r="D350" cm="1">
        <f t="array" ref="D350">INDEX('Linha 04'!$A$4:$A$1000,B350)</f>
        <v>20030038</v>
      </c>
      <c r="E350" t="str" cm="1">
        <f t="array" ref="E350">INDEX('Linha 04'!$B$4:$B$1000,B350)</f>
        <v>Detergente Myata Maca Cx/24 X 500ml</v>
      </c>
      <c r="F350" cm="1">
        <f t="array" ref="F350">INDEX('Linha 04'!$C$3:$ZZ$3,C350)</f>
        <v>20030023</v>
      </c>
      <c r="G350" t="str" cm="1">
        <f t="array" ref="G350">INDEX('Linha 04'!$C$2:$ZZ$2,C350)</f>
        <v>Detergente Ito Clear Cx/24 X 500ml</v>
      </c>
      <c r="H350" s="5" cm="1">
        <f t="array" ref="H350">INDEX('Linha 04'!$C$4:$ZZ$1000,B350,C350)</f>
        <v>0</v>
      </c>
    </row>
    <row r="351" spans="1:8" x14ac:dyDescent="0.25">
      <c r="A351">
        <v>349</v>
      </c>
      <c r="B351">
        <f t="shared" si="10"/>
        <v>13</v>
      </c>
      <c r="C351">
        <f t="shared" si="11"/>
        <v>13</v>
      </c>
      <c r="D351" cm="1">
        <f t="array" ref="D351">INDEX('Linha 04'!$A$4:$A$1000,B351)</f>
        <v>20030038</v>
      </c>
      <c r="E351" t="str" cm="1">
        <f t="array" ref="E351">INDEX('Linha 04'!$B$4:$B$1000,B351)</f>
        <v>Detergente Myata Maca Cx/24 X 500ml</v>
      </c>
      <c r="F351" cm="1">
        <f t="array" ref="F351">INDEX('Linha 04'!$C$3:$ZZ$3,C351)</f>
        <v>20030038</v>
      </c>
      <c r="G351" t="str" cm="1">
        <f t="array" ref="G351">INDEX('Linha 04'!$C$2:$ZZ$2,C351)</f>
        <v>Detergente Myata Maca Cx/24 X 500ml</v>
      </c>
      <c r="H351" s="5" cm="1">
        <f t="array" ref="H351">INDEX('Linha 04'!$C$4:$ZZ$1000,B351,C351)</f>
        <v>0</v>
      </c>
    </row>
    <row r="352" spans="1:8" x14ac:dyDescent="0.25">
      <c r="A352">
        <v>350</v>
      </c>
      <c r="B352">
        <f t="shared" si="10"/>
        <v>13</v>
      </c>
      <c r="C352">
        <f t="shared" si="11"/>
        <v>14</v>
      </c>
      <c r="D352" cm="1">
        <f t="array" ref="D352">INDEX('Linha 04'!$A$4:$A$1000,B352)</f>
        <v>20030038</v>
      </c>
      <c r="E352" t="str" cm="1">
        <f t="array" ref="E352">INDEX('Linha 04'!$B$4:$B$1000,B352)</f>
        <v>Detergente Myata Maca Cx/24 X 500ml</v>
      </c>
      <c r="F352" cm="1">
        <f t="array" ref="F352">INDEX('Linha 04'!$C$3:$ZZ$3,C352)</f>
        <v>20030039</v>
      </c>
      <c r="G352" t="str" cm="1">
        <f t="array" ref="G352">INDEX('Linha 04'!$C$2:$ZZ$2,C352)</f>
        <v>Detergente Myata Limao Cx/24 X 500ml</v>
      </c>
      <c r="H352" s="5" cm="1">
        <f t="array" ref="H352">INDEX('Linha 04'!$C$4:$ZZ$1000,B352,C352)</f>
        <v>0</v>
      </c>
    </row>
    <row r="353" spans="1:8" x14ac:dyDescent="0.25">
      <c r="A353">
        <v>351</v>
      </c>
      <c r="B353">
        <f t="shared" si="10"/>
        <v>13</v>
      </c>
      <c r="C353">
        <f t="shared" si="11"/>
        <v>15</v>
      </c>
      <c r="D353" cm="1">
        <f t="array" ref="D353">INDEX('Linha 04'!$A$4:$A$1000,B353)</f>
        <v>20030038</v>
      </c>
      <c r="E353" t="str" cm="1">
        <f t="array" ref="E353">INDEX('Linha 04'!$B$4:$B$1000,B353)</f>
        <v>Detergente Myata Maca Cx/24 X 500ml</v>
      </c>
      <c r="F353" cm="1">
        <f t="array" ref="F353">INDEX('Linha 04'!$C$3:$ZZ$3,C353)</f>
        <v>20030040</v>
      </c>
      <c r="G353" t="str" cm="1">
        <f t="array" ref="G353">INDEX('Linha 04'!$C$2:$ZZ$2,C353)</f>
        <v>Detergente Myata Neutro Cx/24 X 500ml</v>
      </c>
      <c r="H353" s="5" cm="1">
        <f t="array" ref="H353">INDEX('Linha 04'!$C$4:$ZZ$1000,B353,C353)</f>
        <v>0</v>
      </c>
    </row>
    <row r="354" spans="1:8" x14ac:dyDescent="0.25">
      <c r="A354">
        <v>352</v>
      </c>
      <c r="B354">
        <f t="shared" si="10"/>
        <v>13</v>
      </c>
      <c r="C354">
        <f t="shared" si="11"/>
        <v>16</v>
      </c>
      <c r="D354" cm="1">
        <f t="array" ref="D354">INDEX('Linha 04'!$A$4:$A$1000,B354)</f>
        <v>20030038</v>
      </c>
      <c r="E354" t="str" cm="1">
        <f t="array" ref="E354">INDEX('Linha 04'!$B$4:$B$1000,B354)</f>
        <v>Detergente Myata Maca Cx/24 X 500ml</v>
      </c>
      <c r="F354" cm="1">
        <f t="array" ref="F354">INDEX('Linha 04'!$C$3:$ZZ$3,C354)</f>
        <v>20030067</v>
      </c>
      <c r="G354" t="str" cm="1">
        <f t="array" ref="G354">INDEX('Linha 04'!$C$2:$ZZ$2,C354)</f>
        <v>Detergente Aquafast Coco Cx/24 X 500ml</v>
      </c>
      <c r="H354" s="5" cm="1">
        <f t="array" ref="H354">INDEX('Linha 04'!$C$4:$ZZ$1000,B354,C354)</f>
        <v>0</v>
      </c>
    </row>
    <row r="355" spans="1:8" x14ac:dyDescent="0.25">
      <c r="A355">
        <v>353</v>
      </c>
      <c r="B355">
        <f t="shared" si="10"/>
        <v>13</v>
      </c>
      <c r="C355">
        <f t="shared" si="11"/>
        <v>17</v>
      </c>
      <c r="D355" cm="1">
        <f t="array" ref="D355">INDEX('Linha 04'!$A$4:$A$1000,B355)</f>
        <v>20030038</v>
      </c>
      <c r="E355" t="str" cm="1">
        <f t="array" ref="E355">INDEX('Linha 04'!$B$4:$B$1000,B355)</f>
        <v>Detergente Myata Maca Cx/24 X 500ml</v>
      </c>
      <c r="F355" cm="1">
        <f t="array" ref="F355">INDEX('Linha 04'!$C$3:$ZZ$3,C355)</f>
        <v>20050001</v>
      </c>
      <c r="G355" t="str" cm="1">
        <f t="array" ref="G355">INDEX('Linha 04'!$C$2:$ZZ$2,C355)</f>
        <v>Desinfetante Aquafast Campos Lavanda Cx/12 X 500ml</v>
      </c>
      <c r="H355" s="5" cm="1">
        <f t="array" ref="H355">INDEX('Linha 04'!$C$4:$ZZ$1000,B355,C355)</f>
        <v>0</v>
      </c>
    </row>
    <row r="356" spans="1:8" x14ac:dyDescent="0.25">
      <c r="A356">
        <v>354</v>
      </c>
      <c r="B356">
        <f t="shared" si="10"/>
        <v>13</v>
      </c>
      <c r="C356">
        <f t="shared" si="11"/>
        <v>18</v>
      </c>
      <c r="D356" cm="1">
        <f t="array" ref="D356">INDEX('Linha 04'!$A$4:$A$1000,B356)</f>
        <v>20030038</v>
      </c>
      <c r="E356" t="str" cm="1">
        <f t="array" ref="E356">INDEX('Linha 04'!$B$4:$B$1000,B356)</f>
        <v>Detergente Myata Maca Cx/24 X 500ml</v>
      </c>
      <c r="F356" cm="1">
        <f t="array" ref="F356">INDEX('Linha 04'!$C$3:$ZZ$3,C356)</f>
        <v>20050026</v>
      </c>
      <c r="G356" t="str" cm="1">
        <f t="array" ref="G356">INDEX('Linha 04'!$C$2:$ZZ$2,C356)</f>
        <v>Desinfetante Ito Lavanda Cx/12 X 500ml</v>
      </c>
      <c r="H356" s="5" cm="1">
        <f t="array" ref="H356">INDEX('Linha 04'!$C$4:$ZZ$1000,B356,C356)</f>
        <v>0</v>
      </c>
    </row>
    <row r="357" spans="1:8" x14ac:dyDescent="0.25">
      <c r="A357">
        <v>355</v>
      </c>
      <c r="B357">
        <f t="shared" si="10"/>
        <v>13</v>
      </c>
      <c r="C357">
        <f t="shared" si="11"/>
        <v>19</v>
      </c>
      <c r="D357" cm="1">
        <f t="array" ref="D357">INDEX('Linha 04'!$A$4:$A$1000,B357)</f>
        <v>20030038</v>
      </c>
      <c r="E357" t="str" cm="1">
        <f t="array" ref="E357">INDEX('Linha 04'!$B$4:$B$1000,B357)</f>
        <v>Detergente Myata Maca Cx/24 X 500ml</v>
      </c>
      <c r="F357" cm="1">
        <f t="array" ref="F357">INDEX('Linha 04'!$C$3:$ZZ$3,C357)</f>
        <v>20050119</v>
      </c>
      <c r="G357" t="str" cm="1">
        <f t="array" ref="G357">INDEX('Linha 04'!$C$2:$ZZ$2,C357)</f>
        <v>Desinfetante Aquafast Paixao Cx/12 X 500ml</v>
      </c>
      <c r="H357" s="5" cm="1">
        <f t="array" ref="H357">INDEX('Linha 04'!$C$4:$ZZ$1000,B357,C357)</f>
        <v>0</v>
      </c>
    </row>
    <row r="358" spans="1:8" x14ac:dyDescent="0.25">
      <c r="A358">
        <v>356</v>
      </c>
      <c r="B358">
        <f t="shared" si="10"/>
        <v>13</v>
      </c>
      <c r="C358">
        <f t="shared" si="11"/>
        <v>20</v>
      </c>
      <c r="D358" cm="1">
        <f t="array" ref="D358">INDEX('Linha 04'!$A$4:$A$1000,B358)</f>
        <v>20030038</v>
      </c>
      <c r="E358" t="str" cm="1">
        <f t="array" ref="E358">INDEX('Linha 04'!$B$4:$B$1000,B358)</f>
        <v>Detergente Myata Maca Cx/24 X 500ml</v>
      </c>
      <c r="F358" cm="1">
        <f t="array" ref="F358">INDEX('Linha 04'!$C$3:$ZZ$3,C358)</f>
        <v>20050145</v>
      </c>
      <c r="G358" t="str" cm="1">
        <f t="array" ref="G358">INDEX('Linha 04'!$C$2:$ZZ$2,C358)</f>
        <v>Desinfetante Aquafast Harmonia Natural Cx/12 X 500ml</v>
      </c>
      <c r="H358" s="5" cm="1">
        <f t="array" ref="H358">INDEX('Linha 04'!$C$4:$ZZ$1000,B358,C358)</f>
        <v>0</v>
      </c>
    </row>
    <row r="359" spans="1:8" x14ac:dyDescent="0.25">
      <c r="A359">
        <v>357</v>
      </c>
      <c r="B359">
        <f t="shared" si="10"/>
        <v>13</v>
      </c>
      <c r="C359">
        <f t="shared" si="11"/>
        <v>21</v>
      </c>
      <c r="D359" cm="1">
        <f t="array" ref="D359">INDEX('Linha 04'!$A$4:$A$1000,B359)</f>
        <v>20030038</v>
      </c>
      <c r="E359" t="str" cm="1">
        <f t="array" ref="E359">INDEX('Linha 04'!$B$4:$B$1000,B359)</f>
        <v>Detergente Myata Maca Cx/24 X 500ml</v>
      </c>
      <c r="F359" cm="1">
        <f t="array" ref="F359">INDEX('Linha 04'!$C$3:$ZZ$3,C359)</f>
        <v>20050149</v>
      </c>
      <c r="G359" t="str" cm="1">
        <f t="array" ref="G359">INDEX('Linha 04'!$C$2:$ZZ$2,C359)</f>
        <v>Desinfetante Aquafast Campos Lavanda Cx/12 X 1l</v>
      </c>
      <c r="H359" s="5" cm="1">
        <f t="array" ref="H359">INDEX('Linha 04'!$C$4:$ZZ$1000,B359,C359)</f>
        <v>0</v>
      </c>
    </row>
    <row r="360" spans="1:8" x14ac:dyDescent="0.25">
      <c r="A360">
        <v>358</v>
      </c>
      <c r="B360">
        <f t="shared" si="10"/>
        <v>13</v>
      </c>
      <c r="C360">
        <f t="shared" si="11"/>
        <v>22</v>
      </c>
      <c r="D360" cm="1">
        <f t="array" ref="D360">INDEX('Linha 04'!$A$4:$A$1000,B360)</f>
        <v>20030038</v>
      </c>
      <c r="E360" t="str" cm="1">
        <f t="array" ref="E360">INDEX('Linha 04'!$B$4:$B$1000,B360)</f>
        <v>Detergente Myata Maca Cx/24 X 500ml</v>
      </c>
      <c r="F360" cm="1">
        <f t="array" ref="F360">INDEX('Linha 04'!$C$3:$ZZ$3,C360)</f>
        <v>20050150</v>
      </c>
      <c r="G360" t="str" cm="1">
        <f t="array" ref="G360">INDEX('Linha 04'!$C$2:$ZZ$2,C360)</f>
        <v>Desinfetante Aquafast Marine Cx/12 X 1l</v>
      </c>
      <c r="H360" s="5" cm="1">
        <f t="array" ref="H360">INDEX('Linha 04'!$C$4:$ZZ$1000,B360,C360)</f>
        <v>0</v>
      </c>
    </row>
    <row r="361" spans="1:8" x14ac:dyDescent="0.25">
      <c r="A361">
        <v>359</v>
      </c>
      <c r="B361">
        <f t="shared" si="10"/>
        <v>13</v>
      </c>
      <c r="C361">
        <f t="shared" si="11"/>
        <v>23</v>
      </c>
      <c r="D361" cm="1">
        <f t="array" ref="D361">INDEX('Linha 04'!$A$4:$A$1000,B361)</f>
        <v>20030038</v>
      </c>
      <c r="E361" t="str" cm="1">
        <f t="array" ref="E361">INDEX('Linha 04'!$B$4:$B$1000,B361)</f>
        <v>Detergente Myata Maca Cx/24 X 500ml</v>
      </c>
      <c r="F361" cm="1">
        <f t="array" ref="F361">INDEX('Linha 04'!$C$3:$ZZ$3,C361)</f>
        <v>20050151</v>
      </c>
      <c r="G361" t="str" cm="1">
        <f t="array" ref="G361">INDEX('Linha 04'!$C$2:$ZZ$2,C361)</f>
        <v>Desinfetante Aquafast Paixao Cx/12 X 1l</v>
      </c>
      <c r="H361" s="5" cm="1">
        <f t="array" ref="H361">INDEX('Linha 04'!$C$4:$ZZ$1000,B361,C361)</f>
        <v>0</v>
      </c>
    </row>
    <row r="362" spans="1:8" x14ac:dyDescent="0.25">
      <c r="A362">
        <v>360</v>
      </c>
      <c r="B362">
        <f t="shared" si="10"/>
        <v>13</v>
      </c>
      <c r="C362">
        <f t="shared" si="11"/>
        <v>24</v>
      </c>
      <c r="D362" cm="1">
        <f t="array" ref="D362">INDEX('Linha 04'!$A$4:$A$1000,B362)</f>
        <v>20030038</v>
      </c>
      <c r="E362" t="str" cm="1">
        <f t="array" ref="E362">INDEX('Linha 04'!$B$4:$B$1000,B362)</f>
        <v>Detergente Myata Maca Cx/24 X 500ml</v>
      </c>
      <c r="F362" cm="1">
        <f t="array" ref="F362">INDEX('Linha 04'!$C$3:$ZZ$3,C362)</f>
        <v>20050152</v>
      </c>
      <c r="G362" t="str" cm="1">
        <f t="array" ref="G362">INDEX('Linha 04'!$C$2:$ZZ$2,C362)</f>
        <v>Desinfetante Aquafast Harmonia Natural Cx/12 X 1l</v>
      </c>
      <c r="H362" s="5" cm="1">
        <f t="array" ref="H362">INDEX('Linha 04'!$C$4:$ZZ$1000,B362,C362)</f>
        <v>0</v>
      </c>
    </row>
    <row r="363" spans="1:8" x14ac:dyDescent="0.25">
      <c r="A363">
        <v>361</v>
      </c>
      <c r="B363">
        <f t="shared" si="10"/>
        <v>13</v>
      </c>
      <c r="C363">
        <f t="shared" si="11"/>
        <v>25</v>
      </c>
      <c r="D363" cm="1">
        <f t="array" ref="D363">INDEX('Linha 04'!$A$4:$A$1000,B363)</f>
        <v>20030038</v>
      </c>
      <c r="E363" t="str" cm="1">
        <f t="array" ref="E363">INDEX('Linha 04'!$B$4:$B$1000,B363)</f>
        <v>Detergente Myata Maca Cx/24 X 500ml</v>
      </c>
      <c r="F363" cm="1">
        <f t="array" ref="F363">INDEX('Linha 04'!$C$3:$ZZ$3,C363)</f>
        <v>20050153</v>
      </c>
      <c r="G363" t="str" cm="1">
        <f t="array" ref="G363">INDEX('Linha 04'!$C$2:$ZZ$2,C363)</f>
        <v>Desinfetante Ito Harmonia Natural Cx/12 X 500ml</v>
      </c>
      <c r="H363" s="5" cm="1">
        <f t="array" ref="H363">INDEX('Linha 04'!$C$4:$ZZ$1000,B363,C363)</f>
        <v>0</v>
      </c>
    </row>
    <row r="364" spans="1:8" x14ac:dyDescent="0.25">
      <c r="A364">
        <v>362</v>
      </c>
      <c r="B364">
        <f t="shared" si="10"/>
        <v>13</v>
      </c>
      <c r="C364">
        <f t="shared" si="11"/>
        <v>26</v>
      </c>
      <c r="D364" cm="1">
        <f t="array" ref="D364">INDEX('Linha 04'!$A$4:$A$1000,B364)</f>
        <v>20030038</v>
      </c>
      <c r="E364" t="str" cm="1">
        <f t="array" ref="E364">INDEX('Linha 04'!$B$4:$B$1000,B364)</f>
        <v>Detergente Myata Maca Cx/24 X 500ml</v>
      </c>
      <c r="F364" cm="1">
        <f t="array" ref="F364">INDEX('Linha 04'!$C$3:$ZZ$3,C364)</f>
        <v>20050155</v>
      </c>
      <c r="G364" t="str" cm="1">
        <f t="array" ref="G364">INDEX('Linha 04'!$C$2:$ZZ$2,C364)</f>
        <v>Intermed Pack Desinfetante Paixao Cx/12 X 1l</v>
      </c>
      <c r="H364" s="5" cm="1">
        <f t="array" ref="H364">INDEX('Linha 04'!$C$4:$ZZ$1000,B364,C364)</f>
        <v>0</v>
      </c>
    </row>
    <row r="365" spans="1:8" x14ac:dyDescent="0.25">
      <c r="A365">
        <v>363</v>
      </c>
      <c r="B365">
        <f t="shared" si="10"/>
        <v>13</v>
      </c>
      <c r="C365">
        <f t="shared" si="11"/>
        <v>27</v>
      </c>
      <c r="D365" cm="1">
        <f t="array" ref="D365">INDEX('Linha 04'!$A$4:$A$1000,B365)</f>
        <v>20030038</v>
      </c>
      <c r="E365" t="str" cm="1">
        <f t="array" ref="E365">INDEX('Linha 04'!$B$4:$B$1000,B365)</f>
        <v>Detergente Myata Maca Cx/24 X 500ml</v>
      </c>
      <c r="F365" cm="1">
        <f t="array" ref="F365">INDEX('Linha 04'!$C$3:$ZZ$3,C365)</f>
        <v>20050156</v>
      </c>
      <c r="G365" t="str" cm="1">
        <f t="array" ref="G365">INDEX('Linha 04'!$C$2:$ZZ$2,C365)</f>
        <v>Intermed Pack Desinfetante Campos Lavanda Cx/12 X 1l</v>
      </c>
      <c r="H365" s="5" cm="1">
        <f t="array" ref="H365">INDEX('Linha 04'!$C$4:$ZZ$1000,B365,C365)</f>
        <v>0</v>
      </c>
    </row>
    <row r="366" spans="1:8" x14ac:dyDescent="0.25">
      <c r="A366">
        <v>364</v>
      </c>
      <c r="B366">
        <f t="shared" si="10"/>
        <v>13</v>
      </c>
      <c r="C366">
        <f t="shared" si="11"/>
        <v>28</v>
      </c>
      <c r="D366" cm="1">
        <f t="array" ref="D366">INDEX('Linha 04'!$A$4:$A$1000,B366)</f>
        <v>20030038</v>
      </c>
      <c r="E366" t="str" cm="1">
        <f t="array" ref="E366">INDEX('Linha 04'!$B$4:$B$1000,B366)</f>
        <v>Detergente Myata Maca Cx/24 X 500ml</v>
      </c>
      <c r="F366" cm="1">
        <f t="array" ref="F366">INDEX('Linha 04'!$C$3:$ZZ$3,C366)</f>
        <v>20050157</v>
      </c>
      <c r="G366" t="str" cm="1">
        <f t="array" ref="G366">INDEX('Linha 04'!$C$2:$ZZ$2,C366)</f>
        <v>Intermed Pack Desinfetante Marine Cx/12 X 1l</v>
      </c>
      <c r="H366" s="5" cm="1">
        <f t="array" ref="H366">INDEX('Linha 04'!$C$4:$ZZ$1000,B366,C366)</f>
        <v>0</v>
      </c>
    </row>
    <row r="367" spans="1:8" x14ac:dyDescent="0.25">
      <c r="A367">
        <v>365</v>
      </c>
      <c r="B367">
        <f t="shared" si="10"/>
        <v>14</v>
      </c>
      <c r="C367">
        <f t="shared" si="11"/>
        <v>1</v>
      </c>
      <c r="D367" cm="1">
        <f t="array" ref="D367">INDEX('Linha 04'!$A$4:$A$1000,B367)</f>
        <v>20030039</v>
      </c>
      <c r="E367" t="str" cm="1">
        <f t="array" ref="E367">INDEX('Linha 04'!$B$4:$B$1000,B367)</f>
        <v>Detergente Myata Limao Cx/24 X 500ml</v>
      </c>
      <c r="F367" cm="1">
        <f t="array" ref="F367">INDEX('Linha 04'!$C$3:$ZZ$3,C367)</f>
        <v>20030001</v>
      </c>
      <c r="G367" t="str" cm="1">
        <f t="array" ref="G367">INDEX('Linha 04'!$C$2:$ZZ$2,C367)</f>
        <v>Detergente Aquafast Maca Cx/24 X 500ml</v>
      </c>
      <c r="H367" s="5" cm="1">
        <f t="array" ref="H367">INDEX('Linha 04'!$C$4:$ZZ$1000,B367,C367)</f>
        <v>0</v>
      </c>
    </row>
    <row r="368" spans="1:8" x14ac:dyDescent="0.25">
      <c r="A368">
        <v>366</v>
      </c>
      <c r="B368">
        <f t="shared" si="10"/>
        <v>14</v>
      </c>
      <c r="C368">
        <f t="shared" si="11"/>
        <v>2</v>
      </c>
      <c r="D368" cm="1">
        <f t="array" ref="D368">INDEX('Linha 04'!$A$4:$A$1000,B368)</f>
        <v>20030039</v>
      </c>
      <c r="E368" t="str" cm="1">
        <f t="array" ref="E368">INDEX('Linha 04'!$B$4:$B$1000,B368)</f>
        <v>Detergente Myata Limao Cx/24 X 500ml</v>
      </c>
      <c r="F368" cm="1">
        <f t="array" ref="F368">INDEX('Linha 04'!$C$3:$ZZ$3,C368)</f>
        <v>20030002</v>
      </c>
      <c r="G368" t="str" cm="1">
        <f t="array" ref="G368">INDEX('Linha 04'!$C$2:$ZZ$2,C368)</f>
        <v>Detergente Aquafast Limao Cx/24 X 500ml</v>
      </c>
      <c r="H368" s="5" cm="1">
        <f t="array" ref="H368">INDEX('Linha 04'!$C$4:$ZZ$1000,B368,C368)</f>
        <v>0</v>
      </c>
    </row>
    <row r="369" spans="1:8" x14ac:dyDescent="0.25">
      <c r="A369">
        <v>367</v>
      </c>
      <c r="B369">
        <f t="shared" si="10"/>
        <v>14</v>
      </c>
      <c r="C369">
        <f t="shared" si="11"/>
        <v>3</v>
      </c>
      <c r="D369" cm="1">
        <f t="array" ref="D369">INDEX('Linha 04'!$A$4:$A$1000,B369)</f>
        <v>20030039</v>
      </c>
      <c r="E369" t="str" cm="1">
        <f t="array" ref="E369">INDEX('Linha 04'!$B$4:$B$1000,B369)</f>
        <v>Detergente Myata Limao Cx/24 X 500ml</v>
      </c>
      <c r="F369" cm="1">
        <f t="array" ref="F369">INDEX('Linha 04'!$C$3:$ZZ$3,C369)</f>
        <v>20030003</v>
      </c>
      <c r="G369" t="str" cm="1">
        <f t="array" ref="G369">INDEX('Linha 04'!$C$2:$ZZ$2,C369)</f>
        <v>Detergente Aquafast Neutro Cx/24 X 500ml</v>
      </c>
      <c r="H369" s="5" cm="1">
        <f t="array" ref="H369">INDEX('Linha 04'!$C$4:$ZZ$1000,B369,C369)</f>
        <v>0</v>
      </c>
    </row>
    <row r="370" spans="1:8" x14ac:dyDescent="0.25">
      <c r="A370">
        <v>368</v>
      </c>
      <c r="B370">
        <f t="shared" si="10"/>
        <v>14</v>
      </c>
      <c r="C370">
        <f t="shared" si="11"/>
        <v>4</v>
      </c>
      <c r="D370" cm="1">
        <f t="array" ref="D370">INDEX('Linha 04'!$A$4:$A$1000,B370)</f>
        <v>20030039</v>
      </c>
      <c r="E370" t="str" cm="1">
        <f t="array" ref="E370">INDEX('Linha 04'!$B$4:$B$1000,B370)</f>
        <v>Detergente Myata Limao Cx/24 X 500ml</v>
      </c>
      <c r="F370" cm="1">
        <f t="array" ref="F370">INDEX('Linha 04'!$C$3:$ZZ$3,C370)</f>
        <v>20030004</v>
      </c>
      <c r="G370" t="str" cm="1">
        <f t="array" ref="G370">INDEX('Linha 04'!$C$2:$ZZ$2,C370)</f>
        <v>Detergente Aquafast Clear Cx/24 X 500ml (Natural)</v>
      </c>
      <c r="H370" s="5" cm="1">
        <f t="array" ref="H370">INDEX('Linha 04'!$C$4:$ZZ$1000,B370,C370)</f>
        <v>0</v>
      </c>
    </row>
    <row r="371" spans="1:8" x14ac:dyDescent="0.25">
      <c r="A371">
        <v>369</v>
      </c>
      <c r="B371">
        <f t="shared" si="10"/>
        <v>14</v>
      </c>
      <c r="C371">
        <f t="shared" si="11"/>
        <v>5</v>
      </c>
      <c r="D371" cm="1">
        <f t="array" ref="D371">INDEX('Linha 04'!$A$4:$A$1000,B371)</f>
        <v>20030039</v>
      </c>
      <c r="E371" t="str" cm="1">
        <f t="array" ref="E371">INDEX('Linha 04'!$B$4:$B$1000,B371)</f>
        <v>Detergente Myata Limao Cx/24 X 500ml</v>
      </c>
      <c r="F371" cm="1">
        <f t="array" ref="F371">INDEX('Linha 04'!$C$3:$ZZ$3,C371)</f>
        <v>20030011</v>
      </c>
      <c r="G371" t="str" cm="1">
        <f t="array" ref="G371">INDEX('Linha 04'!$C$2:$ZZ$2,C371)</f>
        <v>Detergente Aquafast Maca Cx/12 X 1l</v>
      </c>
      <c r="H371" s="5" cm="1">
        <f t="array" ref="H371">INDEX('Linha 04'!$C$4:$ZZ$1000,B371,C371)</f>
        <v>0</v>
      </c>
    </row>
    <row r="372" spans="1:8" x14ac:dyDescent="0.25">
      <c r="A372">
        <v>370</v>
      </c>
      <c r="B372">
        <f t="shared" si="10"/>
        <v>14</v>
      </c>
      <c r="C372">
        <f t="shared" si="11"/>
        <v>6</v>
      </c>
      <c r="D372" cm="1">
        <f t="array" ref="D372">INDEX('Linha 04'!$A$4:$A$1000,B372)</f>
        <v>20030039</v>
      </c>
      <c r="E372" t="str" cm="1">
        <f t="array" ref="E372">INDEX('Linha 04'!$B$4:$B$1000,B372)</f>
        <v>Detergente Myata Limao Cx/24 X 500ml</v>
      </c>
      <c r="F372" cm="1">
        <f t="array" ref="F372">INDEX('Linha 04'!$C$3:$ZZ$3,C372)</f>
        <v>20030012</v>
      </c>
      <c r="G372" t="str" cm="1">
        <f t="array" ref="G372">INDEX('Linha 04'!$C$2:$ZZ$2,C372)</f>
        <v>Detergente Aquafast Limao Cx/12 X 1l</v>
      </c>
      <c r="H372" s="5" cm="1">
        <f t="array" ref="H372">INDEX('Linha 04'!$C$4:$ZZ$1000,B372,C372)</f>
        <v>0</v>
      </c>
    </row>
    <row r="373" spans="1:8" x14ac:dyDescent="0.25">
      <c r="A373">
        <v>371</v>
      </c>
      <c r="B373">
        <f t="shared" si="10"/>
        <v>14</v>
      </c>
      <c r="C373">
        <f t="shared" si="11"/>
        <v>7</v>
      </c>
      <c r="D373" cm="1">
        <f t="array" ref="D373">INDEX('Linha 04'!$A$4:$A$1000,B373)</f>
        <v>20030039</v>
      </c>
      <c r="E373" t="str" cm="1">
        <f t="array" ref="E373">INDEX('Linha 04'!$B$4:$B$1000,B373)</f>
        <v>Detergente Myata Limao Cx/24 X 500ml</v>
      </c>
      <c r="F373" cm="1">
        <f t="array" ref="F373">INDEX('Linha 04'!$C$3:$ZZ$3,C373)</f>
        <v>20030013</v>
      </c>
      <c r="G373" t="str" cm="1">
        <f t="array" ref="G373">INDEX('Linha 04'!$C$2:$ZZ$2,C373)</f>
        <v>Detergente Aquafast Neutro Cx/12 X 1l</v>
      </c>
      <c r="H373" s="5" cm="1">
        <f t="array" ref="H373">INDEX('Linha 04'!$C$4:$ZZ$1000,B373,C373)</f>
        <v>0</v>
      </c>
    </row>
    <row r="374" spans="1:8" x14ac:dyDescent="0.25">
      <c r="A374">
        <v>372</v>
      </c>
      <c r="B374">
        <f t="shared" si="10"/>
        <v>14</v>
      </c>
      <c r="C374">
        <f t="shared" si="11"/>
        <v>8</v>
      </c>
      <c r="D374" cm="1">
        <f t="array" ref="D374">INDEX('Linha 04'!$A$4:$A$1000,B374)</f>
        <v>20030039</v>
      </c>
      <c r="E374" t="str" cm="1">
        <f t="array" ref="E374">INDEX('Linha 04'!$B$4:$B$1000,B374)</f>
        <v>Detergente Myata Limao Cx/24 X 500ml</v>
      </c>
      <c r="F374" cm="1">
        <f t="array" ref="F374">INDEX('Linha 04'!$C$3:$ZZ$3,C374)</f>
        <v>20030014</v>
      </c>
      <c r="G374" t="str" cm="1">
        <f t="array" ref="G374">INDEX('Linha 04'!$C$2:$ZZ$2,C374)</f>
        <v>Detergente Aquafast Clear Cx/12 X 1l (Natural)</v>
      </c>
      <c r="H374" s="5" cm="1">
        <f t="array" ref="H374">INDEX('Linha 04'!$C$4:$ZZ$1000,B374,C374)</f>
        <v>0</v>
      </c>
    </row>
    <row r="375" spans="1:8" x14ac:dyDescent="0.25">
      <c r="A375">
        <v>373</v>
      </c>
      <c r="B375">
        <f t="shared" si="10"/>
        <v>14</v>
      </c>
      <c r="C375">
        <f t="shared" si="11"/>
        <v>9</v>
      </c>
      <c r="D375" cm="1">
        <f t="array" ref="D375">INDEX('Linha 04'!$A$4:$A$1000,B375)</f>
        <v>20030039</v>
      </c>
      <c r="E375" t="str" cm="1">
        <f t="array" ref="E375">INDEX('Linha 04'!$B$4:$B$1000,B375)</f>
        <v>Detergente Myata Limao Cx/24 X 500ml</v>
      </c>
      <c r="F375" cm="1">
        <f t="array" ref="F375">INDEX('Linha 04'!$C$3:$ZZ$3,C375)</f>
        <v>20030020</v>
      </c>
      <c r="G375" t="str" cm="1">
        <f t="array" ref="G375">INDEX('Linha 04'!$C$2:$ZZ$2,C375)</f>
        <v>Detergente Ito Maca Cx/24 X 500ml</v>
      </c>
      <c r="H375" s="5" cm="1">
        <f t="array" ref="H375">INDEX('Linha 04'!$C$4:$ZZ$1000,B375,C375)</f>
        <v>0</v>
      </c>
    </row>
    <row r="376" spans="1:8" x14ac:dyDescent="0.25">
      <c r="A376">
        <v>374</v>
      </c>
      <c r="B376">
        <f t="shared" si="10"/>
        <v>14</v>
      </c>
      <c r="C376">
        <f t="shared" si="11"/>
        <v>10</v>
      </c>
      <c r="D376" cm="1">
        <f t="array" ref="D376">INDEX('Linha 04'!$A$4:$A$1000,B376)</f>
        <v>20030039</v>
      </c>
      <c r="E376" t="str" cm="1">
        <f t="array" ref="E376">INDEX('Linha 04'!$B$4:$B$1000,B376)</f>
        <v>Detergente Myata Limao Cx/24 X 500ml</v>
      </c>
      <c r="F376" cm="1">
        <f t="array" ref="F376">INDEX('Linha 04'!$C$3:$ZZ$3,C376)</f>
        <v>20030021</v>
      </c>
      <c r="G376" t="str" cm="1">
        <f t="array" ref="G376">INDEX('Linha 04'!$C$2:$ZZ$2,C376)</f>
        <v>Detergente Ito Limao Cx/24 X 500ml</v>
      </c>
      <c r="H376" s="5" cm="1">
        <f t="array" ref="H376">INDEX('Linha 04'!$C$4:$ZZ$1000,B376,C376)</f>
        <v>0</v>
      </c>
    </row>
    <row r="377" spans="1:8" x14ac:dyDescent="0.25">
      <c r="A377">
        <v>375</v>
      </c>
      <c r="B377">
        <f t="shared" si="10"/>
        <v>14</v>
      </c>
      <c r="C377">
        <f t="shared" si="11"/>
        <v>11</v>
      </c>
      <c r="D377" cm="1">
        <f t="array" ref="D377">INDEX('Linha 04'!$A$4:$A$1000,B377)</f>
        <v>20030039</v>
      </c>
      <c r="E377" t="str" cm="1">
        <f t="array" ref="E377">INDEX('Linha 04'!$B$4:$B$1000,B377)</f>
        <v>Detergente Myata Limao Cx/24 X 500ml</v>
      </c>
      <c r="F377" cm="1">
        <f t="array" ref="F377">INDEX('Linha 04'!$C$3:$ZZ$3,C377)</f>
        <v>20030022</v>
      </c>
      <c r="G377" t="str" cm="1">
        <f t="array" ref="G377">INDEX('Linha 04'!$C$2:$ZZ$2,C377)</f>
        <v>Detergente Ito Neutro Cx/24 X 500ml</v>
      </c>
      <c r="H377" s="5" cm="1">
        <f t="array" ref="H377">INDEX('Linha 04'!$C$4:$ZZ$1000,B377,C377)</f>
        <v>0</v>
      </c>
    </row>
    <row r="378" spans="1:8" x14ac:dyDescent="0.25">
      <c r="A378">
        <v>376</v>
      </c>
      <c r="B378">
        <f t="shared" si="10"/>
        <v>14</v>
      </c>
      <c r="C378">
        <f t="shared" si="11"/>
        <v>12</v>
      </c>
      <c r="D378" cm="1">
        <f t="array" ref="D378">INDEX('Linha 04'!$A$4:$A$1000,B378)</f>
        <v>20030039</v>
      </c>
      <c r="E378" t="str" cm="1">
        <f t="array" ref="E378">INDEX('Linha 04'!$B$4:$B$1000,B378)</f>
        <v>Detergente Myata Limao Cx/24 X 500ml</v>
      </c>
      <c r="F378" cm="1">
        <f t="array" ref="F378">INDEX('Linha 04'!$C$3:$ZZ$3,C378)</f>
        <v>20030023</v>
      </c>
      <c r="G378" t="str" cm="1">
        <f t="array" ref="G378">INDEX('Linha 04'!$C$2:$ZZ$2,C378)</f>
        <v>Detergente Ito Clear Cx/24 X 500ml</v>
      </c>
      <c r="H378" s="5" cm="1">
        <f t="array" ref="H378">INDEX('Linha 04'!$C$4:$ZZ$1000,B378,C378)</f>
        <v>0</v>
      </c>
    </row>
    <row r="379" spans="1:8" x14ac:dyDescent="0.25">
      <c r="A379">
        <v>377</v>
      </c>
      <c r="B379">
        <f t="shared" si="10"/>
        <v>14</v>
      </c>
      <c r="C379">
        <f t="shared" si="11"/>
        <v>13</v>
      </c>
      <c r="D379" cm="1">
        <f t="array" ref="D379">INDEX('Linha 04'!$A$4:$A$1000,B379)</f>
        <v>20030039</v>
      </c>
      <c r="E379" t="str" cm="1">
        <f t="array" ref="E379">INDEX('Linha 04'!$B$4:$B$1000,B379)</f>
        <v>Detergente Myata Limao Cx/24 X 500ml</v>
      </c>
      <c r="F379" cm="1">
        <f t="array" ref="F379">INDEX('Linha 04'!$C$3:$ZZ$3,C379)</f>
        <v>20030038</v>
      </c>
      <c r="G379" t="str" cm="1">
        <f t="array" ref="G379">INDEX('Linha 04'!$C$2:$ZZ$2,C379)</f>
        <v>Detergente Myata Maca Cx/24 X 500ml</v>
      </c>
      <c r="H379" s="5" cm="1">
        <f t="array" ref="H379">INDEX('Linha 04'!$C$4:$ZZ$1000,B379,C379)</f>
        <v>0</v>
      </c>
    </row>
    <row r="380" spans="1:8" x14ac:dyDescent="0.25">
      <c r="A380">
        <v>378</v>
      </c>
      <c r="B380">
        <f t="shared" si="10"/>
        <v>14</v>
      </c>
      <c r="C380">
        <f t="shared" si="11"/>
        <v>14</v>
      </c>
      <c r="D380" cm="1">
        <f t="array" ref="D380">INDEX('Linha 04'!$A$4:$A$1000,B380)</f>
        <v>20030039</v>
      </c>
      <c r="E380" t="str" cm="1">
        <f t="array" ref="E380">INDEX('Linha 04'!$B$4:$B$1000,B380)</f>
        <v>Detergente Myata Limao Cx/24 X 500ml</v>
      </c>
      <c r="F380" cm="1">
        <f t="array" ref="F380">INDEX('Linha 04'!$C$3:$ZZ$3,C380)</f>
        <v>20030039</v>
      </c>
      <c r="G380" t="str" cm="1">
        <f t="array" ref="G380">INDEX('Linha 04'!$C$2:$ZZ$2,C380)</f>
        <v>Detergente Myata Limao Cx/24 X 500ml</v>
      </c>
      <c r="H380" s="5" cm="1">
        <f t="array" ref="H380">INDEX('Linha 04'!$C$4:$ZZ$1000,B380,C380)</f>
        <v>0</v>
      </c>
    </row>
    <row r="381" spans="1:8" x14ac:dyDescent="0.25">
      <c r="A381">
        <v>379</v>
      </c>
      <c r="B381">
        <f t="shared" si="10"/>
        <v>14</v>
      </c>
      <c r="C381">
        <f t="shared" si="11"/>
        <v>15</v>
      </c>
      <c r="D381" cm="1">
        <f t="array" ref="D381">INDEX('Linha 04'!$A$4:$A$1000,B381)</f>
        <v>20030039</v>
      </c>
      <c r="E381" t="str" cm="1">
        <f t="array" ref="E381">INDEX('Linha 04'!$B$4:$B$1000,B381)</f>
        <v>Detergente Myata Limao Cx/24 X 500ml</v>
      </c>
      <c r="F381" cm="1">
        <f t="array" ref="F381">INDEX('Linha 04'!$C$3:$ZZ$3,C381)</f>
        <v>20030040</v>
      </c>
      <c r="G381" t="str" cm="1">
        <f t="array" ref="G381">INDEX('Linha 04'!$C$2:$ZZ$2,C381)</f>
        <v>Detergente Myata Neutro Cx/24 X 500ml</v>
      </c>
      <c r="H381" s="5" cm="1">
        <f t="array" ref="H381">INDEX('Linha 04'!$C$4:$ZZ$1000,B381,C381)</f>
        <v>0</v>
      </c>
    </row>
    <row r="382" spans="1:8" x14ac:dyDescent="0.25">
      <c r="A382">
        <v>380</v>
      </c>
      <c r="B382">
        <f t="shared" si="10"/>
        <v>14</v>
      </c>
      <c r="C382">
        <f t="shared" si="11"/>
        <v>16</v>
      </c>
      <c r="D382" cm="1">
        <f t="array" ref="D382">INDEX('Linha 04'!$A$4:$A$1000,B382)</f>
        <v>20030039</v>
      </c>
      <c r="E382" t="str" cm="1">
        <f t="array" ref="E382">INDEX('Linha 04'!$B$4:$B$1000,B382)</f>
        <v>Detergente Myata Limao Cx/24 X 500ml</v>
      </c>
      <c r="F382" cm="1">
        <f t="array" ref="F382">INDEX('Linha 04'!$C$3:$ZZ$3,C382)</f>
        <v>20030067</v>
      </c>
      <c r="G382" t="str" cm="1">
        <f t="array" ref="G382">INDEX('Linha 04'!$C$2:$ZZ$2,C382)</f>
        <v>Detergente Aquafast Coco Cx/24 X 500ml</v>
      </c>
      <c r="H382" s="5" cm="1">
        <f t="array" ref="H382">INDEX('Linha 04'!$C$4:$ZZ$1000,B382,C382)</f>
        <v>0</v>
      </c>
    </row>
    <row r="383" spans="1:8" x14ac:dyDescent="0.25">
      <c r="A383">
        <v>381</v>
      </c>
      <c r="B383">
        <f t="shared" si="10"/>
        <v>14</v>
      </c>
      <c r="C383">
        <f t="shared" si="11"/>
        <v>17</v>
      </c>
      <c r="D383" cm="1">
        <f t="array" ref="D383">INDEX('Linha 04'!$A$4:$A$1000,B383)</f>
        <v>20030039</v>
      </c>
      <c r="E383" t="str" cm="1">
        <f t="array" ref="E383">INDEX('Linha 04'!$B$4:$B$1000,B383)</f>
        <v>Detergente Myata Limao Cx/24 X 500ml</v>
      </c>
      <c r="F383" cm="1">
        <f t="array" ref="F383">INDEX('Linha 04'!$C$3:$ZZ$3,C383)</f>
        <v>20050001</v>
      </c>
      <c r="G383" t="str" cm="1">
        <f t="array" ref="G383">INDEX('Linha 04'!$C$2:$ZZ$2,C383)</f>
        <v>Desinfetante Aquafast Campos Lavanda Cx/12 X 500ml</v>
      </c>
      <c r="H383" s="5" cm="1">
        <f t="array" ref="H383">INDEX('Linha 04'!$C$4:$ZZ$1000,B383,C383)</f>
        <v>0</v>
      </c>
    </row>
    <row r="384" spans="1:8" x14ac:dyDescent="0.25">
      <c r="A384">
        <v>382</v>
      </c>
      <c r="B384">
        <f t="shared" si="10"/>
        <v>14</v>
      </c>
      <c r="C384">
        <f t="shared" si="11"/>
        <v>18</v>
      </c>
      <c r="D384" cm="1">
        <f t="array" ref="D384">INDEX('Linha 04'!$A$4:$A$1000,B384)</f>
        <v>20030039</v>
      </c>
      <c r="E384" t="str" cm="1">
        <f t="array" ref="E384">INDEX('Linha 04'!$B$4:$B$1000,B384)</f>
        <v>Detergente Myata Limao Cx/24 X 500ml</v>
      </c>
      <c r="F384" cm="1">
        <f t="array" ref="F384">INDEX('Linha 04'!$C$3:$ZZ$3,C384)</f>
        <v>20050026</v>
      </c>
      <c r="G384" t="str" cm="1">
        <f t="array" ref="G384">INDEX('Linha 04'!$C$2:$ZZ$2,C384)</f>
        <v>Desinfetante Ito Lavanda Cx/12 X 500ml</v>
      </c>
      <c r="H384" s="5" cm="1">
        <f t="array" ref="H384">INDEX('Linha 04'!$C$4:$ZZ$1000,B384,C384)</f>
        <v>0</v>
      </c>
    </row>
    <row r="385" spans="1:8" x14ac:dyDescent="0.25">
      <c r="A385">
        <v>383</v>
      </c>
      <c r="B385">
        <f t="shared" si="10"/>
        <v>14</v>
      </c>
      <c r="C385">
        <f t="shared" si="11"/>
        <v>19</v>
      </c>
      <c r="D385" cm="1">
        <f t="array" ref="D385">INDEX('Linha 04'!$A$4:$A$1000,B385)</f>
        <v>20030039</v>
      </c>
      <c r="E385" t="str" cm="1">
        <f t="array" ref="E385">INDEX('Linha 04'!$B$4:$B$1000,B385)</f>
        <v>Detergente Myata Limao Cx/24 X 500ml</v>
      </c>
      <c r="F385" cm="1">
        <f t="array" ref="F385">INDEX('Linha 04'!$C$3:$ZZ$3,C385)</f>
        <v>20050119</v>
      </c>
      <c r="G385" t="str" cm="1">
        <f t="array" ref="G385">INDEX('Linha 04'!$C$2:$ZZ$2,C385)</f>
        <v>Desinfetante Aquafast Paixao Cx/12 X 500ml</v>
      </c>
      <c r="H385" s="5" cm="1">
        <f t="array" ref="H385">INDEX('Linha 04'!$C$4:$ZZ$1000,B385,C385)</f>
        <v>0</v>
      </c>
    </row>
    <row r="386" spans="1:8" x14ac:dyDescent="0.25">
      <c r="A386">
        <v>384</v>
      </c>
      <c r="B386">
        <f t="shared" si="10"/>
        <v>14</v>
      </c>
      <c r="C386">
        <f t="shared" si="11"/>
        <v>20</v>
      </c>
      <c r="D386" cm="1">
        <f t="array" ref="D386">INDEX('Linha 04'!$A$4:$A$1000,B386)</f>
        <v>20030039</v>
      </c>
      <c r="E386" t="str" cm="1">
        <f t="array" ref="E386">INDEX('Linha 04'!$B$4:$B$1000,B386)</f>
        <v>Detergente Myata Limao Cx/24 X 500ml</v>
      </c>
      <c r="F386" cm="1">
        <f t="array" ref="F386">INDEX('Linha 04'!$C$3:$ZZ$3,C386)</f>
        <v>20050145</v>
      </c>
      <c r="G386" t="str" cm="1">
        <f t="array" ref="G386">INDEX('Linha 04'!$C$2:$ZZ$2,C386)</f>
        <v>Desinfetante Aquafast Harmonia Natural Cx/12 X 500ml</v>
      </c>
      <c r="H386" s="5" cm="1">
        <f t="array" ref="H386">INDEX('Linha 04'!$C$4:$ZZ$1000,B386,C386)</f>
        <v>0</v>
      </c>
    </row>
    <row r="387" spans="1:8" x14ac:dyDescent="0.25">
      <c r="A387">
        <v>385</v>
      </c>
      <c r="B387">
        <f t="shared" si="10"/>
        <v>14</v>
      </c>
      <c r="C387">
        <f t="shared" si="11"/>
        <v>21</v>
      </c>
      <c r="D387" cm="1">
        <f t="array" ref="D387">INDEX('Linha 04'!$A$4:$A$1000,B387)</f>
        <v>20030039</v>
      </c>
      <c r="E387" t="str" cm="1">
        <f t="array" ref="E387">INDEX('Linha 04'!$B$4:$B$1000,B387)</f>
        <v>Detergente Myata Limao Cx/24 X 500ml</v>
      </c>
      <c r="F387" cm="1">
        <f t="array" ref="F387">INDEX('Linha 04'!$C$3:$ZZ$3,C387)</f>
        <v>20050149</v>
      </c>
      <c r="G387" t="str" cm="1">
        <f t="array" ref="G387">INDEX('Linha 04'!$C$2:$ZZ$2,C387)</f>
        <v>Desinfetante Aquafast Campos Lavanda Cx/12 X 1l</v>
      </c>
      <c r="H387" s="5" cm="1">
        <f t="array" ref="H387">INDEX('Linha 04'!$C$4:$ZZ$1000,B387,C387)</f>
        <v>0</v>
      </c>
    </row>
    <row r="388" spans="1:8" x14ac:dyDescent="0.25">
      <c r="A388">
        <v>386</v>
      </c>
      <c r="B388">
        <f t="shared" ref="B388:B451" si="12">INT((A388-1)/$B$1)+1</f>
        <v>14</v>
      </c>
      <c r="C388">
        <f t="shared" ref="C388:C451" si="13">MOD(A388-1,$B$1)+1</f>
        <v>22</v>
      </c>
      <c r="D388" cm="1">
        <f t="array" ref="D388">INDEX('Linha 04'!$A$4:$A$1000,B388)</f>
        <v>20030039</v>
      </c>
      <c r="E388" t="str" cm="1">
        <f t="array" ref="E388">INDEX('Linha 04'!$B$4:$B$1000,B388)</f>
        <v>Detergente Myata Limao Cx/24 X 500ml</v>
      </c>
      <c r="F388" cm="1">
        <f t="array" ref="F388">INDEX('Linha 04'!$C$3:$ZZ$3,C388)</f>
        <v>20050150</v>
      </c>
      <c r="G388" t="str" cm="1">
        <f t="array" ref="G388">INDEX('Linha 04'!$C$2:$ZZ$2,C388)</f>
        <v>Desinfetante Aquafast Marine Cx/12 X 1l</v>
      </c>
      <c r="H388" s="5" cm="1">
        <f t="array" ref="H388">INDEX('Linha 04'!$C$4:$ZZ$1000,B388,C388)</f>
        <v>0</v>
      </c>
    </row>
    <row r="389" spans="1:8" x14ac:dyDescent="0.25">
      <c r="A389">
        <v>387</v>
      </c>
      <c r="B389">
        <f t="shared" si="12"/>
        <v>14</v>
      </c>
      <c r="C389">
        <f t="shared" si="13"/>
        <v>23</v>
      </c>
      <c r="D389" cm="1">
        <f t="array" ref="D389">INDEX('Linha 04'!$A$4:$A$1000,B389)</f>
        <v>20030039</v>
      </c>
      <c r="E389" t="str" cm="1">
        <f t="array" ref="E389">INDEX('Linha 04'!$B$4:$B$1000,B389)</f>
        <v>Detergente Myata Limao Cx/24 X 500ml</v>
      </c>
      <c r="F389" cm="1">
        <f t="array" ref="F389">INDEX('Linha 04'!$C$3:$ZZ$3,C389)</f>
        <v>20050151</v>
      </c>
      <c r="G389" t="str" cm="1">
        <f t="array" ref="G389">INDEX('Linha 04'!$C$2:$ZZ$2,C389)</f>
        <v>Desinfetante Aquafast Paixao Cx/12 X 1l</v>
      </c>
      <c r="H389" s="5" cm="1">
        <f t="array" ref="H389">INDEX('Linha 04'!$C$4:$ZZ$1000,B389,C389)</f>
        <v>0</v>
      </c>
    </row>
    <row r="390" spans="1:8" x14ac:dyDescent="0.25">
      <c r="A390">
        <v>388</v>
      </c>
      <c r="B390">
        <f t="shared" si="12"/>
        <v>14</v>
      </c>
      <c r="C390">
        <f t="shared" si="13"/>
        <v>24</v>
      </c>
      <c r="D390" cm="1">
        <f t="array" ref="D390">INDEX('Linha 04'!$A$4:$A$1000,B390)</f>
        <v>20030039</v>
      </c>
      <c r="E390" t="str" cm="1">
        <f t="array" ref="E390">INDEX('Linha 04'!$B$4:$B$1000,B390)</f>
        <v>Detergente Myata Limao Cx/24 X 500ml</v>
      </c>
      <c r="F390" cm="1">
        <f t="array" ref="F390">INDEX('Linha 04'!$C$3:$ZZ$3,C390)</f>
        <v>20050152</v>
      </c>
      <c r="G390" t="str" cm="1">
        <f t="array" ref="G390">INDEX('Linha 04'!$C$2:$ZZ$2,C390)</f>
        <v>Desinfetante Aquafast Harmonia Natural Cx/12 X 1l</v>
      </c>
      <c r="H390" s="5" cm="1">
        <f t="array" ref="H390">INDEX('Linha 04'!$C$4:$ZZ$1000,B390,C390)</f>
        <v>0</v>
      </c>
    </row>
    <row r="391" spans="1:8" x14ac:dyDescent="0.25">
      <c r="A391">
        <v>389</v>
      </c>
      <c r="B391">
        <f t="shared" si="12"/>
        <v>14</v>
      </c>
      <c r="C391">
        <f t="shared" si="13"/>
        <v>25</v>
      </c>
      <c r="D391" cm="1">
        <f t="array" ref="D391">INDEX('Linha 04'!$A$4:$A$1000,B391)</f>
        <v>20030039</v>
      </c>
      <c r="E391" t="str" cm="1">
        <f t="array" ref="E391">INDEX('Linha 04'!$B$4:$B$1000,B391)</f>
        <v>Detergente Myata Limao Cx/24 X 500ml</v>
      </c>
      <c r="F391" cm="1">
        <f t="array" ref="F391">INDEX('Linha 04'!$C$3:$ZZ$3,C391)</f>
        <v>20050153</v>
      </c>
      <c r="G391" t="str" cm="1">
        <f t="array" ref="G391">INDEX('Linha 04'!$C$2:$ZZ$2,C391)</f>
        <v>Desinfetante Ito Harmonia Natural Cx/12 X 500ml</v>
      </c>
      <c r="H391" s="5" cm="1">
        <f t="array" ref="H391">INDEX('Linha 04'!$C$4:$ZZ$1000,B391,C391)</f>
        <v>0</v>
      </c>
    </row>
    <row r="392" spans="1:8" x14ac:dyDescent="0.25">
      <c r="A392">
        <v>390</v>
      </c>
      <c r="B392">
        <f t="shared" si="12"/>
        <v>14</v>
      </c>
      <c r="C392">
        <f t="shared" si="13"/>
        <v>26</v>
      </c>
      <c r="D392" cm="1">
        <f t="array" ref="D392">INDEX('Linha 04'!$A$4:$A$1000,B392)</f>
        <v>20030039</v>
      </c>
      <c r="E392" t="str" cm="1">
        <f t="array" ref="E392">INDEX('Linha 04'!$B$4:$B$1000,B392)</f>
        <v>Detergente Myata Limao Cx/24 X 500ml</v>
      </c>
      <c r="F392" cm="1">
        <f t="array" ref="F392">INDEX('Linha 04'!$C$3:$ZZ$3,C392)</f>
        <v>20050155</v>
      </c>
      <c r="G392" t="str" cm="1">
        <f t="array" ref="G392">INDEX('Linha 04'!$C$2:$ZZ$2,C392)</f>
        <v>Intermed Pack Desinfetante Paixao Cx/12 X 1l</v>
      </c>
      <c r="H392" s="5" cm="1">
        <f t="array" ref="H392">INDEX('Linha 04'!$C$4:$ZZ$1000,B392,C392)</f>
        <v>0</v>
      </c>
    </row>
    <row r="393" spans="1:8" x14ac:dyDescent="0.25">
      <c r="A393">
        <v>391</v>
      </c>
      <c r="B393">
        <f t="shared" si="12"/>
        <v>14</v>
      </c>
      <c r="C393">
        <f t="shared" si="13"/>
        <v>27</v>
      </c>
      <c r="D393" cm="1">
        <f t="array" ref="D393">INDEX('Linha 04'!$A$4:$A$1000,B393)</f>
        <v>20030039</v>
      </c>
      <c r="E393" t="str" cm="1">
        <f t="array" ref="E393">INDEX('Linha 04'!$B$4:$B$1000,B393)</f>
        <v>Detergente Myata Limao Cx/24 X 500ml</v>
      </c>
      <c r="F393" cm="1">
        <f t="array" ref="F393">INDEX('Linha 04'!$C$3:$ZZ$3,C393)</f>
        <v>20050156</v>
      </c>
      <c r="G393" t="str" cm="1">
        <f t="array" ref="G393">INDEX('Linha 04'!$C$2:$ZZ$2,C393)</f>
        <v>Intermed Pack Desinfetante Campos Lavanda Cx/12 X 1l</v>
      </c>
      <c r="H393" s="5" cm="1">
        <f t="array" ref="H393">INDEX('Linha 04'!$C$4:$ZZ$1000,B393,C393)</f>
        <v>0</v>
      </c>
    </row>
    <row r="394" spans="1:8" x14ac:dyDescent="0.25">
      <c r="A394">
        <v>392</v>
      </c>
      <c r="B394">
        <f t="shared" si="12"/>
        <v>14</v>
      </c>
      <c r="C394">
        <f t="shared" si="13"/>
        <v>28</v>
      </c>
      <c r="D394" cm="1">
        <f t="array" ref="D394">INDEX('Linha 04'!$A$4:$A$1000,B394)</f>
        <v>20030039</v>
      </c>
      <c r="E394" t="str" cm="1">
        <f t="array" ref="E394">INDEX('Linha 04'!$B$4:$B$1000,B394)</f>
        <v>Detergente Myata Limao Cx/24 X 500ml</v>
      </c>
      <c r="F394" cm="1">
        <f t="array" ref="F394">INDEX('Linha 04'!$C$3:$ZZ$3,C394)</f>
        <v>20050157</v>
      </c>
      <c r="G394" t="str" cm="1">
        <f t="array" ref="G394">INDEX('Linha 04'!$C$2:$ZZ$2,C394)</f>
        <v>Intermed Pack Desinfetante Marine Cx/12 X 1l</v>
      </c>
      <c r="H394" s="5" cm="1">
        <f t="array" ref="H394">INDEX('Linha 04'!$C$4:$ZZ$1000,B394,C394)</f>
        <v>0</v>
      </c>
    </row>
    <row r="395" spans="1:8" x14ac:dyDescent="0.25">
      <c r="A395">
        <v>393</v>
      </c>
      <c r="B395">
        <f t="shared" si="12"/>
        <v>15</v>
      </c>
      <c r="C395">
        <f t="shared" si="13"/>
        <v>1</v>
      </c>
      <c r="D395" cm="1">
        <f t="array" ref="D395">INDEX('Linha 04'!$A$4:$A$1000,B395)</f>
        <v>20030040</v>
      </c>
      <c r="E395" t="str" cm="1">
        <f t="array" ref="E395">INDEX('Linha 04'!$B$4:$B$1000,B395)</f>
        <v>Detergente Myata Neutro Cx/24 X 500ml</v>
      </c>
      <c r="F395" cm="1">
        <f t="array" ref="F395">INDEX('Linha 04'!$C$3:$ZZ$3,C395)</f>
        <v>20030001</v>
      </c>
      <c r="G395" t="str" cm="1">
        <f t="array" ref="G395">INDEX('Linha 04'!$C$2:$ZZ$2,C395)</f>
        <v>Detergente Aquafast Maca Cx/24 X 500ml</v>
      </c>
      <c r="H395" s="5" cm="1">
        <f t="array" ref="H395">INDEX('Linha 04'!$C$4:$ZZ$1000,B395,C395)</f>
        <v>0</v>
      </c>
    </row>
    <row r="396" spans="1:8" x14ac:dyDescent="0.25">
      <c r="A396">
        <v>394</v>
      </c>
      <c r="B396">
        <f t="shared" si="12"/>
        <v>15</v>
      </c>
      <c r="C396">
        <f t="shared" si="13"/>
        <v>2</v>
      </c>
      <c r="D396" cm="1">
        <f t="array" ref="D396">INDEX('Linha 04'!$A$4:$A$1000,B396)</f>
        <v>20030040</v>
      </c>
      <c r="E396" t="str" cm="1">
        <f t="array" ref="E396">INDEX('Linha 04'!$B$4:$B$1000,B396)</f>
        <v>Detergente Myata Neutro Cx/24 X 500ml</v>
      </c>
      <c r="F396" cm="1">
        <f t="array" ref="F396">INDEX('Linha 04'!$C$3:$ZZ$3,C396)</f>
        <v>20030002</v>
      </c>
      <c r="G396" t="str" cm="1">
        <f t="array" ref="G396">INDEX('Linha 04'!$C$2:$ZZ$2,C396)</f>
        <v>Detergente Aquafast Limao Cx/24 X 500ml</v>
      </c>
      <c r="H396" s="5" cm="1">
        <f t="array" ref="H396">INDEX('Linha 04'!$C$4:$ZZ$1000,B396,C396)</f>
        <v>0</v>
      </c>
    </row>
    <row r="397" spans="1:8" x14ac:dyDescent="0.25">
      <c r="A397">
        <v>395</v>
      </c>
      <c r="B397">
        <f t="shared" si="12"/>
        <v>15</v>
      </c>
      <c r="C397">
        <f t="shared" si="13"/>
        <v>3</v>
      </c>
      <c r="D397" cm="1">
        <f t="array" ref="D397">INDEX('Linha 04'!$A$4:$A$1000,B397)</f>
        <v>20030040</v>
      </c>
      <c r="E397" t="str" cm="1">
        <f t="array" ref="E397">INDEX('Linha 04'!$B$4:$B$1000,B397)</f>
        <v>Detergente Myata Neutro Cx/24 X 500ml</v>
      </c>
      <c r="F397" cm="1">
        <f t="array" ref="F397">INDEX('Linha 04'!$C$3:$ZZ$3,C397)</f>
        <v>20030003</v>
      </c>
      <c r="G397" t="str" cm="1">
        <f t="array" ref="G397">INDEX('Linha 04'!$C$2:$ZZ$2,C397)</f>
        <v>Detergente Aquafast Neutro Cx/24 X 500ml</v>
      </c>
      <c r="H397" s="5" cm="1">
        <f t="array" ref="H397">INDEX('Linha 04'!$C$4:$ZZ$1000,B397,C397)</f>
        <v>0</v>
      </c>
    </row>
    <row r="398" spans="1:8" x14ac:dyDescent="0.25">
      <c r="A398">
        <v>396</v>
      </c>
      <c r="B398">
        <f t="shared" si="12"/>
        <v>15</v>
      </c>
      <c r="C398">
        <f t="shared" si="13"/>
        <v>4</v>
      </c>
      <c r="D398" cm="1">
        <f t="array" ref="D398">INDEX('Linha 04'!$A$4:$A$1000,B398)</f>
        <v>20030040</v>
      </c>
      <c r="E398" t="str" cm="1">
        <f t="array" ref="E398">INDEX('Linha 04'!$B$4:$B$1000,B398)</f>
        <v>Detergente Myata Neutro Cx/24 X 500ml</v>
      </c>
      <c r="F398" cm="1">
        <f t="array" ref="F398">INDEX('Linha 04'!$C$3:$ZZ$3,C398)</f>
        <v>20030004</v>
      </c>
      <c r="G398" t="str" cm="1">
        <f t="array" ref="G398">INDEX('Linha 04'!$C$2:$ZZ$2,C398)</f>
        <v>Detergente Aquafast Clear Cx/24 X 500ml (Natural)</v>
      </c>
      <c r="H398" s="5" cm="1">
        <f t="array" ref="H398">INDEX('Linha 04'!$C$4:$ZZ$1000,B398,C398)</f>
        <v>0</v>
      </c>
    </row>
    <row r="399" spans="1:8" x14ac:dyDescent="0.25">
      <c r="A399">
        <v>397</v>
      </c>
      <c r="B399">
        <f t="shared" si="12"/>
        <v>15</v>
      </c>
      <c r="C399">
        <f t="shared" si="13"/>
        <v>5</v>
      </c>
      <c r="D399" cm="1">
        <f t="array" ref="D399">INDEX('Linha 04'!$A$4:$A$1000,B399)</f>
        <v>20030040</v>
      </c>
      <c r="E399" t="str" cm="1">
        <f t="array" ref="E399">INDEX('Linha 04'!$B$4:$B$1000,B399)</f>
        <v>Detergente Myata Neutro Cx/24 X 500ml</v>
      </c>
      <c r="F399" cm="1">
        <f t="array" ref="F399">INDEX('Linha 04'!$C$3:$ZZ$3,C399)</f>
        <v>20030011</v>
      </c>
      <c r="G399" t="str" cm="1">
        <f t="array" ref="G399">INDEX('Linha 04'!$C$2:$ZZ$2,C399)</f>
        <v>Detergente Aquafast Maca Cx/12 X 1l</v>
      </c>
      <c r="H399" s="5" cm="1">
        <f t="array" ref="H399">INDEX('Linha 04'!$C$4:$ZZ$1000,B399,C399)</f>
        <v>0</v>
      </c>
    </row>
    <row r="400" spans="1:8" x14ac:dyDescent="0.25">
      <c r="A400">
        <v>398</v>
      </c>
      <c r="B400">
        <f t="shared" si="12"/>
        <v>15</v>
      </c>
      <c r="C400">
        <f t="shared" si="13"/>
        <v>6</v>
      </c>
      <c r="D400" cm="1">
        <f t="array" ref="D400">INDEX('Linha 04'!$A$4:$A$1000,B400)</f>
        <v>20030040</v>
      </c>
      <c r="E400" t="str" cm="1">
        <f t="array" ref="E400">INDEX('Linha 04'!$B$4:$B$1000,B400)</f>
        <v>Detergente Myata Neutro Cx/24 X 500ml</v>
      </c>
      <c r="F400" cm="1">
        <f t="array" ref="F400">INDEX('Linha 04'!$C$3:$ZZ$3,C400)</f>
        <v>20030012</v>
      </c>
      <c r="G400" t="str" cm="1">
        <f t="array" ref="G400">INDEX('Linha 04'!$C$2:$ZZ$2,C400)</f>
        <v>Detergente Aquafast Limao Cx/12 X 1l</v>
      </c>
      <c r="H400" s="5" cm="1">
        <f t="array" ref="H400">INDEX('Linha 04'!$C$4:$ZZ$1000,B400,C400)</f>
        <v>0</v>
      </c>
    </row>
    <row r="401" spans="1:8" x14ac:dyDescent="0.25">
      <c r="A401">
        <v>399</v>
      </c>
      <c r="B401">
        <f t="shared" si="12"/>
        <v>15</v>
      </c>
      <c r="C401">
        <f t="shared" si="13"/>
        <v>7</v>
      </c>
      <c r="D401" cm="1">
        <f t="array" ref="D401">INDEX('Linha 04'!$A$4:$A$1000,B401)</f>
        <v>20030040</v>
      </c>
      <c r="E401" t="str" cm="1">
        <f t="array" ref="E401">INDEX('Linha 04'!$B$4:$B$1000,B401)</f>
        <v>Detergente Myata Neutro Cx/24 X 500ml</v>
      </c>
      <c r="F401" cm="1">
        <f t="array" ref="F401">INDEX('Linha 04'!$C$3:$ZZ$3,C401)</f>
        <v>20030013</v>
      </c>
      <c r="G401" t="str" cm="1">
        <f t="array" ref="G401">INDEX('Linha 04'!$C$2:$ZZ$2,C401)</f>
        <v>Detergente Aquafast Neutro Cx/12 X 1l</v>
      </c>
      <c r="H401" s="5" cm="1">
        <f t="array" ref="H401">INDEX('Linha 04'!$C$4:$ZZ$1000,B401,C401)</f>
        <v>0</v>
      </c>
    </row>
    <row r="402" spans="1:8" x14ac:dyDescent="0.25">
      <c r="A402">
        <v>400</v>
      </c>
      <c r="B402">
        <f t="shared" si="12"/>
        <v>15</v>
      </c>
      <c r="C402">
        <f t="shared" si="13"/>
        <v>8</v>
      </c>
      <c r="D402" cm="1">
        <f t="array" ref="D402">INDEX('Linha 04'!$A$4:$A$1000,B402)</f>
        <v>20030040</v>
      </c>
      <c r="E402" t="str" cm="1">
        <f t="array" ref="E402">INDEX('Linha 04'!$B$4:$B$1000,B402)</f>
        <v>Detergente Myata Neutro Cx/24 X 500ml</v>
      </c>
      <c r="F402" cm="1">
        <f t="array" ref="F402">INDEX('Linha 04'!$C$3:$ZZ$3,C402)</f>
        <v>20030014</v>
      </c>
      <c r="G402" t="str" cm="1">
        <f t="array" ref="G402">INDEX('Linha 04'!$C$2:$ZZ$2,C402)</f>
        <v>Detergente Aquafast Clear Cx/12 X 1l (Natural)</v>
      </c>
      <c r="H402" s="5" cm="1">
        <f t="array" ref="H402">INDEX('Linha 04'!$C$4:$ZZ$1000,B402,C402)</f>
        <v>0</v>
      </c>
    </row>
    <row r="403" spans="1:8" x14ac:dyDescent="0.25">
      <c r="A403">
        <v>401</v>
      </c>
      <c r="B403">
        <f t="shared" si="12"/>
        <v>15</v>
      </c>
      <c r="C403">
        <f t="shared" si="13"/>
        <v>9</v>
      </c>
      <c r="D403" cm="1">
        <f t="array" ref="D403">INDEX('Linha 04'!$A$4:$A$1000,B403)</f>
        <v>20030040</v>
      </c>
      <c r="E403" t="str" cm="1">
        <f t="array" ref="E403">INDEX('Linha 04'!$B$4:$B$1000,B403)</f>
        <v>Detergente Myata Neutro Cx/24 X 500ml</v>
      </c>
      <c r="F403" cm="1">
        <f t="array" ref="F403">INDEX('Linha 04'!$C$3:$ZZ$3,C403)</f>
        <v>20030020</v>
      </c>
      <c r="G403" t="str" cm="1">
        <f t="array" ref="G403">INDEX('Linha 04'!$C$2:$ZZ$2,C403)</f>
        <v>Detergente Ito Maca Cx/24 X 500ml</v>
      </c>
      <c r="H403" s="5" cm="1">
        <f t="array" ref="H403">INDEX('Linha 04'!$C$4:$ZZ$1000,B403,C403)</f>
        <v>0</v>
      </c>
    </row>
    <row r="404" spans="1:8" x14ac:dyDescent="0.25">
      <c r="A404">
        <v>402</v>
      </c>
      <c r="B404">
        <f t="shared" si="12"/>
        <v>15</v>
      </c>
      <c r="C404">
        <f t="shared" si="13"/>
        <v>10</v>
      </c>
      <c r="D404" cm="1">
        <f t="array" ref="D404">INDEX('Linha 04'!$A$4:$A$1000,B404)</f>
        <v>20030040</v>
      </c>
      <c r="E404" t="str" cm="1">
        <f t="array" ref="E404">INDEX('Linha 04'!$B$4:$B$1000,B404)</f>
        <v>Detergente Myata Neutro Cx/24 X 500ml</v>
      </c>
      <c r="F404" cm="1">
        <f t="array" ref="F404">INDEX('Linha 04'!$C$3:$ZZ$3,C404)</f>
        <v>20030021</v>
      </c>
      <c r="G404" t="str" cm="1">
        <f t="array" ref="G404">INDEX('Linha 04'!$C$2:$ZZ$2,C404)</f>
        <v>Detergente Ito Limao Cx/24 X 500ml</v>
      </c>
      <c r="H404" s="5" cm="1">
        <f t="array" ref="H404">INDEX('Linha 04'!$C$4:$ZZ$1000,B404,C404)</f>
        <v>0</v>
      </c>
    </row>
    <row r="405" spans="1:8" x14ac:dyDescent="0.25">
      <c r="A405">
        <v>403</v>
      </c>
      <c r="B405">
        <f t="shared" si="12"/>
        <v>15</v>
      </c>
      <c r="C405">
        <f t="shared" si="13"/>
        <v>11</v>
      </c>
      <c r="D405" cm="1">
        <f t="array" ref="D405">INDEX('Linha 04'!$A$4:$A$1000,B405)</f>
        <v>20030040</v>
      </c>
      <c r="E405" t="str" cm="1">
        <f t="array" ref="E405">INDEX('Linha 04'!$B$4:$B$1000,B405)</f>
        <v>Detergente Myata Neutro Cx/24 X 500ml</v>
      </c>
      <c r="F405" cm="1">
        <f t="array" ref="F405">INDEX('Linha 04'!$C$3:$ZZ$3,C405)</f>
        <v>20030022</v>
      </c>
      <c r="G405" t="str" cm="1">
        <f t="array" ref="G405">INDEX('Linha 04'!$C$2:$ZZ$2,C405)</f>
        <v>Detergente Ito Neutro Cx/24 X 500ml</v>
      </c>
      <c r="H405" s="5" cm="1">
        <f t="array" ref="H405">INDEX('Linha 04'!$C$4:$ZZ$1000,B405,C405)</f>
        <v>0</v>
      </c>
    </row>
    <row r="406" spans="1:8" x14ac:dyDescent="0.25">
      <c r="A406">
        <v>404</v>
      </c>
      <c r="B406">
        <f t="shared" si="12"/>
        <v>15</v>
      </c>
      <c r="C406">
        <f t="shared" si="13"/>
        <v>12</v>
      </c>
      <c r="D406" cm="1">
        <f t="array" ref="D406">INDEX('Linha 04'!$A$4:$A$1000,B406)</f>
        <v>20030040</v>
      </c>
      <c r="E406" t="str" cm="1">
        <f t="array" ref="E406">INDEX('Linha 04'!$B$4:$B$1000,B406)</f>
        <v>Detergente Myata Neutro Cx/24 X 500ml</v>
      </c>
      <c r="F406" cm="1">
        <f t="array" ref="F406">INDEX('Linha 04'!$C$3:$ZZ$3,C406)</f>
        <v>20030023</v>
      </c>
      <c r="G406" t="str" cm="1">
        <f t="array" ref="G406">INDEX('Linha 04'!$C$2:$ZZ$2,C406)</f>
        <v>Detergente Ito Clear Cx/24 X 500ml</v>
      </c>
      <c r="H406" s="5" cm="1">
        <f t="array" ref="H406">INDEX('Linha 04'!$C$4:$ZZ$1000,B406,C406)</f>
        <v>0</v>
      </c>
    </row>
    <row r="407" spans="1:8" x14ac:dyDescent="0.25">
      <c r="A407">
        <v>405</v>
      </c>
      <c r="B407">
        <f t="shared" si="12"/>
        <v>15</v>
      </c>
      <c r="C407">
        <f t="shared" si="13"/>
        <v>13</v>
      </c>
      <c r="D407" cm="1">
        <f t="array" ref="D407">INDEX('Linha 04'!$A$4:$A$1000,B407)</f>
        <v>20030040</v>
      </c>
      <c r="E407" t="str" cm="1">
        <f t="array" ref="E407">INDEX('Linha 04'!$B$4:$B$1000,B407)</f>
        <v>Detergente Myata Neutro Cx/24 X 500ml</v>
      </c>
      <c r="F407" cm="1">
        <f t="array" ref="F407">INDEX('Linha 04'!$C$3:$ZZ$3,C407)</f>
        <v>20030038</v>
      </c>
      <c r="G407" t="str" cm="1">
        <f t="array" ref="G407">INDEX('Linha 04'!$C$2:$ZZ$2,C407)</f>
        <v>Detergente Myata Maca Cx/24 X 500ml</v>
      </c>
      <c r="H407" s="5" cm="1">
        <f t="array" ref="H407">INDEX('Linha 04'!$C$4:$ZZ$1000,B407,C407)</f>
        <v>0</v>
      </c>
    </row>
    <row r="408" spans="1:8" x14ac:dyDescent="0.25">
      <c r="A408">
        <v>406</v>
      </c>
      <c r="B408">
        <f t="shared" si="12"/>
        <v>15</v>
      </c>
      <c r="C408">
        <f t="shared" si="13"/>
        <v>14</v>
      </c>
      <c r="D408" cm="1">
        <f t="array" ref="D408">INDEX('Linha 04'!$A$4:$A$1000,B408)</f>
        <v>20030040</v>
      </c>
      <c r="E408" t="str" cm="1">
        <f t="array" ref="E408">INDEX('Linha 04'!$B$4:$B$1000,B408)</f>
        <v>Detergente Myata Neutro Cx/24 X 500ml</v>
      </c>
      <c r="F408" cm="1">
        <f t="array" ref="F408">INDEX('Linha 04'!$C$3:$ZZ$3,C408)</f>
        <v>20030039</v>
      </c>
      <c r="G408" t="str" cm="1">
        <f t="array" ref="G408">INDEX('Linha 04'!$C$2:$ZZ$2,C408)</f>
        <v>Detergente Myata Limao Cx/24 X 500ml</v>
      </c>
      <c r="H408" s="5" cm="1">
        <f t="array" ref="H408">INDEX('Linha 04'!$C$4:$ZZ$1000,B408,C408)</f>
        <v>0</v>
      </c>
    </row>
    <row r="409" spans="1:8" x14ac:dyDescent="0.25">
      <c r="A409">
        <v>407</v>
      </c>
      <c r="B409">
        <f t="shared" si="12"/>
        <v>15</v>
      </c>
      <c r="C409">
        <f t="shared" si="13"/>
        <v>15</v>
      </c>
      <c r="D409" cm="1">
        <f t="array" ref="D409">INDEX('Linha 04'!$A$4:$A$1000,B409)</f>
        <v>20030040</v>
      </c>
      <c r="E409" t="str" cm="1">
        <f t="array" ref="E409">INDEX('Linha 04'!$B$4:$B$1000,B409)</f>
        <v>Detergente Myata Neutro Cx/24 X 500ml</v>
      </c>
      <c r="F409" cm="1">
        <f t="array" ref="F409">INDEX('Linha 04'!$C$3:$ZZ$3,C409)</f>
        <v>20030040</v>
      </c>
      <c r="G409" t="str" cm="1">
        <f t="array" ref="G409">INDEX('Linha 04'!$C$2:$ZZ$2,C409)</f>
        <v>Detergente Myata Neutro Cx/24 X 500ml</v>
      </c>
      <c r="H409" s="5" cm="1">
        <f t="array" ref="H409">INDEX('Linha 04'!$C$4:$ZZ$1000,B409,C409)</f>
        <v>0</v>
      </c>
    </row>
    <row r="410" spans="1:8" x14ac:dyDescent="0.25">
      <c r="A410">
        <v>408</v>
      </c>
      <c r="B410">
        <f t="shared" si="12"/>
        <v>15</v>
      </c>
      <c r="C410">
        <f t="shared" si="13"/>
        <v>16</v>
      </c>
      <c r="D410" cm="1">
        <f t="array" ref="D410">INDEX('Linha 04'!$A$4:$A$1000,B410)</f>
        <v>20030040</v>
      </c>
      <c r="E410" t="str" cm="1">
        <f t="array" ref="E410">INDEX('Linha 04'!$B$4:$B$1000,B410)</f>
        <v>Detergente Myata Neutro Cx/24 X 500ml</v>
      </c>
      <c r="F410" cm="1">
        <f t="array" ref="F410">INDEX('Linha 04'!$C$3:$ZZ$3,C410)</f>
        <v>20030067</v>
      </c>
      <c r="G410" t="str" cm="1">
        <f t="array" ref="G410">INDEX('Linha 04'!$C$2:$ZZ$2,C410)</f>
        <v>Detergente Aquafast Coco Cx/24 X 500ml</v>
      </c>
      <c r="H410" s="5" cm="1">
        <f t="array" ref="H410">INDEX('Linha 04'!$C$4:$ZZ$1000,B410,C410)</f>
        <v>0</v>
      </c>
    </row>
    <row r="411" spans="1:8" x14ac:dyDescent="0.25">
      <c r="A411">
        <v>409</v>
      </c>
      <c r="B411">
        <f t="shared" si="12"/>
        <v>15</v>
      </c>
      <c r="C411">
        <f t="shared" si="13"/>
        <v>17</v>
      </c>
      <c r="D411" cm="1">
        <f t="array" ref="D411">INDEX('Linha 04'!$A$4:$A$1000,B411)</f>
        <v>20030040</v>
      </c>
      <c r="E411" t="str" cm="1">
        <f t="array" ref="E411">INDEX('Linha 04'!$B$4:$B$1000,B411)</f>
        <v>Detergente Myata Neutro Cx/24 X 500ml</v>
      </c>
      <c r="F411" cm="1">
        <f t="array" ref="F411">INDEX('Linha 04'!$C$3:$ZZ$3,C411)</f>
        <v>20050001</v>
      </c>
      <c r="G411" t="str" cm="1">
        <f t="array" ref="G411">INDEX('Linha 04'!$C$2:$ZZ$2,C411)</f>
        <v>Desinfetante Aquafast Campos Lavanda Cx/12 X 500ml</v>
      </c>
      <c r="H411" s="5" cm="1">
        <f t="array" ref="H411">INDEX('Linha 04'!$C$4:$ZZ$1000,B411,C411)</f>
        <v>0</v>
      </c>
    </row>
    <row r="412" spans="1:8" x14ac:dyDescent="0.25">
      <c r="A412">
        <v>410</v>
      </c>
      <c r="B412">
        <f t="shared" si="12"/>
        <v>15</v>
      </c>
      <c r="C412">
        <f t="shared" si="13"/>
        <v>18</v>
      </c>
      <c r="D412" cm="1">
        <f t="array" ref="D412">INDEX('Linha 04'!$A$4:$A$1000,B412)</f>
        <v>20030040</v>
      </c>
      <c r="E412" t="str" cm="1">
        <f t="array" ref="E412">INDEX('Linha 04'!$B$4:$B$1000,B412)</f>
        <v>Detergente Myata Neutro Cx/24 X 500ml</v>
      </c>
      <c r="F412" cm="1">
        <f t="array" ref="F412">INDEX('Linha 04'!$C$3:$ZZ$3,C412)</f>
        <v>20050026</v>
      </c>
      <c r="G412" t="str" cm="1">
        <f t="array" ref="G412">INDEX('Linha 04'!$C$2:$ZZ$2,C412)</f>
        <v>Desinfetante Ito Lavanda Cx/12 X 500ml</v>
      </c>
      <c r="H412" s="5" cm="1">
        <f t="array" ref="H412">INDEX('Linha 04'!$C$4:$ZZ$1000,B412,C412)</f>
        <v>0</v>
      </c>
    </row>
    <row r="413" spans="1:8" x14ac:dyDescent="0.25">
      <c r="A413">
        <v>411</v>
      </c>
      <c r="B413">
        <f t="shared" si="12"/>
        <v>15</v>
      </c>
      <c r="C413">
        <f t="shared" si="13"/>
        <v>19</v>
      </c>
      <c r="D413" cm="1">
        <f t="array" ref="D413">INDEX('Linha 04'!$A$4:$A$1000,B413)</f>
        <v>20030040</v>
      </c>
      <c r="E413" t="str" cm="1">
        <f t="array" ref="E413">INDEX('Linha 04'!$B$4:$B$1000,B413)</f>
        <v>Detergente Myata Neutro Cx/24 X 500ml</v>
      </c>
      <c r="F413" cm="1">
        <f t="array" ref="F413">INDEX('Linha 04'!$C$3:$ZZ$3,C413)</f>
        <v>20050119</v>
      </c>
      <c r="G413" t="str" cm="1">
        <f t="array" ref="G413">INDEX('Linha 04'!$C$2:$ZZ$2,C413)</f>
        <v>Desinfetante Aquafast Paixao Cx/12 X 500ml</v>
      </c>
      <c r="H413" s="5" cm="1">
        <f t="array" ref="H413">INDEX('Linha 04'!$C$4:$ZZ$1000,B413,C413)</f>
        <v>0</v>
      </c>
    </row>
    <row r="414" spans="1:8" x14ac:dyDescent="0.25">
      <c r="A414">
        <v>412</v>
      </c>
      <c r="B414">
        <f t="shared" si="12"/>
        <v>15</v>
      </c>
      <c r="C414">
        <f t="shared" si="13"/>
        <v>20</v>
      </c>
      <c r="D414" cm="1">
        <f t="array" ref="D414">INDEX('Linha 04'!$A$4:$A$1000,B414)</f>
        <v>20030040</v>
      </c>
      <c r="E414" t="str" cm="1">
        <f t="array" ref="E414">INDEX('Linha 04'!$B$4:$B$1000,B414)</f>
        <v>Detergente Myata Neutro Cx/24 X 500ml</v>
      </c>
      <c r="F414" cm="1">
        <f t="array" ref="F414">INDEX('Linha 04'!$C$3:$ZZ$3,C414)</f>
        <v>20050145</v>
      </c>
      <c r="G414" t="str" cm="1">
        <f t="array" ref="G414">INDEX('Linha 04'!$C$2:$ZZ$2,C414)</f>
        <v>Desinfetante Aquafast Harmonia Natural Cx/12 X 500ml</v>
      </c>
      <c r="H414" s="5" cm="1">
        <f t="array" ref="H414">INDEX('Linha 04'!$C$4:$ZZ$1000,B414,C414)</f>
        <v>0</v>
      </c>
    </row>
    <row r="415" spans="1:8" x14ac:dyDescent="0.25">
      <c r="A415">
        <v>413</v>
      </c>
      <c r="B415">
        <f t="shared" si="12"/>
        <v>15</v>
      </c>
      <c r="C415">
        <f t="shared" si="13"/>
        <v>21</v>
      </c>
      <c r="D415" cm="1">
        <f t="array" ref="D415">INDEX('Linha 04'!$A$4:$A$1000,B415)</f>
        <v>20030040</v>
      </c>
      <c r="E415" t="str" cm="1">
        <f t="array" ref="E415">INDEX('Linha 04'!$B$4:$B$1000,B415)</f>
        <v>Detergente Myata Neutro Cx/24 X 500ml</v>
      </c>
      <c r="F415" cm="1">
        <f t="array" ref="F415">INDEX('Linha 04'!$C$3:$ZZ$3,C415)</f>
        <v>20050149</v>
      </c>
      <c r="G415" t="str" cm="1">
        <f t="array" ref="G415">INDEX('Linha 04'!$C$2:$ZZ$2,C415)</f>
        <v>Desinfetante Aquafast Campos Lavanda Cx/12 X 1l</v>
      </c>
      <c r="H415" s="5" cm="1">
        <f t="array" ref="H415">INDEX('Linha 04'!$C$4:$ZZ$1000,B415,C415)</f>
        <v>0</v>
      </c>
    </row>
    <row r="416" spans="1:8" x14ac:dyDescent="0.25">
      <c r="A416">
        <v>414</v>
      </c>
      <c r="B416">
        <f t="shared" si="12"/>
        <v>15</v>
      </c>
      <c r="C416">
        <f t="shared" si="13"/>
        <v>22</v>
      </c>
      <c r="D416" cm="1">
        <f t="array" ref="D416">INDEX('Linha 04'!$A$4:$A$1000,B416)</f>
        <v>20030040</v>
      </c>
      <c r="E416" t="str" cm="1">
        <f t="array" ref="E416">INDEX('Linha 04'!$B$4:$B$1000,B416)</f>
        <v>Detergente Myata Neutro Cx/24 X 500ml</v>
      </c>
      <c r="F416" cm="1">
        <f t="array" ref="F416">INDEX('Linha 04'!$C$3:$ZZ$3,C416)</f>
        <v>20050150</v>
      </c>
      <c r="G416" t="str" cm="1">
        <f t="array" ref="G416">INDEX('Linha 04'!$C$2:$ZZ$2,C416)</f>
        <v>Desinfetante Aquafast Marine Cx/12 X 1l</v>
      </c>
      <c r="H416" s="5" cm="1">
        <f t="array" ref="H416">INDEX('Linha 04'!$C$4:$ZZ$1000,B416,C416)</f>
        <v>0</v>
      </c>
    </row>
    <row r="417" spans="1:8" x14ac:dyDescent="0.25">
      <c r="A417">
        <v>415</v>
      </c>
      <c r="B417">
        <f t="shared" si="12"/>
        <v>15</v>
      </c>
      <c r="C417">
        <f t="shared" si="13"/>
        <v>23</v>
      </c>
      <c r="D417" cm="1">
        <f t="array" ref="D417">INDEX('Linha 04'!$A$4:$A$1000,B417)</f>
        <v>20030040</v>
      </c>
      <c r="E417" t="str" cm="1">
        <f t="array" ref="E417">INDEX('Linha 04'!$B$4:$B$1000,B417)</f>
        <v>Detergente Myata Neutro Cx/24 X 500ml</v>
      </c>
      <c r="F417" cm="1">
        <f t="array" ref="F417">INDEX('Linha 04'!$C$3:$ZZ$3,C417)</f>
        <v>20050151</v>
      </c>
      <c r="G417" t="str" cm="1">
        <f t="array" ref="G417">INDEX('Linha 04'!$C$2:$ZZ$2,C417)</f>
        <v>Desinfetante Aquafast Paixao Cx/12 X 1l</v>
      </c>
      <c r="H417" s="5" cm="1">
        <f t="array" ref="H417">INDEX('Linha 04'!$C$4:$ZZ$1000,B417,C417)</f>
        <v>0</v>
      </c>
    </row>
    <row r="418" spans="1:8" x14ac:dyDescent="0.25">
      <c r="A418">
        <v>416</v>
      </c>
      <c r="B418">
        <f t="shared" si="12"/>
        <v>15</v>
      </c>
      <c r="C418">
        <f t="shared" si="13"/>
        <v>24</v>
      </c>
      <c r="D418" cm="1">
        <f t="array" ref="D418">INDEX('Linha 04'!$A$4:$A$1000,B418)</f>
        <v>20030040</v>
      </c>
      <c r="E418" t="str" cm="1">
        <f t="array" ref="E418">INDEX('Linha 04'!$B$4:$B$1000,B418)</f>
        <v>Detergente Myata Neutro Cx/24 X 500ml</v>
      </c>
      <c r="F418" cm="1">
        <f t="array" ref="F418">INDEX('Linha 04'!$C$3:$ZZ$3,C418)</f>
        <v>20050152</v>
      </c>
      <c r="G418" t="str" cm="1">
        <f t="array" ref="G418">INDEX('Linha 04'!$C$2:$ZZ$2,C418)</f>
        <v>Desinfetante Aquafast Harmonia Natural Cx/12 X 1l</v>
      </c>
      <c r="H418" s="5" cm="1">
        <f t="array" ref="H418">INDEX('Linha 04'!$C$4:$ZZ$1000,B418,C418)</f>
        <v>0</v>
      </c>
    </row>
    <row r="419" spans="1:8" x14ac:dyDescent="0.25">
      <c r="A419">
        <v>417</v>
      </c>
      <c r="B419">
        <f t="shared" si="12"/>
        <v>15</v>
      </c>
      <c r="C419">
        <f t="shared" si="13"/>
        <v>25</v>
      </c>
      <c r="D419" cm="1">
        <f t="array" ref="D419">INDEX('Linha 04'!$A$4:$A$1000,B419)</f>
        <v>20030040</v>
      </c>
      <c r="E419" t="str" cm="1">
        <f t="array" ref="E419">INDEX('Linha 04'!$B$4:$B$1000,B419)</f>
        <v>Detergente Myata Neutro Cx/24 X 500ml</v>
      </c>
      <c r="F419" cm="1">
        <f t="array" ref="F419">INDEX('Linha 04'!$C$3:$ZZ$3,C419)</f>
        <v>20050153</v>
      </c>
      <c r="G419" t="str" cm="1">
        <f t="array" ref="G419">INDEX('Linha 04'!$C$2:$ZZ$2,C419)</f>
        <v>Desinfetante Ito Harmonia Natural Cx/12 X 500ml</v>
      </c>
      <c r="H419" s="5" cm="1">
        <f t="array" ref="H419">INDEX('Linha 04'!$C$4:$ZZ$1000,B419,C419)</f>
        <v>0</v>
      </c>
    </row>
    <row r="420" spans="1:8" x14ac:dyDescent="0.25">
      <c r="A420">
        <v>418</v>
      </c>
      <c r="B420">
        <f t="shared" si="12"/>
        <v>15</v>
      </c>
      <c r="C420">
        <f t="shared" si="13"/>
        <v>26</v>
      </c>
      <c r="D420" cm="1">
        <f t="array" ref="D420">INDEX('Linha 04'!$A$4:$A$1000,B420)</f>
        <v>20030040</v>
      </c>
      <c r="E420" t="str" cm="1">
        <f t="array" ref="E420">INDEX('Linha 04'!$B$4:$B$1000,B420)</f>
        <v>Detergente Myata Neutro Cx/24 X 500ml</v>
      </c>
      <c r="F420" cm="1">
        <f t="array" ref="F420">INDEX('Linha 04'!$C$3:$ZZ$3,C420)</f>
        <v>20050155</v>
      </c>
      <c r="G420" t="str" cm="1">
        <f t="array" ref="G420">INDEX('Linha 04'!$C$2:$ZZ$2,C420)</f>
        <v>Intermed Pack Desinfetante Paixao Cx/12 X 1l</v>
      </c>
      <c r="H420" s="5" cm="1">
        <f t="array" ref="H420">INDEX('Linha 04'!$C$4:$ZZ$1000,B420,C420)</f>
        <v>0</v>
      </c>
    </row>
    <row r="421" spans="1:8" x14ac:dyDescent="0.25">
      <c r="A421">
        <v>419</v>
      </c>
      <c r="B421">
        <f t="shared" si="12"/>
        <v>15</v>
      </c>
      <c r="C421">
        <f t="shared" si="13"/>
        <v>27</v>
      </c>
      <c r="D421" cm="1">
        <f t="array" ref="D421">INDEX('Linha 04'!$A$4:$A$1000,B421)</f>
        <v>20030040</v>
      </c>
      <c r="E421" t="str" cm="1">
        <f t="array" ref="E421">INDEX('Linha 04'!$B$4:$B$1000,B421)</f>
        <v>Detergente Myata Neutro Cx/24 X 500ml</v>
      </c>
      <c r="F421" cm="1">
        <f t="array" ref="F421">INDEX('Linha 04'!$C$3:$ZZ$3,C421)</f>
        <v>20050156</v>
      </c>
      <c r="G421" t="str" cm="1">
        <f t="array" ref="G421">INDEX('Linha 04'!$C$2:$ZZ$2,C421)</f>
        <v>Intermed Pack Desinfetante Campos Lavanda Cx/12 X 1l</v>
      </c>
      <c r="H421" s="5" cm="1">
        <f t="array" ref="H421">INDEX('Linha 04'!$C$4:$ZZ$1000,B421,C421)</f>
        <v>0</v>
      </c>
    </row>
    <row r="422" spans="1:8" x14ac:dyDescent="0.25">
      <c r="A422">
        <v>420</v>
      </c>
      <c r="B422">
        <f t="shared" si="12"/>
        <v>15</v>
      </c>
      <c r="C422">
        <f t="shared" si="13"/>
        <v>28</v>
      </c>
      <c r="D422" cm="1">
        <f t="array" ref="D422">INDEX('Linha 04'!$A$4:$A$1000,B422)</f>
        <v>20030040</v>
      </c>
      <c r="E422" t="str" cm="1">
        <f t="array" ref="E422">INDEX('Linha 04'!$B$4:$B$1000,B422)</f>
        <v>Detergente Myata Neutro Cx/24 X 500ml</v>
      </c>
      <c r="F422" cm="1">
        <f t="array" ref="F422">INDEX('Linha 04'!$C$3:$ZZ$3,C422)</f>
        <v>20050157</v>
      </c>
      <c r="G422" t="str" cm="1">
        <f t="array" ref="G422">INDEX('Linha 04'!$C$2:$ZZ$2,C422)</f>
        <v>Intermed Pack Desinfetante Marine Cx/12 X 1l</v>
      </c>
      <c r="H422" s="5" cm="1">
        <f t="array" ref="H422">INDEX('Linha 04'!$C$4:$ZZ$1000,B422,C422)</f>
        <v>0</v>
      </c>
    </row>
    <row r="423" spans="1:8" x14ac:dyDescent="0.25">
      <c r="A423">
        <v>421</v>
      </c>
      <c r="B423">
        <f t="shared" si="12"/>
        <v>16</v>
      </c>
      <c r="C423">
        <f t="shared" si="13"/>
        <v>1</v>
      </c>
      <c r="D423" cm="1">
        <f t="array" ref="D423">INDEX('Linha 04'!$A$4:$A$1000,B423)</f>
        <v>20030067</v>
      </c>
      <c r="E423" t="str" cm="1">
        <f t="array" ref="E423">INDEX('Linha 04'!$B$4:$B$1000,B423)</f>
        <v>Detergente Aquafast Coco Cx/24 X 500ml</v>
      </c>
      <c r="F423" cm="1">
        <f t="array" ref="F423">INDEX('Linha 04'!$C$3:$ZZ$3,C423)</f>
        <v>20030001</v>
      </c>
      <c r="G423" t="str" cm="1">
        <f t="array" ref="G423">INDEX('Linha 04'!$C$2:$ZZ$2,C423)</f>
        <v>Detergente Aquafast Maca Cx/24 X 500ml</v>
      </c>
      <c r="H423" s="5" cm="1">
        <f t="array" ref="H423">INDEX('Linha 04'!$C$4:$ZZ$1000,B423,C423)</f>
        <v>0</v>
      </c>
    </row>
    <row r="424" spans="1:8" x14ac:dyDescent="0.25">
      <c r="A424">
        <v>422</v>
      </c>
      <c r="B424">
        <f t="shared" si="12"/>
        <v>16</v>
      </c>
      <c r="C424">
        <f t="shared" si="13"/>
        <v>2</v>
      </c>
      <c r="D424" cm="1">
        <f t="array" ref="D424">INDEX('Linha 04'!$A$4:$A$1000,B424)</f>
        <v>20030067</v>
      </c>
      <c r="E424" t="str" cm="1">
        <f t="array" ref="E424">INDEX('Linha 04'!$B$4:$B$1000,B424)</f>
        <v>Detergente Aquafast Coco Cx/24 X 500ml</v>
      </c>
      <c r="F424" cm="1">
        <f t="array" ref="F424">INDEX('Linha 04'!$C$3:$ZZ$3,C424)</f>
        <v>20030002</v>
      </c>
      <c r="G424" t="str" cm="1">
        <f t="array" ref="G424">INDEX('Linha 04'!$C$2:$ZZ$2,C424)</f>
        <v>Detergente Aquafast Limao Cx/24 X 500ml</v>
      </c>
      <c r="H424" s="5" cm="1">
        <f t="array" ref="H424">INDEX('Linha 04'!$C$4:$ZZ$1000,B424,C424)</f>
        <v>0</v>
      </c>
    </row>
    <row r="425" spans="1:8" x14ac:dyDescent="0.25">
      <c r="A425">
        <v>423</v>
      </c>
      <c r="B425">
        <f t="shared" si="12"/>
        <v>16</v>
      </c>
      <c r="C425">
        <f t="shared" si="13"/>
        <v>3</v>
      </c>
      <c r="D425" cm="1">
        <f t="array" ref="D425">INDEX('Linha 04'!$A$4:$A$1000,B425)</f>
        <v>20030067</v>
      </c>
      <c r="E425" t="str" cm="1">
        <f t="array" ref="E425">INDEX('Linha 04'!$B$4:$B$1000,B425)</f>
        <v>Detergente Aquafast Coco Cx/24 X 500ml</v>
      </c>
      <c r="F425" cm="1">
        <f t="array" ref="F425">INDEX('Linha 04'!$C$3:$ZZ$3,C425)</f>
        <v>20030003</v>
      </c>
      <c r="G425" t="str" cm="1">
        <f t="array" ref="G425">INDEX('Linha 04'!$C$2:$ZZ$2,C425)</f>
        <v>Detergente Aquafast Neutro Cx/24 X 500ml</v>
      </c>
      <c r="H425" s="5" cm="1">
        <f t="array" ref="H425">INDEX('Linha 04'!$C$4:$ZZ$1000,B425,C425)</f>
        <v>0</v>
      </c>
    </row>
    <row r="426" spans="1:8" x14ac:dyDescent="0.25">
      <c r="A426">
        <v>424</v>
      </c>
      <c r="B426">
        <f t="shared" si="12"/>
        <v>16</v>
      </c>
      <c r="C426">
        <f t="shared" si="13"/>
        <v>4</v>
      </c>
      <c r="D426" cm="1">
        <f t="array" ref="D426">INDEX('Linha 04'!$A$4:$A$1000,B426)</f>
        <v>20030067</v>
      </c>
      <c r="E426" t="str" cm="1">
        <f t="array" ref="E426">INDEX('Linha 04'!$B$4:$B$1000,B426)</f>
        <v>Detergente Aquafast Coco Cx/24 X 500ml</v>
      </c>
      <c r="F426" cm="1">
        <f t="array" ref="F426">INDEX('Linha 04'!$C$3:$ZZ$3,C426)</f>
        <v>20030004</v>
      </c>
      <c r="G426" t="str" cm="1">
        <f t="array" ref="G426">INDEX('Linha 04'!$C$2:$ZZ$2,C426)</f>
        <v>Detergente Aquafast Clear Cx/24 X 500ml (Natural)</v>
      </c>
      <c r="H426" s="5" cm="1">
        <f t="array" ref="H426">INDEX('Linha 04'!$C$4:$ZZ$1000,B426,C426)</f>
        <v>0</v>
      </c>
    </row>
    <row r="427" spans="1:8" x14ac:dyDescent="0.25">
      <c r="A427">
        <v>425</v>
      </c>
      <c r="B427">
        <f t="shared" si="12"/>
        <v>16</v>
      </c>
      <c r="C427">
        <f t="shared" si="13"/>
        <v>5</v>
      </c>
      <c r="D427" cm="1">
        <f t="array" ref="D427">INDEX('Linha 04'!$A$4:$A$1000,B427)</f>
        <v>20030067</v>
      </c>
      <c r="E427" t="str" cm="1">
        <f t="array" ref="E427">INDEX('Linha 04'!$B$4:$B$1000,B427)</f>
        <v>Detergente Aquafast Coco Cx/24 X 500ml</v>
      </c>
      <c r="F427" cm="1">
        <f t="array" ref="F427">INDEX('Linha 04'!$C$3:$ZZ$3,C427)</f>
        <v>20030011</v>
      </c>
      <c r="G427" t="str" cm="1">
        <f t="array" ref="G427">INDEX('Linha 04'!$C$2:$ZZ$2,C427)</f>
        <v>Detergente Aquafast Maca Cx/12 X 1l</v>
      </c>
      <c r="H427" s="5" cm="1">
        <f t="array" ref="H427">INDEX('Linha 04'!$C$4:$ZZ$1000,B427,C427)</f>
        <v>0</v>
      </c>
    </row>
    <row r="428" spans="1:8" x14ac:dyDescent="0.25">
      <c r="A428">
        <v>426</v>
      </c>
      <c r="B428">
        <f t="shared" si="12"/>
        <v>16</v>
      </c>
      <c r="C428">
        <f t="shared" si="13"/>
        <v>6</v>
      </c>
      <c r="D428" cm="1">
        <f t="array" ref="D428">INDEX('Linha 04'!$A$4:$A$1000,B428)</f>
        <v>20030067</v>
      </c>
      <c r="E428" t="str" cm="1">
        <f t="array" ref="E428">INDEX('Linha 04'!$B$4:$B$1000,B428)</f>
        <v>Detergente Aquafast Coco Cx/24 X 500ml</v>
      </c>
      <c r="F428" cm="1">
        <f t="array" ref="F428">INDEX('Linha 04'!$C$3:$ZZ$3,C428)</f>
        <v>20030012</v>
      </c>
      <c r="G428" t="str" cm="1">
        <f t="array" ref="G428">INDEX('Linha 04'!$C$2:$ZZ$2,C428)</f>
        <v>Detergente Aquafast Limao Cx/12 X 1l</v>
      </c>
      <c r="H428" s="5" cm="1">
        <f t="array" ref="H428">INDEX('Linha 04'!$C$4:$ZZ$1000,B428,C428)</f>
        <v>0</v>
      </c>
    </row>
    <row r="429" spans="1:8" x14ac:dyDescent="0.25">
      <c r="A429">
        <v>427</v>
      </c>
      <c r="B429">
        <f t="shared" si="12"/>
        <v>16</v>
      </c>
      <c r="C429">
        <f t="shared" si="13"/>
        <v>7</v>
      </c>
      <c r="D429" cm="1">
        <f t="array" ref="D429">INDEX('Linha 04'!$A$4:$A$1000,B429)</f>
        <v>20030067</v>
      </c>
      <c r="E429" t="str" cm="1">
        <f t="array" ref="E429">INDEX('Linha 04'!$B$4:$B$1000,B429)</f>
        <v>Detergente Aquafast Coco Cx/24 X 500ml</v>
      </c>
      <c r="F429" cm="1">
        <f t="array" ref="F429">INDEX('Linha 04'!$C$3:$ZZ$3,C429)</f>
        <v>20030013</v>
      </c>
      <c r="G429" t="str" cm="1">
        <f t="array" ref="G429">INDEX('Linha 04'!$C$2:$ZZ$2,C429)</f>
        <v>Detergente Aquafast Neutro Cx/12 X 1l</v>
      </c>
      <c r="H429" s="5" cm="1">
        <f t="array" ref="H429">INDEX('Linha 04'!$C$4:$ZZ$1000,B429,C429)</f>
        <v>0</v>
      </c>
    </row>
    <row r="430" spans="1:8" x14ac:dyDescent="0.25">
      <c r="A430">
        <v>428</v>
      </c>
      <c r="B430">
        <f t="shared" si="12"/>
        <v>16</v>
      </c>
      <c r="C430">
        <f t="shared" si="13"/>
        <v>8</v>
      </c>
      <c r="D430" cm="1">
        <f t="array" ref="D430">INDEX('Linha 04'!$A$4:$A$1000,B430)</f>
        <v>20030067</v>
      </c>
      <c r="E430" t="str" cm="1">
        <f t="array" ref="E430">INDEX('Linha 04'!$B$4:$B$1000,B430)</f>
        <v>Detergente Aquafast Coco Cx/24 X 500ml</v>
      </c>
      <c r="F430" cm="1">
        <f t="array" ref="F430">INDEX('Linha 04'!$C$3:$ZZ$3,C430)</f>
        <v>20030014</v>
      </c>
      <c r="G430" t="str" cm="1">
        <f t="array" ref="G430">INDEX('Linha 04'!$C$2:$ZZ$2,C430)</f>
        <v>Detergente Aquafast Clear Cx/12 X 1l (Natural)</v>
      </c>
      <c r="H430" s="5" cm="1">
        <f t="array" ref="H430">INDEX('Linha 04'!$C$4:$ZZ$1000,B430,C430)</f>
        <v>0</v>
      </c>
    </row>
    <row r="431" spans="1:8" x14ac:dyDescent="0.25">
      <c r="A431">
        <v>429</v>
      </c>
      <c r="B431">
        <f t="shared" si="12"/>
        <v>16</v>
      </c>
      <c r="C431">
        <f t="shared" si="13"/>
        <v>9</v>
      </c>
      <c r="D431" cm="1">
        <f t="array" ref="D431">INDEX('Linha 04'!$A$4:$A$1000,B431)</f>
        <v>20030067</v>
      </c>
      <c r="E431" t="str" cm="1">
        <f t="array" ref="E431">INDEX('Linha 04'!$B$4:$B$1000,B431)</f>
        <v>Detergente Aquafast Coco Cx/24 X 500ml</v>
      </c>
      <c r="F431" cm="1">
        <f t="array" ref="F431">INDEX('Linha 04'!$C$3:$ZZ$3,C431)</f>
        <v>20030020</v>
      </c>
      <c r="G431" t="str" cm="1">
        <f t="array" ref="G431">INDEX('Linha 04'!$C$2:$ZZ$2,C431)</f>
        <v>Detergente Ito Maca Cx/24 X 500ml</v>
      </c>
      <c r="H431" s="5" cm="1">
        <f t="array" ref="H431">INDEX('Linha 04'!$C$4:$ZZ$1000,B431,C431)</f>
        <v>0</v>
      </c>
    </row>
    <row r="432" spans="1:8" x14ac:dyDescent="0.25">
      <c r="A432">
        <v>430</v>
      </c>
      <c r="B432">
        <f t="shared" si="12"/>
        <v>16</v>
      </c>
      <c r="C432">
        <f t="shared" si="13"/>
        <v>10</v>
      </c>
      <c r="D432" cm="1">
        <f t="array" ref="D432">INDEX('Linha 04'!$A$4:$A$1000,B432)</f>
        <v>20030067</v>
      </c>
      <c r="E432" t="str" cm="1">
        <f t="array" ref="E432">INDEX('Linha 04'!$B$4:$B$1000,B432)</f>
        <v>Detergente Aquafast Coco Cx/24 X 500ml</v>
      </c>
      <c r="F432" cm="1">
        <f t="array" ref="F432">INDEX('Linha 04'!$C$3:$ZZ$3,C432)</f>
        <v>20030021</v>
      </c>
      <c r="G432" t="str" cm="1">
        <f t="array" ref="G432">INDEX('Linha 04'!$C$2:$ZZ$2,C432)</f>
        <v>Detergente Ito Limao Cx/24 X 500ml</v>
      </c>
      <c r="H432" s="5" cm="1">
        <f t="array" ref="H432">INDEX('Linha 04'!$C$4:$ZZ$1000,B432,C432)</f>
        <v>0</v>
      </c>
    </row>
    <row r="433" spans="1:8" x14ac:dyDescent="0.25">
      <c r="A433">
        <v>431</v>
      </c>
      <c r="B433">
        <f t="shared" si="12"/>
        <v>16</v>
      </c>
      <c r="C433">
        <f t="shared" si="13"/>
        <v>11</v>
      </c>
      <c r="D433" cm="1">
        <f t="array" ref="D433">INDEX('Linha 04'!$A$4:$A$1000,B433)</f>
        <v>20030067</v>
      </c>
      <c r="E433" t="str" cm="1">
        <f t="array" ref="E433">INDEX('Linha 04'!$B$4:$B$1000,B433)</f>
        <v>Detergente Aquafast Coco Cx/24 X 500ml</v>
      </c>
      <c r="F433" cm="1">
        <f t="array" ref="F433">INDEX('Linha 04'!$C$3:$ZZ$3,C433)</f>
        <v>20030022</v>
      </c>
      <c r="G433" t="str" cm="1">
        <f t="array" ref="G433">INDEX('Linha 04'!$C$2:$ZZ$2,C433)</f>
        <v>Detergente Ito Neutro Cx/24 X 500ml</v>
      </c>
      <c r="H433" s="5" cm="1">
        <f t="array" ref="H433">INDEX('Linha 04'!$C$4:$ZZ$1000,B433,C433)</f>
        <v>0</v>
      </c>
    </row>
    <row r="434" spans="1:8" x14ac:dyDescent="0.25">
      <c r="A434">
        <v>432</v>
      </c>
      <c r="B434">
        <f t="shared" si="12"/>
        <v>16</v>
      </c>
      <c r="C434">
        <f t="shared" si="13"/>
        <v>12</v>
      </c>
      <c r="D434" cm="1">
        <f t="array" ref="D434">INDEX('Linha 04'!$A$4:$A$1000,B434)</f>
        <v>20030067</v>
      </c>
      <c r="E434" t="str" cm="1">
        <f t="array" ref="E434">INDEX('Linha 04'!$B$4:$B$1000,B434)</f>
        <v>Detergente Aquafast Coco Cx/24 X 500ml</v>
      </c>
      <c r="F434" cm="1">
        <f t="array" ref="F434">INDEX('Linha 04'!$C$3:$ZZ$3,C434)</f>
        <v>20030023</v>
      </c>
      <c r="G434" t="str" cm="1">
        <f t="array" ref="G434">INDEX('Linha 04'!$C$2:$ZZ$2,C434)</f>
        <v>Detergente Ito Clear Cx/24 X 500ml</v>
      </c>
      <c r="H434" s="5" cm="1">
        <f t="array" ref="H434">INDEX('Linha 04'!$C$4:$ZZ$1000,B434,C434)</f>
        <v>0</v>
      </c>
    </row>
    <row r="435" spans="1:8" x14ac:dyDescent="0.25">
      <c r="A435">
        <v>433</v>
      </c>
      <c r="B435">
        <f t="shared" si="12"/>
        <v>16</v>
      </c>
      <c r="C435">
        <f t="shared" si="13"/>
        <v>13</v>
      </c>
      <c r="D435" cm="1">
        <f t="array" ref="D435">INDEX('Linha 04'!$A$4:$A$1000,B435)</f>
        <v>20030067</v>
      </c>
      <c r="E435" t="str" cm="1">
        <f t="array" ref="E435">INDEX('Linha 04'!$B$4:$B$1000,B435)</f>
        <v>Detergente Aquafast Coco Cx/24 X 500ml</v>
      </c>
      <c r="F435" cm="1">
        <f t="array" ref="F435">INDEX('Linha 04'!$C$3:$ZZ$3,C435)</f>
        <v>20030038</v>
      </c>
      <c r="G435" t="str" cm="1">
        <f t="array" ref="G435">INDEX('Linha 04'!$C$2:$ZZ$2,C435)</f>
        <v>Detergente Myata Maca Cx/24 X 500ml</v>
      </c>
      <c r="H435" s="5" cm="1">
        <f t="array" ref="H435">INDEX('Linha 04'!$C$4:$ZZ$1000,B435,C435)</f>
        <v>0</v>
      </c>
    </row>
    <row r="436" spans="1:8" x14ac:dyDescent="0.25">
      <c r="A436">
        <v>434</v>
      </c>
      <c r="B436">
        <f t="shared" si="12"/>
        <v>16</v>
      </c>
      <c r="C436">
        <f t="shared" si="13"/>
        <v>14</v>
      </c>
      <c r="D436" cm="1">
        <f t="array" ref="D436">INDEX('Linha 04'!$A$4:$A$1000,B436)</f>
        <v>20030067</v>
      </c>
      <c r="E436" t="str" cm="1">
        <f t="array" ref="E436">INDEX('Linha 04'!$B$4:$B$1000,B436)</f>
        <v>Detergente Aquafast Coco Cx/24 X 500ml</v>
      </c>
      <c r="F436" cm="1">
        <f t="array" ref="F436">INDEX('Linha 04'!$C$3:$ZZ$3,C436)</f>
        <v>20030039</v>
      </c>
      <c r="G436" t="str" cm="1">
        <f t="array" ref="G436">INDEX('Linha 04'!$C$2:$ZZ$2,C436)</f>
        <v>Detergente Myata Limao Cx/24 X 500ml</v>
      </c>
      <c r="H436" s="5" cm="1">
        <f t="array" ref="H436">INDEX('Linha 04'!$C$4:$ZZ$1000,B436,C436)</f>
        <v>0</v>
      </c>
    </row>
    <row r="437" spans="1:8" x14ac:dyDescent="0.25">
      <c r="A437">
        <v>435</v>
      </c>
      <c r="B437">
        <f t="shared" si="12"/>
        <v>16</v>
      </c>
      <c r="C437">
        <f t="shared" si="13"/>
        <v>15</v>
      </c>
      <c r="D437" cm="1">
        <f t="array" ref="D437">INDEX('Linha 04'!$A$4:$A$1000,B437)</f>
        <v>20030067</v>
      </c>
      <c r="E437" t="str" cm="1">
        <f t="array" ref="E437">INDEX('Linha 04'!$B$4:$B$1000,B437)</f>
        <v>Detergente Aquafast Coco Cx/24 X 500ml</v>
      </c>
      <c r="F437" cm="1">
        <f t="array" ref="F437">INDEX('Linha 04'!$C$3:$ZZ$3,C437)</f>
        <v>20030040</v>
      </c>
      <c r="G437" t="str" cm="1">
        <f t="array" ref="G437">INDEX('Linha 04'!$C$2:$ZZ$2,C437)</f>
        <v>Detergente Myata Neutro Cx/24 X 500ml</v>
      </c>
      <c r="H437" s="5" cm="1">
        <f t="array" ref="H437">INDEX('Linha 04'!$C$4:$ZZ$1000,B437,C437)</f>
        <v>0</v>
      </c>
    </row>
    <row r="438" spans="1:8" x14ac:dyDescent="0.25">
      <c r="A438">
        <v>436</v>
      </c>
      <c r="B438">
        <f t="shared" si="12"/>
        <v>16</v>
      </c>
      <c r="C438">
        <f t="shared" si="13"/>
        <v>16</v>
      </c>
      <c r="D438" cm="1">
        <f t="array" ref="D438">INDEX('Linha 04'!$A$4:$A$1000,B438)</f>
        <v>20030067</v>
      </c>
      <c r="E438" t="str" cm="1">
        <f t="array" ref="E438">INDEX('Linha 04'!$B$4:$B$1000,B438)</f>
        <v>Detergente Aquafast Coco Cx/24 X 500ml</v>
      </c>
      <c r="F438" cm="1">
        <f t="array" ref="F438">INDEX('Linha 04'!$C$3:$ZZ$3,C438)</f>
        <v>20030067</v>
      </c>
      <c r="G438" t="str" cm="1">
        <f t="array" ref="G438">INDEX('Linha 04'!$C$2:$ZZ$2,C438)</f>
        <v>Detergente Aquafast Coco Cx/24 X 500ml</v>
      </c>
      <c r="H438" s="5" cm="1">
        <f t="array" ref="H438">INDEX('Linha 04'!$C$4:$ZZ$1000,B438,C438)</f>
        <v>0</v>
      </c>
    </row>
    <row r="439" spans="1:8" x14ac:dyDescent="0.25">
      <c r="A439">
        <v>437</v>
      </c>
      <c r="B439">
        <f t="shared" si="12"/>
        <v>16</v>
      </c>
      <c r="C439">
        <f t="shared" si="13"/>
        <v>17</v>
      </c>
      <c r="D439" cm="1">
        <f t="array" ref="D439">INDEX('Linha 04'!$A$4:$A$1000,B439)</f>
        <v>20030067</v>
      </c>
      <c r="E439" t="str" cm="1">
        <f t="array" ref="E439">INDEX('Linha 04'!$B$4:$B$1000,B439)</f>
        <v>Detergente Aquafast Coco Cx/24 X 500ml</v>
      </c>
      <c r="F439" cm="1">
        <f t="array" ref="F439">INDEX('Linha 04'!$C$3:$ZZ$3,C439)</f>
        <v>20050001</v>
      </c>
      <c r="G439" t="str" cm="1">
        <f t="array" ref="G439">INDEX('Linha 04'!$C$2:$ZZ$2,C439)</f>
        <v>Desinfetante Aquafast Campos Lavanda Cx/12 X 500ml</v>
      </c>
      <c r="H439" s="5" cm="1">
        <f t="array" ref="H439">INDEX('Linha 04'!$C$4:$ZZ$1000,B439,C439)</f>
        <v>0</v>
      </c>
    </row>
    <row r="440" spans="1:8" x14ac:dyDescent="0.25">
      <c r="A440">
        <v>438</v>
      </c>
      <c r="B440">
        <f t="shared" si="12"/>
        <v>16</v>
      </c>
      <c r="C440">
        <f t="shared" si="13"/>
        <v>18</v>
      </c>
      <c r="D440" cm="1">
        <f t="array" ref="D440">INDEX('Linha 04'!$A$4:$A$1000,B440)</f>
        <v>20030067</v>
      </c>
      <c r="E440" t="str" cm="1">
        <f t="array" ref="E440">INDEX('Linha 04'!$B$4:$B$1000,B440)</f>
        <v>Detergente Aquafast Coco Cx/24 X 500ml</v>
      </c>
      <c r="F440" cm="1">
        <f t="array" ref="F440">INDEX('Linha 04'!$C$3:$ZZ$3,C440)</f>
        <v>20050026</v>
      </c>
      <c r="G440" t="str" cm="1">
        <f t="array" ref="G440">INDEX('Linha 04'!$C$2:$ZZ$2,C440)</f>
        <v>Desinfetante Ito Lavanda Cx/12 X 500ml</v>
      </c>
      <c r="H440" s="5" cm="1">
        <f t="array" ref="H440">INDEX('Linha 04'!$C$4:$ZZ$1000,B440,C440)</f>
        <v>0</v>
      </c>
    </row>
    <row r="441" spans="1:8" x14ac:dyDescent="0.25">
      <c r="A441">
        <v>439</v>
      </c>
      <c r="B441">
        <f t="shared" si="12"/>
        <v>16</v>
      </c>
      <c r="C441">
        <f t="shared" si="13"/>
        <v>19</v>
      </c>
      <c r="D441" cm="1">
        <f t="array" ref="D441">INDEX('Linha 04'!$A$4:$A$1000,B441)</f>
        <v>20030067</v>
      </c>
      <c r="E441" t="str" cm="1">
        <f t="array" ref="E441">INDEX('Linha 04'!$B$4:$B$1000,B441)</f>
        <v>Detergente Aquafast Coco Cx/24 X 500ml</v>
      </c>
      <c r="F441" cm="1">
        <f t="array" ref="F441">INDEX('Linha 04'!$C$3:$ZZ$3,C441)</f>
        <v>20050119</v>
      </c>
      <c r="G441" t="str" cm="1">
        <f t="array" ref="G441">INDEX('Linha 04'!$C$2:$ZZ$2,C441)</f>
        <v>Desinfetante Aquafast Paixao Cx/12 X 500ml</v>
      </c>
      <c r="H441" s="5" cm="1">
        <f t="array" ref="H441">INDEX('Linha 04'!$C$4:$ZZ$1000,B441,C441)</f>
        <v>0</v>
      </c>
    </row>
    <row r="442" spans="1:8" x14ac:dyDescent="0.25">
      <c r="A442">
        <v>440</v>
      </c>
      <c r="B442">
        <f t="shared" si="12"/>
        <v>16</v>
      </c>
      <c r="C442">
        <f t="shared" si="13"/>
        <v>20</v>
      </c>
      <c r="D442" cm="1">
        <f t="array" ref="D442">INDEX('Linha 04'!$A$4:$A$1000,B442)</f>
        <v>20030067</v>
      </c>
      <c r="E442" t="str" cm="1">
        <f t="array" ref="E442">INDEX('Linha 04'!$B$4:$B$1000,B442)</f>
        <v>Detergente Aquafast Coco Cx/24 X 500ml</v>
      </c>
      <c r="F442" cm="1">
        <f t="array" ref="F442">INDEX('Linha 04'!$C$3:$ZZ$3,C442)</f>
        <v>20050145</v>
      </c>
      <c r="G442" t="str" cm="1">
        <f t="array" ref="G442">INDEX('Linha 04'!$C$2:$ZZ$2,C442)</f>
        <v>Desinfetante Aquafast Harmonia Natural Cx/12 X 500ml</v>
      </c>
      <c r="H442" s="5" cm="1">
        <f t="array" ref="H442">INDEX('Linha 04'!$C$4:$ZZ$1000,B442,C442)</f>
        <v>0</v>
      </c>
    </row>
    <row r="443" spans="1:8" x14ac:dyDescent="0.25">
      <c r="A443">
        <v>441</v>
      </c>
      <c r="B443">
        <f t="shared" si="12"/>
        <v>16</v>
      </c>
      <c r="C443">
        <f t="shared" si="13"/>
        <v>21</v>
      </c>
      <c r="D443" cm="1">
        <f t="array" ref="D443">INDEX('Linha 04'!$A$4:$A$1000,B443)</f>
        <v>20030067</v>
      </c>
      <c r="E443" t="str" cm="1">
        <f t="array" ref="E443">INDEX('Linha 04'!$B$4:$B$1000,B443)</f>
        <v>Detergente Aquafast Coco Cx/24 X 500ml</v>
      </c>
      <c r="F443" cm="1">
        <f t="array" ref="F443">INDEX('Linha 04'!$C$3:$ZZ$3,C443)</f>
        <v>20050149</v>
      </c>
      <c r="G443" t="str" cm="1">
        <f t="array" ref="G443">INDEX('Linha 04'!$C$2:$ZZ$2,C443)</f>
        <v>Desinfetante Aquafast Campos Lavanda Cx/12 X 1l</v>
      </c>
      <c r="H443" s="5" cm="1">
        <f t="array" ref="H443">INDEX('Linha 04'!$C$4:$ZZ$1000,B443,C443)</f>
        <v>0</v>
      </c>
    </row>
    <row r="444" spans="1:8" x14ac:dyDescent="0.25">
      <c r="A444">
        <v>442</v>
      </c>
      <c r="B444">
        <f t="shared" si="12"/>
        <v>16</v>
      </c>
      <c r="C444">
        <f t="shared" si="13"/>
        <v>22</v>
      </c>
      <c r="D444" cm="1">
        <f t="array" ref="D444">INDEX('Linha 04'!$A$4:$A$1000,B444)</f>
        <v>20030067</v>
      </c>
      <c r="E444" t="str" cm="1">
        <f t="array" ref="E444">INDEX('Linha 04'!$B$4:$B$1000,B444)</f>
        <v>Detergente Aquafast Coco Cx/24 X 500ml</v>
      </c>
      <c r="F444" cm="1">
        <f t="array" ref="F444">INDEX('Linha 04'!$C$3:$ZZ$3,C444)</f>
        <v>20050150</v>
      </c>
      <c r="G444" t="str" cm="1">
        <f t="array" ref="G444">INDEX('Linha 04'!$C$2:$ZZ$2,C444)</f>
        <v>Desinfetante Aquafast Marine Cx/12 X 1l</v>
      </c>
      <c r="H444" s="5" cm="1">
        <f t="array" ref="H444">INDEX('Linha 04'!$C$4:$ZZ$1000,B444,C444)</f>
        <v>0</v>
      </c>
    </row>
    <row r="445" spans="1:8" x14ac:dyDescent="0.25">
      <c r="A445">
        <v>443</v>
      </c>
      <c r="B445">
        <f t="shared" si="12"/>
        <v>16</v>
      </c>
      <c r="C445">
        <f t="shared" si="13"/>
        <v>23</v>
      </c>
      <c r="D445" cm="1">
        <f t="array" ref="D445">INDEX('Linha 04'!$A$4:$A$1000,B445)</f>
        <v>20030067</v>
      </c>
      <c r="E445" t="str" cm="1">
        <f t="array" ref="E445">INDEX('Linha 04'!$B$4:$B$1000,B445)</f>
        <v>Detergente Aquafast Coco Cx/24 X 500ml</v>
      </c>
      <c r="F445" cm="1">
        <f t="array" ref="F445">INDEX('Linha 04'!$C$3:$ZZ$3,C445)</f>
        <v>20050151</v>
      </c>
      <c r="G445" t="str" cm="1">
        <f t="array" ref="G445">INDEX('Linha 04'!$C$2:$ZZ$2,C445)</f>
        <v>Desinfetante Aquafast Paixao Cx/12 X 1l</v>
      </c>
      <c r="H445" s="5" cm="1">
        <f t="array" ref="H445">INDEX('Linha 04'!$C$4:$ZZ$1000,B445,C445)</f>
        <v>0</v>
      </c>
    </row>
    <row r="446" spans="1:8" x14ac:dyDescent="0.25">
      <c r="A446">
        <v>444</v>
      </c>
      <c r="B446">
        <f t="shared" si="12"/>
        <v>16</v>
      </c>
      <c r="C446">
        <f t="shared" si="13"/>
        <v>24</v>
      </c>
      <c r="D446" cm="1">
        <f t="array" ref="D446">INDEX('Linha 04'!$A$4:$A$1000,B446)</f>
        <v>20030067</v>
      </c>
      <c r="E446" t="str" cm="1">
        <f t="array" ref="E446">INDEX('Linha 04'!$B$4:$B$1000,B446)</f>
        <v>Detergente Aquafast Coco Cx/24 X 500ml</v>
      </c>
      <c r="F446" cm="1">
        <f t="array" ref="F446">INDEX('Linha 04'!$C$3:$ZZ$3,C446)</f>
        <v>20050152</v>
      </c>
      <c r="G446" t="str" cm="1">
        <f t="array" ref="G446">INDEX('Linha 04'!$C$2:$ZZ$2,C446)</f>
        <v>Desinfetante Aquafast Harmonia Natural Cx/12 X 1l</v>
      </c>
      <c r="H446" s="5" cm="1">
        <f t="array" ref="H446">INDEX('Linha 04'!$C$4:$ZZ$1000,B446,C446)</f>
        <v>0</v>
      </c>
    </row>
    <row r="447" spans="1:8" x14ac:dyDescent="0.25">
      <c r="A447">
        <v>445</v>
      </c>
      <c r="B447">
        <f t="shared" si="12"/>
        <v>16</v>
      </c>
      <c r="C447">
        <f t="shared" si="13"/>
        <v>25</v>
      </c>
      <c r="D447" cm="1">
        <f t="array" ref="D447">INDEX('Linha 04'!$A$4:$A$1000,B447)</f>
        <v>20030067</v>
      </c>
      <c r="E447" t="str" cm="1">
        <f t="array" ref="E447">INDEX('Linha 04'!$B$4:$B$1000,B447)</f>
        <v>Detergente Aquafast Coco Cx/24 X 500ml</v>
      </c>
      <c r="F447" cm="1">
        <f t="array" ref="F447">INDEX('Linha 04'!$C$3:$ZZ$3,C447)</f>
        <v>20050153</v>
      </c>
      <c r="G447" t="str" cm="1">
        <f t="array" ref="G447">INDEX('Linha 04'!$C$2:$ZZ$2,C447)</f>
        <v>Desinfetante Ito Harmonia Natural Cx/12 X 500ml</v>
      </c>
      <c r="H447" s="5" cm="1">
        <f t="array" ref="H447">INDEX('Linha 04'!$C$4:$ZZ$1000,B447,C447)</f>
        <v>0</v>
      </c>
    </row>
    <row r="448" spans="1:8" x14ac:dyDescent="0.25">
      <c r="A448">
        <v>446</v>
      </c>
      <c r="B448">
        <f t="shared" si="12"/>
        <v>16</v>
      </c>
      <c r="C448">
        <f t="shared" si="13"/>
        <v>26</v>
      </c>
      <c r="D448" cm="1">
        <f t="array" ref="D448">INDEX('Linha 04'!$A$4:$A$1000,B448)</f>
        <v>20030067</v>
      </c>
      <c r="E448" t="str" cm="1">
        <f t="array" ref="E448">INDEX('Linha 04'!$B$4:$B$1000,B448)</f>
        <v>Detergente Aquafast Coco Cx/24 X 500ml</v>
      </c>
      <c r="F448" cm="1">
        <f t="array" ref="F448">INDEX('Linha 04'!$C$3:$ZZ$3,C448)</f>
        <v>20050155</v>
      </c>
      <c r="G448" t="str" cm="1">
        <f t="array" ref="G448">INDEX('Linha 04'!$C$2:$ZZ$2,C448)</f>
        <v>Intermed Pack Desinfetante Paixao Cx/12 X 1l</v>
      </c>
      <c r="H448" s="5" cm="1">
        <f t="array" ref="H448">INDEX('Linha 04'!$C$4:$ZZ$1000,B448,C448)</f>
        <v>0</v>
      </c>
    </row>
    <row r="449" spans="1:8" x14ac:dyDescent="0.25">
      <c r="A449">
        <v>447</v>
      </c>
      <c r="B449">
        <f t="shared" si="12"/>
        <v>16</v>
      </c>
      <c r="C449">
        <f t="shared" si="13"/>
        <v>27</v>
      </c>
      <c r="D449" cm="1">
        <f t="array" ref="D449">INDEX('Linha 04'!$A$4:$A$1000,B449)</f>
        <v>20030067</v>
      </c>
      <c r="E449" t="str" cm="1">
        <f t="array" ref="E449">INDEX('Linha 04'!$B$4:$B$1000,B449)</f>
        <v>Detergente Aquafast Coco Cx/24 X 500ml</v>
      </c>
      <c r="F449" cm="1">
        <f t="array" ref="F449">INDEX('Linha 04'!$C$3:$ZZ$3,C449)</f>
        <v>20050156</v>
      </c>
      <c r="G449" t="str" cm="1">
        <f t="array" ref="G449">INDEX('Linha 04'!$C$2:$ZZ$2,C449)</f>
        <v>Intermed Pack Desinfetante Campos Lavanda Cx/12 X 1l</v>
      </c>
      <c r="H449" s="5" cm="1">
        <f t="array" ref="H449">INDEX('Linha 04'!$C$4:$ZZ$1000,B449,C449)</f>
        <v>0</v>
      </c>
    </row>
    <row r="450" spans="1:8" x14ac:dyDescent="0.25">
      <c r="A450">
        <v>448</v>
      </c>
      <c r="B450">
        <f t="shared" si="12"/>
        <v>16</v>
      </c>
      <c r="C450">
        <f t="shared" si="13"/>
        <v>28</v>
      </c>
      <c r="D450" cm="1">
        <f t="array" ref="D450">INDEX('Linha 04'!$A$4:$A$1000,B450)</f>
        <v>20030067</v>
      </c>
      <c r="E450" t="str" cm="1">
        <f t="array" ref="E450">INDEX('Linha 04'!$B$4:$B$1000,B450)</f>
        <v>Detergente Aquafast Coco Cx/24 X 500ml</v>
      </c>
      <c r="F450" cm="1">
        <f t="array" ref="F450">INDEX('Linha 04'!$C$3:$ZZ$3,C450)</f>
        <v>20050157</v>
      </c>
      <c r="G450" t="str" cm="1">
        <f t="array" ref="G450">INDEX('Linha 04'!$C$2:$ZZ$2,C450)</f>
        <v>Intermed Pack Desinfetante Marine Cx/12 X 1l</v>
      </c>
      <c r="H450" s="5" cm="1">
        <f t="array" ref="H450">INDEX('Linha 04'!$C$4:$ZZ$1000,B450,C450)</f>
        <v>0</v>
      </c>
    </row>
    <row r="451" spans="1:8" x14ac:dyDescent="0.25">
      <c r="A451">
        <v>449</v>
      </c>
      <c r="B451">
        <f t="shared" si="12"/>
        <v>17</v>
      </c>
      <c r="C451">
        <f t="shared" si="13"/>
        <v>1</v>
      </c>
      <c r="D451" cm="1">
        <f t="array" ref="D451">INDEX('Linha 04'!$A$4:$A$1000,B451)</f>
        <v>20050001</v>
      </c>
      <c r="E451" t="str" cm="1">
        <f t="array" ref="E451">INDEX('Linha 04'!$B$4:$B$1000,B451)</f>
        <v>Desinfetante Aquafast Campos Lavanda Cx/12 X 500ml</v>
      </c>
      <c r="F451" cm="1">
        <f t="array" ref="F451">INDEX('Linha 04'!$C$3:$ZZ$3,C451)</f>
        <v>20030001</v>
      </c>
      <c r="G451" t="str" cm="1">
        <f t="array" ref="G451">INDEX('Linha 04'!$C$2:$ZZ$2,C451)</f>
        <v>Detergente Aquafast Maca Cx/24 X 500ml</v>
      </c>
      <c r="H451" s="5" cm="1">
        <f t="array" ref="H451">INDEX('Linha 04'!$C$4:$ZZ$1000,B451,C451)</f>
        <v>0</v>
      </c>
    </row>
    <row r="452" spans="1:8" x14ac:dyDescent="0.25">
      <c r="A452">
        <v>450</v>
      </c>
      <c r="B452">
        <f t="shared" ref="B452:B515" si="14">INT((A452-1)/$B$1)+1</f>
        <v>17</v>
      </c>
      <c r="C452">
        <f t="shared" ref="C452:C515" si="15">MOD(A452-1,$B$1)+1</f>
        <v>2</v>
      </c>
      <c r="D452" cm="1">
        <f t="array" ref="D452">INDEX('Linha 04'!$A$4:$A$1000,B452)</f>
        <v>20050001</v>
      </c>
      <c r="E452" t="str" cm="1">
        <f t="array" ref="E452">INDEX('Linha 04'!$B$4:$B$1000,B452)</f>
        <v>Desinfetante Aquafast Campos Lavanda Cx/12 X 500ml</v>
      </c>
      <c r="F452" cm="1">
        <f t="array" ref="F452">INDEX('Linha 04'!$C$3:$ZZ$3,C452)</f>
        <v>20030002</v>
      </c>
      <c r="G452" t="str" cm="1">
        <f t="array" ref="G452">INDEX('Linha 04'!$C$2:$ZZ$2,C452)</f>
        <v>Detergente Aquafast Limao Cx/24 X 500ml</v>
      </c>
      <c r="H452" s="5" cm="1">
        <f t="array" ref="H452">INDEX('Linha 04'!$C$4:$ZZ$1000,B452,C452)</f>
        <v>0</v>
      </c>
    </row>
    <row r="453" spans="1:8" x14ac:dyDescent="0.25">
      <c r="A453">
        <v>451</v>
      </c>
      <c r="B453">
        <f t="shared" si="14"/>
        <v>17</v>
      </c>
      <c r="C453">
        <f t="shared" si="15"/>
        <v>3</v>
      </c>
      <c r="D453" cm="1">
        <f t="array" ref="D453">INDEX('Linha 04'!$A$4:$A$1000,B453)</f>
        <v>20050001</v>
      </c>
      <c r="E453" t="str" cm="1">
        <f t="array" ref="E453">INDEX('Linha 04'!$B$4:$B$1000,B453)</f>
        <v>Desinfetante Aquafast Campos Lavanda Cx/12 X 500ml</v>
      </c>
      <c r="F453" cm="1">
        <f t="array" ref="F453">INDEX('Linha 04'!$C$3:$ZZ$3,C453)</f>
        <v>20030003</v>
      </c>
      <c r="G453" t="str" cm="1">
        <f t="array" ref="G453">INDEX('Linha 04'!$C$2:$ZZ$2,C453)</f>
        <v>Detergente Aquafast Neutro Cx/24 X 500ml</v>
      </c>
      <c r="H453" s="5" cm="1">
        <f t="array" ref="H453">INDEX('Linha 04'!$C$4:$ZZ$1000,B453,C453)</f>
        <v>0</v>
      </c>
    </row>
    <row r="454" spans="1:8" x14ac:dyDescent="0.25">
      <c r="A454">
        <v>452</v>
      </c>
      <c r="B454">
        <f t="shared" si="14"/>
        <v>17</v>
      </c>
      <c r="C454">
        <f t="shared" si="15"/>
        <v>4</v>
      </c>
      <c r="D454" cm="1">
        <f t="array" ref="D454">INDEX('Linha 04'!$A$4:$A$1000,B454)</f>
        <v>20050001</v>
      </c>
      <c r="E454" t="str" cm="1">
        <f t="array" ref="E454">INDEX('Linha 04'!$B$4:$B$1000,B454)</f>
        <v>Desinfetante Aquafast Campos Lavanda Cx/12 X 500ml</v>
      </c>
      <c r="F454" cm="1">
        <f t="array" ref="F454">INDEX('Linha 04'!$C$3:$ZZ$3,C454)</f>
        <v>20030004</v>
      </c>
      <c r="G454" t="str" cm="1">
        <f t="array" ref="G454">INDEX('Linha 04'!$C$2:$ZZ$2,C454)</f>
        <v>Detergente Aquafast Clear Cx/24 X 500ml (Natural)</v>
      </c>
      <c r="H454" s="5" cm="1">
        <f t="array" ref="H454">INDEX('Linha 04'!$C$4:$ZZ$1000,B454,C454)</f>
        <v>0</v>
      </c>
    </row>
    <row r="455" spans="1:8" x14ac:dyDescent="0.25">
      <c r="A455">
        <v>453</v>
      </c>
      <c r="B455">
        <f t="shared" si="14"/>
        <v>17</v>
      </c>
      <c r="C455">
        <f t="shared" si="15"/>
        <v>5</v>
      </c>
      <c r="D455" cm="1">
        <f t="array" ref="D455">INDEX('Linha 04'!$A$4:$A$1000,B455)</f>
        <v>20050001</v>
      </c>
      <c r="E455" t="str" cm="1">
        <f t="array" ref="E455">INDEX('Linha 04'!$B$4:$B$1000,B455)</f>
        <v>Desinfetante Aquafast Campos Lavanda Cx/12 X 500ml</v>
      </c>
      <c r="F455" cm="1">
        <f t="array" ref="F455">INDEX('Linha 04'!$C$3:$ZZ$3,C455)</f>
        <v>20030011</v>
      </c>
      <c r="G455" t="str" cm="1">
        <f t="array" ref="G455">INDEX('Linha 04'!$C$2:$ZZ$2,C455)</f>
        <v>Detergente Aquafast Maca Cx/12 X 1l</v>
      </c>
      <c r="H455" s="5" cm="1">
        <f t="array" ref="H455">INDEX('Linha 04'!$C$4:$ZZ$1000,B455,C455)</f>
        <v>0</v>
      </c>
    </row>
    <row r="456" spans="1:8" x14ac:dyDescent="0.25">
      <c r="A456">
        <v>454</v>
      </c>
      <c r="B456">
        <f t="shared" si="14"/>
        <v>17</v>
      </c>
      <c r="C456">
        <f t="shared" si="15"/>
        <v>6</v>
      </c>
      <c r="D456" cm="1">
        <f t="array" ref="D456">INDEX('Linha 04'!$A$4:$A$1000,B456)</f>
        <v>20050001</v>
      </c>
      <c r="E456" t="str" cm="1">
        <f t="array" ref="E456">INDEX('Linha 04'!$B$4:$B$1000,B456)</f>
        <v>Desinfetante Aquafast Campos Lavanda Cx/12 X 500ml</v>
      </c>
      <c r="F456" cm="1">
        <f t="array" ref="F456">INDEX('Linha 04'!$C$3:$ZZ$3,C456)</f>
        <v>20030012</v>
      </c>
      <c r="G456" t="str" cm="1">
        <f t="array" ref="G456">INDEX('Linha 04'!$C$2:$ZZ$2,C456)</f>
        <v>Detergente Aquafast Limao Cx/12 X 1l</v>
      </c>
      <c r="H456" s="5" cm="1">
        <f t="array" ref="H456">INDEX('Linha 04'!$C$4:$ZZ$1000,B456,C456)</f>
        <v>0</v>
      </c>
    </row>
    <row r="457" spans="1:8" x14ac:dyDescent="0.25">
      <c r="A457">
        <v>455</v>
      </c>
      <c r="B457">
        <f t="shared" si="14"/>
        <v>17</v>
      </c>
      <c r="C457">
        <f t="shared" si="15"/>
        <v>7</v>
      </c>
      <c r="D457" cm="1">
        <f t="array" ref="D457">INDEX('Linha 04'!$A$4:$A$1000,B457)</f>
        <v>20050001</v>
      </c>
      <c r="E457" t="str" cm="1">
        <f t="array" ref="E457">INDEX('Linha 04'!$B$4:$B$1000,B457)</f>
        <v>Desinfetante Aquafast Campos Lavanda Cx/12 X 500ml</v>
      </c>
      <c r="F457" cm="1">
        <f t="array" ref="F457">INDEX('Linha 04'!$C$3:$ZZ$3,C457)</f>
        <v>20030013</v>
      </c>
      <c r="G457" t="str" cm="1">
        <f t="array" ref="G457">INDEX('Linha 04'!$C$2:$ZZ$2,C457)</f>
        <v>Detergente Aquafast Neutro Cx/12 X 1l</v>
      </c>
      <c r="H457" s="5" cm="1">
        <f t="array" ref="H457">INDEX('Linha 04'!$C$4:$ZZ$1000,B457,C457)</f>
        <v>0</v>
      </c>
    </row>
    <row r="458" spans="1:8" x14ac:dyDescent="0.25">
      <c r="A458">
        <v>456</v>
      </c>
      <c r="B458">
        <f t="shared" si="14"/>
        <v>17</v>
      </c>
      <c r="C458">
        <f t="shared" si="15"/>
        <v>8</v>
      </c>
      <c r="D458" cm="1">
        <f t="array" ref="D458">INDEX('Linha 04'!$A$4:$A$1000,B458)</f>
        <v>20050001</v>
      </c>
      <c r="E458" t="str" cm="1">
        <f t="array" ref="E458">INDEX('Linha 04'!$B$4:$B$1000,B458)</f>
        <v>Desinfetante Aquafast Campos Lavanda Cx/12 X 500ml</v>
      </c>
      <c r="F458" cm="1">
        <f t="array" ref="F458">INDEX('Linha 04'!$C$3:$ZZ$3,C458)</f>
        <v>20030014</v>
      </c>
      <c r="G458" t="str" cm="1">
        <f t="array" ref="G458">INDEX('Linha 04'!$C$2:$ZZ$2,C458)</f>
        <v>Detergente Aquafast Clear Cx/12 X 1l (Natural)</v>
      </c>
      <c r="H458" s="5" cm="1">
        <f t="array" ref="H458">INDEX('Linha 04'!$C$4:$ZZ$1000,B458,C458)</f>
        <v>0</v>
      </c>
    </row>
    <row r="459" spans="1:8" x14ac:dyDescent="0.25">
      <c r="A459">
        <v>457</v>
      </c>
      <c r="B459">
        <f t="shared" si="14"/>
        <v>17</v>
      </c>
      <c r="C459">
        <f t="shared" si="15"/>
        <v>9</v>
      </c>
      <c r="D459" cm="1">
        <f t="array" ref="D459">INDEX('Linha 04'!$A$4:$A$1000,B459)</f>
        <v>20050001</v>
      </c>
      <c r="E459" t="str" cm="1">
        <f t="array" ref="E459">INDEX('Linha 04'!$B$4:$B$1000,B459)</f>
        <v>Desinfetante Aquafast Campos Lavanda Cx/12 X 500ml</v>
      </c>
      <c r="F459" cm="1">
        <f t="array" ref="F459">INDEX('Linha 04'!$C$3:$ZZ$3,C459)</f>
        <v>20030020</v>
      </c>
      <c r="G459" t="str" cm="1">
        <f t="array" ref="G459">INDEX('Linha 04'!$C$2:$ZZ$2,C459)</f>
        <v>Detergente Ito Maca Cx/24 X 500ml</v>
      </c>
      <c r="H459" s="5" cm="1">
        <f t="array" ref="H459">INDEX('Linha 04'!$C$4:$ZZ$1000,B459,C459)</f>
        <v>0</v>
      </c>
    </row>
    <row r="460" spans="1:8" x14ac:dyDescent="0.25">
      <c r="A460">
        <v>458</v>
      </c>
      <c r="B460">
        <f t="shared" si="14"/>
        <v>17</v>
      </c>
      <c r="C460">
        <f t="shared" si="15"/>
        <v>10</v>
      </c>
      <c r="D460" cm="1">
        <f t="array" ref="D460">INDEX('Linha 04'!$A$4:$A$1000,B460)</f>
        <v>20050001</v>
      </c>
      <c r="E460" t="str" cm="1">
        <f t="array" ref="E460">INDEX('Linha 04'!$B$4:$B$1000,B460)</f>
        <v>Desinfetante Aquafast Campos Lavanda Cx/12 X 500ml</v>
      </c>
      <c r="F460" cm="1">
        <f t="array" ref="F460">INDEX('Linha 04'!$C$3:$ZZ$3,C460)</f>
        <v>20030021</v>
      </c>
      <c r="G460" t="str" cm="1">
        <f t="array" ref="G460">INDEX('Linha 04'!$C$2:$ZZ$2,C460)</f>
        <v>Detergente Ito Limao Cx/24 X 500ml</v>
      </c>
      <c r="H460" s="5" cm="1">
        <f t="array" ref="H460">INDEX('Linha 04'!$C$4:$ZZ$1000,B460,C460)</f>
        <v>0</v>
      </c>
    </row>
    <row r="461" spans="1:8" x14ac:dyDescent="0.25">
      <c r="A461">
        <v>459</v>
      </c>
      <c r="B461">
        <f t="shared" si="14"/>
        <v>17</v>
      </c>
      <c r="C461">
        <f t="shared" si="15"/>
        <v>11</v>
      </c>
      <c r="D461" cm="1">
        <f t="array" ref="D461">INDEX('Linha 04'!$A$4:$A$1000,B461)</f>
        <v>20050001</v>
      </c>
      <c r="E461" t="str" cm="1">
        <f t="array" ref="E461">INDEX('Linha 04'!$B$4:$B$1000,B461)</f>
        <v>Desinfetante Aquafast Campos Lavanda Cx/12 X 500ml</v>
      </c>
      <c r="F461" cm="1">
        <f t="array" ref="F461">INDEX('Linha 04'!$C$3:$ZZ$3,C461)</f>
        <v>20030022</v>
      </c>
      <c r="G461" t="str" cm="1">
        <f t="array" ref="G461">INDEX('Linha 04'!$C$2:$ZZ$2,C461)</f>
        <v>Detergente Ito Neutro Cx/24 X 500ml</v>
      </c>
      <c r="H461" s="5" cm="1">
        <f t="array" ref="H461">INDEX('Linha 04'!$C$4:$ZZ$1000,B461,C461)</f>
        <v>0</v>
      </c>
    </row>
    <row r="462" spans="1:8" x14ac:dyDescent="0.25">
      <c r="A462">
        <v>460</v>
      </c>
      <c r="B462">
        <f t="shared" si="14"/>
        <v>17</v>
      </c>
      <c r="C462">
        <f t="shared" si="15"/>
        <v>12</v>
      </c>
      <c r="D462" cm="1">
        <f t="array" ref="D462">INDEX('Linha 04'!$A$4:$A$1000,B462)</f>
        <v>20050001</v>
      </c>
      <c r="E462" t="str" cm="1">
        <f t="array" ref="E462">INDEX('Linha 04'!$B$4:$B$1000,B462)</f>
        <v>Desinfetante Aquafast Campos Lavanda Cx/12 X 500ml</v>
      </c>
      <c r="F462" cm="1">
        <f t="array" ref="F462">INDEX('Linha 04'!$C$3:$ZZ$3,C462)</f>
        <v>20030023</v>
      </c>
      <c r="G462" t="str" cm="1">
        <f t="array" ref="G462">INDEX('Linha 04'!$C$2:$ZZ$2,C462)</f>
        <v>Detergente Ito Clear Cx/24 X 500ml</v>
      </c>
      <c r="H462" s="5" cm="1">
        <f t="array" ref="H462">INDEX('Linha 04'!$C$4:$ZZ$1000,B462,C462)</f>
        <v>0</v>
      </c>
    </row>
    <row r="463" spans="1:8" x14ac:dyDescent="0.25">
      <c r="A463">
        <v>461</v>
      </c>
      <c r="B463">
        <f t="shared" si="14"/>
        <v>17</v>
      </c>
      <c r="C463">
        <f t="shared" si="15"/>
        <v>13</v>
      </c>
      <c r="D463" cm="1">
        <f t="array" ref="D463">INDEX('Linha 04'!$A$4:$A$1000,B463)</f>
        <v>20050001</v>
      </c>
      <c r="E463" t="str" cm="1">
        <f t="array" ref="E463">INDEX('Linha 04'!$B$4:$B$1000,B463)</f>
        <v>Desinfetante Aquafast Campos Lavanda Cx/12 X 500ml</v>
      </c>
      <c r="F463" cm="1">
        <f t="array" ref="F463">INDEX('Linha 04'!$C$3:$ZZ$3,C463)</f>
        <v>20030038</v>
      </c>
      <c r="G463" t="str" cm="1">
        <f t="array" ref="G463">INDEX('Linha 04'!$C$2:$ZZ$2,C463)</f>
        <v>Detergente Myata Maca Cx/24 X 500ml</v>
      </c>
      <c r="H463" s="5" cm="1">
        <f t="array" ref="H463">INDEX('Linha 04'!$C$4:$ZZ$1000,B463,C463)</f>
        <v>0</v>
      </c>
    </row>
    <row r="464" spans="1:8" x14ac:dyDescent="0.25">
      <c r="A464">
        <v>462</v>
      </c>
      <c r="B464">
        <f t="shared" si="14"/>
        <v>17</v>
      </c>
      <c r="C464">
        <f t="shared" si="15"/>
        <v>14</v>
      </c>
      <c r="D464" cm="1">
        <f t="array" ref="D464">INDEX('Linha 04'!$A$4:$A$1000,B464)</f>
        <v>20050001</v>
      </c>
      <c r="E464" t="str" cm="1">
        <f t="array" ref="E464">INDEX('Linha 04'!$B$4:$B$1000,B464)</f>
        <v>Desinfetante Aquafast Campos Lavanda Cx/12 X 500ml</v>
      </c>
      <c r="F464" cm="1">
        <f t="array" ref="F464">INDEX('Linha 04'!$C$3:$ZZ$3,C464)</f>
        <v>20030039</v>
      </c>
      <c r="G464" t="str" cm="1">
        <f t="array" ref="G464">INDEX('Linha 04'!$C$2:$ZZ$2,C464)</f>
        <v>Detergente Myata Limao Cx/24 X 500ml</v>
      </c>
      <c r="H464" s="5" cm="1">
        <f t="array" ref="H464">INDEX('Linha 04'!$C$4:$ZZ$1000,B464,C464)</f>
        <v>0</v>
      </c>
    </row>
    <row r="465" spans="1:8" x14ac:dyDescent="0.25">
      <c r="A465">
        <v>463</v>
      </c>
      <c r="B465">
        <f t="shared" si="14"/>
        <v>17</v>
      </c>
      <c r="C465">
        <f t="shared" si="15"/>
        <v>15</v>
      </c>
      <c r="D465" cm="1">
        <f t="array" ref="D465">INDEX('Linha 04'!$A$4:$A$1000,B465)</f>
        <v>20050001</v>
      </c>
      <c r="E465" t="str" cm="1">
        <f t="array" ref="E465">INDEX('Linha 04'!$B$4:$B$1000,B465)</f>
        <v>Desinfetante Aquafast Campos Lavanda Cx/12 X 500ml</v>
      </c>
      <c r="F465" cm="1">
        <f t="array" ref="F465">INDEX('Linha 04'!$C$3:$ZZ$3,C465)</f>
        <v>20030040</v>
      </c>
      <c r="G465" t="str" cm="1">
        <f t="array" ref="G465">INDEX('Linha 04'!$C$2:$ZZ$2,C465)</f>
        <v>Detergente Myata Neutro Cx/24 X 500ml</v>
      </c>
      <c r="H465" s="5" cm="1">
        <f t="array" ref="H465">INDEX('Linha 04'!$C$4:$ZZ$1000,B465,C465)</f>
        <v>0</v>
      </c>
    </row>
    <row r="466" spans="1:8" x14ac:dyDescent="0.25">
      <c r="A466">
        <v>464</v>
      </c>
      <c r="B466">
        <f t="shared" si="14"/>
        <v>17</v>
      </c>
      <c r="C466">
        <f t="shared" si="15"/>
        <v>16</v>
      </c>
      <c r="D466" cm="1">
        <f t="array" ref="D466">INDEX('Linha 04'!$A$4:$A$1000,B466)</f>
        <v>20050001</v>
      </c>
      <c r="E466" t="str" cm="1">
        <f t="array" ref="E466">INDEX('Linha 04'!$B$4:$B$1000,B466)</f>
        <v>Desinfetante Aquafast Campos Lavanda Cx/12 X 500ml</v>
      </c>
      <c r="F466" cm="1">
        <f t="array" ref="F466">INDEX('Linha 04'!$C$3:$ZZ$3,C466)</f>
        <v>20030067</v>
      </c>
      <c r="G466" t="str" cm="1">
        <f t="array" ref="G466">INDEX('Linha 04'!$C$2:$ZZ$2,C466)</f>
        <v>Detergente Aquafast Coco Cx/24 X 500ml</v>
      </c>
      <c r="H466" s="5" cm="1">
        <f t="array" ref="H466">INDEX('Linha 04'!$C$4:$ZZ$1000,B466,C466)</f>
        <v>0</v>
      </c>
    </row>
    <row r="467" spans="1:8" x14ac:dyDescent="0.25">
      <c r="A467">
        <v>465</v>
      </c>
      <c r="B467">
        <f t="shared" si="14"/>
        <v>17</v>
      </c>
      <c r="C467">
        <f t="shared" si="15"/>
        <v>17</v>
      </c>
      <c r="D467" cm="1">
        <f t="array" ref="D467">INDEX('Linha 04'!$A$4:$A$1000,B467)</f>
        <v>20050001</v>
      </c>
      <c r="E467" t="str" cm="1">
        <f t="array" ref="E467">INDEX('Linha 04'!$B$4:$B$1000,B467)</f>
        <v>Desinfetante Aquafast Campos Lavanda Cx/12 X 500ml</v>
      </c>
      <c r="F467" cm="1">
        <f t="array" ref="F467">INDEX('Linha 04'!$C$3:$ZZ$3,C467)</f>
        <v>20050001</v>
      </c>
      <c r="G467" t="str" cm="1">
        <f t="array" ref="G467">INDEX('Linha 04'!$C$2:$ZZ$2,C467)</f>
        <v>Desinfetante Aquafast Campos Lavanda Cx/12 X 500ml</v>
      </c>
      <c r="H467" s="5" cm="1">
        <f t="array" ref="H467">INDEX('Linha 04'!$C$4:$ZZ$1000,B467,C467)</f>
        <v>0</v>
      </c>
    </row>
    <row r="468" spans="1:8" x14ac:dyDescent="0.25">
      <c r="A468">
        <v>466</v>
      </c>
      <c r="B468">
        <f t="shared" si="14"/>
        <v>17</v>
      </c>
      <c r="C468">
        <f t="shared" si="15"/>
        <v>18</v>
      </c>
      <c r="D468" cm="1">
        <f t="array" ref="D468">INDEX('Linha 04'!$A$4:$A$1000,B468)</f>
        <v>20050001</v>
      </c>
      <c r="E468" t="str" cm="1">
        <f t="array" ref="E468">INDEX('Linha 04'!$B$4:$B$1000,B468)</f>
        <v>Desinfetante Aquafast Campos Lavanda Cx/12 X 500ml</v>
      </c>
      <c r="F468" cm="1">
        <f t="array" ref="F468">INDEX('Linha 04'!$C$3:$ZZ$3,C468)</f>
        <v>20050026</v>
      </c>
      <c r="G468" t="str" cm="1">
        <f t="array" ref="G468">INDEX('Linha 04'!$C$2:$ZZ$2,C468)</f>
        <v>Desinfetante Ito Lavanda Cx/12 X 500ml</v>
      </c>
      <c r="H468" s="5" cm="1">
        <f t="array" ref="H468">INDEX('Linha 04'!$C$4:$ZZ$1000,B468,C468)</f>
        <v>0</v>
      </c>
    </row>
    <row r="469" spans="1:8" x14ac:dyDescent="0.25">
      <c r="A469">
        <v>467</v>
      </c>
      <c r="B469">
        <f t="shared" si="14"/>
        <v>17</v>
      </c>
      <c r="C469">
        <f t="shared" si="15"/>
        <v>19</v>
      </c>
      <c r="D469" cm="1">
        <f t="array" ref="D469">INDEX('Linha 04'!$A$4:$A$1000,B469)</f>
        <v>20050001</v>
      </c>
      <c r="E469" t="str" cm="1">
        <f t="array" ref="E469">INDEX('Linha 04'!$B$4:$B$1000,B469)</f>
        <v>Desinfetante Aquafast Campos Lavanda Cx/12 X 500ml</v>
      </c>
      <c r="F469" cm="1">
        <f t="array" ref="F469">INDEX('Linha 04'!$C$3:$ZZ$3,C469)</f>
        <v>20050119</v>
      </c>
      <c r="G469" t="str" cm="1">
        <f t="array" ref="G469">INDEX('Linha 04'!$C$2:$ZZ$2,C469)</f>
        <v>Desinfetante Aquafast Paixao Cx/12 X 500ml</v>
      </c>
      <c r="H469" s="5" cm="1">
        <f t="array" ref="H469">INDEX('Linha 04'!$C$4:$ZZ$1000,B469,C469)</f>
        <v>0</v>
      </c>
    </row>
    <row r="470" spans="1:8" x14ac:dyDescent="0.25">
      <c r="A470">
        <v>468</v>
      </c>
      <c r="B470">
        <f t="shared" si="14"/>
        <v>17</v>
      </c>
      <c r="C470">
        <f t="shared" si="15"/>
        <v>20</v>
      </c>
      <c r="D470" cm="1">
        <f t="array" ref="D470">INDEX('Linha 04'!$A$4:$A$1000,B470)</f>
        <v>20050001</v>
      </c>
      <c r="E470" t="str" cm="1">
        <f t="array" ref="E470">INDEX('Linha 04'!$B$4:$B$1000,B470)</f>
        <v>Desinfetante Aquafast Campos Lavanda Cx/12 X 500ml</v>
      </c>
      <c r="F470" cm="1">
        <f t="array" ref="F470">INDEX('Linha 04'!$C$3:$ZZ$3,C470)</f>
        <v>20050145</v>
      </c>
      <c r="G470" t="str" cm="1">
        <f t="array" ref="G470">INDEX('Linha 04'!$C$2:$ZZ$2,C470)</f>
        <v>Desinfetante Aquafast Harmonia Natural Cx/12 X 500ml</v>
      </c>
      <c r="H470" s="5" cm="1">
        <f t="array" ref="H470">INDEX('Linha 04'!$C$4:$ZZ$1000,B470,C470)</f>
        <v>0</v>
      </c>
    </row>
    <row r="471" spans="1:8" x14ac:dyDescent="0.25">
      <c r="A471">
        <v>469</v>
      </c>
      <c r="B471">
        <f t="shared" si="14"/>
        <v>17</v>
      </c>
      <c r="C471">
        <f t="shared" si="15"/>
        <v>21</v>
      </c>
      <c r="D471" cm="1">
        <f t="array" ref="D471">INDEX('Linha 04'!$A$4:$A$1000,B471)</f>
        <v>20050001</v>
      </c>
      <c r="E471" t="str" cm="1">
        <f t="array" ref="E471">INDEX('Linha 04'!$B$4:$B$1000,B471)</f>
        <v>Desinfetante Aquafast Campos Lavanda Cx/12 X 500ml</v>
      </c>
      <c r="F471" cm="1">
        <f t="array" ref="F471">INDEX('Linha 04'!$C$3:$ZZ$3,C471)</f>
        <v>20050149</v>
      </c>
      <c r="G471" t="str" cm="1">
        <f t="array" ref="G471">INDEX('Linha 04'!$C$2:$ZZ$2,C471)</f>
        <v>Desinfetante Aquafast Campos Lavanda Cx/12 X 1l</v>
      </c>
      <c r="H471" s="5" cm="1">
        <f t="array" ref="H471">INDEX('Linha 04'!$C$4:$ZZ$1000,B471,C471)</f>
        <v>0</v>
      </c>
    </row>
    <row r="472" spans="1:8" x14ac:dyDescent="0.25">
      <c r="A472">
        <v>470</v>
      </c>
      <c r="B472">
        <f t="shared" si="14"/>
        <v>17</v>
      </c>
      <c r="C472">
        <f t="shared" si="15"/>
        <v>22</v>
      </c>
      <c r="D472" cm="1">
        <f t="array" ref="D472">INDEX('Linha 04'!$A$4:$A$1000,B472)</f>
        <v>20050001</v>
      </c>
      <c r="E472" t="str" cm="1">
        <f t="array" ref="E472">INDEX('Linha 04'!$B$4:$B$1000,B472)</f>
        <v>Desinfetante Aquafast Campos Lavanda Cx/12 X 500ml</v>
      </c>
      <c r="F472" cm="1">
        <f t="array" ref="F472">INDEX('Linha 04'!$C$3:$ZZ$3,C472)</f>
        <v>20050150</v>
      </c>
      <c r="G472" t="str" cm="1">
        <f t="array" ref="G472">INDEX('Linha 04'!$C$2:$ZZ$2,C472)</f>
        <v>Desinfetante Aquafast Marine Cx/12 X 1l</v>
      </c>
      <c r="H472" s="5" cm="1">
        <f t="array" ref="H472">INDEX('Linha 04'!$C$4:$ZZ$1000,B472,C472)</f>
        <v>0</v>
      </c>
    </row>
    <row r="473" spans="1:8" x14ac:dyDescent="0.25">
      <c r="A473">
        <v>471</v>
      </c>
      <c r="B473">
        <f t="shared" si="14"/>
        <v>17</v>
      </c>
      <c r="C473">
        <f t="shared" si="15"/>
        <v>23</v>
      </c>
      <c r="D473" cm="1">
        <f t="array" ref="D473">INDEX('Linha 04'!$A$4:$A$1000,B473)</f>
        <v>20050001</v>
      </c>
      <c r="E473" t="str" cm="1">
        <f t="array" ref="E473">INDEX('Linha 04'!$B$4:$B$1000,B473)</f>
        <v>Desinfetante Aquafast Campos Lavanda Cx/12 X 500ml</v>
      </c>
      <c r="F473" cm="1">
        <f t="array" ref="F473">INDEX('Linha 04'!$C$3:$ZZ$3,C473)</f>
        <v>20050151</v>
      </c>
      <c r="G473" t="str" cm="1">
        <f t="array" ref="G473">INDEX('Linha 04'!$C$2:$ZZ$2,C473)</f>
        <v>Desinfetante Aquafast Paixao Cx/12 X 1l</v>
      </c>
      <c r="H473" s="5" cm="1">
        <f t="array" ref="H473">INDEX('Linha 04'!$C$4:$ZZ$1000,B473,C473)</f>
        <v>0</v>
      </c>
    </row>
    <row r="474" spans="1:8" x14ac:dyDescent="0.25">
      <c r="A474">
        <v>472</v>
      </c>
      <c r="B474">
        <f t="shared" si="14"/>
        <v>17</v>
      </c>
      <c r="C474">
        <f t="shared" si="15"/>
        <v>24</v>
      </c>
      <c r="D474" cm="1">
        <f t="array" ref="D474">INDEX('Linha 04'!$A$4:$A$1000,B474)</f>
        <v>20050001</v>
      </c>
      <c r="E474" t="str" cm="1">
        <f t="array" ref="E474">INDEX('Linha 04'!$B$4:$B$1000,B474)</f>
        <v>Desinfetante Aquafast Campos Lavanda Cx/12 X 500ml</v>
      </c>
      <c r="F474" cm="1">
        <f t="array" ref="F474">INDEX('Linha 04'!$C$3:$ZZ$3,C474)</f>
        <v>20050152</v>
      </c>
      <c r="G474" t="str" cm="1">
        <f t="array" ref="G474">INDEX('Linha 04'!$C$2:$ZZ$2,C474)</f>
        <v>Desinfetante Aquafast Harmonia Natural Cx/12 X 1l</v>
      </c>
      <c r="H474" s="5" cm="1">
        <f t="array" ref="H474">INDEX('Linha 04'!$C$4:$ZZ$1000,B474,C474)</f>
        <v>0</v>
      </c>
    </row>
    <row r="475" spans="1:8" x14ac:dyDescent="0.25">
      <c r="A475">
        <v>473</v>
      </c>
      <c r="B475">
        <f t="shared" si="14"/>
        <v>17</v>
      </c>
      <c r="C475">
        <f t="shared" si="15"/>
        <v>25</v>
      </c>
      <c r="D475" cm="1">
        <f t="array" ref="D475">INDEX('Linha 04'!$A$4:$A$1000,B475)</f>
        <v>20050001</v>
      </c>
      <c r="E475" t="str" cm="1">
        <f t="array" ref="E475">INDEX('Linha 04'!$B$4:$B$1000,B475)</f>
        <v>Desinfetante Aquafast Campos Lavanda Cx/12 X 500ml</v>
      </c>
      <c r="F475" cm="1">
        <f t="array" ref="F475">INDEX('Linha 04'!$C$3:$ZZ$3,C475)</f>
        <v>20050153</v>
      </c>
      <c r="G475" t="str" cm="1">
        <f t="array" ref="G475">INDEX('Linha 04'!$C$2:$ZZ$2,C475)</f>
        <v>Desinfetante Ito Harmonia Natural Cx/12 X 500ml</v>
      </c>
      <c r="H475" s="5" cm="1">
        <f t="array" ref="H475">INDEX('Linha 04'!$C$4:$ZZ$1000,B475,C475)</f>
        <v>0</v>
      </c>
    </row>
    <row r="476" spans="1:8" x14ac:dyDescent="0.25">
      <c r="A476">
        <v>474</v>
      </c>
      <c r="B476">
        <f t="shared" si="14"/>
        <v>17</v>
      </c>
      <c r="C476">
        <f t="shared" si="15"/>
        <v>26</v>
      </c>
      <c r="D476" cm="1">
        <f t="array" ref="D476">INDEX('Linha 04'!$A$4:$A$1000,B476)</f>
        <v>20050001</v>
      </c>
      <c r="E476" t="str" cm="1">
        <f t="array" ref="E476">INDEX('Linha 04'!$B$4:$B$1000,B476)</f>
        <v>Desinfetante Aquafast Campos Lavanda Cx/12 X 500ml</v>
      </c>
      <c r="F476" cm="1">
        <f t="array" ref="F476">INDEX('Linha 04'!$C$3:$ZZ$3,C476)</f>
        <v>20050155</v>
      </c>
      <c r="G476" t="str" cm="1">
        <f t="array" ref="G476">INDEX('Linha 04'!$C$2:$ZZ$2,C476)</f>
        <v>Intermed Pack Desinfetante Paixao Cx/12 X 1l</v>
      </c>
      <c r="H476" s="5" cm="1">
        <f t="array" ref="H476">INDEX('Linha 04'!$C$4:$ZZ$1000,B476,C476)</f>
        <v>0</v>
      </c>
    </row>
    <row r="477" spans="1:8" x14ac:dyDescent="0.25">
      <c r="A477">
        <v>475</v>
      </c>
      <c r="B477">
        <f t="shared" si="14"/>
        <v>17</v>
      </c>
      <c r="C477">
        <f t="shared" si="15"/>
        <v>27</v>
      </c>
      <c r="D477" cm="1">
        <f t="array" ref="D477">INDEX('Linha 04'!$A$4:$A$1000,B477)</f>
        <v>20050001</v>
      </c>
      <c r="E477" t="str" cm="1">
        <f t="array" ref="E477">INDEX('Linha 04'!$B$4:$B$1000,B477)</f>
        <v>Desinfetante Aquafast Campos Lavanda Cx/12 X 500ml</v>
      </c>
      <c r="F477" cm="1">
        <f t="array" ref="F477">INDEX('Linha 04'!$C$3:$ZZ$3,C477)</f>
        <v>20050156</v>
      </c>
      <c r="G477" t="str" cm="1">
        <f t="array" ref="G477">INDEX('Linha 04'!$C$2:$ZZ$2,C477)</f>
        <v>Intermed Pack Desinfetante Campos Lavanda Cx/12 X 1l</v>
      </c>
      <c r="H477" s="5" cm="1">
        <f t="array" ref="H477">INDEX('Linha 04'!$C$4:$ZZ$1000,B477,C477)</f>
        <v>0</v>
      </c>
    </row>
    <row r="478" spans="1:8" x14ac:dyDescent="0.25">
      <c r="A478">
        <v>476</v>
      </c>
      <c r="B478">
        <f t="shared" si="14"/>
        <v>17</v>
      </c>
      <c r="C478">
        <f t="shared" si="15"/>
        <v>28</v>
      </c>
      <c r="D478" cm="1">
        <f t="array" ref="D478">INDEX('Linha 04'!$A$4:$A$1000,B478)</f>
        <v>20050001</v>
      </c>
      <c r="E478" t="str" cm="1">
        <f t="array" ref="E478">INDEX('Linha 04'!$B$4:$B$1000,B478)</f>
        <v>Desinfetante Aquafast Campos Lavanda Cx/12 X 500ml</v>
      </c>
      <c r="F478" cm="1">
        <f t="array" ref="F478">INDEX('Linha 04'!$C$3:$ZZ$3,C478)</f>
        <v>20050157</v>
      </c>
      <c r="G478" t="str" cm="1">
        <f t="array" ref="G478">INDEX('Linha 04'!$C$2:$ZZ$2,C478)</f>
        <v>Intermed Pack Desinfetante Marine Cx/12 X 1l</v>
      </c>
      <c r="H478" s="5" cm="1">
        <f t="array" ref="H478">INDEX('Linha 04'!$C$4:$ZZ$1000,B478,C478)</f>
        <v>0</v>
      </c>
    </row>
    <row r="479" spans="1:8" x14ac:dyDescent="0.25">
      <c r="A479">
        <v>477</v>
      </c>
      <c r="B479">
        <f t="shared" si="14"/>
        <v>18</v>
      </c>
      <c r="C479">
        <f t="shared" si="15"/>
        <v>1</v>
      </c>
      <c r="D479" cm="1">
        <f t="array" ref="D479">INDEX('Linha 04'!$A$4:$A$1000,B479)</f>
        <v>20050026</v>
      </c>
      <c r="E479" t="str" cm="1">
        <f t="array" ref="E479">INDEX('Linha 04'!$B$4:$B$1000,B479)</f>
        <v>Desinfetante Ito Lavanda Cx/12 X 500ml</v>
      </c>
      <c r="F479" cm="1">
        <f t="array" ref="F479">INDEX('Linha 04'!$C$3:$ZZ$3,C479)</f>
        <v>20030001</v>
      </c>
      <c r="G479" t="str" cm="1">
        <f t="array" ref="G479">INDEX('Linha 04'!$C$2:$ZZ$2,C479)</f>
        <v>Detergente Aquafast Maca Cx/24 X 500ml</v>
      </c>
      <c r="H479" s="5" cm="1">
        <f t="array" ref="H479">INDEX('Linha 04'!$C$4:$ZZ$1000,B479,C479)</f>
        <v>0</v>
      </c>
    </row>
    <row r="480" spans="1:8" x14ac:dyDescent="0.25">
      <c r="A480">
        <v>478</v>
      </c>
      <c r="B480">
        <f t="shared" si="14"/>
        <v>18</v>
      </c>
      <c r="C480">
        <f t="shared" si="15"/>
        <v>2</v>
      </c>
      <c r="D480" cm="1">
        <f t="array" ref="D480">INDEX('Linha 04'!$A$4:$A$1000,B480)</f>
        <v>20050026</v>
      </c>
      <c r="E480" t="str" cm="1">
        <f t="array" ref="E480">INDEX('Linha 04'!$B$4:$B$1000,B480)</f>
        <v>Desinfetante Ito Lavanda Cx/12 X 500ml</v>
      </c>
      <c r="F480" cm="1">
        <f t="array" ref="F480">INDEX('Linha 04'!$C$3:$ZZ$3,C480)</f>
        <v>20030002</v>
      </c>
      <c r="G480" t="str" cm="1">
        <f t="array" ref="G480">INDEX('Linha 04'!$C$2:$ZZ$2,C480)</f>
        <v>Detergente Aquafast Limao Cx/24 X 500ml</v>
      </c>
      <c r="H480" s="5" cm="1">
        <f t="array" ref="H480">INDEX('Linha 04'!$C$4:$ZZ$1000,B480,C480)</f>
        <v>0</v>
      </c>
    </row>
    <row r="481" spans="1:8" x14ac:dyDescent="0.25">
      <c r="A481">
        <v>479</v>
      </c>
      <c r="B481">
        <f t="shared" si="14"/>
        <v>18</v>
      </c>
      <c r="C481">
        <f t="shared" si="15"/>
        <v>3</v>
      </c>
      <c r="D481" cm="1">
        <f t="array" ref="D481">INDEX('Linha 04'!$A$4:$A$1000,B481)</f>
        <v>20050026</v>
      </c>
      <c r="E481" t="str" cm="1">
        <f t="array" ref="E481">INDEX('Linha 04'!$B$4:$B$1000,B481)</f>
        <v>Desinfetante Ito Lavanda Cx/12 X 500ml</v>
      </c>
      <c r="F481" cm="1">
        <f t="array" ref="F481">INDEX('Linha 04'!$C$3:$ZZ$3,C481)</f>
        <v>20030003</v>
      </c>
      <c r="G481" t="str" cm="1">
        <f t="array" ref="G481">INDEX('Linha 04'!$C$2:$ZZ$2,C481)</f>
        <v>Detergente Aquafast Neutro Cx/24 X 500ml</v>
      </c>
      <c r="H481" s="5" cm="1">
        <f t="array" ref="H481">INDEX('Linha 04'!$C$4:$ZZ$1000,B481,C481)</f>
        <v>0</v>
      </c>
    </row>
    <row r="482" spans="1:8" x14ac:dyDescent="0.25">
      <c r="A482">
        <v>480</v>
      </c>
      <c r="B482">
        <f t="shared" si="14"/>
        <v>18</v>
      </c>
      <c r="C482">
        <f t="shared" si="15"/>
        <v>4</v>
      </c>
      <c r="D482" cm="1">
        <f t="array" ref="D482">INDEX('Linha 04'!$A$4:$A$1000,B482)</f>
        <v>20050026</v>
      </c>
      <c r="E482" t="str" cm="1">
        <f t="array" ref="E482">INDEX('Linha 04'!$B$4:$B$1000,B482)</f>
        <v>Desinfetante Ito Lavanda Cx/12 X 500ml</v>
      </c>
      <c r="F482" cm="1">
        <f t="array" ref="F482">INDEX('Linha 04'!$C$3:$ZZ$3,C482)</f>
        <v>20030004</v>
      </c>
      <c r="G482" t="str" cm="1">
        <f t="array" ref="G482">INDEX('Linha 04'!$C$2:$ZZ$2,C482)</f>
        <v>Detergente Aquafast Clear Cx/24 X 500ml (Natural)</v>
      </c>
      <c r="H482" s="5" cm="1">
        <f t="array" ref="H482">INDEX('Linha 04'!$C$4:$ZZ$1000,B482,C482)</f>
        <v>0</v>
      </c>
    </row>
    <row r="483" spans="1:8" x14ac:dyDescent="0.25">
      <c r="A483">
        <v>481</v>
      </c>
      <c r="B483">
        <f t="shared" si="14"/>
        <v>18</v>
      </c>
      <c r="C483">
        <f t="shared" si="15"/>
        <v>5</v>
      </c>
      <c r="D483" cm="1">
        <f t="array" ref="D483">INDEX('Linha 04'!$A$4:$A$1000,B483)</f>
        <v>20050026</v>
      </c>
      <c r="E483" t="str" cm="1">
        <f t="array" ref="E483">INDEX('Linha 04'!$B$4:$B$1000,B483)</f>
        <v>Desinfetante Ito Lavanda Cx/12 X 500ml</v>
      </c>
      <c r="F483" cm="1">
        <f t="array" ref="F483">INDEX('Linha 04'!$C$3:$ZZ$3,C483)</f>
        <v>20030011</v>
      </c>
      <c r="G483" t="str" cm="1">
        <f t="array" ref="G483">INDEX('Linha 04'!$C$2:$ZZ$2,C483)</f>
        <v>Detergente Aquafast Maca Cx/12 X 1l</v>
      </c>
      <c r="H483" s="5" cm="1">
        <f t="array" ref="H483">INDEX('Linha 04'!$C$4:$ZZ$1000,B483,C483)</f>
        <v>0</v>
      </c>
    </row>
    <row r="484" spans="1:8" x14ac:dyDescent="0.25">
      <c r="A484">
        <v>482</v>
      </c>
      <c r="B484">
        <f t="shared" si="14"/>
        <v>18</v>
      </c>
      <c r="C484">
        <f t="shared" si="15"/>
        <v>6</v>
      </c>
      <c r="D484" cm="1">
        <f t="array" ref="D484">INDEX('Linha 04'!$A$4:$A$1000,B484)</f>
        <v>20050026</v>
      </c>
      <c r="E484" t="str" cm="1">
        <f t="array" ref="E484">INDEX('Linha 04'!$B$4:$B$1000,B484)</f>
        <v>Desinfetante Ito Lavanda Cx/12 X 500ml</v>
      </c>
      <c r="F484" cm="1">
        <f t="array" ref="F484">INDEX('Linha 04'!$C$3:$ZZ$3,C484)</f>
        <v>20030012</v>
      </c>
      <c r="G484" t="str" cm="1">
        <f t="array" ref="G484">INDEX('Linha 04'!$C$2:$ZZ$2,C484)</f>
        <v>Detergente Aquafast Limao Cx/12 X 1l</v>
      </c>
      <c r="H484" s="5" cm="1">
        <f t="array" ref="H484">INDEX('Linha 04'!$C$4:$ZZ$1000,B484,C484)</f>
        <v>0</v>
      </c>
    </row>
    <row r="485" spans="1:8" x14ac:dyDescent="0.25">
      <c r="A485">
        <v>483</v>
      </c>
      <c r="B485">
        <f t="shared" si="14"/>
        <v>18</v>
      </c>
      <c r="C485">
        <f t="shared" si="15"/>
        <v>7</v>
      </c>
      <c r="D485" cm="1">
        <f t="array" ref="D485">INDEX('Linha 04'!$A$4:$A$1000,B485)</f>
        <v>20050026</v>
      </c>
      <c r="E485" t="str" cm="1">
        <f t="array" ref="E485">INDEX('Linha 04'!$B$4:$B$1000,B485)</f>
        <v>Desinfetante Ito Lavanda Cx/12 X 500ml</v>
      </c>
      <c r="F485" cm="1">
        <f t="array" ref="F485">INDEX('Linha 04'!$C$3:$ZZ$3,C485)</f>
        <v>20030013</v>
      </c>
      <c r="G485" t="str" cm="1">
        <f t="array" ref="G485">INDEX('Linha 04'!$C$2:$ZZ$2,C485)</f>
        <v>Detergente Aquafast Neutro Cx/12 X 1l</v>
      </c>
      <c r="H485" s="5" cm="1">
        <f t="array" ref="H485">INDEX('Linha 04'!$C$4:$ZZ$1000,B485,C485)</f>
        <v>0</v>
      </c>
    </row>
    <row r="486" spans="1:8" x14ac:dyDescent="0.25">
      <c r="A486">
        <v>484</v>
      </c>
      <c r="B486">
        <f t="shared" si="14"/>
        <v>18</v>
      </c>
      <c r="C486">
        <f t="shared" si="15"/>
        <v>8</v>
      </c>
      <c r="D486" cm="1">
        <f t="array" ref="D486">INDEX('Linha 04'!$A$4:$A$1000,B486)</f>
        <v>20050026</v>
      </c>
      <c r="E486" t="str" cm="1">
        <f t="array" ref="E486">INDEX('Linha 04'!$B$4:$B$1000,B486)</f>
        <v>Desinfetante Ito Lavanda Cx/12 X 500ml</v>
      </c>
      <c r="F486" cm="1">
        <f t="array" ref="F486">INDEX('Linha 04'!$C$3:$ZZ$3,C486)</f>
        <v>20030014</v>
      </c>
      <c r="G486" t="str" cm="1">
        <f t="array" ref="G486">INDEX('Linha 04'!$C$2:$ZZ$2,C486)</f>
        <v>Detergente Aquafast Clear Cx/12 X 1l (Natural)</v>
      </c>
      <c r="H486" s="5" cm="1">
        <f t="array" ref="H486">INDEX('Linha 04'!$C$4:$ZZ$1000,B486,C486)</f>
        <v>0</v>
      </c>
    </row>
    <row r="487" spans="1:8" x14ac:dyDescent="0.25">
      <c r="A487">
        <v>485</v>
      </c>
      <c r="B487">
        <f t="shared" si="14"/>
        <v>18</v>
      </c>
      <c r="C487">
        <f t="shared" si="15"/>
        <v>9</v>
      </c>
      <c r="D487" cm="1">
        <f t="array" ref="D487">INDEX('Linha 04'!$A$4:$A$1000,B487)</f>
        <v>20050026</v>
      </c>
      <c r="E487" t="str" cm="1">
        <f t="array" ref="E487">INDEX('Linha 04'!$B$4:$B$1000,B487)</f>
        <v>Desinfetante Ito Lavanda Cx/12 X 500ml</v>
      </c>
      <c r="F487" cm="1">
        <f t="array" ref="F487">INDEX('Linha 04'!$C$3:$ZZ$3,C487)</f>
        <v>20030020</v>
      </c>
      <c r="G487" t="str" cm="1">
        <f t="array" ref="G487">INDEX('Linha 04'!$C$2:$ZZ$2,C487)</f>
        <v>Detergente Ito Maca Cx/24 X 500ml</v>
      </c>
      <c r="H487" s="5" cm="1">
        <f t="array" ref="H487">INDEX('Linha 04'!$C$4:$ZZ$1000,B487,C487)</f>
        <v>0</v>
      </c>
    </row>
    <row r="488" spans="1:8" x14ac:dyDescent="0.25">
      <c r="A488">
        <v>486</v>
      </c>
      <c r="B488">
        <f t="shared" si="14"/>
        <v>18</v>
      </c>
      <c r="C488">
        <f t="shared" si="15"/>
        <v>10</v>
      </c>
      <c r="D488" cm="1">
        <f t="array" ref="D488">INDEX('Linha 04'!$A$4:$A$1000,B488)</f>
        <v>20050026</v>
      </c>
      <c r="E488" t="str" cm="1">
        <f t="array" ref="E488">INDEX('Linha 04'!$B$4:$B$1000,B488)</f>
        <v>Desinfetante Ito Lavanda Cx/12 X 500ml</v>
      </c>
      <c r="F488" cm="1">
        <f t="array" ref="F488">INDEX('Linha 04'!$C$3:$ZZ$3,C488)</f>
        <v>20030021</v>
      </c>
      <c r="G488" t="str" cm="1">
        <f t="array" ref="G488">INDEX('Linha 04'!$C$2:$ZZ$2,C488)</f>
        <v>Detergente Ito Limao Cx/24 X 500ml</v>
      </c>
      <c r="H488" s="5" cm="1">
        <f t="array" ref="H488">INDEX('Linha 04'!$C$4:$ZZ$1000,B488,C488)</f>
        <v>0</v>
      </c>
    </row>
    <row r="489" spans="1:8" x14ac:dyDescent="0.25">
      <c r="A489">
        <v>487</v>
      </c>
      <c r="B489">
        <f t="shared" si="14"/>
        <v>18</v>
      </c>
      <c r="C489">
        <f t="shared" si="15"/>
        <v>11</v>
      </c>
      <c r="D489" cm="1">
        <f t="array" ref="D489">INDEX('Linha 04'!$A$4:$A$1000,B489)</f>
        <v>20050026</v>
      </c>
      <c r="E489" t="str" cm="1">
        <f t="array" ref="E489">INDEX('Linha 04'!$B$4:$B$1000,B489)</f>
        <v>Desinfetante Ito Lavanda Cx/12 X 500ml</v>
      </c>
      <c r="F489" cm="1">
        <f t="array" ref="F489">INDEX('Linha 04'!$C$3:$ZZ$3,C489)</f>
        <v>20030022</v>
      </c>
      <c r="G489" t="str" cm="1">
        <f t="array" ref="G489">INDEX('Linha 04'!$C$2:$ZZ$2,C489)</f>
        <v>Detergente Ito Neutro Cx/24 X 500ml</v>
      </c>
      <c r="H489" s="5" cm="1">
        <f t="array" ref="H489">INDEX('Linha 04'!$C$4:$ZZ$1000,B489,C489)</f>
        <v>0</v>
      </c>
    </row>
    <row r="490" spans="1:8" x14ac:dyDescent="0.25">
      <c r="A490">
        <v>488</v>
      </c>
      <c r="B490">
        <f t="shared" si="14"/>
        <v>18</v>
      </c>
      <c r="C490">
        <f t="shared" si="15"/>
        <v>12</v>
      </c>
      <c r="D490" cm="1">
        <f t="array" ref="D490">INDEX('Linha 04'!$A$4:$A$1000,B490)</f>
        <v>20050026</v>
      </c>
      <c r="E490" t="str" cm="1">
        <f t="array" ref="E490">INDEX('Linha 04'!$B$4:$B$1000,B490)</f>
        <v>Desinfetante Ito Lavanda Cx/12 X 500ml</v>
      </c>
      <c r="F490" cm="1">
        <f t="array" ref="F490">INDEX('Linha 04'!$C$3:$ZZ$3,C490)</f>
        <v>20030023</v>
      </c>
      <c r="G490" t="str" cm="1">
        <f t="array" ref="G490">INDEX('Linha 04'!$C$2:$ZZ$2,C490)</f>
        <v>Detergente Ito Clear Cx/24 X 500ml</v>
      </c>
      <c r="H490" s="5" cm="1">
        <f t="array" ref="H490">INDEX('Linha 04'!$C$4:$ZZ$1000,B490,C490)</f>
        <v>0</v>
      </c>
    </row>
    <row r="491" spans="1:8" x14ac:dyDescent="0.25">
      <c r="A491">
        <v>489</v>
      </c>
      <c r="B491">
        <f t="shared" si="14"/>
        <v>18</v>
      </c>
      <c r="C491">
        <f t="shared" si="15"/>
        <v>13</v>
      </c>
      <c r="D491" cm="1">
        <f t="array" ref="D491">INDEX('Linha 04'!$A$4:$A$1000,B491)</f>
        <v>20050026</v>
      </c>
      <c r="E491" t="str" cm="1">
        <f t="array" ref="E491">INDEX('Linha 04'!$B$4:$B$1000,B491)</f>
        <v>Desinfetante Ito Lavanda Cx/12 X 500ml</v>
      </c>
      <c r="F491" cm="1">
        <f t="array" ref="F491">INDEX('Linha 04'!$C$3:$ZZ$3,C491)</f>
        <v>20030038</v>
      </c>
      <c r="G491" t="str" cm="1">
        <f t="array" ref="G491">INDEX('Linha 04'!$C$2:$ZZ$2,C491)</f>
        <v>Detergente Myata Maca Cx/24 X 500ml</v>
      </c>
      <c r="H491" s="5" cm="1">
        <f t="array" ref="H491">INDEX('Linha 04'!$C$4:$ZZ$1000,B491,C491)</f>
        <v>0</v>
      </c>
    </row>
    <row r="492" spans="1:8" x14ac:dyDescent="0.25">
      <c r="A492">
        <v>490</v>
      </c>
      <c r="B492">
        <f t="shared" si="14"/>
        <v>18</v>
      </c>
      <c r="C492">
        <f t="shared" si="15"/>
        <v>14</v>
      </c>
      <c r="D492" cm="1">
        <f t="array" ref="D492">INDEX('Linha 04'!$A$4:$A$1000,B492)</f>
        <v>20050026</v>
      </c>
      <c r="E492" t="str" cm="1">
        <f t="array" ref="E492">INDEX('Linha 04'!$B$4:$B$1000,B492)</f>
        <v>Desinfetante Ito Lavanda Cx/12 X 500ml</v>
      </c>
      <c r="F492" cm="1">
        <f t="array" ref="F492">INDEX('Linha 04'!$C$3:$ZZ$3,C492)</f>
        <v>20030039</v>
      </c>
      <c r="G492" t="str" cm="1">
        <f t="array" ref="G492">INDEX('Linha 04'!$C$2:$ZZ$2,C492)</f>
        <v>Detergente Myata Limao Cx/24 X 500ml</v>
      </c>
      <c r="H492" s="5" cm="1">
        <f t="array" ref="H492">INDEX('Linha 04'!$C$4:$ZZ$1000,B492,C492)</f>
        <v>0</v>
      </c>
    </row>
    <row r="493" spans="1:8" x14ac:dyDescent="0.25">
      <c r="A493">
        <v>491</v>
      </c>
      <c r="B493">
        <f t="shared" si="14"/>
        <v>18</v>
      </c>
      <c r="C493">
        <f t="shared" si="15"/>
        <v>15</v>
      </c>
      <c r="D493" cm="1">
        <f t="array" ref="D493">INDEX('Linha 04'!$A$4:$A$1000,B493)</f>
        <v>20050026</v>
      </c>
      <c r="E493" t="str" cm="1">
        <f t="array" ref="E493">INDEX('Linha 04'!$B$4:$B$1000,B493)</f>
        <v>Desinfetante Ito Lavanda Cx/12 X 500ml</v>
      </c>
      <c r="F493" cm="1">
        <f t="array" ref="F493">INDEX('Linha 04'!$C$3:$ZZ$3,C493)</f>
        <v>20030040</v>
      </c>
      <c r="G493" t="str" cm="1">
        <f t="array" ref="G493">INDEX('Linha 04'!$C$2:$ZZ$2,C493)</f>
        <v>Detergente Myata Neutro Cx/24 X 500ml</v>
      </c>
      <c r="H493" s="5" cm="1">
        <f t="array" ref="H493">INDEX('Linha 04'!$C$4:$ZZ$1000,B493,C493)</f>
        <v>0</v>
      </c>
    </row>
    <row r="494" spans="1:8" x14ac:dyDescent="0.25">
      <c r="A494">
        <v>492</v>
      </c>
      <c r="B494">
        <f t="shared" si="14"/>
        <v>18</v>
      </c>
      <c r="C494">
        <f t="shared" si="15"/>
        <v>16</v>
      </c>
      <c r="D494" cm="1">
        <f t="array" ref="D494">INDEX('Linha 04'!$A$4:$A$1000,B494)</f>
        <v>20050026</v>
      </c>
      <c r="E494" t="str" cm="1">
        <f t="array" ref="E494">INDEX('Linha 04'!$B$4:$B$1000,B494)</f>
        <v>Desinfetante Ito Lavanda Cx/12 X 500ml</v>
      </c>
      <c r="F494" cm="1">
        <f t="array" ref="F494">INDEX('Linha 04'!$C$3:$ZZ$3,C494)</f>
        <v>20030067</v>
      </c>
      <c r="G494" t="str" cm="1">
        <f t="array" ref="G494">INDEX('Linha 04'!$C$2:$ZZ$2,C494)</f>
        <v>Detergente Aquafast Coco Cx/24 X 500ml</v>
      </c>
      <c r="H494" s="5" cm="1">
        <f t="array" ref="H494">INDEX('Linha 04'!$C$4:$ZZ$1000,B494,C494)</f>
        <v>0</v>
      </c>
    </row>
    <row r="495" spans="1:8" x14ac:dyDescent="0.25">
      <c r="A495">
        <v>493</v>
      </c>
      <c r="B495">
        <f t="shared" si="14"/>
        <v>18</v>
      </c>
      <c r="C495">
        <f t="shared" si="15"/>
        <v>17</v>
      </c>
      <c r="D495" cm="1">
        <f t="array" ref="D495">INDEX('Linha 04'!$A$4:$A$1000,B495)</f>
        <v>20050026</v>
      </c>
      <c r="E495" t="str" cm="1">
        <f t="array" ref="E495">INDEX('Linha 04'!$B$4:$B$1000,B495)</f>
        <v>Desinfetante Ito Lavanda Cx/12 X 500ml</v>
      </c>
      <c r="F495" cm="1">
        <f t="array" ref="F495">INDEX('Linha 04'!$C$3:$ZZ$3,C495)</f>
        <v>20050001</v>
      </c>
      <c r="G495" t="str" cm="1">
        <f t="array" ref="G495">INDEX('Linha 04'!$C$2:$ZZ$2,C495)</f>
        <v>Desinfetante Aquafast Campos Lavanda Cx/12 X 500ml</v>
      </c>
      <c r="H495" s="5" cm="1">
        <f t="array" ref="H495">INDEX('Linha 04'!$C$4:$ZZ$1000,B495,C495)</f>
        <v>0</v>
      </c>
    </row>
    <row r="496" spans="1:8" x14ac:dyDescent="0.25">
      <c r="A496">
        <v>494</v>
      </c>
      <c r="B496">
        <f t="shared" si="14"/>
        <v>18</v>
      </c>
      <c r="C496">
        <f t="shared" si="15"/>
        <v>18</v>
      </c>
      <c r="D496" cm="1">
        <f t="array" ref="D496">INDEX('Linha 04'!$A$4:$A$1000,B496)</f>
        <v>20050026</v>
      </c>
      <c r="E496" t="str" cm="1">
        <f t="array" ref="E496">INDEX('Linha 04'!$B$4:$B$1000,B496)</f>
        <v>Desinfetante Ito Lavanda Cx/12 X 500ml</v>
      </c>
      <c r="F496" cm="1">
        <f t="array" ref="F496">INDEX('Linha 04'!$C$3:$ZZ$3,C496)</f>
        <v>20050026</v>
      </c>
      <c r="G496" t="str" cm="1">
        <f t="array" ref="G496">INDEX('Linha 04'!$C$2:$ZZ$2,C496)</f>
        <v>Desinfetante Ito Lavanda Cx/12 X 500ml</v>
      </c>
      <c r="H496" s="5" cm="1">
        <f t="array" ref="H496">INDEX('Linha 04'!$C$4:$ZZ$1000,B496,C496)</f>
        <v>0</v>
      </c>
    </row>
    <row r="497" spans="1:8" x14ac:dyDescent="0.25">
      <c r="A497">
        <v>495</v>
      </c>
      <c r="B497">
        <f t="shared" si="14"/>
        <v>18</v>
      </c>
      <c r="C497">
        <f t="shared" si="15"/>
        <v>19</v>
      </c>
      <c r="D497" cm="1">
        <f t="array" ref="D497">INDEX('Linha 04'!$A$4:$A$1000,B497)</f>
        <v>20050026</v>
      </c>
      <c r="E497" t="str" cm="1">
        <f t="array" ref="E497">INDEX('Linha 04'!$B$4:$B$1000,B497)</f>
        <v>Desinfetante Ito Lavanda Cx/12 X 500ml</v>
      </c>
      <c r="F497" cm="1">
        <f t="array" ref="F497">INDEX('Linha 04'!$C$3:$ZZ$3,C497)</f>
        <v>20050119</v>
      </c>
      <c r="G497" t="str" cm="1">
        <f t="array" ref="G497">INDEX('Linha 04'!$C$2:$ZZ$2,C497)</f>
        <v>Desinfetante Aquafast Paixao Cx/12 X 500ml</v>
      </c>
      <c r="H497" s="5" cm="1">
        <f t="array" ref="H497">INDEX('Linha 04'!$C$4:$ZZ$1000,B497,C497)</f>
        <v>0</v>
      </c>
    </row>
    <row r="498" spans="1:8" x14ac:dyDescent="0.25">
      <c r="A498">
        <v>496</v>
      </c>
      <c r="B498">
        <f t="shared" si="14"/>
        <v>18</v>
      </c>
      <c r="C498">
        <f t="shared" si="15"/>
        <v>20</v>
      </c>
      <c r="D498" cm="1">
        <f t="array" ref="D498">INDEX('Linha 04'!$A$4:$A$1000,B498)</f>
        <v>20050026</v>
      </c>
      <c r="E498" t="str" cm="1">
        <f t="array" ref="E498">INDEX('Linha 04'!$B$4:$B$1000,B498)</f>
        <v>Desinfetante Ito Lavanda Cx/12 X 500ml</v>
      </c>
      <c r="F498" cm="1">
        <f t="array" ref="F498">INDEX('Linha 04'!$C$3:$ZZ$3,C498)</f>
        <v>20050145</v>
      </c>
      <c r="G498" t="str" cm="1">
        <f t="array" ref="G498">INDEX('Linha 04'!$C$2:$ZZ$2,C498)</f>
        <v>Desinfetante Aquafast Harmonia Natural Cx/12 X 500ml</v>
      </c>
      <c r="H498" s="5" cm="1">
        <f t="array" ref="H498">INDEX('Linha 04'!$C$4:$ZZ$1000,B498,C498)</f>
        <v>0</v>
      </c>
    </row>
    <row r="499" spans="1:8" x14ac:dyDescent="0.25">
      <c r="A499">
        <v>497</v>
      </c>
      <c r="B499">
        <f t="shared" si="14"/>
        <v>18</v>
      </c>
      <c r="C499">
        <f t="shared" si="15"/>
        <v>21</v>
      </c>
      <c r="D499" cm="1">
        <f t="array" ref="D499">INDEX('Linha 04'!$A$4:$A$1000,B499)</f>
        <v>20050026</v>
      </c>
      <c r="E499" t="str" cm="1">
        <f t="array" ref="E499">INDEX('Linha 04'!$B$4:$B$1000,B499)</f>
        <v>Desinfetante Ito Lavanda Cx/12 X 500ml</v>
      </c>
      <c r="F499" cm="1">
        <f t="array" ref="F499">INDEX('Linha 04'!$C$3:$ZZ$3,C499)</f>
        <v>20050149</v>
      </c>
      <c r="G499" t="str" cm="1">
        <f t="array" ref="G499">INDEX('Linha 04'!$C$2:$ZZ$2,C499)</f>
        <v>Desinfetante Aquafast Campos Lavanda Cx/12 X 1l</v>
      </c>
      <c r="H499" s="5" cm="1">
        <f t="array" ref="H499">INDEX('Linha 04'!$C$4:$ZZ$1000,B499,C499)</f>
        <v>0</v>
      </c>
    </row>
    <row r="500" spans="1:8" x14ac:dyDescent="0.25">
      <c r="A500">
        <v>498</v>
      </c>
      <c r="B500">
        <f t="shared" si="14"/>
        <v>18</v>
      </c>
      <c r="C500">
        <f t="shared" si="15"/>
        <v>22</v>
      </c>
      <c r="D500" cm="1">
        <f t="array" ref="D500">INDEX('Linha 04'!$A$4:$A$1000,B500)</f>
        <v>20050026</v>
      </c>
      <c r="E500" t="str" cm="1">
        <f t="array" ref="E500">INDEX('Linha 04'!$B$4:$B$1000,B500)</f>
        <v>Desinfetante Ito Lavanda Cx/12 X 500ml</v>
      </c>
      <c r="F500" cm="1">
        <f t="array" ref="F500">INDEX('Linha 04'!$C$3:$ZZ$3,C500)</f>
        <v>20050150</v>
      </c>
      <c r="G500" t="str" cm="1">
        <f t="array" ref="G500">INDEX('Linha 04'!$C$2:$ZZ$2,C500)</f>
        <v>Desinfetante Aquafast Marine Cx/12 X 1l</v>
      </c>
      <c r="H500" s="5" cm="1">
        <f t="array" ref="H500">INDEX('Linha 04'!$C$4:$ZZ$1000,B500,C500)</f>
        <v>0</v>
      </c>
    </row>
    <row r="501" spans="1:8" x14ac:dyDescent="0.25">
      <c r="A501">
        <v>499</v>
      </c>
      <c r="B501">
        <f t="shared" si="14"/>
        <v>18</v>
      </c>
      <c r="C501">
        <f t="shared" si="15"/>
        <v>23</v>
      </c>
      <c r="D501" cm="1">
        <f t="array" ref="D501">INDEX('Linha 04'!$A$4:$A$1000,B501)</f>
        <v>20050026</v>
      </c>
      <c r="E501" t="str" cm="1">
        <f t="array" ref="E501">INDEX('Linha 04'!$B$4:$B$1000,B501)</f>
        <v>Desinfetante Ito Lavanda Cx/12 X 500ml</v>
      </c>
      <c r="F501" cm="1">
        <f t="array" ref="F501">INDEX('Linha 04'!$C$3:$ZZ$3,C501)</f>
        <v>20050151</v>
      </c>
      <c r="G501" t="str" cm="1">
        <f t="array" ref="G501">INDEX('Linha 04'!$C$2:$ZZ$2,C501)</f>
        <v>Desinfetante Aquafast Paixao Cx/12 X 1l</v>
      </c>
      <c r="H501" s="5" cm="1">
        <f t="array" ref="H501">INDEX('Linha 04'!$C$4:$ZZ$1000,B501,C501)</f>
        <v>0</v>
      </c>
    </row>
    <row r="502" spans="1:8" x14ac:dyDescent="0.25">
      <c r="A502">
        <v>500</v>
      </c>
      <c r="B502">
        <f t="shared" si="14"/>
        <v>18</v>
      </c>
      <c r="C502">
        <f t="shared" si="15"/>
        <v>24</v>
      </c>
      <c r="D502" cm="1">
        <f t="array" ref="D502">INDEX('Linha 04'!$A$4:$A$1000,B502)</f>
        <v>20050026</v>
      </c>
      <c r="E502" t="str" cm="1">
        <f t="array" ref="E502">INDEX('Linha 04'!$B$4:$B$1000,B502)</f>
        <v>Desinfetante Ito Lavanda Cx/12 X 500ml</v>
      </c>
      <c r="F502" cm="1">
        <f t="array" ref="F502">INDEX('Linha 04'!$C$3:$ZZ$3,C502)</f>
        <v>20050152</v>
      </c>
      <c r="G502" t="str" cm="1">
        <f t="array" ref="G502">INDEX('Linha 04'!$C$2:$ZZ$2,C502)</f>
        <v>Desinfetante Aquafast Harmonia Natural Cx/12 X 1l</v>
      </c>
      <c r="H502" s="5" cm="1">
        <f t="array" ref="H502">INDEX('Linha 04'!$C$4:$ZZ$1000,B502,C502)</f>
        <v>0</v>
      </c>
    </row>
    <row r="503" spans="1:8" x14ac:dyDescent="0.25">
      <c r="A503">
        <v>501</v>
      </c>
      <c r="B503">
        <f t="shared" si="14"/>
        <v>18</v>
      </c>
      <c r="C503">
        <f t="shared" si="15"/>
        <v>25</v>
      </c>
      <c r="D503" cm="1">
        <f t="array" ref="D503">INDEX('Linha 04'!$A$4:$A$1000,B503)</f>
        <v>20050026</v>
      </c>
      <c r="E503" t="str" cm="1">
        <f t="array" ref="E503">INDEX('Linha 04'!$B$4:$B$1000,B503)</f>
        <v>Desinfetante Ito Lavanda Cx/12 X 500ml</v>
      </c>
      <c r="F503" cm="1">
        <f t="array" ref="F503">INDEX('Linha 04'!$C$3:$ZZ$3,C503)</f>
        <v>20050153</v>
      </c>
      <c r="G503" t="str" cm="1">
        <f t="array" ref="G503">INDEX('Linha 04'!$C$2:$ZZ$2,C503)</f>
        <v>Desinfetante Ito Harmonia Natural Cx/12 X 500ml</v>
      </c>
      <c r="H503" s="5" cm="1">
        <f t="array" ref="H503">INDEX('Linha 04'!$C$4:$ZZ$1000,B503,C503)</f>
        <v>0</v>
      </c>
    </row>
    <row r="504" spans="1:8" x14ac:dyDescent="0.25">
      <c r="A504">
        <v>502</v>
      </c>
      <c r="B504">
        <f t="shared" si="14"/>
        <v>18</v>
      </c>
      <c r="C504">
        <f t="shared" si="15"/>
        <v>26</v>
      </c>
      <c r="D504" cm="1">
        <f t="array" ref="D504">INDEX('Linha 04'!$A$4:$A$1000,B504)</f>
        <v>20050026</v>
      </c>
      <c r="E504" t="str" cm="1">
        <f t="array" ref="E504">INDEX('Linha 04'!$B$4:$B$1000,B504)</f>
        <v>Desinfetante Ito Lavanda Cx/12 X 500ml</v>
      </c>
      <c r="F504" cm="1">
        <f t="array" ref="F504">INDEX('Linha 04'!$C$3:$ZZ$3,C504)</f>
        <v>20050155</v>
      </c>
      <c r="G504" t="str" cm="1">
        <f t="array" ref="G504">INDEX('Linha 04'!$C$2:$ZZ$2,C504)</f>
        <v>Intermed Pack Desinfetante Paixao Cx/12 X 1l</v>
      </c>
      <c r="H504" s="5" cm="1">
        <f t="array" ref="H504">INDEX('Linha 04'!$C$4:$ZZ$1000,B504,C504)</f>
        <v>0</v>
      </c>
    </row>
    <row r="505" spans="1:8" x14ac:dyDescent="0.25">
      <c r="A505">
        <v>503</v>
      </c>
      <c r="B505">
        <f t="shared" si="14"/>
        <v>18</v>
      </c>
      <c r="C505">
        <f t="shared" si="15"/>
        <v>27</v>
      </c>
      <c r="D505" cm="1">
        <f t="array" ref="D505">INDEX('Linha 04'!$A$4:$A$1000,B505)</f>
        <v>20050026</v>
      </c>
      <c r="E505" t="str" cm="1">
        <f t="array" ref="E505">INDEX('Linha 04'!$B$4:$B$1000,B505)</f>
        <v>Desinfetante Ito Lavanda Cx/12 X 500ml</v>
      </c>
      <c r="F505" cm="1">
        <f t="array" ref="F505">INDEX('Linha 04'!$C$3:$ZZ$3,C505)</f>
        <v>20050156</v>
      </c>
      <c r="G505" t="str" cm="1">
        <f t="array" ref="G505">INDEX('Linha 04'!$C$2:$ZZ$2,C505)</f>
        <v>Intermed Pack Desinfetante Campos Lavanda Cx/12 X 1l</v>
      </c>
      <c r="H505" s="5" cm="1">
        <f t="array" ref="H505">INDEX('Linha 04'!$C$4:$ZZ$1000,B505,C505)</f>
        <v>0</v>
      </c>
    </row>
    <row r="506" spans="1:8" x14ac:dyDescent="0.25">
      <c r="A506">
        <v>504</v>
      </c>
      <c r="B506">
        <f t="shared" si="14"/>
        <v>18</v>
      </c>
      <c r="C506">
        <f t="shared" si="15"/>
        <v>28</v>
      </c>
      <c r="D506" cm="1">
        <f t="array" ref="D506">INDEX('Linha 04'!$A$4:$A$1000,B506)</f>
        <v>20050026</v>
      </c>
      <c r="E506" t="str" cm="1">
        <f t="array" ref="E506">INDEX('Linha 04'!$B$4:$B$1000,B506)</f>
        <v>Desinfetante Ito Lavanda Cx/12 X 500ml</v>
      </c>
      <c r="F506" cm="1">
        <f t="array" ref="F506">INDEX('Linha 04'!$C$3:$ZZ$3,C506)</f>
        <v>20050157</v>
      </c>
      <c r="G506" t="str" cm="1">
        <f t="array" ref="G506">INDEX('Linha 04'!$C$2:$ZZ$2,C506)</f>
        <v>Intermed Pack Desinfetante Marine Cx/12 X 1l</v>
      </c>
      <c r="H506" s="5" cm="1">
        <f t="array" ref="H506">INDEX('Linha 04'!$C$4:$ZZ$1000,B506,C506)</f>
        <v>0</v>
      </c>
    </row>
    <row r="507" spans="1:8" x14ac:dyDescent="0.25">
      <c r="A507">
        <v>505</v>
      </c>
      <c r="B507">
        <f t="shared" si="14"/>
        <v>19</v>
      </c>
      <c r="C507">
        <f t="shared" si="15"/>
        <v>1</v>
      </c>
      <c r="D507" cm="1">
        <f t="array" ref="D507">INDEX('Linha 04'!$A$4:$A$1000,B507)</f>
        <v>20050119</v>
      </c>
      <c r="E507" t="str" cm="1">
        <f t="array" ref="E507">INDEX('Linha 04'!$B$4:$B$1000,B507)</f>
        <v>Desinfetante Aquafast Paixao Cx/12 X 500ml</v>
      </c>
      <c r="F507" cm="1">
        <f t="array" ref="F507">INDEX('Linha 04'!$C$3:$ZZ$3,C507)</f>
        <v>20030001</v>
      </c>
      <c r="G507" t="str" cm="1">
        <f t="array" ref="G507">INDEX('Linha 04'!$C$2:$ZZ$2,C507)</f>
        <v>Detergente Aquafast Maca Cx/24 X 500ml</v>
      </c>
      <c r="H507" s="5" cm="1">
        <f t="array" ref="H507">INDEX('Linha 04'!$C$4:$ZZ$1000,B507,C507)</f>
        <v>0</v>
      </c>
    </row>
    <row r="508" spans="1:8" x14ac:dyDescent="0.25">
      <c r="A508">
        <v>506</v>
      </c>
      <c r="B508">
        <f t="shared" si="14"/>
        <v>19</v>
      </c>
      <c r="C508">
        <f t="shared" si="15"/>
        <v>2</v>
      </c>
      <c r="D508" cm="1">
        <f t="array" ref="D508">INDEX('Linha 04'!$A$4:$A$1000,B508)</f>
        <v>20050119</v>
      </c>
      <c r="E508" t="str" cm="1">
        <f t="array" ref="E508">INDEX('Linha 04'!$B$4:$B$1000,B508)</f>
        <v>Desinfetante Aquafast Paixao Cx/12 X 500ml</v>
      </c>
      <c r="F508" cm="1">
        <f t="array" ref="F508">INDEX('Linha 04'!$C$3:$ZZ$3,C508)</f>
        <v>20030002</v>
      </c>
      <c r="G508" t="str" cm="1">
        <f t="array" ref="G508">INDEX('Linha 04'!$C$2:$ZZ$2,C508)</f>
        <v>Detergente Aquafast Limao Cx/24 X 500ml</v>
      </c>
      <c r="H508" s="5" cm="1">
        <f t="array" ref="H508">INDEX('Linha 04'!$C$4:$ZZ$1000,B508,C508)</f>
        <v>0</v>
      </c>
    </row>
    <row r="509" spans="1:8" x14ac:dyDescent="0.25">
      <c r="A509">
        <v>507</v>
      </c>
      <c r="B509">
        <f t="shared" si="14"/>
        <v>19</v>
      </c>
      <c r="C509">
        <f t="shared" si="15"/>
        <v>3</v>
      </c>
      <c r="D509" cm="1">
        <f t="array" ref="D509">INDEX('Linha 04'!$A$4:$A$1000,B509)</f>
        <v>20050119</v>
      </c>
      <c r="E509" t="str" cm="1">
        <f t="array" ref="E509">INDEX('Linha 04'!$B$4:$B$1000,B509)</f>
        <v>Desinfetante Aquafast Paixao Cx/12 X 500ml</v>
      </c>
      <c r="F509" cm="1">
        <f t="array" ref="F509">INDEX('Linha 04'!$C$3:$ZZ$3,C509)</f>
        <v>20030003</v>
      </c>
      <c r="G509" t="str" cm="1">
        <f t="array" ref="G509">INDEX('Linha 04'!$C$2:$ZZ$2,C509)</f>
        <v>Detergente Aquafast Neutro Cx/24 X 500ml</v>
      </c>
      <c r="H509" s="5" cm="1">
        <f t="array" ref="H509">INDEX('Linha 04'!$C$4:$ZZ$1000,B509,C509)</f>
        <v>0</v>
      </c>
    </row>
    <row r="510" spans="1:8" x14ac:dyDescent="0.25">
      <c r="A510">
        <v>508</v>
      </c>
      <c r="B510">
        <f t="shared" si="14"/>
        <v>19</v>
      </c>
      <c r="C510">
        <f t="shared" si="15"/>
        <v>4</v>
      </c>
      <c r="D510" cm="1">
        <f t="array" ref="D510">INDEX('Linha 04'!$A$4:$A$1000,B510)</f>
        <v>20050119</v>
      </c>
      <c r="E510" t="str" cm="1">
        <f t="array" ref="E510">INDEX('Linha 04'!$B$4:$B$1000,B510)</f>
        <v>Desinfetante Aquafast Paixao Cx/12 X 500ml</v>
      </c>
      <c r="F510" cm="1">
        <f t="array" ref="F510">INDEX('Linha 04'!$C$3:$ZZ$3,C510)</f>
        <v>20030004</v>
      </c>
      <c r="G510" t="str" cm="1">
        <f t="array" ref="G510">INDEX('Linha 04'!$C$2:$ZZ$2,C510)</f>
        <v>Detergente Aquafast Clear Cx/24 X 500ml (Natural)</v>
      </c>
      <c r="H510" s="5" cm="1">
        <f t="array" ref="H510">INDEX('Linha 04'!$C$4:$ZZ$1000,B510,C510)</f>
        <v>0</v>
      </c>
    </row>
    <row r="511" spans="1:8" x14ac:dyDescent="0.25">
      <c r="A511">
        <v>509</v>
      </c>
      <c r="B511">
        <f t="shared" si="14"/>
        <v>19</v>
      </c>
      <c r="C511">
        <f t="shared" si="15"/>
        <v>5</v>
      </c>
      <c r="D511" cm="1">
        <f t="array" ref="D511">INDEX('Linha 04'!$A$4:$A$1000,B511)</f>
        <v>20050119</v>
      </c>
      <c r="E511" t="str" cm="1">
        <f t="array" ref="E511">INDEX('Linha 04'!$B$4:$B$1000,B511)</f>
        <v>Desinfetante Aquafast Paixao Cx/12 X 500ml</v>
      </c>
      <c r="F511" cm="1">
        <f t="array" ref="F511">INDEX('Linha 04'!$C$3:$ZZ$3,C511)</f>
        <v>20030011</v>
      </c>
      <c r="G511" t="str" cm="1">
        <f t="array" ref="G511">INDEX('Linha 04'!$C$2:$ZZ$2,C511)</f>
        <v>Detergente Aquafast Maca Cx/12 X 1l</v>
      </c>
      <c r="H511" s="5" cm="1">
        <f t="array" ref="H511">INDEX('Linha 04'!$C$4:$ZZ$1000,B511,C511)</f>
        <v>0</v>
      </c>
    </row>
    <row r="512" spans="1:8" x14ac:dyDescent="0.25">
      <c r="A512">
        <v>510</v>
      </c>
      <c r="B512">
        <f t="shared" si="14"/>
        <v>19</v>
      </c>
      <c r="C512">
        <f t="shared" si="15"/>
        <v>6</v>
      </c>
      <c r="D512" cm="1">
        <f t="array" ref="D512">INDEX('Linha 04'!$A$4:$A$1000,B512)</f>
        <v>20050119</v>
      </c>
      <c r="E512" t="str" cm="1">
        <f t="array" ref="E512">INDEX('Linha 04'!$B$4:$B$1000,B512)</f>
        <v>Desinfetante Aquafast Paixao Cx/12 X 500ml</v>
      </c>
      <c r="F512" cm="1">
        <f t="array" ref="F512">INDEX('Linha 04'!$C$3:$ZZ$3,C512)</f>
        <v>20030012</v>
      </c>
      <c r="G512" t="str" cm="1">
        <f t="array" ref="G512">INDEX('Linha 04'!$C$2:$ZZ$2,C512)</f>
        <v>Detergente Aquafast Limao Cx/12 X 1l</v>
      </c>
      <c r="H512" s="5" cm="1">
        <f t="array" ref="H512">INDEX('Linha 04'!$C$4:$ZZ$1000,B512,C512)</f>
        <v>0</v>
      </c>
    </row>
    <row r="513" spans="1:8" x14ac:dyDescent="0.25">
      <c r="A513">
        <v>511</v>
      </c>
      <c r="B513">
        <f t="shared" si="14"/>
        <v>19</v>
      </c>
      <c r="C513">
        <f t="shared" si="15"/>
        <v>7</v>
      </c>
      <c r="D513" cm="1">
        <f t="array" ref="D513">INDEX('Linha 04'!$A$4:$A$1000,B513)</f>
        <v>20050119</v>
      </c>
      <c r="E513" t="str" cm="1">
        <f t="array" ref="E513">INDEX('Linha 04'!$B$4:$B$1000,B513)</f>
        <v>Desinfetante Aquafast Paixao Cx/12 X 500ml</v>
      </c>
      <c r="F513" cm="1">
        <f t="array" ref="F513">INDEX('Linha 04'!$C$3:$ZZ$3,C513)</f>
        <v>20030013</v>
      </c>
      <c r="G513" t="str" cm="1">
        <f t="array" ref="G513">INDEX('Linha 04'!$C$2:$ZZ$2,C513)</f>
        <v>Detergente Aquafast Neutro Cx/12 X 1l</v>
      </c>
      <c r="H513" s="5" cm="1">
        <f t="array" ref="H513">INDEX('Linha 04'!$C$4:$ZZ$1000,B513,C513)</f>
        <v>0</v>
      </c>
    </row>
    <row r="514" spans="1:8" x14ac:dyDescent="0.25">
      <c r="A514">
        <v>512</v>
      </c>
      <c r="B514">
        <f t="shared" si="14"/>
        <v>19</v>
      </c>
      <c r="C514">
        <f t="shared" si="15"/>
        <v>8</v>
      </c>
      <c r="D514" cm="1">
        <f t="array" ref="D514">INDEX('Linha 04'!$A$4:$A$1000,B514)</f>
        <v>20050119</v>
      </c>
      <c r="E514" t="str" cm="1">
        <f t="array" ref="E514">INDEX('Linha 04'!$B$4:$B$1000,B514)</f>
        <v>Desinfetante Aquafast Paixao Cx/12 X 500ml</v>
      </c>
      <c r="F514" cm="1">
        <f t="array" ref="F514">INDEX('Linha 04'!$C$3:$ZZ$3,C514)</f>
        <v>20030014</v>
      </c>
      <c r="G514" t="str" cm="1">
        <f t="array" ref="G514">INDEX('Linha 04'!$C$2:$ZZ$2,C514)</f>
        <v>Detergente Aquafast Clear Cx/12 X 1l (Natural)</v>
      </c>
      <c r="H514" s="5" cm="1">
        <f t="array" ref="H514">INDEX('Linha 04'!$C$4:$ZZ$1000,B514,C514)</f>
        <v>0</v>
      </c>
    </row>
    <row r="515" spans="1:8" x14ac:dyDescent="0.25">
      <c r="A515">
        <v>513</v>
      </c>
      <c r="B515">
        <f t="shared" si="14"/>
        <v>19</v>
      </c>
      <c r="C515">
        <f t="shared" si="15"/>
        <v>9</v>
      </c>
      <c r="D515" cm="1">
        <f t="array" ref="D515">INDEX('Linha 04'!$A$4:$A$1000,B515)</f>
        <v>20050119</v>
      </c>
      <c r="E515" t="str" cm="1">
        <f t="array" ref="E515">INDEX('Linha 04'!$B$4:$B$1000,B515)</f>
        <v>Desinfetante Aquafast Paixao Cx/12 X 500ml</v>
      </c>
      <c r="F515" cm="1">
        <f t="array" ref="F515">INDEX('Linha 04'!$C$3:$ZZ$3,C515)</f>
        <v>20030020</v>
      </c>
      <c r="G515" t="str" cm="1">
        <f t="array" ref="G515">INDEX('Linha 04'!$C$2:$ZZ$2,C515)</f>
        <v>Detergente Ito Maca Cx/24 X 500ml</v>
      </c>
      <c r="H515" s="5" cm="1">
        <f t="array" ref="H515">INDEX('Linha 04'!$C$4:$ZZ$1000,B515,C515)</f>
        <v>0</v>
      </c>
    </row>
    <row r="516" spans="1:8" x14ac:dyDescent="0.25">
      <c r="A516">
        <v>514</v>
      </c>
      <c r="B516">
        <f t="shared" ref="B516:B579" si="16">INT((A516-1)/$B$1)+1</f>
        <v>19</v>
      </c>
      <c r="C516">
        <f t="shared" ref="C516:C579" si="17">MOD(A516-1,$B$1)+1</f>
        <v>10</v>
      </c>
      <c r="D516" cm="1">
        <f t="array" ref="D516">INDEX('Linha 04'!$A$4:$A$1000,B516)</f>
        <v>20050119</v>
      </c>
      <c r="E516" t="str" cm="1">
        <f t="array" ref="E516">INDEX('Linha 04'!$B$4:$B$1000,B516)</f>
        <v>Desinfetante Aquafast Paixao Cx/12 X 500ml</v>
      </c>
      <c r="F516" cm="1">
        <f t="array" ref="F516">INDEX('Linha 04'!$C$3:$ZZ$3,C516)</f>
        <v>20030021</v>
      </c>
      <c r="G516" t="str" cm="1">
        <f t="array" ref="G516">INDEX('Linha 04'!$C$2:$ZZ$2,C516)</f>
        <v>Detergente Ito Limao Cx/24 X 500ml</v>
      </c>
      <c r="H516" s="5" cm="1">
        <f t="array" ref="H516">INDEX('Linha 04'!$C$4:$ZZ$1000,B516,C516)</f>
        <v>0</v>
      </c>
    </row>
    <row r="517" spans="1:8" x14ac:dyDescent="0.25">
      <c r="A517">
        <v>515</v>
      </c>
      <c r="B517">
        <f t="shared" si="16"/>
        <v>19</v>
      </c>
      <c r="C517">
        <f t="shared" si="17"/>
        <v>11</v>
      </c>
      <c r="D517" cm="1">
        <f t="array" ref="D517">INDEX('Linha 04'!$A$4:$A$1000,B517)</f>
        <v>20050119</v>
      </c>
      <c r="E517" t="str" cm="1">
        <f t="array" ref="E517">INDEX('Linha 04'!$B$4:$B$1000,B517)</f>
        <v>Desinfetante Aquafast Paixao Cx/12 X 500ml</v>
      </c>
      <c r="F517" cm="1">
        <f t="array" ref="F517">INDEX('Linha 04'!$C$3:$ZZ$3,C517)</f>
        <v>20030022</v>
      </c>
      <c r="G517" t="str" cm="1">
        <f t="array" ref="G517">INDEX('Linha 04'!$C$2:$ZZ$2,C517)</f>
        <v>Detergente Ito Neutro Cx/24 X 500ml</v>
      </c>
      <c r="H517" s="5" cm="1">
        <f t="array" ref="H517">INDEX('Linha 04'!$C$4:$ZZ$1000,B517,C517)</f>
        <v>0</v>
      </c>
    </row>
    <row r="518" spans="1:8" x14ac:dyDescent="0.25">
      <c r="A518">
        <v>516</v>
      </c>
      <c r="B518">
        <f t="shared" si="16"/>
        <v>19</v>
      </c>
      <c r="C518">
        <f t="shared" si="17"/>
        <v>12</v>
      </c>
      <c r="D518" cm="1">
        <f t="array" ref="D518">INDEX('Linha 04'!$A$4:$A$1000,B518)</f>
        <v>20050119</v>
      </c>
      <c r="E518" t="str" cm="1">
        <f t="array" ref="E518">INDEX('Linha 04'!$B$4:$B$1000,B518)</f>
        <v>Desinfetante Aquafast Paixao Cx/12 X 500ml</v>
      </c>
      <c r="F518" cm="1">
        <f t="array" ref="F518">INDEX('Linha 04'!$C$3:$ZZ$3,C518)</f>
        <v>20030023</v>
      </c>
      <c r="G518" t="str" cm="1">
        <f t="array" ref="G518">INDEX('Linha 04'!$C$2:$ZZ$2,C518)</f>
        <v>Detergente Ito Clear Cx/24 X 500ml</v>
      </c>
      <c r="H518" s="5" cm="1">
        <f t="array" ref="H518">INDEX('Linha 04'!$C$4:$ZZ$1000,B518,C518)</f>
        <v>0</v>
      </c>
    </row>
    <row r="519" spans="1:8" x14ac:dyDescent="0.25">
      <c r="A519">
        <v>517</v>
      </c>
      <c r="B519">
        <f t="shared" si="16"/>
        <v>19</v>
      </c>
      <c r="C519">
        <f t="shared" si="17"/>
        <v>13</v>
      </c>
      <c r="D519" cm="1">
        <f t="array" ref="D519">INDEX('Linha 04'!$A$4:$A$1000,B519)</f>
        <v>20050119</v>
      </c>
      <c r="E519" t="str" cm="1">
        <f t="array" ref="E519">INDEX('Linha 04'!$B$4:$B$1000,B519)</f>
        <v>Desinfetante Aquafast Paixao Cx/12 X 500ml</v>
      </c>
      <c r="F519" cm="1">
        <f t="array" ref="F519">INDEX('Linha 04'!$C$3:$ZZ$3,C519)</f>
        <v>20030038</v>
      </c>
      <c r="G519" t="str" cm="1">
        <f t="array" ref="G519">INDEX('Linha 04'!$C$2:$ZZ$2,C519)</f>
        <v>Detergente Myata Maca Cx/24 X 500ml</v>
      </c>
      <c r="H519" s="5" cm="1">
        <f t="array" ref="H519">INDEX('Linha 04'!$C$4:$ZZ$1000,B519,C519)</f>
        <v>0</v>
      </c>
    </row>
    <row r="520" spans="1:8" x14ac:dyDescent="0.25">
      <c r="A520">
        <v>518</v>
      </c>
      <c r="B520">
        <f t="shared" si="16"/>
        <v>19</v>
      </c>
      <c r="C520">
        <f t="shared" si="17"/>
        <v>14</v>
      </c>
      <c r="D520" cm="1">
        <f t="array" ref="D520">INDEX('Linha 04'!$A$4:$A$1000,B520)</f>
        <v>20050119</v>
      </c>
      <c r="E520" t="str" cm="1">
        <f t="array" ref="E520">INDEX('Linha 04'!$B$4:$B$1000,B520)</f>
        <v>Desinfetante Aquafast Paixao Cx/12 X 500ml</v>
      </c>
      <c r="F520" cm="1">
        <f t="array" ref="F520">INDEX('Linha 04'!$C$3:$ZZ$3,C520)</f>
        <v>20030039</v>
      </c>
      <c r="G520" t="str" cm="1">
        <f t="array" ref="G520">INDEX('Linha 04'!$C$2:$ZZ$2,C520)</f>
        <v>Detergente Myata Limao Cx/24 X 500ml</v>
      </c>
      <c r="H520" s="5" cm="1">
        <f t="array" ref="H520">INDEX('Linha 04'!$C$4:$ZZ$1000,B520,C520)</f>
        <v>0</v>
      </c>
    </row>
    <row r="521" spans="1:8" x14ac:dyDescent="0.25">
      <c r="A521">
        <v>519</v>
      </c>
      <c r="B521">
        <f t="shared" si="16"/>
        <v>19</v>
      </c>
      <c r="C521">
        <f t="shared" si="17"/>
        <v>15</v>
      </c>
      <c r="D521" cm="1">
        <f t="array" ref="D521">INDEX('Linha 04'!$A$4:$A$1000,B521)</f>
        <v>20050119</v>
      </c>
      <c r="E521" t="str" cm="1">
        <f t="array" ref="E521">INDEX('Linha 04'!$B$4:$B$1000,B521)</f>
        <v>Desinfetante Aquafast Paixao Cx/12 X 500ml</v>
      </c>
      <c r="F521" cm="1">
        <f t="array" ref="F521">INDEX('Linha 04'!$C$3:$ZZ$3,C521)</f>
        <v>20030040</v>
      </c>
      <c r="G521" t="str" cm="1">
        <f t="array" ref="G521">INDEX('Linha 04'!$C$2:$ZZ$2,C521)</f>
        <v>Detergente Myata Neutro Cx/24 X 500ml</v>
      </c>
      <c r="H521" s="5" cm="1">
        <f t="array" ref="H521">INDEX('Linha 04'!$C$4:$ZZ$1000,B521,C521)</f>
        <v>0</v>
      </c>
    </row>
    <row r="522" spans="1:8" x14ac:dyDescent="0.25">
      <c r="A522">
        <v>520</v>
      </c>
      <c r="B522">
        <f t="shared" si="16"/>
        <v>19</v>
      </c>
      <c r="C522">
        <f t="shared" si="17"/>
        <v>16</v>
      </c>
      <c r="D522" cm="1">
        <f t="array" ref="D522">INDEX('Linha 04'!$A$4:$A$1000,B522)</f>
        <v>20050119</v>
      </c>
      <c r="E522" t="str" cm="1">
        <f t="array" ref="E522">INDEX('Linha 04'!$B$4:$B$1000,B522)</f>
        <v>Desinfetante Aquafast Paixao Cx/12 X 500ml</v>
      </c>
      <c r="F522" cm="1">
        <f t="array" ref="F522">INDEX('Linha 04'!$C$3:$ZZ$3,C522)</f>
        <v>20030067</v>
      </c>
      <c r="G522" t="str" cm="1">
        <f t="array" ref="G522">INDEX('Linha 04'!$C$2:$ZZ$2,C522)</f>
        <v>Detergente Aquafast Coco Cx/24 X 500ml</v>
      </c>
      <c r="H522" s="5" cm="1">
        <f t="array" ref="H522">INDEX('Linha 04'!$C$4:$ZZ$1000,B522,C522)</f>
        <v>0</v>
      </c>
    </row>
    <row r="523" spans="1:8" x14ac:dyDescent="0.25">
      <c r="A523">
        <v>521</v>
      </c>
      <c r="B523">
        <f t="shared" si="16"/>
        <v>19</v>
      </c>
      <c r="C523">
        <f t="shared" si="17"/>
        <v>17</v>
      </c>
      <c r="D523" cm="1">
        <f t="array" ref="D523">INDEX('Linha 04'!$A$4:$A$1000,B523)</f>
        <v>20050119</v>
      </c>
      <c r="E523" t="str" cm="1">
        <f t="array" ref="E523">INDEX('Linha 04'!$B$4:$B$1000,B523)</f>
        <v>Desinfetante Aquafast Paixao Cx/12 X 500ml</v>
      </c>
      <c r="F523" cm="1">
        <f t="array" ref="F523">INDEX('Linha 04'!$C$3:$ZZ$3,C523)</f>
        <v>20050001</v>
      </c>
      <c r="G523" t="str" cm="1">
        <f t="array" ref="G523">INDEX('Linha 04'!$C$2:$ZZ$2,C523)</f>
        <v>Desinfetante Aquafast Campos Lavanda Cx/12 X 500ml</v>
      </c>
      <c r="H523" s="5" cm="1">
        <f t="array" ref="H523">INDEX('Linha 04'!$C$4:$ZZ$1000,B523,C523)</f>
        <v>0</v>
      </c>
    </row>
    <row r="524" spans="1:8" x14ac:dyDescent="0.25">
      <c r="A524">
        <v>522</v>
      </c>
      <c r="B524">
        <f t="shared" si="16"/>
        <v>19</v>
      </c>
      <c r="C524">
        <f t="shared" si="17"/>
        <v>18</v>
      </c>
      <c r="D524" cm="1">
        <f t="array" ref="D524">INDEX('Linha 04'!$A$4:$A$1000,B524)</f>
        <v>20050119</v>
      </c>
      <c r="E524" t="str" cm="1">
        <f t="array" ref="E524">INDEX('Linha 04'!$B$4:$B$1000,B524)</f>
        <v>Desinfetante Aquafast Paixao Cx/12 X 500ml</v>
      </c>
      <c r="F524" cm="1">
        <f t="array" ref="F524">INDEX('Linha 04'!$C$3:$ZZ$3,C524)</f>
        <v>20050026</v>
      </c>
      <c r="G524" t="str" cm="1">
        <f t="array" ref="G524">INDEX('Linha 04'!$C$2:$ZZ$2,C524)</f>
        <v>Desinfetante Ito Lavanda Cx/12 X 500ml</v>
      </c>
      <c r="H524" s="5" cm="1">
        <f t="array" ref="H524">INDEX('Linha 04'!$C$4:$ZZ$1000,B524,C524)</f>
        <v>0</v>
      </c>
    </row>
    <row r="525" spans="1:8" x14ac:dyDescent="0.25">
      <c r="A525">
        <v>523</v>
      </c>
      <c r="B525">
        <f t="shared" si="16"/>
        <v>19</v>
      </c>
      <c r="C525">
        <f t="shared" si="17"/>
        <v>19</v>
      </c>
      <c r="D525" cm="1">
        <f t="array" ref="D525">INDEX('Linha 04'!$A$4:$A$1000,B525)</f>
        <v>20050119</v>
      </c>
      <c r="E525" t="str" cm="1">
        <f t="array" ref="E525">INDEX('Linha 04'!$B$4:$B$1000,B525)</f>
        <v>Desinfetante Aquafast Paixao Cx/12 X 500ml</v>
      </c>
      <c r="F525" cm="1">
        <f t="array" ref="F525">INDEX('Linha 04'!$C$3:$ZZ$3,C525)</f>
        <v>20050119</v>
      </c>
      <c r="G525" t="str" cm="1">
        <f t="array" ref="G525">INDEX('Linha 04'!$C$2:$ZZ$2,C525)</f>
        <v>Desinfetante Aquafast Paixao Cx/12 X 500ml</v>
      </c>
      <c r="H525" s="5" cm="1">
        <f t="array" ref="H525">INDEX('Linha 04'!$C$4:$ZZ$1000,B525,C525)</f>
        <v>0</v>
      </c>
    </row>
    <row r="526" spans="1:8" x14ac:dyDescent="0.25">
      <c r="A526">
        <v>524</v>
      </c>
      <c r="B526">
        <f t="shared" si="16"/>
        <v>19</v>
      </c>
      <c r="C526">
        <f t="shared" si="17"/>
        <v>20</v>
      </c>
      <c r="D526" cm="1">
        <f t="array" ref="D526">INDEX('Linha 04'!$A$4:$A$1000,B526)</f>
        <v>20050119</v>
      </c>
      <c r="E526" t="str" cm="1">
        <f t="array" ref="E526">INDEX('Linha 04'!$B$4:$B$1000,B526)</f>
        <v>Desinfetante Aquafast Paixao Cx/12 X 500ml</v>
      </c>
      <c r="F526" cm="1">
        <f t="array" ref="F526">INDEX('Linha 04'!$C$3:$ZZ$3,C526)</f>
        <v>20050145</v>
      </c>
      <c r="G526" t="str" cm="1">
        <f t="array" ref="G526">INDEX('Linha 04'!$C$2:$ZZ$2,C526)</f>
        <v>Desinfetante Aquafast Harmonia Natural Cx/12 X 500ml</v>
      </c>
      <c r="H526" s="5" cm="1">
        <f t="array" ref="H526">INDEX('Linha 04'!$C$4:$ZZ$1000,B526,C526)</f>
        <v>0</v>
      </c>
    </row>
    <row r="527" spans="1:8" x14ac:dyDescent="0.25">
      <c r="A527">
        <v>525</v>
      </c>
      <c r="B527">
        <f t="shared" si="16"/>
        <v>19</v>
      </c>
      <c r="C527">
        <f t="shared" si="17"/>
        <v>21</v>
      </c>
      <c r="D527" cm="1">
        <f t="array" ref="D527">INDEX('Linha 04'!$A$4:$A$1000,B527)</f>
        <v>20050119</v>
      </c>
      <c r="E527" t="str" cm="1">
        <f t="array" ref="E527">INDEX('Linha 04'!$B$4:$B$1000,B527)</f>
        <v>Desinfetante Aquafast Paixao Cx/12 X 500ml</v>
      </c>
      <c r="F527" cm="1">
        <f t="array" ref="F527">INDEX('Linha 04'!$C$3:$ZZ$3,C527)</f>
        <v>20050149</v>
      </c>
      <c r="G527" t="str" cm="1">
        <f t="array" ref="G527">INDEX('Linha 04'!$C$2:$ZZ$2,C527)</f>
        <v>Desinfetante Aquafast Campos Lavanda Cx/12 X 1l</v>
      </c>
      <c r="H527" s="5" cm="1">
        <f t="array" ref="H527">INDEX('Linha 04'!$C$4:$ZZ$1000,B527,C527)</f>
        <v>0</v>
      </c>
    </row>
    <row r="528" spans="1:8" x14ac:dyDescent="0.25">
      <c r="A528">
        <v>526</v>
      </c>
      <c r="B528">
        <f t="shared" si="16"/>
        <v>19</v>
      </c>
      <c r="C528">
        <f t="shared" si="17"/>
        <v>22</v>
      </c>
      <c r="D528" cm="1">
        <f t="array" ref="D528">INDEX('Linha 04'!$A$4:$A$1000,B528)</f>
        <v>20050119</v>
      </c>
      <c r="E528" t="str" cm="1">
        <f t="array" ref="E528">INDEX('Linha 04'!$B$4:$B$1000,B528)</f>
        <v>Desinfetante Aquafast Paixao Cx/12 X 500ml</v>
      </c>
      <c r="F528" cm="1">
        <f t="array" ref="F528">INDEX('Linha 04'!$C$3:$ZZ$3,C528)</f>
        <v>20050150</v>
      </c>
      <c r="G528" t="str" cm="1">
        <f t="array" ref="G528">INDEX('Linha 04'!$C$2:$ZZ$2,C528)</f>
        <v>Desinfetante Aquafast Marine Cx/12 X 1l</v>
      </c>
      <c r="H528" s="5" cm="1">
        <f t="array" ref="H528">INDEX('Linha 04'!$C$4:$ZZ$1000,B528,C528)</f>
        <v>0</v>
      </c>
    </row>
    <row r="529" spans="1:8" x14ac:dyDescent="0.25">
      <c r="A529">
        <v>527</v>
      </c>
      <c r="B529">
        <f t="shared" si="16"/>
        <v>19</v>
      </c>
      <c r="C529">
        <f t="shared" si="17"/>
        <v>23</v>
      </c>
      <c r="D529" cm="1">
        <f t="array" ref="D529">INDEX('Linha 04'!$A$4:$A$1000,B529)</f>
        <v>20050119</v>
      </c>
      <c r="E529" t="str" cm="1">
        <f t="array" ref="E529">INDEX('Linha 04'!$B$4:$B$1000,B529)</f>
        <v>Desinfetante Aquafast Paixao Cx/12 X 500ml</v>
      </c>
      <c r="F529" cm="1">
        <f t="array" ref="F529">INDEX('Linha 04'!$C$3:$ZZ$3,C529)</f>
        <v>20050151</v>
      </c>
      <c r="G529" t="str" cm="1">
        <f t="array" ref="G529">INDEX('Linha 04'!$C$2:$ZZ$2,C529)</f>
        <v>Desinfetante Aquafast Paixao Cx/12 X 1l</v>
      </c>
      <c r="H529" s="5" cm="1">
        <f t="array" ref="H529">INDEX('Linha 04'!$C$4:$ZZ$1000,B529,C529)</f>
        <v>0</v>
      </c>
    </row>
    <row r="530" spans="1:8" x14ac:dyDescent="0.25">
      <c r="A530">
        <v>528</v>
      </c>
      <c r="B530">
        <f t="shared" si="16"/>
        <v>19</v>
      </c>
      <c r="C530">
        <f t="shared" si="17"/>
        <v>24</v>
      </c>
      <c r="D530" cm="1">
        <f t="array" ref="D530">INDEX('Linha 04'!$A$4:$A$1000,B530)</f>
        <v>20050119</v>
      </c>
      <c r="E530" t="str" cm="1">
        <f t="array" ref="E530">INDEX('Linha 04'!$B$4:$B$1000,B530)</f>
        <v>Desinfetante Aquafast Paixao Cx/12 X 500ml</v>
      </c>
      <c r="F530" cm="1">
        <f t="array" ref="F530">INDEX('Linha 04'!$C$3:$ZZ$3,C530)</f>
        <v>20050152</v>
      </c>
      <c r="G530" t="str" cm="1">
        <f t="array" ref="G530">INDEX('Linha 04'!$C$2:$ZZ$2,C530)</f>
        <v>Desinfetante Aquafast Harmonia Natural Cx/12 X 1l</v>
      </c>
      <c r="H530" s="5" cm="1">
        <f t="array" ref="H530">INDEX('Linha 04'!$C$4:$ZZ$1000,B530,C530)</f>
        <v>0</v>
      </c>
    </row>
    <row r="531" spans="1:8" x14ac:dyDescent="0.25">
      <c r="A531">
        <v>529</v>
      </c>
      <c r="B531">
        <f t="shared" si="16"/>
        <v>19</v>
      </c>
      <c r="C531">
        <f t="shared" si="17"/>
        <v>25</v>
      </c>
      <c r="D531" cm="1">
        <f t="array" ref="D531">INDEX('Linha 04'!$A$4:$A$1000,B531)</f>
        <v>20050119</v>
      </c>
      <c r="E531" t="str" cm="1">
        <f t="array" ref="E531">INDEX('Linha 04'!$B$4:$B$1000,B531)</f>
        <v>Desinfetante Aquafast Paixao Cx/12 X 500ml</v>
      </c>
      <c r="F531" cm="1">
        <f t="array" ref="F531">INDEX('Linha 04'!$C$3:$ZZ$3,C531)</f>
        <v>20050153</v>
      </c>
      <c r="G531" t="str" cm="1">
        <f t="array" ref="G531">INDEX('Linha 04'!$C$2:$ZZ$2,C531)</f>
        <v>Desinfetante Ito Harmonia Natural Cx/12 X 500ml</v>
      </c>
      <c r="H531" s="5" cm="1">
        <f t="array" ref="H531">INDEX('Linha 04'!$C$4:$ZZ$1000,B531,C531)</f>
        <v>0</v>
      </c>
    </row>
    <row r="532" spans="1:8" x14ac:dyDescent="0.25">
      <c r="A532">
        <v>530</v>
      </c>
      <c r="B532">
        <f t="shared" si="16"/>
        <v>19</v>
      </c>
      <c r="C532">
        <f t="shared" si="17"/>
        <v>26</v>
      </c>
      <c r="D532" cm="1">
        <f t="array" ref="D532">INDEX('Linha 04'!$A$4:$A$1000,B532)</f>
        <v>20050119</v>
      </c>
      <c r="E532" t="str" cm="1">
        <f t="array" ref="E532">INDEX('Linha 04'!$B$4:$B$1000,B532)</f>
        <v>Desinfetante Aquafast Paixao Cx/12 X 500ml</v>
      </c>
      <c r="F532" cm="1">
        <f t="array" ref="F532">INDEX('Linha 04'!$C$3:$ZZ$3,C532)</f>
        <v>20050155</v>
      </c>
      <c r="G532" t="str" cm="1">
        <f t="array" ref="G532">INDEX('Linha 04'!$C$2:$ZZ$2,C532)</f>
        <v>Intermed Pack Desinfetante Paixao Cx/12 X 1l</v>
      </c>
      <c r="H532" s="5" cm="1">
        <f t="array" ref="H532">INDEX('Linha 04'!$C$4:$ZZ$1000,B532,C532)</f>
        <v>0</v>
      </c>
    </row>
    <row r="533" spans="1:8" x14ac:dyDescent="0.25">
      <c r="A533">
        <v>531</v>
      </c>
      <c r="B533">
        <f t="shared" si="16"/>
        <v>19</v>
      </c>
      <c r="C533">
        <f t="shared" si="17"/>
        <v>27</v>
      </c>
      <c r="D533" cm="1">
        <f t="array" ref="D533">INDEX('Linha 04'!$A$4:$A$1000,B533)</f>
        <v>20050119</v>
      </c>
      <c r="E533" t="str" cm="1">
        <f t="array" ref="E533">INDEX('Linha 04'!$B$4:$B$1000,B533)</f>
        <v>Desinfetante Aquafast Paixao Cx/12 X 500ml</v>
      </c>
      <c r="F533" cm="1">
        <f t="array" ref="F533">INDEX('Linha 04'!$C$3:$ZZ$3,C533)</f>
        <v>20050156</v>
      </c>
      <c r="G533" t="str" cm="1">
        <f t="array" ref="G533">INDEX('Linha 04'!$C$2:$ZZ$2,C533)</f>
        <v>Intermed Pack Desinfetante Campos Lavanda Cx/12 X 1l</v>
      </c>
      <c r="H533" s="5" cm="1">
        <f t="array" ref="H533">INDEX('Linha 04'!$C$4:$ZZ$1000,B533,C533)</f>
        <v>0</v>
      </c>
    </row>
    <row r="534" spans="1:8" x14ac:dyDescent="0.25">
      <c r="A534">
        <v>532</v>
      </c>
      <c r="B534">
        <f t="shared" si="16"/>
        <v>19</v>
      </c>
      <c r="C534">
        <f t="shared" si="17"/>
        <v>28</v>
      </c>
      <c r="D534" cm="1">
        <f t="array" ref="D534">INDEX('Linha 04'!$A$4:$A$1000,B534)</f>
        <v>20050119</v>
      </c>
      <c r="E534" t="str" cm="1">
        <f t="array" ref="E534">INDEX('Linha 04'!$B$4:$B$1000,B534)</f>
        <v>Desinfetante Aquafast Paixao Cx/12 X 500ml</v>
      </c>
      <c r="F534" cm="1">
        <f t="array" ref="F534">INDEX('Linha 04'!$C$3:$ZZ$3,C534)</f>
        <v>20050157</v>
      </c>
      <c r="G534" t="str" cm="1">
        <f t="array" ref="G534">INDEX('Linha 04'!$C$2:$ZZ$2,C534)</f>
        <v>Intermed Pack Desinfetante Marine Cx/12 X 1l</v>
      </c>
      <c r="H534" s="5" cm="1">
        <f t="array" ref="H534">INDEX('Linha 04'!$C$4:$ZZ$1000,B534,C534)</f>
        <v>0</v>
      </c>
    </row>
    <row r="535" spans="1:8" x14ac:dyDescent="0.25">
      <c r="A535">
        <v>533</v>
      </c>
      <c r="B535">
        <f t="shared" si="16"/>
        <v>20</v>
      </c>
      <c r="C535">
        <f t="shared" si="17"/>
        <v>1</v>
      </c>
      <c r="D535" cm="1">
        <f t="array" ref="D535">INDEX('Linha 04'!$A$4:$A$1000,B535)</f>
        <v>20050145</v>
      </c>
      <c r="E535" t="str" cm="1">
        <f t="array" ref="E535">INDEX('Linha 04'!$B$4:$B$1000,B535)</f>
        <v>Desinfetante Aquafast Harmonia Natural Cx/12 X 500ml</v>
      </c>
      <c r="F535" cm="1">
        <f t="array" ref="F535">INDEX('Linha 04'!$C$3:$ZZ$3,C535)</f>
        <v>20030001</v>
      </c>
      <c r="G535" t="str" cm="1">
        <f t="array" ref="G535">INDEX('Linha 04'!$C$2:$ZZ$2,C535)</f>
        <v>Detergente Aquafast Maca Cx/24 X 500ml</v>
      </c>
      <c r="H535" s="5" cm="1">
        <f t="array" ref="H535">INDEX('Linha 04'!$C$4:$ZZ$1000,B535,C535)</f>
        <v>0</v>
      </c>
    </row>
    <row r="536" spans="1:8" x14ac:dyDescent="0.25">
      <c r="A536">
        <v>534</v>
      </c>
      <c r="B536">
        <f t="shared" si="16"/>
        <v>20</v>
      </c>
      <c r="C536">
        <f t="shared" si="17"/>
        <v>2</v>
      </c>
      <c r="D536" cm="1">
        <f t="array" ref="D536">INDEX('Linha 04'!$A$4:$A$1000,B536)</f>
        <v>20050145</v>
      </c>
      <c r="E536" t="str" cm="1">
        <f t="array" ref="E536">INDEX('Linha 04'!$B$4:$B$1000,B536)</f>
        <v>Desinfetante Aquafast Harmonia Natural Cx/12 X 500ml</v>
      </c>
      <c r="F536" cm="1">
        <f t="array" ref="F536">INDEX('Linha 04'!$C$3:$ZZ$3,C536)</f>
        <v>20030002</v>
      </c>
      <c r="G536" t="str" cm="1">
        <f t="array" ref="G536">INDEX('Linha 04'!$C$2:$ZZ$2,C536)</f>
        <v>Detergente Aquafast Limao Cx/24 X 500ml</v>
      </c>
      <c r="H536" s="5" cm="1">
        <f t="array" ref="H536">INDEX('Linha 04'!$C$4:$ZZ$1000,B536,C536)</f>
        <v>0</v>
      </c>
    </row>
    <row r="537" spans="1:8" x14ac:dyDescent="0.25">
      <c r="A537">
        <v>535</v>
      </c>
      <c r="B537">
        <f t="shared" si="16"/>
        <v>20</v>
      </c>
      <c r="C537">
        <f t="shared" si="17"/>
        <v>3</v>
      </c>
      <c r="D537" cm="1">
        <f t="array" ref="D537">INDEX('Linha 04'!$A$4:$A$1000,B537)</f>
        <v>20050145</v>
      </c>
      <c r="E537" t="str" cm="1">
        <f t="array" ref="E537">INDEX('Linha 04'!$B$4:$B$1000,B537)</f>
        <v>Desinfetante Aquafast Harmonia Natural Cx/12 X 500ml</v>
      </c>
      <c r="F537" cm="1">
        <f t="array" ref="F537">INDEX('Linha 04'!$C$3:$ZZ$3,C537)</f>
        <v>20030003</v>
      </c>
      <c r="G537" t="str" cm="1">
        <f t="array" ref="G537">INDEX('Linha 04'!$C$2:$ZZ$2,C537)</f>
        <v>Detergente Aquafast Neutro Cx/24 X 500ml</v>
      </c>
      <c r="H537" s="5" cm="1">
        <f t="array" ref="H537">INDEX('Linha 04'!$C$4:$ZZ$1000,B537,C537)</f>
        <v>0</v>
      </c>
    </row>
    <row r="538" spans="1:8" x14ac:dyDescent="0.25">
      <c r="A538">
        <v>536</v>
      </c>
      <c r="B538">
        <f t="shared" si="16"/>
        <v>20</v>
      </c>
      <c r="C538">
        <f t="shared" si="17"/>
        <v>4</v>
      </c>
      <c r="D538" cm="1">
        <f t="array" ref="D538">INDEX('Linha 04'!$A$4:$A$1000,B538)</f>
        <v>20050145</v>
      </c>
      <c r="E538" t="str" cm="1">
        <f t="array" ref="E538">INDEX('Linha 04'!$B$4:$B$1000,B538)</f>
        <v>Desinfetante Aquafast Harmonia Natural Cx/12 X 500ml</v>
      </c>
      <c r="F538" cm="1">
        <f t="array" ref="F538">INDEX('Linha 04'!$C$3:$ZZ$3,C538)</f>
        <v>20030004</v>
      </c>
      <c r="G538" t="str" cm="1">
        <f t="array" ref="G538">INDEX('Linha 04'!$C$2:$ZZ$2,C538)</f>
        <v>Detergente Aquafast Clear Cx/24 X 500ml (Natural)</v>
      </c>
      <c r="H538" s="5" cm="1">
        <f t="array" ref="H538">INDEX('Linha 04'!$C$4:$ZZ$1000,B538,C538)</f>
        <v>0</v>
      </c>
    </row>
    <row r="539" spans="1:8" x14ac:dyDescent="0.25">
      <c r="A539">
        <v>537</v>
      </c>
      <c r="B539">
        <f t="shared" si="16"/>
        <v>20</v>
      </c>
      <c r="C539">
        <f t="shared" si="17"/>
        <v>5</v>
      </c>
      <c r="D539" cm="1">
        <f t="array" ref="D539">INDEX('Linha 04'!$A$4:$A$1000,B539)</f>
        <v>20050145</v>
      </c>
      <c r="E539" t="str" cm="1">
        <f t="array" ref="E539">INDEX('Linha 04'!$B$4:$B$1000,B539)</f>
        <v>Desinfetante Aquafast Harmonia Natural Cx/12 X 500ml</v>
      </c>
      <c r="F539" cm="1">
        <f t="array" ref="F539">INDEX('Linha 04'!$C$3:$ZZ$3,C539)</f>
        <v>20030011</v>
      </c>
      <c r="G539" t="str" cm="1">
        <f t="array" ref="G539">INDEX('Linha 04'!$C$2:$ZZ$2,C539)</f>
        <v>Detergente Aquafast Maca Cx/12 X 1l</v>
      </c>
      <c r="H539" s="5" cm="1">
        <f t="array" ref="H539">INDEX('Linha 04'!$C$4:$ZZ$1000,B539,C539)</f>
        <v>0</v>
      </c>
    </row>
    <row r="540" spans="1:8" x14ac:dyDescent="0.25">
      <c r="A540">
        <v>538</v>
      </c>
      <c r="B540">
        <f t="shared" si="16"/>
        <v>20</v>
      </c>
      <c r="C540">
        <f t="shared" si="17"/>
        <v>6</v>
      </c>
      <c r="D540" cm="1">
        <f t="array" ref="D540">INDEX('Linha 04'!$A$4:$A$1000,B540)</f>
        <v>20050145</v>
      </c>
      <c r="E540" t="str" cm="1">
        <f t="array" ref="E540">INDEX('Linha 04'!$B$4:$B$1000,B540)</f>
        <v>Desinfetante Aquafast Harmonia Natural Cx/12 X 500ml</v>
      </c>
      <c r="F540" cm="1">
        <f t="array" ref="F540">INDEX('Linha 04'!$C$3:$ZZ$3,C540)</f>
        <v>20030012</v>
      </c>
      <c r="G540" t="str" cm="1">
        <f t="array" ref="G540">INDEX('Linha 04'!$C$2:$ZZ$2,C540)</f>
        <v>Detergente Aquafast Limao Cx/12 X 1l</v>
      </c>
      <c r="H540" s="5" cm="1">
        <f t="array" ref="H540">INDEX('Linha 04'!$C$4:$ZZ$1000,B540,C540)</f>
        <v>0</v>
      </c>
    </row>
    <row r="541" spans="1:8" x14ac:dyDescent="0.25">
      <c r="A541">
        <v>539</v>
      </c>
      <c r="B541">
        <f t="shared" si="16"/>
        <v>20</v>
      </c>
      <c r="C541">
        <f t="shared" si="17"/>
        <v>7</v>
      </c>
      <c r="D541" cm="1">
        <f t="array" ref="D541">INDEX('Linha 04'!$A$4:$A$1000,B541)</f>
        <v>20050145</v>
      </c>
      <c r="E541" t="str" cm="1">
        <f t="array" ref="E541">INDEX('Linha 04'!$B$4:$B$1000,B541)</f>
        <v>Desinfetante Aquafast Harmonia Natural Cx/12 X 500ml</v>
      </c>
      <c r="F541" cm="1">
        <f t="array" ref="F541">INDEX('Linha 04'!$C$3:$ZZ$3,C541)</f>
        <v>20030013</v>
      </c>
      <c r="G541" t="str" cm="1">
        <f t="array" ref="G541">INDEX('Linha 04'!$C$2:$ZZ$2,C541)</f>
        <v>Detergente Aquafast Neutro Cx/12 X 1l</v>
      </c>
      <c r="H541" s="5" cm="1">
        <f t="array" ref="H541">INDEX('Linha 04'!$C$4:$ZZ$1000,B541,C541)</f>
        <v>0</v>
      </c>
    </row>
    <row r="542" spans="1:8" x14ac:dyDescent="0.25">
      <c r="A542">
        <v>540</v>
      </c>
      <c r="B542">
        <f t="shared" si="16"/>
        <v>20</v>
      </c>
      <c r="C542">
        <f t="shared" si="17"/>
        <v>8</v>
      </c>
      <c r="D542" cm="1">
        <f t="array" ref="D542">INDEX('Linha 04'!$A$4:$A$1000,B542)</f>
        <v>20050145</v>
      </c>
      <c r="E542" t="str" cm="1">
        <f t="array" ref="E542">INDEX('Linha 04'!$B$4:$B$1000,B542)</f>
        <v>Desinfetante Aquafast Harmonia Natural Cx/12 X 500ml</v>
      </c>
      <c r="F542" cm="1">
        <f t="array" ref="F542">INDEX('Linha 04'!$C$3:$ZZ$3,C542)</f>
        <v>20030014</v>
      </c>
      <c r="G542" t="str" cm="1">
        <f t="array" ref="G542">INDEX('Linha 04'!$C$2:$ZZ$2,C542)</f>
        <v>Detergente Aquafast Clear Cx/12 X 1l (Natural)</v>
      </c>
      <c r="H542" s="5" cm="1">
        <f t="array" ref="H542">INDEX('Linha 04'!$C$4:$ZZ$1000,B542,C542)</f>
        <v>0</v>
      </c>
    </row>
    <row r="543" spans="1:8" x14ac:dyDescent="0.25">
      <c r="A543">
        <v>541</v>
      </c>
      <c r="B543">
        <f t="shared" si="16"/>
        <v>20</v>
      </c>
      <c r="C543">
        <f t="shared" si="17"/>
        <v>9</v>
      </c>
      <c r="D543" cm="1">
        <f t="array" ref="D543">INDEX('Linha 04'!$A$4:$A$1000,B543)</f>
        <v>20050145</v>
      </c>
      <c r="E543" t="str" cm="1">
        <f t="array" ref="E543">INDEX('Linha 04'!$B$4:$B$1000,B543)</f>
        <v>Desinfetante Aquafast Harmonia Natural Cx/12 X 500ml</v>
      </c>
      <c r="F543" cm="1">
        <f t="array" ref="F543">INDEX('Linha 04'!$C$3:$ZZ$3,C543)</f>
        <v>20030020</v>
      </c>
      <c r="G543" t="str" cm="1">
        <f t="array" ref="G543">INDEX('Linha 04'!$C$2:$ZZ$2,C543)</f>
        <v>Detergente Ito Maca Cx/24 X 500ml</v>
      </c>
      <c r="H543" s="5" cm="1">
        <f t="array" ref="H543">INDEX('Linha 04'!$C$4:$ZZ$1000,B543,C543)</f>
        <v>0</v>
      </c>
    </row>
    <row r="544" spans="1:8" x14ac:dyDescent="0.25">
      <c r="A544">
        <v>542</v>
      </c>
      <c r="B544">
        <f t="shared" si="16"/>
        <v>20</v>
      </c>
      <c r="C544">
        <f t="shared" si="17"/>
        <v>10</v>
      </c>
      <c r="D544" cm="1">
        <f t="array" ref="D544">INDEX('Linha 04'!$A$4:$A$1000,B544)</f>
        <v>20050145</v>
      </c>
      <c r="E544" t="str" cm="1">
        <f t="array" ref="E544">INDEX('Linha 04'!$B$4:$B$1000,B544)</f>
        <v>Desinfetante Aquafast Harmonia Natural Cx/12 X 500ml</v>
      </c>
      <c r="F544" cm="1">
        <f t="array" ref="F544">INDEX('Linha 04'!$C$3:$ZZ$3,C544)</f>
        <v>20030021</v>
      </c>
      <c r="G544" t="str" cm="1">
        <f t="array" ref="G544">INDEX('Linha 04'!$C$2:$ZZ$2,C544)</f>
        <v>Detergente Ito Limao Cx/24 X 500ml</v>
      </c>
      <c r="H544" s="5" cm="1">
        <f t="array" ref="H544">INDEX('Linha 04'!$C$4:$ZZ$1000,B544,C544)</f>
        <v>0</v>
      </c>
    </row>
    <row r="545" spans="1:8" x14ac:dyDescent="0.25">
      <c r="A545">
        <v>543</v>
      </c>
      <c r="B545">
        <f t="shared" si="16"/>
        <v>20</v>
      </c>
      <c r="C545">
        <f t="shared" si="17"/>
        <v>11</v>
      </c>
      <c r="D545" cm="1">
        <f t="array" ref="D545">INDEX('Linha 04'!$A$4:$A$1000,B545)</f>
        <v>20050145</v>
      </c>
      <c r="E545" t="str" cm="1">
        <f t="array" ref="E545">INDEX('Linha 04'!$B$4:$B$1000,B545)</f>
        <v>Desinfetante Aquafast Harmonia Natural Cx/12 X 500ml</v>
      </c>
      <c r="F545" cm="1">
        <f t="array" ref="F545">INDEX('Linha 04'!$C$3:$ZZ$3,C545)</f>
        <v>20030022</v>
      </c>
      <c r="G545" t="str" cm="1">
        <f t="array" ref="G545">INDEX('Linha 04'!$C$2:$ZZ$2,C545)</f>
        <v>Detergente Ito Neutro Cx/24 X 500ml</v>
      </c>
      <c r="H545" s="5" cm="1">
        <f t="array" ref="H545">INDEX('Linha 04'!$C$4:$ZZ$1000,B545,C545)</f>
        <v>0</v>
      </c>
    </row>
    <row r="546" spans="1:8" x14ac:dyDescent="0.25">
      <c r="A546">
        <v>544</v>
      </c>
      <c r="B546">
        <f t="shared" si="16"/>
        <v>20</v>
      </c>
      <c r="C546">
        <f t="shared" si="17"/>
        <v>12</v>
      </c>
      <c r="D546" cm="1">
        <f t="array" ref="D546">INDEX('Linha 04'!$A$4:$A$1000,B546)</f>
        <v>20050145</v>
      </c>
      <c r="E546" t="str" cm="1">
        <f t="array" ref="E546">INDEX('Linha 04'!$B$4:$B$1000,B546)</f>
        <v>Desinfetante Aquafast Harmonia Natural Cx/12 X 500ml</v>
      </c>
      <c r="F546" cm="1">
        <f t="array" ref="F546">INDEX('Linha 04'!$C$3:$ZZ$3,C546)</f>
        <v>20030023</v>
      </c>
      <c r="G546" t="str" cm="1">
        <f t="array" ref="G546">INDEX('Linha 04'!$C$2:$ZZ$2,C546)</f>
        <v>Detergente Ito Clear Cx/24 X 500ml</v>
      </c>
      <c r="H546" s="5" cm="1">
        <f t="array" ref="H546">INDEX('Linha 04'!$C$4:$ZZ$1000,B546,C546)</f>
        <v>0</v>
      </c>
    </row>
    <row r="547" spans="1:8" x14ac:dyDescent="0.25">
      <c r="A547">
        <v>545</v>
      </c>
      <c r="B547">
        <f t="shared" si="16"/>
        <v>20</v>
      </c>
      <c r="C547">
        <f t="shared" si="17"/>
        <v>13</v>
      </c>
      <c r="D547" cm="1">
        <f t="array" ref="D547">INDEX('Linha 04'!$A$4:$A$1000,B547)</f>
        <v>20050145</v>
      </c>
      <c r="E547" t="str" cm="1">
        <f t="array" ref="E547">INDEX('Linha 04'!$B$4:$B$1000,B547)</f>
        <v>Desinfetante Aquafast Harmonia Natural Cx/12 X 500ml</v>
      </c>
      <c r="F547" cm="1">
        <f t="array" ref="F547">INDEX('Linha 04'!$C$3:$ZZ$3,C547)</f>
        <v>20030038</v>
      </c>
      <c r="G547" t="str" cm="1">
        <f t="array" ref="G547">INDEX('Linha 04'!$C$2:$ZZ$2,C547)</f>
        <v>Detergente Myata Maca Cx/24 X 500ml</v>
      </c>
      <c r="H547" s="5" cm="1">
        <f t="array" ref="H547">INDEX('Linha 04'!$C$4:$ZZ$1000,B547,C547)</f>
        <v>0</v>
      </c>
    </row>
    <row r="548" spans="1:8" x14ac:dyDescent="0.25">
      <c r="A548">
        <v>546</v>
      </c>
      <c r="B548">
        <f t="shared" si="16"/>
        <v>20</v>
      </c>
      <c r="C548">
        <f t="shared" si="17"/>
        <v>14</v>
      </c>
      <c r="D548" cm="1">
        <f t="array" ref="D548">INDEX('Linha 04'!$A$4:$A$1000,B548)</f>
        <v>20050145</v>
      </c>
      <c r="E548" t="str" cm="1">
        <f t="array" ref="E548">INDEX('Linha 04'!$B$4:$B$1000,B548)</f>
        <v>Desinfetante Aquafast Harmonia Natural Cx/12 X 500ml</v>
      </c>
      <c r="F548" cm="1">
        <f t="array" ref="F548">INDEX('Linha 04'!$C$3:$ZZ$3,C548)</f>
        <v>20030039</v>
      </c>
      <c r="G548" t="str" cm="1">
        <f t="array" ref="G548">INDEX('Linha 04'!$C$2:$ZZ$2,C548)</f>
        <v>Detergente Myata Limao Cx/24 X 500ml</v>
      </c>
      <c r="H548" s="5" cm="1">
        <f t="array" ref="H548">INDEX('Linha 04'!$C$4:$ZZ$1000,B548,C548)</f>
        <v>0</v>
      </c>
    </row>
    <row r="549" spans="1:8" x14ac:dyDescent="0.25">
      <c r="A549">
        <v>547</v>
      </c>
      <c r="B549">
        <f t="shared" si="16"/>
        <v>20</v>
      </c>
      <c r="C549">
        <f t="shared" si="17"/>
        <v>15</v>
      </c>
      <c r="D549" cm="1">
        <f t="array" ref="D549">INDEX('Linha 04'!$A$4:$A$1000,B549)</f>
        <v>20050145</v>
      </c>
      <c r="E549" t="str" cm="1">
        <f t="array" ref="E549">INDEX('Linha 04'!$B$4:$B$1000,B549)</f>
        <v>Desinfetante Aquafast Harmonia Natural Cx/12 X 500ml</v>
      </c>
      <c r="F549" cm="1">
        <f t="array" ref="F549">INDEX('Linha 04'!$C$3:$ZZ$3,C549)</f>
        <v>20030040</v>
      </c>
      <c r="G549" t="str" cm="1">
        <f t="array" ref="G549">INDEX('Linha 04'!$C$2:$ZZ$2,C549)</f>
        <v>Detergente Myata Neutro Cx/24 X 500ml</v>
      </c>
      <c r="H549" s="5" cm="1">
        <f t="array" ref="H549">INDEX('Linha 04'!$C$4:$ZZ$1000,B549,C549)</f>
        <v>0</v>
      </c>
    </row>
    <row r="550" spans="1:8" x14ac:dyDescent="0.25">
      <c r="A550">
        <v>548</v>
      </c>
      <c r="B550">
        <f t="shared" si="16"/>
        <v>20</v>
      </c>
      <c r="C550">
        <f t="shared" si="17"/>
        <v>16</v>
      </c>
      <c r="D550" cm="1">
        <f t="array" ref="D550">INDEX('Linha 04'!$A$4:$A$1000,B550)</f>
        <v>20050145</v>
      </c>
      <c r="E550" t="str" cm="1">
        <f t="array" ref="E550">INDEX('Linha 04'!$B$4:$B$1000,B550)</f>
        <v>Desinfetante Aquafast Harmonia Natural Cx/12 X 500ml</v>
      </c>
      <c r="F550" cm="1">
        <f t="array" ref="F550">INDEX('Linha 04'!$C$3:$ZZ$3,C550)</f>
        <v>20030067</v>
      </c>
      <c r="G550" t="str" cm="1">
        <f t="array" ref="G550">INDEX('Linha 04'!$C$2:$ZZ$2,C550)</f>
        <v>Detergente Aquafast Coco Cx/24 X 500ml</v>
      </c>
      <c r="H550" s="5" cm="1">
        <f t="array" ref="H550">INDEX('Linha 04'!$C$4:$ZZ$1000,B550,C550)</f>
        <v>0</v>
      </c>
    </row>
    <row r="551" spans="1:8" x14ac:dyDescent="0.25">
      <c r="A551">
        <v>549</v>
      </c>
      <c r="B551">
        <f t="shared" si="16"/>
        <v>20</v>
      </c>
      <c r="C551">
        <f t="shared" si="17"/>
        <v>17</v>
      </c>
      <c r="D551" cm="1">
        <f t="array" ref="D551">INDEX('Linha 04'!$A$4:$A$1000,B551)</f>
        <v>20050145</v>
      </c>
      <c r="E551" t="str" cm="1">
        <f t="array" ref="E551">INDEX('Linha 04'!$B$4:$B$1000,B551)</f>
        <v>Desinfetante Aquafast Harmonia Natural Cx/12 X 500ml</v>
      </c>
      <c r="F551" cm="1">
        <f t="array" ref="F551">INDEX('Linha 04'!$C$3:$ZZ$3,C551)</f>
        <v>20050001</v>
      </c>
      <c r="G551" t="str" cm="1">
        <f t="array" ref="G551">INDEX('Linha 04'!$C$2:$ZZ$2,C551)</f>
        <v>Desinfetante Aquafast Campos Lavanda Cx/12 X 500ml</v>
      </c>
      <c r="H551" s="5" cm="1">
        <f t="array" ref="H551">INDEX('Linha 04'!$C$4:$ZZ$1000,B551,C551)</f>
        <v>0</v>
      </c>
    </row>
    <row r="552" spans="1:8" x14ac:dyDescent="0.25">
      <c r="A552">
        <v>550</v>
      </c>
      <c r="B552">
        <f t="shared" si="16"/>
        <v>20</v>
      </c>
      <c r="C552">
        <f t="shared" si="17"/>
        <v>18</v>
      </c>
      <c r="D552" cm="1">
        <f t="array" ref="D552">INDEX('Linha 04'!$A$4:$A$1000,B552)</f>
        <v>20050145</v>
      </c>
      <c r="E552" t="str" cm="1">
        <f t="array" ref="E552">INDEX('Linha 04'!$B$4:$B$1000,B552)</f>
        <v>Desinfetante Aquafast Harmonia Natural Cx/12 X 500ml</v>
      </c>
      <c r="F552" cm="1">
        <f t="array" ref="F552">INDEX('Linha 04'!$C$3:$ZZ$3,C552)</f>
        <v>20050026</v>
      </c>
      <c r="G552" t="str" cm="1">
        <f t="array" ref="G552">INDEX('Linha 04'!$C$2:$ZZ$2,C552)</f>
        <v>Desinfetante Ito Lavanda Cx/12 X 500ml</v>
      </c>
      <c r="H552" s="5" cm="1">
        <f t="array" ref="H552">INDEX('Linha 04'!$C$4:$ZZ$1000,B552,C552)</f>
        <v>0</v>
      </c>
    </row>
    <row r="553" spans="1:8" x14ac:dyDescent="0.25">
      <c r="A553">
        <v>551</v>
      </c>
      <c r="B553">
        <f t="shared" si="16"/>
        <v>20</v>
      </c>
      <c r="C553">
        <f t="shared" si="17"/>
        <v>19</v>
      </c>
      <c r="D553" cm="1">
        <f t="array" ref="D553">INDEX('Linha 04'!$A$4:$A$1000,B553)</f>
        <v>20050145</v>
      </c>
      <c r="E553" t="str" cm="1">
        <f t="array" ref="E553">INDEX('Linha 04'!$B$4:$B$1000,B553)</f>
        <v>Desinfetante Aquafast Harmonia Natural Cx/12 X 500ml</v>
      </c>
      <c r="F553" cm="1">
        <f t="array" ref="F553">INDEX('Linha 04'!$C$3:$ZZ$3,C553)</f>
        <v>20050119</v>
      </c>
      <c r="G553" t="str" cm="1">
        <f t="array" ref="G553">INDEX('Linha 04'!$C$2:$ZZ$2,C553)</f>
        <v>Desinfetante Aquafast Paixao Cx/12 X 500ml</v>
      </c>
      <c r="H553" s="5" cm="1">
        <f t="array" ref="H553">INDEX('Linha 04'!$C$4:$ZZ$1000,B553,C553)</f>
        <v>0</v>
      </c>
    </row>
    <row r="554" spans="1:8" x14ac:dyDescent="0.25">
      <c r="A554">
        <v>552</v>
      </c>
      <c r="B554">
        <f t="shared" si="16"/>
        <v>20</v>
      </c>
      <c r="C554">
        <f t="shared" si="17"/>
        <v>20</v>
      </c>
      <c r="D554" cm="1">
        <f t="array" ref="D554">INDEX('Linha 04'!$A$4:$A$1000,B554)</f>
        <v>20050145</v>
      </c>
      <c r="E554" t="str" cm="1">
        <f t="array" ref="E554">INDEX('Linha 04'!$B$4:$B$1000,B554)</f>
        <v>Desinfetante Aquafast Harmonia Natural Cx/12 X 500ml</v>
      </c>
      <c r="F554" cm="1">
        <f t="array" ref="F554">INDEX('Linha 04'!$C$3:$ZZ$3,C554)</f>
        <v>20050145</v>
      </c>
      <c r="G554" t="str" cm="1">
        <f t="array" ref="G554">INDEX('Linha 04'!$C$2:$ZZ$2,C554)</f>
        <v>Desinfetante Aquafast Harmonia Natural Cx/12 X 500ml</v>
      </c>
      <c r="H554" s="5" cm="1">
        <f t="array" ref="H554">INDEX('Linha 04'!$C$4:$ZZ$1000,B554,C554)</f>
        <v>0</v>
      </c>
    </row>
    <row r="555" spans="1:8" x14ac:dyDescent="0.25">
      <c r="A555">
        <v>553</v>
      </c>
      <c r="B555">
        <f t="shared" si="16"/>
        <v>20</v>
      </c>
      <c r="C555">
        <f t="shared" si="17"/>
        <v>21</v>
      </c>
      <c r="D555" cm="1">
        <f t="array" ref="D555">INDEX('Linha 04'!$A$4:$A$1000,B555)</f>
        <v>20050145</v>
      </c>
      <c r="E555" t="str" cm="1">
        <f t="array" ref="E555">INDEX('Linha 04'!$B$4:$B$1000,B555)</f>
        <v>Desinfetante Aquafast Harmonia Natural Cx/12 X 500ml</v>
      </c>
      <c r="F555" cm="1">
        <f t="array" ref="F555">INDEX('Linha 04'!$C$3:$ZZ$3,C555)</f>
        <v>20050149</v>
      </c>
      <c r="G555" t="str" cm="1">
        <f t="array" ref="G555">INDEX('Linha 04'!$C$2:$ZZ$2,C555)</f>
        <v>Desinfetante Aquafast Campos Lavanda Cx/12 X 1l</v>
      </c>
      <c r="H555" s="5" cm="1">
        <f t="array" ref="H555">INDEX('Linha 04'!$C$4:$ZZ$1000,B555,C555)</f>
        <v>0</v>
      </c>
    </row>
    <row r="556" spans="1:8" x14ac:dyDescent="0.25">
      <c r="A556">
        <v>554</v>
      </c>
      <c r="B556">
        <f t="shared" si="16"/>
        <v>20</v>
      </c>
      <c r="C556">
        <f t="shared" si="17"/>
        <v>22</v>
      </c>
      <c r="D556" cm="1">
        <f t="array" ref="D556">INDEX('Linha 04'!$A$4:$A$1000,B556)</f>
        <v>20050145</v>
      </c>
      <c r="E556" t="str" cm="1">
        <f t="array" ref="E556">INDEX('Linha 04'!$B$4:$B$1000,B556)</f>
        <v>Desinfetante Aquafast Harmonia Natural Cx/12 X 500ml</v>
      </c>
      <c r="F556" cm="1">
        <f t="array" ref="F556">INDEX('Linha 04'!$C$3:$ZZ$3,C556)</f>
        <v>20050150</v>
      </c>
      <c r="G556" t="str" cm="1">
        <f t="array" ref="G556">INDEX('Linha 04'!$C$2:$ZZ$2,C556)</f>
        <v>Desinfetante Aquafast Marine Cx/12 X 1l</v>
      </c>
      <c r="H556" s="5" cm="1">
        <f t="array" ref="H556">INDEX('Linha 04'!$C$4:$ZZ$1000,B556,C556)</f>
        <v>0</v>
      </c>
    </row>
    <row r="557" spans="1:8" x14ac:dyDescent="0.25">
      <c r="A557">
        <v>555</v>
      </c>
      <c r="B557">
        <f t="shared" si="16"/>
        <v>20</v>
      </c>
      <c r="C557">
        <f t="shared" si="17"/>
        <v>23</v>
      </c>
      <c r="D557" cm="1">
        <f t="array" ref="D557">INDEX('Linha 04'!$A$4:$A$1000,B557)</f>
        <v>20050145</v>
      </c>
      <c r="E557" t="str" cm="1">
        <f t="array" ref="E557">INDEX('Linha 04'!$B$4:$B$1000,B557)</f>
        <v>Desinfetante Aquafast Harmonia Natural Cx/12 X 500ml</v>
      </c>
      <c r="F557" cm="1">
        <f t="array" ref="F557">INDEX('Linha 04'!$C$3:$ZZ$3,C557)</f>
        <v>20050151</v>
      </c>
      <c r="G557" t="str" cm="1">
        <f t="array" ref="G557">INDEX('Linha 04'!$C$2:$ZZ$2,C557)</f>
        <v>Desinfetante Aquafast Paixao Cx/12 X 1l</v>
      </c>
      <c r="H557" s="5" cm="1">
        <f t="array" ref="H557">INDEX('Linha 04'!$C$4:$ZZ$1000,B557,C557)</f>
        <v>0</v>
      </c>
    </row>
    <row r="558" spans="1:8" x14ac:dyDescent="0.25">
      <c r="A558">
        <v>556</v>
      </c>
      <c r="B558">
        <f t="shared" si="16"/>
        <v>20</v>
      </c>
      <c r="C558">
        <f t="shared" si="17"/>
        <v>24</v>
      </c>
      <c r="D558" cm="1">
        <f t="array" ref="D558">INDEX('Linha 04'!$A$4:$A$1000,B558)</f>
        <v>20050145</v>
      </c>
      <c r="E558" t="str" cm="1">
        <f t="array" ref="E558">INDEX('Linha 04'!$B$4:$B$1000,B558)</f>
        <v>Desinfetante Aquafast Harmonia Natural Cx/12 X 500ml</v>
      </c>
      <c r="F558" cm="1">
        <f t="array" ref="F558">INDEX('Linha 04'!$C$3:$ZZ$3,C558)</f>
        <v>20050152</v>
      </c>
      <c r="G558" t="str" cm="1">
        <f t="array" ref="G558">INDEX('Linha 04'!$C$2:$ZZ$2,C558)</f>
        <v>Desinfetante Aquafast Harmonia Natural Cx/12 X 1l</v>
      </c>
      <c r="H558" s="5" cm="1">
        <f t="array" ref="H558">INDEX('Linha 04'!$C$4:$ZZ$1000,B558,C558)</f>
        <v>0</v>
      </c>
    </row>
    <row r="559" spans="1:8" x14ac:dyDescent="0.25">
      <c r="A559">
        <v>557</v>
      </c>
      <c r="B559">
        <f t="shared" si="16"/>
        <v>20</v>
      </c>
      <c r="C559">
        <f t="shared" si="17"/>
        <v>25</v>
      </c>
      <c r="D559" cm="1">
        <f t="array" ref="D559">INDEX('Linha 04'!$A$4:$A$1000,B559)</f>
        <v>20050145</v>
      </c>
      <c r="E559" t="str" cm="1">
        <f t="array" ref="E559">INDEX('Linha 04'!$B$4:$B$1000,B559)</f>
        <v>Desinfetante Aquafast Harmonia Natural Cx/12 X 500ml</v>
      </c>
      <c r="F559" cm="1">
        <f t="array" ref="F559">INDEX('Linha 04'!$C$3:$ZZ$3,C559)</f>
        <v>20050153</v>
      </c>
      <c r="G559" t="str" cm="1">
        <f t="array" ref="G559">INDEX('Linha 04'!$C$2:$ZZ$2,C559)</f>
        <v>Desinfetante Ito Harmonia Natural Cx/12 X 500ml</v>
      </c>
      <c r="H559" s="5" cm="1">
        <f t="array" ref="H559">INDEX('Linha 04'!$C$4:$ZZ$1000,B559,C559)</f>
        <v>0</v>
      </c>
    </row>
    <row r="560" spans="1:8" x14ac:dyDescent="0.25">
      <c r="A560">
        <v>558</v>
      </c>
      <c r="B560">
        <f t="shared" si="16"/>
        <v>20</v>
      </c>
      <c r="C560">
        <f t="shared" si="17"/>
        <v>26</v>
      </c>
      <c r="D560" cm="1">
        <f t="array" ref="D560">INDEX('Linha 04'!$A$4:$A$1000,B560)</f>
        <v>20050145</v>
      </c>
      <c r="E560" t="str" cm="1">
        <f t="array" ref="E560">INDEX('Linha 04'!$B$4:$B$1000,B560)</f>
        <v>Desinfetante Aquafast Harmonia Natural Cx/12 X 500ml</v>
      </c>
      <c r="F560" cm="1">
        <f t="array" ref="F560">INDEX('Linha 04'!$C$3:$ZZ$3,C560)</f>
        <v>20050155</v>
      </c>
      <c r="G560" t="str" cm="1">
        <f t="array" ref="G560">INDEX('Linha 04'!$C$2:$ZZ$2,C560)</f>
        <v>Intermed Pack Desinfetante Paixao Cx/12 X 1l</v>
      </c>
      <c r="H560" s="5" cm="1">
        <f t="array" ref="H560">INDEX('Linha 04'!$C$4:$ZZ$1000,B560,C560)</f>
        <v>0</v>
      </c>
    </row>
    <row r="561" spans="1:8" x14ac:dyDescent="0.25">
      <c r="A561">
        <v>559</v>
      </c>
      <c r="B561">
        <f t="shared" si="16"/>
        <v>20</v>
      </c>
      <c r="C561">
        <f t="shared" si="17"/>
        <v>27</v>
      </c>
      <c r="D561" cm="1">
        <f t="array" ref="D561">INDEX('Linha 04'!$A$4:$A$1000,B561)</f>
        <v>20050145</v>
      </c>
      <c r="E561" t="str" cm="1">
        <f t="array" ref="E561">INDEX('Linha 04'!$B$4:$B$1000,B561)</f>
        <v>Desinfetante Aquafast Harmonia Natural Cx/12 X 500ml</v>
      </c>
      <c r="F561" cm="1">
        <f t="array" ref="F561">INDEX('Linha 04'!$C$3:$ZZ$3,C561)</f>
        <v>20050156</v>
      </c>
      <c r="G561" t="str" cm="1">
        <f t="array" ref="G561">INDEX('Linha 04'!$C$2:$ZZ$2,C561)</f>
        <v>Intermed Pack Desinfetante Campos Lavanda Cx/12 X 1l</v>
      </c>
      <c r="H561" s="5" cm="1">
        <f t="array" ref="H561">INDEX('Linha 04'!$C$4:$ZZ$1000,B561,C561)</f>
        <v>0</v>
      </c>
    </row>
    <row r="562" spans="1:8" x14ac:dyDescent="0.25">
      <c r="A562">
        <v>560</v>
      </c>
      <c r="B562">
        <f t="shared" si="16"/>
        <v>20</v>
      </c>
      <c r="C562">
        <f t="shared" si="17"/>
        <v>28</v>
      </c>
      <c r="D562" cm="1">
        <f t="array" ref="D562">INDEX('Linha 04'!$A$4:$A$1000,B562)</f>
        <v>20050145</v>
      </c>
      <c r="E562" t="str" cm="1">
        <f t="array" ref="E562">INDEX('Linha 04'!$B$4:$B$1000,B562)</f>
        <v>Desinfetante Aquafast Harmonia Natural Cx/12 X 500ml</v>
      </c>
      <c r="F562" cm="1">
        <f t="array" ref="F562">INDEX('Linha 04'!$C$3:$ZZ$3,C562)</f>
        <v>20050157</v>
      </c>
      <c r="G562" t="str" cm="1">
        <f t="array" ref="G562">INDEX('Linha 04'!$C$2:$ZZ$2,C562)</f>
        <v>Intermed Pack Desinfetante Marine Cx/12 X 1l</v>
      </c>
      <c r="H562" s="5" cm="1">
        <f t="array" ref="H562">INDEX('Linha 04'!$C$4:$ZZ$1000,B562,C562)</f>
        <v>0</v>
      </c>
    </row>
    <row r="563" spans="1:8" x14ac:dyDescent="0.25">
      <c r="A563">
        <v>561</v>
      </c>
      <c r="B563">
        <f t="shared" si="16"/>
        <v>21</v>
      </c>
      <c r="C563">
        <f t="shared" si="17"/>
        <v>1</v>
      </c>
      <c r="D563" cm="1">
        <f t="array" ref="D563">INDEX('Linha 04'!$A$4:$A$1000,B563)</f>
        <v>20050149</v>
      </c>
      <c r="E563" t="str" cm="1">
        <f t="array" ref="E563">INDEX('Linha 04'!$B$4:$B$1000,B563)</f>
        <v>Desinfetante Aquafast Campos Lavanda Cx/12 X 1l</v>
      </c>
      <c r="F563" cm="1">
        <f t="array" ref="F563">INDEX('Linha 04'!$C$3:$ZZ$3,C563)</f>
        <v>20030001</v>
      </c>
      <c r="G563" t="str" cm="1">
        <f t="array" ref="G563">INDEX('Linha 04'!$C$2:$ZZ$2,C563)</f>
        <v>Detergente Aquafast Maca Cx/24 X 500ml</v>
      </c>
      <c r="H563" s="5" cm="1">
        <f t="array" ref="H563">INDEX('Linha 04'!$C$4:$ZZ$1000,B563,C563)</f>
        <v>0</v>
      </c>
    </row>
    <row r="564" spans="1:8" x14ac:dyDescent="0.25">
      <c r="A564">
        <v>562</v>
      </c>
      <c r="B564">
        <f t="shared" si="16"/>
        <v>21</v>
      </c>
      <c r="C564">
        <f t="shared" si="17"/>
        <v>2</v>
      </c>
      <c r="D564" cm="1">
        <f t="array" ref="D564">INDEX('Linha 04'!$A$4:$A$1000,B564)</f>
        <v>20050149</v>
      </c>
      <c r="E564" t="str" cm="1">
        <f t="array" ref="E564">INDEX('Linha 04'!$B$4:$B$1000,B564)</f>
        <v>Desinfetante Aquafast Campos Lavanda Cx/12 X 1l</v>
      </c>
      <c r="F564" cm="1">
        <f t="array" ref="F564">INDEX('Linha 04'!$C$3:$ZZ$3,C564)</f>
        <v>20030002</v>
      </c>
      <c r="G564" t="str" cm="1">
        <f t="array" ref="G564">INDEX('Linha 04'!$C$2:$ZZ$2,C564)</f>
        <v>Detergente Aquafast Limao Cx/24 X 500ml</v>
      </c>
      <c r="H564" s="5" cm="1">
        <f t="array" ref="H564">INDEX('Linha 04'!$C$4:$ZZ$1000,B564,C564)</f>
        <v>0</v>
      </c>
    </row>
    <row r="565" spans="1:8" x14ac:dyDescent="0.25">
      <c r="A565">
        <v>563</v>
      </c>
      <c r="B565">
        <f t="shared" si="16"/>
        <v>21</v>
      </c>
      <c r="C565">
        <f t="shared" si="17"/>
        <v>3</v>
      </c>
      <c r="D565" cm="1">
        <f t="array" ref="D565">INDEX('Linha 04'!$A$4:$A$1000,B565)</f>
        <v>20050149</v>
      </c>
      <c r="E565" t="str" cm="1">
        <f t="array" ref="E565">INDEX('Linha 04'!$B$4:$B$1000,B565)</f>
        <v>Desinfetante Aquafast Campos Lavanda Cx/12 X 1l</v>
      </c>
      <c r="F565" cm="1">
        <f t="array" ref="F565">INDEX('Linha 04'!$C$3:$ZZ$3,C565)</f>
        <v>20030003</v>
      </c>
      <c r="G565" t="str" cm="1">
        <f t="array" ref="G565">INDEX('Linha 04'!$C$2:$ZZ$2,C565)</f>
        <v>Detergente Aquafast Neutro Cx/24 X 500ml</v>
      </c>
      <c r="H565" s="5" cm="1">
        <f t="array" ref="H565">INDEX('Linha 04'!$C$4:$ZZ$1000,B565,C565)</f>
        <v>0</v>
      </c>
    </row>
    <row r="566" spans="1:8" x14ac:dyDescent="0.25">
      <c r="A566">
        <v>564</v>
      </c>
      <c r="B566">
        <f t="shared" si="16"/>
        <v>21</v>
      </c>
      <c r="C566">
        <f t="shared" si="17"/>
        <v>4</v>
      </c>
      <c r="D566" cm="1">
        <f t="array" ref="D566">INDEX('Linha 04'!$A$4:$A$1000,B566)</f>
        <v>20050149</v>
      </c>
      <c r="E566" t="str" cm="1">
        <f t="array" ref="E566">INDEX('Linha 04'!$B$4:$B$1000,B566)</f>
        <v>Desinfetante Aquafast Campos Lavanda Cx/12 X 1l</v>
      </c>
      <c r="F566" cm="1">
        <f t="array" ref="F566">INDEX('Linha 04'!$C$3:$ZZ$3,C566)</f>
        <v>20030004</v>
      </c>
      <c r="G566" t="str" cm="1">
        <f t="array" ref="G566">INDEX('Linha 04'!$C$2:$ZZ$2,C566)</f>
        <v>Detergente Aquafast Clear Cx/24 X 500ml (Natural)</v>
      </c>
      <c r="H566" s="5" cm="1">
        <f t="array" ref="H566">INDEX('Linha 04'!$C$4:$ZZ$1000,B566,C566)</f>
        <v>0</v>
      </c>
    </row>
    <row r="567" spans="1:8" x14ac:dyDescent="0.25">
      <c r="A567">
        <v>565</v>
      </c>
      <c r="B567">
        <f t="shared" si="16"/>
        <v>21</v>
      </c>
      <c r="C567">
        <f t="shared" si="17"/>
        <v>5</v>
      </c>
      <c r="D567" cm="1">
        <f t="array" ref="D567">INDEX('Linha 04'!$A$4:$A$1000,B567)</f>
        <v>20050149</v>
      </c>
      <c r="E567" t="str" cm="1">
        <f t="array" ref="E567">INDEX('Linha 04'!$B$4:$B$1000,B567)</f>
        <v>Desinfetante Aquafast Campos Lavanda Cx/12 X 1l</v>
      </c>
      <c r="F567" cm="1">
        <f t="array" ref="F567">INDEX('Linha 04'!$C$3:$ZZ$3,C567)</f>
        <v>20030011</v>
      </c>
      <c r="G567" t="str" cm="1">
        <f t="array" ref="G567">INDEX('Linha 04'!$C$2:$ZZ$2,C567)</f>
        <v>Detergente Aquafast Maca Cx/12 X 1l</v>
      </c>
      <c r="H567" s="5" cm="1">
        <f t="array" ref="H567">INDEX('Linha 04'!$C$4:$ZZ$1000,B567,C567)</f>
        <v>0</v>
      </c>
    </row>
    <row r="568" spans="1:8" x14ac:dyDescent="0.25">
      <c r="A568">
        <v>566</v>
      </c>
      <c r="B568">
        <f t="shared" si="16"/>
        <v>21</v>
      </c>
      <c r="C568">
        <f t="shared" si="17"/>
        <v>6</v>
      </c>
      <c r="D568" cm="1">
        <f t="array" ref="D568">INDEX('Linha 04'!$A$4:$A$1000,B568)</f>
        <v>20050149</v>
      </c>
      <c r="E568" t="str" cm="1">
        <f t="array" ref="E568">INDEX('Linha 04'!$B$4:$B$1000,B568)</f>
        <v>Desinfetante Aquafast Campos Lavanda Cx/12 X 1l</v>
      </c>
      <c r="F568" cm="1">
        <f t="array" ref="F568">INDEX('Linha 04'!$C$3:$ZZ$3,C568)</f>
        <v>20030012</v>
      </c>
      <c r="G568" t="str" cm="1">
        <f t="array" ref="G568">INDEX('Linha 04'!$C$2:$ZZ$2,C568)</f>
        <v>Detergente Aquafast Limao Cx/12 X 1l</v>
      </c>
      <c r="H568" s="5" cm="1">
        <f t="array" ref="H568">INDEX('Linha 04'!$C$4:$ZZ$1000,B568,C568)</f>
        <v>0</v>
      </c>
    </row>
    <row r="569" spans="1:8" x14ac:dyDescent="0.25">
      <c r="A569">
        <v>567</v>
      </c>
      <c r="B569">
        <f t="shared" si="16"/>
        <v>21</v>
      </c>
      <c r="C569">
        <f t="shared" si="17"/>
        <v>7</v>
      </c>
      <c r="D569" cm="1">
        <f t="array" ref="D569">INDEX('Linha 04'!$A$4:$A$1000,B569)</f>
        <v>20050149</v>
      </c>
      <c r="E569" t="str" cm="1">
        <f t="array" ref="E569">INDEX('Linha 04'!$B$4:$B$1000,B569)</f>
        <v>Desinfetante Aquafast Campos Lavanda Cx/12 X 1l</v>
      </c>
      <c r="F569" cm="1">
        <f t="array" ref="F569">INDEX('Linha 04'!$C$3:$ZZ$3,C569)</f>
        <v>20030013</v>
      </c>
      <c r="G569" t="str" cm="1">
        <f t="array" ref="G569">INDEX('Linha 04'!$C$2:$ZZ$2,C569)</f>
        <v>Detergente Aquafast Neutro Cx/12 X 1l</v>
      </c>
      <c r="H569" s="5" cm="1">
        <f t="array" ref="H569">INDEX('Linha 04'!$C$4:$ZZ$1000,B569,C569)</f>
        <v>0</v>
      </c>
    </row>
    <row r="570" spans="1:8" x14ac:dyDescent="0.25">
      <c r="A570">
        <v>568</v>
      </c>
      <c r="B570">
        <f t="shared" si="16"/>
        <v>21</v>
      </c>
      <c r="C570">
        <f t="shared" si="17"/>
        <v>8</v>
      </c>
      <c r="D570" cm="1">
        <f t="array" ref="D570">INDEX('Linha 04'!$A$4:$A$1000,B570)</f>
        <v>20050149</v>
      </c>
      <c r="E570" t="str" cm="1">
        <f t="array" ref="E570">INDEX('Linha 04'!$B$4:$B$1000,B570)</f>
        <v>Desinfetante Aquafast Campos Lavanda Cx/12 X 1l</v>
      </c>
      <c r="F570" cm="1">
        <f t="array" ref="F570">INDEX('Linha 04'!$C$3:$ZZ$3,C570)</f>
        <v>20030014</v>
      </c>
      <c r="G570" t="str" cm="1">
        <f t="array" ref="G570">INDEX('Linha 04'!$C$2:$ZZ$2,C570)</f>
        <v>Detergente Aquafast Clear Cx/12 X 1l (Natural)</v>
      </c>
      <c r="H570" s="5" cm="1">
        <f t="array" ref="H570">INDEX('Linha 04'!$C$4:$ZZ$1000,B570,C570)</f>
        <v>0</v>
      </c>
    </row>
    <row r="571" spans="1:8" x14ac:dyDescent="0.25">
      <c r="A571">
        <v>569</v>
      </c>
      <c r="B571">
        <f t="shared" si="16"/>
        <v>21</v>
      </c>
      <c r="C571">
        <f t="shared" si="17"/>
        <v>9</v>
      </c>
      <c r="D571" cm="1">
        <f t="array" ref="D571">INDEX('Linha 04'!$A$4:$A$1000,B571)</f>
        <v>20050149</v>
      </c>
      <c r="E571" t="str" cm="1">
        <f t="array" ref="E571">INDEX('Linha 04'!$B$4:$B$1000,B571)</f>
        <v>Desinfetante Aquafast Campos Lavanda Cx/12 X 1l</v>
      </c>
      <c r="F571" cm="1">
        <f t="array" ref="F571">INDEX('Linha 04'!$C$3:$ZZ$3,C571)</f>
        <v>20030020</v>
      </c>
      <c r="G571" t="str" cm="1">
        <f t="array" ref="G571">INDEX('Linha 04'!$C$2:$ZZ$2,C571)</f>
        <v>Detergente Ito Maca Cx/24 X 500ml</v>
      </c>
      <c r="H571" s="5" cm="1">
        <f t="array" ref="H571">INDEX('Linha 04'!$C$4:$ZZ$1000,B571,C571)</f>
        <v>0</v>
      </c>
    </row>
    <row r="572" spans="1:8" x14ac:dyDescent="0.25">
      <c r="A572">
        <v>570</v>
      </c>
      <c r="B572">
        <f t="shared" si="16"/>
        <v>21</v>
      </c>
      <c r="C572">
        <f t="shared" si="17"/>
        <v>10</v>
      </c>
      <c r="D572" cm="1">
        <f t="array" ref="D572">INDEX('Linha 04'!$A$4:$A$1000,B572)</f>
        <v>20050149</v>
      </c>
      <c r="E572" t="str" cm="1">
        <f t="array" ref="E572">INDEX('Linha 04'!$B$4:$B$1000,B572)</f>
        <v>Desinfetante Aquafast Campos Lavanda Cx/12 X 1l</v>
      </c>
      <c r="F572" cm="1">
        <f t="array" ref="F572">INDEX('Linha 04'!$C$3:$ZZ$3,C572)</f>
        <v>20030021</v>
      </c>
      <c r="G572" t="str" cm="1">
        <f t="array" ref="G572">INDEX('Linha 04'!$C$2:$ZZ$2,C572)</f>
        <v>Detergente Ito Limao Cx/24 X 500ml</v>
      </c>
      <c r="H572" s="5" cm="1">
        <f t="array" ref="H572">INDEX('Linha 04'!$C$4:$ZZ$1000,B572,C572)</f>
        <v>0</v>
      </c>
    </row>
    <row r="573" spans="1:8" x14ac:dyDescent="0.25">
      <c r="A573">
        <v>571</v>
      </c>
      <c r="B573">
        <f t="shared" si="16"/>
        <v>21</v>
      </c>
      <c r="C573">
        <f t="shared" si="17"/>
        <v>11</v>
      </c>
      <c r="D573" cm="1">
        <f t="array" ref="D573">INDEX('Linha 04'!$A$4:$A$1000,B573)</f>
        <v>20050149</v>
      </c>
      <c r="E573" t="str" cm="1">
        <f t="array" ref="E573">INDEX('Linha 04'!$B$4:$B$1000,B573)</f>
        <v>Desinfetante Aquafast Campos Lavanda Cx/12 X 1l</v>
      </c>
      <c r="F573" cm="1">
        <f t="array" ref="F573">INDEX('Linha 04'!$C$3:$ZZ$3,C573)</f>
        <v>20030022</v>
      </c>
      <c r="G573" t="str" cm="1">
        <f t="array" ref="G573">INDEX('Linha 04'!$C$2:$ZZ$2,C573)</f>
        <v>Detergente Ito Neutro Cx/24 X 500ml</v>
      </c>
      <c r="H573" s="5" cm="1">
        <f t="array" ref="H573">INDEX('Linha 04'!$C$4:$ZZ$1000,B573,C573)</f>
        <v>0</v>
      </c>
    </row>
    <row r="574" spans="1:8" x14ac:dyDescent="0.25">
      <c r="A574">
        <v>572</v>
      </c>
      <c r="B574">
        <f t="shared" si="16"/>
        <v>21</v>
      </c>
      <c r="C574">
        <f t="shared" si="17"/>
        <v>12</v>
      </c>
      <c r="D574" cm="1">
        <f t="array" ref="D574">INDEX('Linha 04'!$A$4:$A$1000,B574)</f>
        <v>20050149</v>
      </c>
      <c r="E574" t="str" cm="1">
        <f t="array" ref="E574">INDEX('Linha 04'!$B$4:$B$1000,B574)</f>
        <v>Desinfetante Aquafast Campos Lavanda Cx/12 X 1l</v>
      </c>
      <c r="F574" cm="1">
        <f t="array" ref="F574">INDEX('Linha 04'!$C$3:$ZZ$3,C574)</f>
        <v>20030023</v>
      </c>
      <c r="G574" t="str" cm="1">
        <f t="array" ref="G574">INDEX('Linha 04'!$C$2:$ZZ$2,C574)</f>
        <v>Detergente Ito Clear Cx/24 X 500ml</v>
      </c>
      <c r="H574" s="5" cm="1">
        <f t="array" ref="H574">INDEX('Linha 04'!$C$4:$ZZ$1000,B574,C574)</f>
        <v>0</v>
      </c>
    </row>
    <row r="575" spans="1:8" x14ac:dyDescent="0.25">
      <c r="A575">
        <v>573</v>
      </c>
      <c r="B575">
        <f t="shared" si="16"/>
        <v>21</v>
      </c>
      <c r="C575">
        <f t="shared" si="17"/>
        <v>13</v>
      </c>
      <c r="D575" cm="1">
        <f t="array" ref="D575">INDEX('Linha 04'!$A$4:$A$1000,B575)</f>
        <v>20050149</v>
      </c>
      <c r="E575" t="str" cm="1">
        <f t="array" ref="E575">INDEX('Linha 04'!$B$4:$B$1000,B575)</f>
        <v>Desinfetante Aquafast Campos Lavanda Cx/12 X 1l</v>
      </c>
      <c r="F575" cm="1">
        <f t="array" ref="F575">INDEX('Linha 04'!$C$3:$ZZ$3,C575)</f>
        <v>20030038</v>
      </c>
      <c r="G575" t="str" cm="1">
        <f t="array" ref="G575">INDEX('Linha 04'!$C$2:$ZZ$2,C575)</f>
        <v>Detergente Myata Maca Cx/24 X 500ml</v>
      </c>
      <c r="H575" s="5" cm="1">
        <f t="array" ref="H575">INDEX('Linha 04'!$C$4:$ZZ$1000,B575,C575)</f>
        <v>0</v>
      </c>
    </row>
    <row r="576" spans="1:8" x14ac:dyDescent="0.25">
      <c r="A576">
        <v>574</v>
      </c>
      <c r="B576">
        <f t="shared" si="16"/>
        <v>21</v>
      </c>
      <c r="C576">
        <f t="shared" si="17"/>
        <v>14</v>
      </c>
      <c r="D576" cm="1">
        <f t="array" ref="D576">INDEX('Linha 04'!$A$4:$A$1000,B576)</f>
        <v>20050149</v>
      </c>
      <c r="E576" t="str" cm="1">
        <f t="array" ref="E576">INDEX('Linha 04'!$B$4:$B$1000,B576)</f>
        <v>Desinfetante Aquafast Campos Lavanda Cx/12 X 1l</v>
      </c>
      <c r="F576" cm="1">
        <f t="array" ref="F576">INDEX('Linha 04'!$C$3:$ZZ$3,C576)</f>
        <v>20030039</v>
      </c>
      <c r="G576" t="str" cm="1">
        <f t="array" ref="G576">INDEX('Linha 04'!$C$2:$ZZ$2,C576)</f>
        <v>Detergente Myata Limao Cx/24 X 500ml</v>
      </c>
      <c r="H576" s="5" cm="1">
        <f t="array" ref="H576">INDEX('Linha 04'!$C$4:$ZZ$1000,B576,C576)</f>
        <v>0</v>
      </c>
    </row>
    <row r="577" spans="1:8" x14ac:dyDescent="0.25">
      <c r="A577">
        <v>575</v>
      </c>
      <c r="B577">
        <f t="shared" si="16"/>
        <v>21</v>
      </c>
      <c r="C577">
        <f t="shared" si="17"/>
        <v>15</v>
      </c>
      <c r="D577" cm="1">
        <f t="array" ref="D577">INDEX('Linha 04'!$A$4:$A$1000,B577)</f>
        <v>20050149</v>
      </c>
      <c r="E577" t="str" cm="1">
        <f t="array" ref="E577">INDEX('Linha 04'!$B$4:$B$1000,B577)</f>
        <v>Desinfetante Aquafast Campos Lavanda Cx/12 X 1l</v>
      </c>
      <c r="F577" cm="1">
        <f t="array" ref="F577">INDEX('Linha 04'!$C$3:$ZZ$3,C577)</f>
        <v>20030040</v>
      </c>
      <c r="G577" t="str" cm="1">
        <f t="array" ref="G577">INDEX('Linha 04'!$C$2:$ZZ$2,C577)</f>
        <v>Detergente Myata Neutro Cx/24 X 500ml</v>
      </c>
      <c r="H577" s="5" cm="1">
        <f t="array" ref="H577">INDEX('Linha 04'!$C$4:$ZZ$1000,B577,C577)</f>
        <v>0</v>
      </c>
    </row>
    <row r="578" spans="1:8" x14ac:dyDescent="0.25">
      <c r="A578">
        <v>576</v>
      </c>
      <c r="B578">
        <f t="shared" si="16"/>
        <v>21</v>
      </c>
      <c r="C578">
        <f t="shared" si="17"/>
        <v>16</v>
      </c>
      <c r="D578" cm="1">
        <f t="array" ref="D578">INDEX('Linha 04'!$A$4:$A$1000,B578)</f>
        <v>20050149</v>
      </c>
      <c r="E578" t="str" cm="1">
        <f t="array" ref="E578">INDEX('Linha 04'!$B$4:$B$1000,B578)</f>
        <v>Desinfetante Aquafast Campos Lavanda Cx/12 X 1l</v>
      </c>
      <c r="F578" cm="1">
        <f t="array" ref="F578">INDEX('Linha 04'!$C$3:$ZZ$3,C578)</f>
        <v>20030067</v>
      </c>
      <c r="G578" t="str" cm="1">
        <f t="array" ref="G578">INDEX('Linha 04'!$C$2:$ZZ$2,C578)</f>
        <v>Detergente Aquafast Coco Cx/24 X 500ml</v>
      </c>
      <c r="H578" s="5" cm="1">
        <f t="array" ref="H578">INDEX('Linha 04'!$C$4:$ZZ$1000,B578,C578)</f>
        <v>0</v>
      </c>
    </row>
    <row r="579" spans="1:8" x14ac:dyDescent="0.25">
      <c r="A579">
        <v>577</v>
      </c>
      <c r="B579">
        <f t="shared" si="16"/>
        <v>21</v>
      </c>
      <c r="C579">
        <f t="shared" si="17"/>
        <v>17</v>
      </c>
      <c r="D579" cm="1">
        <f t="array" ref="D579">INDEX('Linha 04'!$A$4:$A$1000,B579)</f>
        <v>20050149</v>
      </c>
      <c r="E579" t="str" cm="1">
        <f t="array" ref="E579">INDEX('Linha 04'!$B$4:$B$1000,B579)</f>
        <v>Desinfetante Aquafast Campos Lavanda Cx/12 X 1l</v>
      </c>
      <c r="F579" cm="1">
        <f t="array" ref="F579">INDEX('Linha 04'!$C$3:$ZZ$3,C579)</f>
        <v>20050001</v>
      </c>
      <c r="G579" t="str" cm="1">
        <f t="array" ref="G579">INDEX('Linha 04'!$C$2:$ZZ$2,C579)</f>
        <v>Desinfetante Aquafast Campos Lavanda Cx/12 X 500ml</v>
      </c>
      <c r="H579" s="5" cm="1">
        <f t="array" ref="H579">INDEX('Linha 04'!$C$4:$ZZ$1000,B579,C579)</f>
        <v>0</v>
      </c>
    </row>
    <row r="580" spans="1:8" x14ac:dyDescent="0.25">
      <c r="A580">
        <v>578</v>
      </c>
      <c r="B580">
        <f t="shared" ref="B580:B643" si="18">INT((A580-1)/$B$1)+1</f>
        <v>21</v>
      </c>
      <c r="C580">
        <f t="shared" ref="C580:C643" si="19">MOD(A580-1,$B$1)+1</f>
        <v>18</v>
      </c>
      <c r="D580" cm="1">
        <f t="array" ref="D580">INDEX('Linha 04'!$A$4:$A$1000,B580)</f>
        <v>20050149</v>
      </c>
      <c r="E580" t="str" cm="1">
        <f t="array" ref="E580">INDEX('Linha 04'!$B$4:$B$1000,B580)</f>
        <v>Desinfetante Aquafast Campos Lavanda Cx/12 X 1l</v>
      </c>
      <c r="F580" cm="1">
        <f t="array" ref="F580">INDEX('Linha 04'!$C$3:$ZZ$3,C580)</f>
        <v>20050026</v>
      </c>
      <c r="G580" t="str" cm="1">
        <f t="array" ref="G580">INDEX('Linha 04'!$C$2:$ZZ$2,C580)</f>
        <v>Desinfetante Ito Lavanda Cx/12 X 500ml</v>
      </c>
      <c r="H580" s="5" cm="1">
        <f t="array" ref="H580">INDEX('Linha 04'!$C$4:$ZZ$1000,B580,C580)</f>
        <v>0</v>
      </c>
    </row>
    <row r="581" spans="1:8" x14ac:dyDescent="0.25">
      <c r="A581">
        <v>579</v>
      </c>
      <c r="B581">
        <f t="shared" si="18"/>
        <v>21</v>
      </c>
      <c r="C581">
        <f t="shared" si="19"/>
        <v>19</v>
      </c>
      <c r="D581" cm="1">
        <f t="array" ref="D581">INDEX('Linha 04'!$A$4:$A$1000,B581)</f>
        <v>20050149</v>
      </c>
      <c r="E581" t="str" cm="1">
        <f t="array" ref="E581">INDEX('Linha 04'!$B$4:$B$1000,B581)</f>
        <v>Desinfetante Aquafast Campos Lavanda Cx/12 X 1l</v>
      </c>
      <c r="F581" cm="1">
        <f t="array" ref="F581">INDEX('Linha 04'!$C$3:$ZZ$3,C581)</f>
        <v>20050119</v>
      </c>
      <c r="G581" t="str" cm="1">
        <f t="array" ref="G581">INDEX('Linha 04'!$C$2:$ZZ$2,C581)</f>
        <v>Desinfetante Aquafast Paixao Cx/12 X 500ml</v>
      </c>
      <c r="H581" s="5" cm="1">
        <f t="array" ref="H581">INDEX('Linha 04'!$C$4:$ZZ$1000,B581,C581)</f>
        <v>0</v>
      </c>
    </row>
    <row r="582" spans="1:8" x14ac:dyDescent="0.25">
      <c r="A582">
        <v>580</v>
      </c>
      <c r="B582">
        <f t="shared" si="18"/>
        <v>21</v>
      </c>
      <c r="C582">
        <f t="shared" si="19"/>
        <v>20</v>
      </c>
      <c r="D582" cm="1">
        <f t="array" ref="D582">INDEX('Linha 04'!$A$4:$A$1000,B582)</f>
        <v>20050149</v>
      </c>
      <c r="E582" t="str" cm="1">
        <f t="array" ref="E582">INDEX('Linha 04'!$B$4:$B$1000,B582)</f>
        <v>Desinfetante Aquafast Campos Lavanda Cx/12 X 1l</v>
      </c>
      <c r="F582" cm="1">
        <f t="array" ref="F582">INDEX('Linha 04'!$C$3:$ZZ$3,C582)</f>
        <v>20050145</v>
      </c>
      <c r="G582" t="str" cm="1">
        <f t="array" ref="G582">INDEX('Linha 04'!$C$2:$ZZ$2,C582)</f>
        <v>Desinfetante Aquafast Harmonia Natural Cx/12 X 500ml</v>
      </c>
      <c r="H582" s="5" cm="1">
        <f t="array" ref="H582">INDEX('Linha 04'!$C$4:$ZZ$1000,B582,C582)</f>
        <v>0</v>
      </c>
    </row>
    <row r="583" spans="1:8" x14ac:dyDescent="0.25">
      <c r="A583">
        <v>581</v>
      </c>
      <c r="B583">
        <f t="shared" si="18"/>
        <v>21</v>
      </c>
      <c r="C583">
        <f t="shared" si="19"/>
        <v>21</v>
      </c>
      <c r="D583" cm="1">
        <f t="array" ref="D583">INDEX('Linha 04'!$A$4:$A$1000,B583)</f>
        <v>20050149</v>
      </c>
      <c r="E583" t="str" cm="1">
        <f t="array" ref="E583">INDEX('Linha 04'!$B$4:$B$1000,B583)</f>
        <v>Desinfetante Aquafast Campos Lavanda Cx/12 X 1l</v>
      </c>
      <c r="F583" cm="1">
        <f t="array" ref="F583">INDEX('Linha 04'!$C$3:$ZZ$3,C583)</f>
        <v>20050149</v>
      </c>
      <c r="G583" t="str" cm="1">
        <f t="array" ref="G583">INDEX('Linha 04'!$C$2:$ZZ$2,C583)</f>
        <v>Desinfetante Aquafast Campos Lavanda Cx/12 X 1l</v>
      </c>
      <c r="H583" s="5" cm="1">
        <f t="array" ref="H583">INDEX('Linha 04'!$C$4:$ZZ$1000,B583,C583)</f>
        <v>0</v>
      </c>
    </row>
    <row r="584" spans="1:8" x14ac:dyDescent="0.25">
      <c r="A584">
        <v>582</v>
      </c>
      <c r="B584">
        <f t="shared" si="18"/>
        <v>21</v>
      </c>
      <c r="C584">
        <f t="shared" si="19"/>
        <v>22</v>
      </c>
      <c r="D584" cm="1">
        <f t="array" ref="D584">INDEX('Linha 04'!$A$4:$A$1000,B584)</f>
        <v>20050149</v>
      </c>
      <c r="E584" t="str" cm="1">
        <f t="array" ref="E584">INDEX('Linha 04'!$B$4:$B$1000,B584)</f>
        <v>Desinfetante Aquafast Campos Lavanda Cx/12 X 1l</v>
      </c>
      <c r="F584" cm="1">
        <f t="array" ref="F584">INDEX('Linha 04'!$C$3:$ZZ$3,C584)</f>
        <v>20050150</v>
      </c>
      <c r="G584" t="str" cm="1">
        <f t="array" ref="G584">INDEX('Linha 04'!$C$2:$ZZ$2,C584)</f>
        <v>Desinfetante Aquafast Marine Cx/12 X 1l</v>
      </c>
      <c r="H584" s="5" cm="1">
        <f t="array" ref="H584">INDEX('Linha 04'!$C$4:$ZZ$1000,B584,C584)</f>
        <v>0</v>
      </c>
    </row>
    <row r="585" spans="1:8" x14ac:dyDescent="0.25">
      <c r="A585">
        <v>583</v>
      </c>
      <c r="B585">
        <f t="shared" si="18"/>
        <v>21</v>
      </c>
      <c r="C585">
        <f t="shared" si="19"/>
        <v>23</v>
      </c>
      <c r="D585" cm="1">
        <f t="array" ref="D585">INDEX('Linha 04'!$A$4:$A$1000,B585)</f>
        <v>20050149</v>
      </c>
      <c r="E585" t="str" cm="1">
        <f t="array" ref="E585">INDEX('Linha 04'!$B$4:$B$1000,B585)</f>
        <v>Desinfetante Aquafast Campos Lavanda Cx/12 X 1l</v>
      </c>
      <c r="F585" cm="1">
        <f t="array" ref="F585">INDEX('Linha 04'!$C$3:$ZZ$3,C585)</f>
        <v>20050151</v>
      </c>
      <c r="G585" t="str" cm="1">
        <f t="array" ref="G585">INDEX('Linha 04'!$C$2:$ZZ$2,C585)</f>
        <v>Desinfetante Aquafast Paixao Cx/12 X 1l</v>
      </c>
      <c r="H585" s="5" cm="1">
        <f t="array" ref="H585">INDEX('Linha 04'!$C$4:$ZZ$1000,B585,C585)</f>
        <v>0</v>
      </c>
    </row>
    <row r="586" spans="1:8" x14ac:dyDescent="0.25">
      <c r="A586">
        <v>584</v>
      </c>
      <c r="B586">
        <f t="shared" si="18"/>
        <v>21</v>
      </c>
      <c r="C586">
        <f t="shared" si="19"/>
        <v>24</v>
      </c>
      <c r="D586" cm="1">
        <f t="array" ref="D586">INDEX('Linha 04'!$A$4:$A$1000,B586)</f>
        <v>20050149</v>
      </c>
      <c r="E586" t="str" cm="1">
        <f t="array" ref="E586">INDEX('Linha 04'!$B$4:$B$1000,B586)</f>
        <v>Desinfetante Aquafast Campos Lavanda Cx/12 X 1l</v>
      </c>
      <c r="F586" cm="1">
        <f t="array" ref="F586">INDEX('Linha 04'!$C$3:$ZZ$3,C586)</f>
        <v>20050152</v>
      </c>
      <c r="G586" t="str" cm="1">
        <f t="array" ref="G586">INDEX('Linha 04'!$C$2:$ZZ$2,C586)</f>
        <v>Desinfetante Aquafast Harmonia Natural Cx/12 X 1l</v>
      </c>
      <c r="H586" s="5" cm="1">
        <f t="array" ref="H586">INDEX('Linha 04'!$C$4:$ZZ$1000,B586,C586)</f>
        <v>0</v>
      </c>
    </row>
    <row r="587" spans="1:8" x14ac:dyDescent="0.25">
      <c r="A587">
        <v>585</v>
      </c>
      <c r="B587">
        <f t="shared" si="18"/>
        <v>21</v>
      </c>
      <c r="C587">
        <f t="shared" si="19"/>
        <v>25</v>
      </c>
      <c r="D587" cm="1">
        <f t="array" ref="D587">INDEX('Linha 04'!$A$4:$A$1000,B587)</f>
        <v>20050149</v>
      </c>
      <c r="E587" t="str" cm="1">
        <f t="array" ref="E587">INDEX('Linha 04'!$B$4:$B$1000,B587)</f>
        <v>Desinfetante Aquafast Campos Lavanda Cx/12 X 1l</v>
      </c>
      <c r="F587" cm="1">
        <f t="array" ref="F587">INDEX('Linha 04'!$C$3:$ZZ$3,C587)</f>
        <v>20050153</v>
      </c>
      <c r="G587" t="str" cm="1">
        <f t="array" ref="G587">INDEX('Linha 04'!$C$2:$ZZ$2,C587)</f>
        <v>Desinfetante Ito Harmonia Natural Cx/12 X 500ml</v>
      </c>
      <c r="H587" s="5" cm="1">
        <f t="array" ref="H587">INDEX('Linha 04'!$C$4:$ZZ$1000,B587,C587)</f>
        <v>0</v>
      </c>
    </row>
    <row r="588" spans="1:8" x14ac:dyDescent="0.25">
      <c r="A588">
        <v>586</v>
      </c>
      <c r="B588">
        <f t="shared" si="18"/>
        <v>21</v>
      </c>
      <c r="C588">
        <f t="shared" si="19"/>
        <v>26</v>
      </c>
      <c r="D588" cm="1">
        <f t="array" ref="D588">INDEX('Linha 04'!$A$4:$A$1000,B588)</f>
        <v>20050149</v>
      </c>
      <c r="E588" t="str" cm="1">
        <f t="array" ref="E588">INDEX('Linha 04'!$B$4:$B$1000,B588)</f>
        <v>Desinfetante Aquafast Campos Lavanda Cx/12 X 1l</v>
      </c>
      <c r="F588" cm="1">
        <f t="array" ref="F588">INDEX('Linha 04'!$C$3:$ZZ$3,C588)</f>
        <v>20050155</v>
      </c>
      <c r="G588" t="str" cm="1">
        <f t="array" ref="G588">INDEX('Linha 04'!$C$2:$ZZ$2,C588)</f>
        <v>Intermed Pack Desinfetante Paixao Cx/12 X 1l</v>
      </c>
      <c r="H588" s="5" cm="1">
        <f t="array" ref="H588">INDEX('Linha 04'!$C$4:$ZZ$1000,B588,C588)</f>
        <v>0</v>
      </c>
    </row>
    <row r="589" spans="1:8" x14ac:dyDescent="0.25">
      <c r="A589">
        <v>587</v>
      </c>
      <c r="B589">
        <f t="shared" si="18"/>
        <v>21</v>
      </c>
      <c r="C589">
        <f t="shared" si="19"/>
        <v>27</v>
      </c>
      <c r="D589" cm="1">
        <f t="array" ref="D589">INDEX('Linha 04'!$A$4:$A$1000,B589)</f>
        <v>20050149</v>
      </c>
      <c r="E589" t="str" cm="1">
        <f t="array" ref="E589">INDEX('Linha 04'!$B$4:$B$1000,B589)</f>
        <v>Desinfetante Aquafast Campos Lavanda Cx/12 X 1l</v>
      </c>
      <c r="F589" cm="1">
        <f t="array" ref="F589">INDEX('Linha 04'!$C$3:$ZZ$3,C589)</f>
        <v>20050156</v>
      </c>
      <c r="G589" t="str" cm="1">
        <f t="array" ref="G589">INDEX('Linha 04'!$C$2:$ZZ$2,C589)</f>
        <v>Intermed Pack Desinfetante Campos Lavanda Cx/12 X 1l</v>
      </c>
      <c r="H589" s="5" cm="1">
        <f t="array" ref="H589">INDEX('Linha 04'!$C$4:$ZZ$1000,B589,C589)</f>
        <v>0</v>
      </c>
    </row>
    <row r="590" spans="1:8" x14ac:dyDescent="0.25">
      <c r="A590">
        <v>588</v>
      </c>
      <c r="B590">
        <f t="shared" si="18"/>
        <v>21</v>
      </c>
      <c r="C590">
        <f t="shared" si="19"/>
        <v>28</v>
      </c>
      <c r="D590" cm="1">
        <f t="array" ref="D590">INDEX('Linha 04'!$A$4:$A$1000,B590)</f>
        <v>20050149</v>
      </c>
      <c r="E590" t="str" cm="1">
        <f t="array" ref="E590">INDEX('Linha 04'!$B$4:$B$1000,B590)</f>
        <v>Desinfetante Aquafast Campos Lavanda Cx/12 X 1l</v>
      </c>
      <c r="F590" cm="1">
        <f t="array" ref="F590">INDEX('Linha 04'!$C$3:$ZZ$3,C590)</f>
        <v>20050157</v>
      </c>
      <c r="G590" t="str" cm="1">
        <f t="array" ref="G590">INDEX('Linha 04'!$C$2:$ZZ$2,C590)</f>
        <v>Intermed Pack Desinfetante Marine Cx/12 X 1l</v>
      </c>
      <c r="H590" s="5" cm="1">
        <f t="array" ref="H590">INDEX('Linha 04'!$C$4:$ZZ$1000,B590,C590)</f>
        <v>0</v>
      </c>
    </row>
    <row r="591" spans="1:8" x14ac:dyDescent="0.25">
      <c r="A591">
        <v>589</v>
      </c>
      <c r="B591">
        <f t="shared" si="18"/>
        <v>22</v>
      </c>
      <c r="C591">
        <f t="shared" si="19"/>
        <v>1</v>
      </c>
      <c r="D591" cm="1">
        <f t="array" ref="D591">INDEX('Linha 04'!$A$4:$A$1000,B591)</f>
        <v>20050150</v>
      </c>
      <c r="E591" t="str" cm="1">
        <f t="array" ref="E591">INDEX('Linha 04'!$B$4:$B$1000,B591)</f>
        <v>Desinfetante Aquafast Marine Cx/12 X 1l</v>
      </c>
      <c r="F591" cm="1">
        <f t="array" ref="F591">INDEX('Linha 04'!$C$3:$ZZ$3,C591)</f>
        <v>20030001</v>
      </c>
      <c r="G591" t="str" cm="1">
        <f t="array" ref="G591">INDEX('Linha 04'!$C$2:$ZZ$2,C591)</f>
        <v>Detergente Aquafast Maca Cx/24 X 500ml</v>
      </c>
      <c r="H591" s="5" cm="1">
        <f t="array" ref="H591">INDEX('Linha 04'!$C$4:$ZZ$1000,B591,C591)</f>
        <v>0</v>
      </c>
    </row>
    <row r="592" spans="1:8" x14ac:dyDescent="0.25">
      <c r="A592">
        <v>590</v>
      </c>
      <c r="B592">
        <f t="shared" si="18"/>
        <v>22</v>
      </c>
      <c r="C592">
        <f t="shared" si="19"/>
        <v>2</v>
      </c>
      <c r="D592" cm="1">
        <f t="array" ref="D592">INDEX('Linha 04'!$A$4:$A$1000,B592)</f>
        <v>20050150</v>
      </c>
      <c r="E592" t="str" cm="1">
        <f t="array" ref="E592">INDEX('Linha 04'!$B$4:$B$1000,B592)</f>
        <v>Desinfetante Aquafast Marine Cx/12 X 1l</v>
      </c>
      <c r="F592" cm="1">
        <f t="array" ref="F592">INDEX('Linha 04'!$C$3:$ZZ$3,C592)</f>
        <v>20030002</v>
      </c>
      <c r="G592" t="str" cm="1">
        <f t="array" ref="G592">INDEX('Linha 04'!$C$2:$ZZ$2,C592)</f>
        <v>Detergente Aquafast Limao Cx/24 X 500ml</v>
      </c>
      <c r="H592" s="5" cm="1">
        <f t="array" ref="H592">INDEX('Linha 04'!$C$4:$ZZ$1000,B592,C592)</f>
        <v>0</v>
      </c>
    </row>
    <row r="593" spans="1:8" x14ac:dyDescent="0.25">
      <c r="A593">
        <v>591</v>
      </c>
      <c r="B593">
        <f t="shared" si="18"/>
        <v>22</v>
      </c>
      <c r="C593">
        <f t="shared" si="19"/>
        <v>3</v>
      </c>
      <c r="D593" cm="1">
        <f t="array" ref="D593">INDEX('Linha 04'!$A$4:$A$1000,B593)</f>
        <v>20050150</v>
      </c>
      <c r="E593" t="str" cm="1">
        <f t="array" ref="E593">INDEX('Linha 04'!$B$4:$B$1000,B593)</f>
        <v>Desinfetante Aquafast Marine Cx/12 X 1l</v>
      </c>
      <c r="F593" cm="1">
        <f t="array" ref="F593">INDEX('Linha 04'!$C$3:$ZZ$3,C593)</f>
        <v>20030003</v>
      </c>
      <c r="G593" t="str" cm="1">
        <f t="array" ref="G593">INDEX('Linha 04'!$C$2:$ZZ$2,C593)</f>
        <v>Detergente Aquafast Neutro Cx/24 X 500ml</v>
      </c>
      <c r="H593" s="5" cm="1">
        <f t="array" ref="H593">INDEX('Linha 04'!$C$4:$ZZ$1000,B593,C593)</f>
        <v>0</v>
      </c>
    </row>
    <row r="594" spans="1:8" x14ac:dyDescent="0.25">
      <c r="A594">
        <v>592</v>
      </c>
      <c r="B594">
        <f t="shared" si="18"/>
        <v>22</v>
      </c>
      <c r="C594">
        <f t="shared" si="19"/>
        <v>4</v>
      </c>
      <c r="D594" cm="1">
        <f t="array" ref="D594">INDEX('Linha 04'!$A$4:$A$1000,B594)</f>
        <v>20050150</v>
      </c>
      <c r="E594" t="str" cm="1">
        <f t="array" ref="E594">INDEX('Linha 04'!$B$4:$B$1000,B594)</f>
        <v>Desinfetante Aquafast Marine Cx/12 X 1l</v>
      </c>
      <c r="F594" cm="1">
        <f t="array" ref="F594">INDEX('Linha 04'!$C$3:$ZZ$3,C594)</f>
        <v>20030004</v>
      </c>
      <c r="G594" t="str" cm="1">
        <f t="array" ref="G594">INDEX('Linha 04'!$C$2:$ZZ$2,C594)</f>
        <v>Detergente Aquafast Clear Cx/24 X 500ml (Natural)</v>
      </c>
      <c r="H594" s="5" cm="1">
        <f t="array" ref="H594">INDEX('Linha 04'!$C$4:$ZZ$1000,B594,C594)</f>
        <v>0</v>
      </c>
    </row>
    <row r="595" spans="1:8" x14ac:dyDescent="0.25">
      <c r="A595">
        <v>593</v>
      </c>
      <c r="B595">
        <f t="shared" si="18"/>
        <v>22</v>
      </c>
      <c r="C595">
        <f t="shared" si="19"/>
        <v>5</v>
      </c>
      <c r="D595" cm="1">
        <f t="array" ref="D595">INDEX('Linha 04'!$A$4:$A$1000,B595)</f>
        <v>20050150</v>
      </c>
      <c r="E595" t="str" cm="1">
        <f t="array" ref="E595">INDEX('Linha 04'!$B$4:$B$1000,B595)</f>
        <v>Desinfetante Aquafast Marine Cx/12 X 1l</v>
      </c>
      <c r="F595" cm="1">
        <f t="array" ref="F595">INDEX('Linha 04'!$C$3:$ZZ$3,C595)</f>
        <v>20030011</v>
      </c>
      <c r="G595" t="str" cm="1">
        <f t="array" ref="G595">INDEX('Linha 04'!$C$2:$ZZ$2,C595)</f>
        <v>Detergente Aquafast Maca Cx/12 X 1l</v>
      </c>
      <c r="H595" s="5" cm="1">
        <f t="array" ref="H595">INDEX('Linha 04'!$C$4:$ZZ$1000,B595,C595)</f>
        <v>0</v>
      </c>
    </row>
    <row r="596" spans="1:8" x14ac:dyDescent="0.25">
      <c r="A596">
        <v>594</v>
      </c>
      <c r="B596">
        <f t="shared" si="18"/>
        <v>22</v>
      </c>
      <c r="C596">
        <f t="shared" si="19"/>
        <v>6</v>
      </c>
      <c r="D596" cm="1">
        <f t="array" ref="D596">INDEX('Linha 04'!$A$4:$A$1000,B596)</f>
        <v>20050150</v>
      </c>
      <c r="E596" t="str" cm="1">
        <f t="array" ref="E596">INDEX('Linha 04'!$B$4:$B$1000,B596)</f>
        <v>Desinfetante Aquafast Marine Cx/12 X 1l</v>
      </c>
      <c r="F596" cm="1">
        <f t="array" ref="F596">INDEX('Linha 04'!$C$3:$ZZ$3,C596)</f>
        <v>20030012</v>
      </c>
      <c r="G596" t="str" cm="1">
        <f t="array" ref="G596">INDEX('Linha 04'!$C$2:$ZZ$2,C596)</f>
        <v>Detergente Aquafast Limao Cx/12 X 1l</v>
      </c>
      <c r="H596" s="5" cm="1">
        <f t="array" ref="H596">INDEX('Linha 04'!$C$4:$ZZ$1000,B596,C596)</f>
        <v>0</v>
      </c>
    </row>
    <row r="597" spans="1:8" x14ac:dyDescent="0.25">
      <c r="A597">
        <v>595</v>
      </c>
      <c r="B597">
        <f t="shared" si="18"/>
        <v>22</v>
      </c>
      <c r="C597">
        <f t="shared" si="19"/>
        <v>7</v>
      </c>
      <c r="D597" cm="1">
        <f t="array" ref="D597">INDEX('Linha 04'!$A$4:$A$1000,B597)</f>
        <v>20050150</v>
      </c>
      <c r="E597" t="str" cm="1">
        <f t="array" ref="E597">INDEX('Linha 04'!$B$4:$B$1000,B597)</f>
        <v>Desinfetante Aquafast Marine Cx/12 X 1l</v>
      </c>
      <c r="F597" cm="1">
        <f t="array" ref="F597">INDEX('Linha 04'!$C$3:$ZZ$3,C597)</f>
        <v>20030013</v>
      </c>
      <c r="G597" t="str" cm="1">
        <f t="array" ref="G597">INDEX('Linha 04'!$C$2:$ZZ$2,C597)</f>
        <v>Detergente Aquafast Neutro Cx/12 X 1l</v>
      </c>
      <c r="H597" s="5" cm="1">
        <f t="array" ref="H597">INDEX('Linha 04'!$C$4:$ZZ$1000,B597,C597)</f>
        <v>0</v>
      </c>
    </row>
    <row r="598" spans="1:8" x14ac:dyDescent="0.25">
      <c r="A598">
        <v>596</v>
      </c>
      <c r="B598">
        <f t="shared" si="18"/>
        <v>22</v>
      </c>
      <c r="C598">
        <f t="shared" si="19"/>
        <v>8</v>
      </c>
      <c r="D598" cm="1">
        <f t="array" ref="D598">INDEX('Linha 04'!$A$4:$A$1000,B598)</f>
        <v>20050150</v>
      </c>
      <c r="E598" t="str" cm="1">
        <f t="array" ref="E598">INDEX('Linha 04'!$B$4:$B$1000,B598)</f>
        <v>Desinfetante Aquafast Marine Cx/12 X 1l</v>
      </c>
      <c r="F598" cm="1">
        <f t="array" ref="F598">INDEX('Linha 04'!$C$3:$ZZ$3,C598)</f>
        <v>20030014</v>
      </c>
      <c r="G598" t="str" cm="1">
        <f t="array" ref="G598">INDEX('Linha 04'!$C$2:$ZZ$2,C598)</f>
        <v>Detergente Aquafast Clear Cx/12 X 1l (Natural)</v>
      </c>
      <c r="H598" s="5" cm="1">
        <f t="array" ref="H598">INDEX('Linha 04'!$C$4:$ZZ$1000,B598,C598)</f>
        <v>0</v>
      </c>
    </row>
    <row r="599" spans="1:8" x14ac:dyDescent="0.25">
      <c r="A599">
        <v>597</v>
      </c>
      <c r="B599">
        <f t="shared" si="18"/>
        <v>22</v>
      </c>
      <c r="C599">
        <f t="shared" si="19"/>
        <v>9</v>
      </c>
      <c r="D599" cm="1">
        <f t="array" ref="D599">INDEX('Linha 04'!$A$4:$A$1000,B599)</f>
        <v>20050150</v>
      </c>
      <c r="E599" t="str" cm="1">
        <f t="array" ref="E599">INDEX('Linha 04'!$B$4:$B$1000,B599)</f>
        <v>Desinfetante Aquafast Marine Cx/12 X 1l</v>
      </c>
      <c r="F599" cm="1">
        <f t="array" ref="F599">INDEX('Linha 04'!$C$3:$ZZ$3,C599)</f>
        <v>20030020</v>
      </c>
      <c r="G599" t="str" cm="1">
        <f t="array" ref="G599">INDEX('Linha 04'!$C$2:$ZZ$2,C599)</f>
        <v>Detergente Ito Maca Cx/24 X 500ml</v>
      </c>
      <c r="H599" s="5" cm="1">
        <f t="array" ref="H599">INDEX('Linha 04'!$C$4:$ZZ$1000,B599,C599)</f>
        <v>0</v>
      </c>
    </row>
    <row r="600" spans="1:8" x14ac:dyDescent="0.25">
      <c r="A600">
        <v>598</v>
      </c>
      <c r="B600">
        <f t="shared" si="18"/>
        <v>22</v>
      </c>
      <c r="C600">
        <f t="shared" si="19"/>
        <v>10</v>
      </c>
      <c r="D600" cm="1">
        <f t="array" ref="D600">INDEX('Linha 04'!$A$4:$A$1000,B600)</f>
        <v>20050150</v>
      </c>
      <c r="E600" t="str" cm="1">
        <f t="array" ref="E600">INDEX('Linha 04'!$B$4:$B$1000,B600)</f>
        <v>Desinfetante Aquafast Marine Cx/12 X 1l</v>
      </c>
      <c r="F600" cm="1">
        <f t="array" ref="F600">INDEX('Linha 04'!$C$3:$ZZ$3,C600)</f>
        <v>20030021</v>
      </c>
      <c r="G600" t="str" cm="1">
        <f t="array" ref="G600">INDEX('Linha 04'!$C$2:$ZZ$2,C600)</f>
        <v>Detergente Ito Limao Cx/24 X 500ml</v>
      </c>
      <c r="H600" s="5" cm="1">
        <f t="array" ref="H600">INDEX('Linha 04'!$C$4:$ZZ$1000,B600,C600)</f>
        <v>0</v>
      </c>
    </row>
    <row r="601" spans="1:8" x14ac:dyDescent="0.25">
      <c r="A601">
        <v>599</v>
      </c>
      <c r="B601">
        <f t="shared" si="18"/>
        <v>22</v>
      </c>
      <c r="C601">
        <f t="shared" si="19"/>
        <v>11</v>
      </c>
      <c r="D601" cm="1">
        <f t="array" ref="D601">INDEX('Linha 04'!$A$4:$A$1000,B601)</f>
        <v>20050150</v>
      </c>
      <c r="E601" t="str" cm="1">
        <f t="array" ref="E601">INDEX('Linha 04'!$B$4:$B$1000,B601)</f>
        <v>Desinfetante Aquafast Marine Cx/12 X 1l</v>
      </c>
      <c r="F601" cm="1">
        <f t="array" ref="F601">INDEX('Linha 04'!$C$3:$ZZ$3,C601)</f>
        <v>20030022</v>
      </c>
      <c r="G601" t="str" cm="1">
        <f t="array" ref="G601">INDEX('Linha 04'!$C$2:$ZZ$2,C601)</f>
        <v>Detergente Ito Neutro Cx/24 X 500ml</v>
      </c>
      <c r="H601" s="5" cm="1">
        <f t="array" ref="H601">INDEX('Linha 04'!$C$4:$ZZ$1000,B601,C601)</f>
        <v>0</v>
      </c>
    </row>
    <row r="602" spans="1:8" x14ac:dyDescent="0.25">
      <c r="A602">
        <v>600</v>
      </c>
      <c r="B602">
        <f t="shared" si="18"/>
        <v>22</v>
      </c>
      <c r="C602">
        <f t="shared" si="19"/>
        <v>12</v>
      </c>
      <c r="D602" cm="1">
        <f t="array" ref="D602">INDEX('Linha 04'!$A$4:$A$1000,B602)</f>
        <v>20050150</v>
      </c>
      <c r="E602" t="str" cm="1">
        <f t="array" ref="E602">INDEX('Linha 04'!$B$4:$B$1000,B602)</f>
        <v>Desinfetante Aquafast Marine Cx/12 X 1l</v>
      </c>
      <c r="F602" cm="1">
        <f t="array" ref="F602">INDEX('Linha 04'!$C$3:$ZZ$3,C602)</f>
        <v>20030023</v>
      </c>
      <c r="G602" t="str" cm="1">
        <f t="array" ref="G602">INDEX('Linha 04'!$C$2:$ZZ$2,C602)</f>
        <v>Detergente Ito Clear Cx/24 X 500ml</v>
      </c>
      <c r="H602" s="5" cm="1">
        <f t="array" ref="H602">INDEX('Linha 04'!$C$4:$ZZ$1000,B602,C602)</f>
        <v>0</v>
      </c>
    </row>
    <row r="603" spans="1:8" x14ac:dyDescent="0.25">
      <c r="A603">
        <v>601</v>
      </c>
      <c r="B603">
        <f t="shared" si="18"/>
        <v>22</v>
      </c>
      <c r="C603">
        <f t="shared" si="19"/>
        <v>13</v>
      </c>
      <c r="D603" cm="1">
        <f t="array" ref="D603">INDEX('Linha 04'!$A$4:$A$1000,B603)</f>
        <v>20050150</v>
      </c>
      <c r="E603" t="str" cm="1">
        <f t="array" ref="E603">INDEX('Linha 04'!$B$4:$B$1000,B603)</f>
        <v>Desinfetante Aquafast Marine Cx/12 X 1l</v>
      </c>
      <c r="F603" cm="1">
        <f t="array" ref="F603">INDEX('Linha 04'!$C$3:$ZZ$3,C603)</f>
        <v>20030038</v>
      </c>
      <c r="G603" t="str" cm="1">
        <f t="array" ref="G603">INDEX('Linha 04'!$C$2:$ZZ$2,C603)</f>
        <v>Detergente Myata Maca Cx/24 X 500ml</v>
      </c>
      <c r="H603" s="5" cm="1">
        <f t="array" ref="H603">INDEX('Linha 04'!$C$4:$ZZ$1000,B603,C603)</f>
        <v>0</v>
      </c>
    </row>
    <row r="604" spans="1:8" x14ac:dyDescent="0.25">
      <c r="A604">
        <v>602</v>
      </c>
      <c r="B604">
        <f t="shared" si="18"/>
        <v>22</v>
      </c>
      <c r="C604">
        <f t="shared" si="19"/>
        <v>14</v>
      </c>
      <c r="D604" cm="1">
        <f t="array" ref="D604">INDEX('Linha 04'!$A$4:$A$1000,B604)</f>
        <v>20050150</v>
      </c>
      <c r="E604" t="str" cm="1">
        <f t="array" ref="E604">INDEX('Linha 04'!$B$4:$B$1000,B604)</f>
        <v>Desinfetante Aquafast Marine Cx/12 X 1l</v>
      </c>
      <c r="F604" cm="1">
        <f t="array" ref="F604">INDEX('Linha 04'!$C$3:$ZZ$3,C604)</f>
        <v>20030039</v>
      </c>
      <c r="G604" t="str" cm="1">
        <f t="array" ref="G604">INDEX('Linha 04'!$C$2:$ZZ$2,C604)</f>
        <v>Detergente Myata Limao Cx/24 X 500ml</v>
      </c>
      <c r="H604" s="5" cm="1">
        <f t="array" ref="H604">INDEX('Linha 04'!$C$4:$ZZ$1000,B604,C604)</f>
        <v>0</v>
      </c>
    </row>
    <row r="605" spans="1:8" x14ac:dyDescent="0.25">
      <c r="A605">
        <v>603</v>
      </c>
      <c r="B605">
        <f t="shared" si="18"/>
        <v>22</v>
      </c>
      <c r="C605">
        <f t="shared" si="19"/>
        <v>15</v>
      </c>
      <c r="D605" cm="1">
        <f t="array" ref="D605">INDEX('Linha 04'!$A$4:$A$1000,B605)</f>
        <v>20050150</v>
      </c>
      <c r="E605" t="str" cm="1">
        <f t="array" ref="E605">INDEX('Linha 04'!$B$4:$B$1000,B605)</f>
        <v>Desinfetante Aquafast Marine Cx/12 X 1l</v>
      </c>
      <c r="F605" cm="1">
        <f t="array" ref="F605">INDEX('Linha 04'!$C$3:$ZZ$3,C605)</f>
        <v>20030040</v>
      </c>
      <c r="G605" t="str" cm="1">
        <f t="array" ref="G605">INDEX('Linha 04'!$C$2:$ZZ$2,C605)</f>
        <v>Detergente Myata Neutro Cx/24 X 500ml</v>
      </c>
      <c r="H605" s="5" cm="1">
        <f t="array" ref="H605">INDEX('Linha 04'!$C$4:$ZZ$1000,B605,C605)</f>
        <v>0</v>
      </c>
    </row>
    <row r="606" spans="1:8" x14ac:dyDescent="0.25">
      <c r="A606">
        <v>604</v>
      </c>
      <c r="B606">
        <f t="shared" si="18"/>
        <v>22</v>
      </c>
      <c r="C606">
        <f t="shared" si="19"/>
        <v>16</v>
      </c>
      <c r="D606" cm="1">
        <f t="array" ref="D606">INDEX('Linha 04'!$A$4:$A$1000,B606)</f>
        <v>20050150</v>
      </c>
      <c r="E606" t="str" cm="1">
        <f t="array" ref="E606">INDEX('Linha 04'!$B$4:$B$1000,B606)</f>
        <v>Desinfetante Aquafast Marine Cx/12 X 1l</v>
      </c>
      <c r="F606" cm="1">
        <f t="array" ref="F606">INDEX('Linha 04'!$C$3:$ZZ$3,C606)</f>
        <v>20030067</v>
      </c>
      <c r="G606" t="str" cm="1">
        <f t="array" ref="G606">INDEX('Linha 04'!$C$2:$ZZ$2,C606)</f>
        <v>Detergente Aquafast Coco Cx/24 X 500ml</v>
      </c>
      <c r="H606" s="5" cm="1">
        <f t="array" ref="H606">INDEX('Linha 04'!$C$4:$ZZ$1000,B606,C606)</f>
        <v>0</v>
      </c>
    </row>
    <row r="607" spans="1:8" x14ac:dyDescent="0.25">
      <c r="A607">
        <v>605</v>
      </c>
      <c r="B607">
        <f t="shared" si="18"/>
        <v>22</v>
      </c>
      <c r="C607">
        <f t="shared" si="19"/>
        <v>17</v>
      </c>
      <c r="D607" cm="1">
        <f t="array" ref="D607">INDEX('Linha 04'!$A$4:$A$1000,B607)</f>
        <v>20050150</v>
      </c>
      <c r="E607" t="str" cm="1">
        <f t="array" ref="E607">INDEX('Linha 04'!$B$4:$B$1000,B607)</f>
        <v>Desinfetante Aquafast Marine Cx/12 X 1l</v>
      </c>
      <c r="F607" cm="1">
        <f t="array" ref="F607">INDEX('Linha 04'!$C$3:$ZZ$3,C607)</f>
        <v>20050001</v>
      </c>
      <c r="G607" t="str" cm="1">
        <f t="array" ref="G607">INDEX('Linha 04'!$C$2:$ZZ$2,C607)</f>
        <v>Desinfetante Aquafast Campos Lavanda Cx/12 X 500ml</v>
      </c>
      <c r="H607" s="5" cm="1">
        <f t="array" ref="H607">INDEX('Linha 04'!$C$4:$ZZ$1000,B607,C607)</f>
        <v>0</v>
      </c>
    </row>
    <row r="608" spans="1:8" x14ac:dyDescent="0.25">
      <c r="A608">
        <v>606</v>
      </c>
      <c r="B608">
        <f t="shared" si="18"/>
        <v>22</v>
      </c>
      <c r="C608">
        <f t="shared" si="19"/>
        <v>18</v>
      </c>
      <c r="D608" cm="1">
        <f t="array" ref="D608">INDEX('Linha 04'!$A$4:$A$1000,B608)</f>
        <v>20050150</v>
      </c>
      <c r="E608" t="str" cm="1">
        <f t="array" ref="E608">INDEX('Linha 04'!$B$4:$B$1000,B608)</f>
        <v>Desinfetante Aquafast Marine Cx/12 X 1l</v>
      </c>
      <c r="F608" cm="1">
        <f t="array" ref="F608">INDEX('Linha 04'!$C$3:$ZZ$3,C608)</f>
        <v>20050026</v>
      </c>
      <c r="G608" t="str" cm="1">
        <f t="array" ref="G608">INDEX('Linha 04'!$C$2:$ZZ$2,C608)</f>
        <v>Desinfetante Ito Lavanda Cx/12 X 500ml</v>
      </c>
      <c r="H608" s="5" cm="1">
        <f t="array" ref="H608">INDEX('Linha 04'!$C$4:$ZZ$1000,B608,C608)</f>
        <v>0</v>
      </c>
    </row>
    <row r="609" spans="1:8" x14ac:dyDescent="0.25">
      <c r="A609">
        <v>607</v>
      </c>
      <c r="B609">
        <f t="shared" si="18"/>
        <v>22</v>
      </c>
      <c r="C609">
        <f t="shared" si="19"/>
        <v>19</v>
      </c>
      <c r="D609" cm="1">
        <f t="array" ref="D609">INDEX('Linha 04'!$A$4:$A$1000,B609)</f>
        <v>20050150</v>
      </c>
      <c r="E609" t="str" cm="1">
        <f t="array" ref="E609">INDEX('Linha 04'!$B$4:$B$1000,B609)</f>
        <v>Desinfetante Aquafast Marine Cx/12 X 1l</v>
      </c>
      <c r="F609" cm="1">
        <f t="array" ref="F609">INDEX('Linha 04'!$C$3:$ZZ$3,C609)</f>
        <v>20050119</v>
      </c>
      <c r="G609" t="str" cm="1">
        <f t="array" ref="G609">INDEX('Linha 04'!$C$2:$ZZ$2,C609)</f>
        <v>Desinfetante Aquafast Paixao Cx/12 X 500ml</v>
      </c>
      <c r="H609" s="5" cm="1">
        <f t="array" ref="H609">INDEX('Linha 04'!$C$4:$ZZ$1000,B609,C609)</f>
        <v>0</v>
      </c>
    </row>
    <row r="610" spans="1:8" x14ac:dyDescent="0.25">
      <c r="A610">
        <v>608</v>
      </c>
      <c r="B610">
        <f t="shared" si="18"/>
        <v>22</v>
      </c>
      <c r="C610">
        <f t="shared" si="19"/>
        <v>20</v>
      </c>
      <c r="D610" cm="1">
        <f t="array" ref="D610">INDEX('Linha 04'!$A$4:$A$1000,B610)</f>
        <v>20050150</v>
      </c>
      <c r="E610" t="str" cm="1">
        <f t="array" ref="E610">INDEX('Linha 04'!$B$4:$B$1000,B610)</f>
        <v>Desinfetante Aquafast Marine Cx/12 X 1l</v>
      </c>
      <c r="F610" cm="1">
        <f t="array" ref="F610">INDEX('Linha 04'!$C$3:$ZZ$3,C610)</f>
        <v>20050145</v>
      </c>
      <c r="G610" t="str" cm="1">
        <f t="array" ref="G610">INDEX('Linha 04'!$C$2:$ZZ$2,C610)</f>
        <v>Desinfetante Aquafast Harmonia Natural Cx/12 X 500ml</v>
      </c>
      <c r="H610" s="5" cm="1">
        <f t="array" ref="H610">INDEX('Linha 04'!$C$4:$ZZ$1000,B610,C610)</f>
        <v>0</v>
      </c>
    </row>
    <row r="611" spans="1:8" x14ac:dyDescent="0.25">
      <c r="A611">
        <v>609</v>
      </c>
      <c r="B611">
        <f t="shared" si="18"/>
        <v>22</v>
      </c>
      <c r="C611">
        <f t="shared" si="19"/>
        <v>21</v>
      </c>
      <c r="D611" cm="1">
        <f t="array" ref="D611">INDEX('Linha 04'!$A$4:$A$1000,B611)</f>
        <v>20050150</v>
      </c>
      <c r="E611" t="str" cm="1">
        <f t="array" ref="E611">INDEX('Linha 04'!$B$4:$B$1000,B611)</f>
        <v>Desinfetante Aquafast Marine Cx/12 X 1l</v>
      </c>
      <c r="F611" cm="1">
        <f t="array" ref="F611">INDEX('Linha 04'!$C$3:$ZZ$3,C611)</f>
        <v>20050149</v>
      </c>
      <c r="G611" t="str" cm="1">
        <f t="array" ref="G611">INDEX('Linha 04'!$C$2:$ZZ$2,C611)</f>
        <v>Desinfetante Aquafast Campos Lavanda Cx/12 X 1l</v>
      </c>
      <c r="H611" s="5" cm="1">
        <f t="array" ref="H611">INDEX('Linha 04'!$C$4:$ZZ$1000,B611,C611)</f>
        <v>0</v>
      </c>
    </row>
    <row r="612" spans="1:8" x14ac:dyDescent="0.25">
      <c r="A612">
        <v>610</v>
      </c>
      <c r="B612">
        <f t="shared" si="18"/>
        <v>22</v>
      </c>
      <c r="C612">
        <f t="shared" si="19"/>
        <v>22</v>
      </c>
      <c r="D612" cm="1">
        <f t="array" ref="D612">INDEX('Linha 04'!$A$4:$A$1000,B612)</f>
        <v>20050150</v>
      </c>
      <c r="E612" t="str" cm="1">
        <f t="array" ref="E612">INDEX('Linha 04'!$B$4:$B$1000,B612)</f>
        <v>Desinfetante Aquafast Marine Cx/12 X 1l</v>
      </c>
      <c r="F612" cm="1">
        <f t="array" ref="F612">INDEX('Linha 04'!$C$3:$ZZ$3,C612)</f>
        <v>20050150</v>
      </c>
      <c r="G612" t="str" cm="1">
        <f t="array" ref="G612">INDEX('Linha 04'!$C$2:$ZZ$2,C612)</f>
        <v>Desinfetante Aquafast Marine Cx/12 X 1l</v>
      </c>
      <c r="H612" s="5" cm="1">
        <f t="array" ref="H612">INDEX('Linha 04'!$C$4:$ZZ$1000,B612,C612)</f>
        <v>0</v>
      </c>
    </row>
    <row r="613" spans="1:8" x14ac:dyDescent="0.25">
      <c r="A613">
        <v>611</v>
      </c>
      <c r="B613">
        <f t="shared" si="18"/>
        <v>22</v>
      </c>
      <c r="C613">
        <f t="shared" si="19"/>
        <v>23</v>
      </c>
      <c r="D613" cm="1">
        <f t="array" ref="D613">INDEX('Linha 04'!$A$4:$A$1000,B613)</f>
        <v>20050150</v>
      </c>
      <c r="E613" t="str" cm="1">
        <f t="array" ref="E613">INDEX('Linha 04'!$B$4:$B$1000,B613)</f>
        <v>Desinfetante Aquafast Marine Cx/12 X 1l</v>
      </c>
      <c r="F613" cm="1">
        <f t="array" ref="F613">INDEX('Linha 04'!$C$3:$ZZ$3,C613)</f>
        <v>20050151</v>
      </c>
      <c r="G613" t="str" cm="1">
        <f t="array" ref="G613">INDEX('Linha 04'!$C$2:$ZZ$2,C613)</f>
        <v>Desinfetante Aquafast Paixao Cx/12 X 1l</v>
      </c>
      <c r="H613" s="5" cm="1">
        <f t="array" ref="H613">INDEX('Linha 04'!$C$4:$ZZ$1000,B613,C613)</f>
        <v>0</v>
      </c>
    </row>
    <row r="614" spans="1:8" x14ac:dyDescent="0.25">
      <c r="A614">
        <v>612</v>
      </c>
      <c r="B614">
        <f t="shared" si="18"/>
        <v>22</v>
      </c>
      <c r="C614">
        <f t="shared" si="19"/>
        <v>24</v>
      </c>
      <c r="D614" cm="1">
        <f t="array" ref="D614">INDEX('Linha 04'!$A$4:$A$1000,B614)</f>
        <v>20050150</v>
      </c>
      <c r="E614" t="str" cm="1">
        <f t="array" ref="E614">INDEX('Linha 04'!$B$4:$B$1000,B614)</f>
        <v>Desinfetante Aquafast Marine Cx/12 X 1l</v>
      </c>
      <c r="F614" cm="1">
        <f t="array" ref="F614">INDEX('Linha 04'!$C$3:$ZZ$3,C614)</f>
        <v>20050152</v>
      </c>
      <c r="G614" t="str" cm="1">
        <f t="array" ref="G614">INDEX('Linha 04'!$C$2:$ZZ$2,C614)</f>
        <v>Desinfetante Aquafast Harmonia Natural Cx/12 X 1l</v>
      </c>
      <c r="H614" s="5" cm="1">
        <f t="array" ref="H614">INDEX('Linha 04'!$C$4:$ZZ$1000,B614,C614)</f>
        <v>0</v>
      </c>
    </row>
    <row r="615" spans="1:8" x14ac:dyDescent="0.25">
      <c r="A615">
        <v>613</v>
      </c>
      <c r="B615">
        <f t="shared" si="18"/>
        <v>22</v>
      </c>
      <c r="C615">
        <f t="shared" si="19"/>
        <v>25</v>
      </c>
      <c r="D615" cm="1">
        <f t="array" ref="D615">INDEX('Linha 04'!$A$4:$A$1000,B615)</f>
        <v>20050150</v>
      </c>
      <c r="E615" t="str" cm="1">
        <f t="array" ref="E615">INDEX('Linha 04'!$B$4:$B$1000,B615)</f>
        <v>Desinfetante Aquafast Marine Cx/12 X 1l</v>
      </c>
      <c r="F615" cm="1">
        <f t="array" ref="F615">INDEX('Linha 04'!$C$3:$ZZ$3,C615)</f>
        <v>20050153</v>
      </c>
      <c r="G615" t="str" cm="1">
        <f t="array" ref="G615">INDEX('Linha 04'!$C$2:$ZZ$2,C615)</f>
        <v>Desinfetante Ito Harmonia Natural Cx/12 X 500ml</v>
      </c>
      <c r="H615" s="5" cm="1">
        <f t="array" ref="H615">INDEX('Linha 04'!$C$4:$ZZ$1000,B615,C615)</f>
        <v>0</v>
      </c>
    </row>
    <row r="616" spans="1:8" x14ac:dyDescent="0.25">
      <c r="A616">
        <v>614</v>
      </c>
      <c r="B616">
        <f t="shared" si="18"/>
        <v>22</v>
      </c>
      <c r="C616">
        <f t="shared" si="19"/>
        <v>26</v>
      </c>
      <c r="D616" cm="1">
        <f t="array" ref="D616">INDEX('Linha 04'!$A$4:$A$1000,B616)</f>
        <v>20050150</v>
      </c>
      <c r="E616" t="str" cm="1">
        <f t="array" ref="E616">INDEX('Linha 04'!$B$4:$B$1000,B616)</f>
        <v>Desinfetante Aquafast Marine Cx/12 X 1l</v>
      </c>
      <c r="F616" cm="1">
        <f t="array" ref="F616">INDEX('Linha 04'!$C$3:$ZZ$3,C616)</f>
        <v>20050155</v>
      </c>
      <c r="G616" t="str" cm="1">
        <f t="array" ref="G616">INDEX('Linha 04'!$C$2:$ZZ$2,C616)</f>
        <v>Intermed Pack Desinfetante Paixao Cx/12 X 1l</v>
      </c>
      <c r="H616" s="5" cm="1">
        <f t="array" ref="H616">INDEX('Linha 04'!$C$4:$ZZ$1000,B616,C616)</f>
        <v>0</v>
      </c>
    </row>
    <row r="617" spans="1:8" x14ac:dyDescent="0.25">
      <c r="A617">
        <v>615</v>
      </c>
      <c r="B617">
        <f t="shared" si="18"/>
        <v>22</v>
      </c>
      <c r="C617">
        <f t="shared" si="19"/>
        <v>27</v>
      </c>
      <c r="D617" cm="1">
        <f t="array" ref="D617">INDEX('Linha 04'!$A$4:$A$1000,B617)</f>
        <v>20050150</v>
      </c>
      <c r="E617" t="str" cm="1">
        <f t="array" ref="E617">INDEX('Linha 04'!$B$4:$B$1000,B617)</f>
        <v>Desinfetante Aquafast Marine Cx/12 X 1l</v>
      </c>
      <c r="F617" cm="1">
        <f t="array" ref="F617">INDEX('Linha 04'!$C$3:$ZZ$3,C617)</f>
        <v>20050156</v>
      </c>
      <c r="G617" t="str" cm="1">
        <f t="array" ref="G617">INDEX('Linha 04'!$C$2:$ZZ$2,C617)</f>
        <v>Intermed Pack Desinfetante Campos Lavanda Cx/12 X 1l</v>
      </c>
      <c r="H617" s="5" cm="1">
        <f t="array" ref="H617">INDEX('Linha 04'!$C$4:$ZZ$1000,B617,C617)</f>
        <v>0</v>
      </c>
    </row>
    <row r="618" spans="1:8" x14ac:dyDescent="0.25">
      <c r="A618">
        <v>616</v>
      </c>
      <c r="B618">
        <f t="shared" si="18"/>
        <v>22</v>
      </c>
      <c r="C618">
        <f t="shared" si="19"/>
        <v>28</v>
      </c>
      <c r="D618" cm="1">
        <f t="array" ref="D618">INDEX('Linha 04'!$A$4:$A$1000,B618)</f>
        <v>20050150</v>
      </c>
      <c r="E618" t="str" cm="1">
        <f t="array" ref="E618">INDEX('Linha 04'!$B$4:$B$1000,B618)</f>
        <v>Desinfetante Aquafast Marine Cx/12 X 1l</v>
      </c>
      <c r="F618" cm="1">
        <f t="array" ref="F618">INDEX('Linha 04'!$C$3:$ZZ$3,C618)</f>
        <v>20050157</v>
      </c>
      <c r="G618" t="str" cm="1">
        <f t="array" ref="G618">INDEX('Linha 04'!$C$2:$ZZ$2,C618)</f>
        <v>Intermed Pack Desinfetante Marine Cx/12 X 1l</v>
      </c>
      <c r="H618" s="5" cm="1">
        <f t="array" ref="H618">INDEX('Linha 04'!$C$4:$ZZ$1000,B618,C618)</f>
        <v>0</v>
      </c>
    </row>
    <row r="619" spans="1:8" x14ac:dyDescent="0.25">
      <c r="A619">
        <v>617</v>
      </c>
      <c r="B619">
        <f t="shared" si="18"/>
        <v>23</v>
      </c>
      <c r="C619">
        <f t="shared" si="19"/>
        <v>1</v>
      </c>
      <c r="D619" cm="1">
        <f t="array" ref="D619">INDEX('Linha 04'!$A$4:$A$1000,B619)</f>
        <v>20050151</v>
      </c>
      <c r="E619" t="str" cm="1">
        <f t="array" ref="E619">INDEX('Linha 04'!$B$4:$B$1000,B619)</f>
        <v>Desinfetante Aquafast Paixao Cx/12 X 1l</v>
      </c>
      <c r="F619" cm="1">
        <f t="array" ref="F619">INDEX('Linha 04'!$C$3:$ZZ$3,C619)</f>
        <v>20030001</v>
      </c>
      <c r="G619" t="str" cm="1">
        <f t="array" ref="G619">INDEX('Linha 04'!$C$2:$ZZ$2,C619)</f>
        <v>Detergente Aquafast Maca Cx/24 X 500ml</v>
      </c>
      <c r="H619" s="5" cm="1">
        <f t="array" ref="H619">INDEX('Linha 04'!$C$4:$ZZ$1000,B619,C619)</f>
        <v>0</v>
      </c>
    </row>
    <row r="620" spans="1:8" x14ac:dyDescent="0.25">
      <c r="A620">
        <v>618</v>
      </c>
      <c r="B620">
        <f t="shared" si="18"/>
        <v>23</v>
      </c>
      <c r="C620">
        <f t="shared" si="19"/>
        <v>2</v>
      </c>
      <c r="D620" cm="1">
        <f t="array" ref="D620">INDEX('Linha 04'!$A$4:$A$1000,B620)</f>
        <v>20050151</v>
      </c>
      <c r="E620" t="str" cm="1">
        <f t="array" ref="E620">INDEX('Linha 04'!$B$4:$B$1000,B620)</f>
        <v>Desinfetante Aquafast Paixao Cx/12 X 1l</v>
      </c>
      <c r="F620" cm="1">
        <f t="array" ref="F620">INDEX('Linha 04'!$C$3:$ZZ$3,C620)</f>
        <v>20030002</v>
      </c>
      <c r="G620" t="str" cm="1">
        <f t="array" ref="G620">INDEX('Linha 04'!$C$2:$ZZ$2,C620)</f>
        <v>Detergente Aquafast Limao Cx/24 X 500ml</v>
      </c>
      <c r="H620" s="5" cm="1">
        <f t="array" ref="H620">INDEX('Linha 04'!$C$4:$ZZ$1000,B620,C620)</f>
        <v>0</v>
      </c>
    </row>
    <row r="621" spans="1:8" x14ac:dyDescent="0.25">
      <c r="A621">
        <v>619</v>
      </c>
      <c r="B621">
        <f t="shared" si="18"/>
        <v>23</v>
      </c>
      <c r="C621">
        <f t="shared" si="19"/>
        <v>3</v>
      </c>
      <c r="D621" cm="1">
        <f t="array" ref="D621">INDEX('Linha 04'!$A$4:$A$1000,B621)</f>
        <v>20050151</v>
      </c>
      <c r="E621" t="str" cm="1">
        <f t="array" ref="E621">INDEX('Linha 04'!$B$4:$B$1000,B621)</f>
        <v>Desinfetante Aquafast Paixao Cx/12 X 1l</v>
      </c>
      <c r="F621" cm="1">
        <f t="array" ref="F621">INDEX('Linha 04'!$C$3:$ZZ$3,C621)</f>
        <v>20030003</v>
      </c>
      <c r="G621" t="str" cm="1">
        <f t="array" ref="G621">INDEX('Linha 04'!$C$2:$ZZ$2,C621)</f>
        <v>Detergente Aquafast Neutro Cx/24 X 500ml</v>
      </c>
      <c r="H621" s="5" cm="1">
        <f t="array" ref="H621">INDEX('Linha 04'!$C$4:$ZZ$1000,B621,C621)</f>
        <v>0</v>
      </c>
    </row>
    <row r="622" spans="1:8" x14ac:dyDescent="0.25">
      <c r="A622">
        <v>620</v>
      </c>
      <c r="B622">
        <f t="shared" si="18"/>
        <v>23</v>
      </c>
      <c r="C622">
        <f t="shared" si="19"/>
        <v>4</v>
      </c>
      <c r="D622" cm="1">
        <f t="array" ref="D622">INDEX('Linha 04'!$A$4:$A$1000,B622)</f>
        <v>20050151</v>
      </c>
      <c r="E622" t="str" cm="1">
        <f t="array" ref="E622">INDEX('Linha 04'!$B$4:$B$1000,B622)</f>
        <v>Desinfetante Aquafast Paixao Cx/12 X 1l</v>
      </c>
      <c r="F622" cm="1">
        <f t="array" ref="F622">INDEX('Linha 04'!$C$3:$ZZ$3,C622)</f>
        <v>20030004</v>
      </c>
      <c r="G622" t="str" cm="1">
        <f t="array" ref="G622">INDEX('Linha 04'!$C$2:$ZZ$2,C622)</f>
        <v>Detergente Aquafast Clear Cx/24 X 500ml (Natural)</v>
      </c>
      <c r="H622" s="5" cm="1">
        <f t="array" ref="H622">INDEX('Linha 04'!$C$4:$ZZ$1000,B622,C622)</f>
        <v>0</v>
      </c>
    </row>
    <row r="623" spans="1:8" x14ac:dyDescent="0.25">
      <c r="A623">
        <v>621</v>
      </c>
      <c r="B623">
        <f t="shared" si="18"/>
        <v>23</v>
      </c>
      <c r="C623">
        <f t="shared" si="19"/>
        <v>5</v>
      </c>
      <c r="D623" cm="1">
        <f t="array" ref="D623">INDEX('Linha 04'!$A$4:$A$1000,B623)</f>
        <v>20050151</v>
      </c>
      <c r="E623" t="str" cm="1">
        <f t="array" ref="E623">INDEX('Linha 04'!$B$4:$B$1000,B623)</f>
        <v>Desinfetante Aquafast Paixao Cx/12 X 1l</v>
      </c>
      <c r="F623" cm="1">
        <f t="array" ref="F623">INDEX('Linha 04'!$C$3:$ZZ$3,C623)</f>
        <v>20030011</v>
      </c>
      <c r="G623" t="str" cm="1">
        <f t="array" ref="G623">INDEX('Linha 04'!$C$2:$ZZ$2,C623)</f>
        <v>Detergente Aquafast Maca Cx/12 X 1l</v>
      </c>
      <c r="H623" s="5" cm="1">
        <f t="array" ref="H623">INDEX('Linha 04'!$C$4:$ZZ$1000,B623,C623)</f>
        <v>0</v>
      </c>
    </row>
    <row r="624" spans="1:8" x14ac:dyDescent="0.25">
      <c r="A624">
        <v>622</v>
      </c>
      <c r="B624">
        <f t="shared" si="18"/>
        <v>23</v>
      </c>
      <c r="C624">
        <f t="shared" si="19"/>
        <v>6</v>
      </c>
      <c r="D624" cm="1">
        <f t="array" ref="D624">INDEX('Linha 04'!$A$4:$A$1000,B624)</f>
        <v>20050151</v>
      </c>
      <c r="E624" t="str" cm="1">
        <f t="array" ref="E624">INDEX('Linha 04'!$B$4:$B$1000,B624)</f>
        <v>Desinfetante Aquafast Paixao Cx/12 X 1l</v>
      </c>
      <c r="F624" cm="1">
        <f t="array" ref="F624">INDEX('Linha 04'!$C$3:$ZZ$3,C624)</f>
        <v>20030012</v>
      </c>
      <c r="G624" t="str" cm="1">
        <f t="array" ref="G624">INDEX('Linha 04'!$C$2:$ZZ$2,C624)</f>
        <v>Detergente Aquafast Limao Cx/12 X 1l</v>
      </c>
      <c r="H624" s="5" cm="1">
        <f t="array" ref="H624">INDEX('Linha 04'!$C$4:$ZZ$1000,B624,C624)</f>
        <v>0</v>
      </c>
    </row>
    <row r="625" spans="1:8" x14ac:dyDescent="0.25">
      <c r="A625">
        <v>623</v>
      </c>
      <c r="B625">
        <f t="shared" si="18"/>
        <v>23</v>
      </c>
      <c r="C625">
        <f t="shared" si="19"/>
        <v>7</v>
      </c>
      <c r="D625" cm="1">
        <f t="array" ref="D625">INDEX('Linha 04'!$A$4:$A$1000,B625)</f>
        <v>20050151</v>
      </c>
      <c r="E625" t="str" cm="1">
        <f t="array" ref="E625">INDEX('Linha 04'!$B$4:$B$1000,B625)</f>
        <v>Desinfetante Aquafast Paixao Cx/12 X 1l</v>
      </c>
      <c r="F625" cm="1">
        <f t="array" ref="F625">INDEX('Linha 04'!$C$3:$ZZ$3,C625)</f>
        <v>20030013</v>
      </c>
      <c r="G625" t="str" cm="1">
        <f t="array" ref="G625">INDEX('Linha 04'!$C$2:$ZZ$2,C625)</f>
        <v>Detergente Aquafast Neutro Cx/12 X 1l</v>
      </c>
      <c r="H625" s="5" cm="1">
        <f t="array" ref="H625">INDEX('Linha 04'!$C$4:$ZZ$1000,B625,C625)</f>
        <v>0</v>
      </c>
    </row>
    <row r="626" spans="1:8" x14ac:dyDescent="0.25">
      <c r="A626">
        <v>624</v>
      </c>
      <c r="B626">
        <f t="shared" si="18"/>
        <v>23</v>
      </c>
      <c r="C626">
        <f t="shared" si="19"/>
        <v>8</v>
      </c>
      <c r="D626" cm="1">
        <f t="array" ref="D626">INDEX('Linha 04'!$A$4:$A$1000,B626)</f>
        <v>20050151</v>
      </c>
      <c r="E626" t="str" cm="1">
        <f t="array" ref="E626">INDEX('Linha 04'!$B$4:$B$1000,B626)</f>
        <v>Desinfetante Aquafast Paixao Cx/12 X 1l</v>
      </c>
      <c r="F626" cm="1">
        <f t="array" ref="F626">INDEX('Linha 04'!$C$3:$ZZ$3,C626)</f>
        <v>20030014</v>
      </c>
      <c r="G626" t="str" cm="1">
        <f t="array" ref="G626">INDEX('Linha 04'!$C$2:$ZZ$2,C626)</f>
        <v>Detergente Aquafast Clear Cx/12 X 1l (Natural)</v>
      </c>
      <c r="H626" s="5" cm="1">
        <f t="array" ref="H626">INDEX('Linha 04'!$C$4:$ZZ$1000,B626,C626)</f>
        <v>0</v>
      </c>
    </row>
    <row r="627" spans="1:8" x14ac:dyDescent="0.25">
      <c r="A627">
        <v>625</v>
      </c>
      <c r="B627">
        <f t="shared" si="18"/>
        <v>23</v>
      </c>
      <c r="C627">
        <f t="shared" si="19"/>
        <v>9</v>
      </c>
      <c r="D627" cm="1">
        <f t="array" ref="D627">INDEX('Linha 04'!$A$4:$A$1000,B627)</f>
        <v>20050151</v>
      </c>
      <c r="E627" t="str" cm="1">
        <f t="array" ref="E627">INDEX('Linha 04'!$B$4:$B$1000,B627)</f>
        <v>Desinfetante Aquafast Paixao Cx/12 X 1l</v>
      </c>
      <c r="F627" cm="1">
        <f t="array" ref="F627">INDEX('Linha 04'!$C$3:$ZZ$3,C627)</f>
        <v>20030020</v>
      </c>
      <c r="G627" t="str" cm="1">
        <f t="array" ref="G627">INDEX('Linha 04'!$C$2:$ZZ$2,C627)</f>
        <v>Detergente Ito Maca Cx/24 X 500ml</v>
      </c>
      <c r="H627" s="5" cm="1">
        <f t="array" ref="H627">INDEX('Linha 04'!$C$4:$ZZ$1000,B627,C627)</f>
        <v>0</v>
      </c>
    </row>
    <row r="628" spans="1:8" x14ac:dyDescent="0.25">
      <c r="A628">
        <v>626</v>
      </c>
      <c r="B628">
        <f t="shared" si="18"/>
        <v>23</v>
      </c>
      <c r="C628">
        <f t="shared" si="19"/>
        <v>10</v>
      </c>
      <c r="D628" cm="1">
        <f t="array" ref="D628">INDEX('Linha 04'!$A$4:$A$1000,B628)</f>
        <v>20050151</v>
      </c>
      <c r="E628" t="str" cm="1">
        <f t="array" ref="E628">INDEX('Linha 04'!$B$4:$B$1000,B628)</f>
        <v>Desinfetante Aquafast Paixao Cx/12 X 1l</v>
      </c>
      <c r="F628" cm="1">
        <f t="array" ref="F628">INDEX('Linha 04'!$C$3:$ZZ$3,C628)</f>
        <v>20030021</v>
      </c>
      <c r="G628" t="str" cm="1">
        <f t="array" ref="G628">INDEX('Linha 04'!$C$2:$ZZ$2,C628)</f>
        <v>Detergente Ito Limao Cx/24 X 500ml</v>
      </c>
      <c r="H628" s="5" cm="1">
        <f t="array" ref="H628">INDEX('Linha 04'!$C$4:$ZZ$1000,B628,C628)</f>
        <v>0</v>
      </c>
    </row>
    <row r="629" spans="1:8" x14ac:dyDescent="0.25">
      <c r="A629">
        <v>627</v>
      </c>
      <c r="B629">
        <f t="shared" si="18"/>
        <v>23</v>
      </c>
      <c r="C629">
        <f t="shared" si="19"/>
        <v>11</v>
      </c>
      <c r="D629" cm="1">
        <f t="array" ref="D629">INDEX('Linha 04'!$A$4:$A$1000,B629)</f>
        <v>20050151</v>
      </c>
      <c r="E629" t="str" cm="1">
        <f t="array" ref="E629">INDEX('Linha 04'!$B$4:$B$1000,B629)</f>
        <v>Desinfetante Aquafast Paixao Cx/12 X 1l</v>
      </c>
      <c r="F629" cm="1">
        <f t="array" ref="F629">INDEX('Linha 04'!$C$3:$ZZ$3,C629)</f>
        <v>20030022</v>
      </c>
      <c r="G629" t="str" cm="1">
        <f t="array" ref="G629">INDEX('Linha 04'!$C$2:$ZZ$2,C629)</f>
        <v>Detergente Ito Neutro Cx/24 X 500ml</v>
      </c>
      <c r="H629" s="5" cm="1">
        <f t="array" ref="H629">INDEX('Linha 04'!$C$4:$ZZ$1000,B629,C629)</f>
        <v>0</v>
      </c>
    </row>
    <row r="630" spans="1:8" x14ac:dyDescent="0.25">
      <c r="A630">
        <v>628</v>
      </c>
      <c r="B630">
        <f t="shared" si="18"/>
        <v>23</v>
      </c>
      <c r="C630">
        <f t="shared" si="19"/>
        <v>12</v>
      </c>
      <c r="D630" cm="1">
        <f t="array" ref="D630">INDEX('Linha 04'!$A$4:$A$1000,B630)</f>
        <v>20050151</v>
      </c>
      <c r="E630" t="str" cm="1">
        <f t="array" ref="E630">INDEX('Linha 04'!$B$4:$B$1000,B630)</f>
        <v>Desinfetante Aquafast Paixao Cx/12 X 1l</v>
      </c>
      <c r="F630" cm="1">
        <f t="array" ref="F630">INDEX('Linha 04'!$C$3:$ZZ$3,C630)</f>
        <v>20030023</v>
      </c>
      <c r="G630" t="str" cm="1">
        <f t="array" ref="G630">INDEX('Linha 04'!$C$2:$ZZ$2,C630)</f>
        <v>Detergente Ito Clear Cx/24 X 500ml</v>
      </c>
      <c r="H630" s="5" cm="1">
        <f t="array" ref="H630">INDEX('Linha 04'!$C$4:$ZZ$1000,B630,C630)</f>
        <v>0</v>
      </c>
    </row>
    <row r="631" spans="1:8" x14ac:dyDescent="0.25">
      <c r="A631">
        <v>629</v>
      </c>
      <c r="B631">
        <f t="shared" si="18"/>
        <v>23</v>
      </c>
      <c r="C631">
        <f t="shared" si="19"/>
        <v>13</v>
      </c>
      <c r="D631" cm="1">
        <f t="array" ref="D631">INDEX('Linha 04'!$A$4:$A$1000,B631)</f>
        <v>20050151</v>
      </c>
      <c r="E631" t="str" cm="1">
        <f t="array" ref="E631">INDEX('Linha 04'!$B$4:$B$1000,B631)</f>
        <v>Desinfetante Aquafast Paixao Cx/12 X 1l</v>
      </c>
      <c r="F631" cm="1">
        <f t="array" ref="F631">INDEX('Linha 04'!$C$3:$ZZ$3,C631)</f>
        <v>20030038</v>
      </c>
      <c r="G631" t="str" cm="1">
        <f t="array" ref="G631">INDEX('Linha 04'!$C$2:$ZZ$2,C631)</f>
        <v>Detergente Myata Maca Cx/24 X 500ml</v>
      </c>
      <c r="H631" s="5" cm="1">
        <f t="array" ref="H631">INDEX('Linha 04'!$C$4:$ZZ$1000,B631,C631)</f>
        <v>0</v>
      </c>
    </row>
    <row r="632" spans="1:8" x14ac:dyDescent="0.25">
      <c r="A632">
        <v>630</v>
      </c>
      <c r="B632">
        <f t="shared" si="18"/>
        <v>23</v>
      </c>
      <c r="C632">
        <f t="shared" si="19"/>
        <v>14</v>
      </c>
      <c r="D632" cm="1">
        <f t="array" ref="D632">INDEX('Linha 04'!$A$4:$A$1000,B632)</f>
        <v>20050151</v>
      </c>
      <c r="E632" t="str" cm="1">
        <f t="array" ref="E632">INDEX('Linha 04'!$B$4:$B$1000,B632)</f>
        <v>Desinfetante Aquafast Paixao Cx/12 X 1l</v>
      </c>
      <c r="F632" cm="1">
        <f t="array" ref="F632">INDEX('Linha 04'!$C$3:$ZZ$3,C632)</f>
        <v>20030039</v>
      </c>
      <c r="G632" t="str" cm="1">
        <f t="array" ref="G632">INDEX('Linha 04'!$C$2:$ZZ$2,C632)</f>
        <v>Detergente Myata Limao Cx/24 X 500ml</v>
      </c>
      <c r="H632" s="5" cm="1">
        <f t="array" ref="H632">INDEX('Linha 04'!$C$4:$ZZ$1000,B632,C632)</f>
        <v>0</v>
      </c>
    </row>
    <row r="633" spans="1:8" x14ac:dyDescent="0.25">
      <c r="A633">
        <v>631</v>
      </c>
      <c r="B633">
        <f t="shared" si="18"/>
        <v>23</v>
      </c>
      <c r="C633">
        <f t="shared" si="19"/>
        <v>15</v>
      </c>
      <c r="D633" cm="1">
        <f t="array" ref="D633">INDEX('Linha 04'!$A$4:$A$1000,B633)</f>
        <v>20050151</v>
      </c>
      <c r="E633" t="str" cm="1">
        <f t="array" ref="E633">INDEX('Linha 04'!$B$4:$B$1000,B633)</f>
        <v>Desinfetante Aquafast Paixao Cx/12 X 1l</v>
      </c>
      <c r="F633" cm="1">
        <f t="array" ref="F633">INDEX('Linha 04'!$C$3:$ZZ$3,C633)</f>
        <v>20030040</v>
      </c>
      <c r="G633" t="str" cm="1">
        <f t="array" ref="G633">INDEX('Linha 04'!$C$2:$ZZ$2,C633)</f>
        <v>Detergente Myata Neutro Cx/24 X 500ml</v>
      </c>
      <c r="H633" s="5" cm="1">
        <f t="array" ref="H633">INDEX('Linha 04'!$C$4:$ZZ$1000,B633,C633)</f>
        <v>0</v>
      </c>
    </row>
    <row r="634" spans="1:8" x14ac:dyDescent="0.25">
      <c r="A634">
        <v>632</v>
      </c>
      <c r="B634">
        <f t="shared" si="18"/>
        <v>23</v>
      </c>
      <c r="C634">
        <f t="shared" si="19"/>
        <v>16</v>
      </c>
      <c r="D634" cm="1">
        <f t="array" ref="D634">INDEX('Linha 04'!$A$4:$A$1000,B634)</f>
        <v>20050151</v>
      </c>
      <c r="E634" t="str" cm="1">
        <f t="array" ref="E634">INDEX('Linha 04'!$B$4:$B$1000,B634)</f>
        <v>Desinfetante Aquafast Paixao Cx/12 X 1l</v>
      </c>
      <c r="F634" cm="1">
        <f t="array" ref="F634">INDEX('Linha 04'!$C$3:$ZZ$3,C634)</f>
        <v>20030067</v>
      </c>
      <c r="G634" t="str" cm="1">
        <f t="array" ref="G634">INDEX('Linha 04'!$C$2:$ZZ$2,C634)</f>
        <v>Detergente Aquafast Coco Cx/24 X 500ml</v>
      </c>
      <c r="H634" s="5" cm="1">
        <f t="array" ref="H634">INDEX('Linha 04'!$C$4:$ZZ$1000,B634,C634)</f>
        <v>0</v>
      </c>
    </row>
    <row r="635" spans="1:8" x14ac:dyDescent="0.25">
      <c r="A635">
        <v>633</v>
      </c>
      <c r="B635">
        <f t="shared" si="18"/>
        <v>23</v>
      </c>
      <c r="C635">
        <f t="shared" si="19"/>
        <v>17</v>
      </c>
      <c r="D635" cm="1">
        <f t="array" ref="D635">INDEX('Linha 04'!$A$4:$A$1000,B635)</f>
        <v>20050151</v>
      </c>
      <c r="E635" t="str" cm="1">
        <f t="array" ref="E635">INDEX('Linha 04'!$B$4:$B$1000,B635)</f>
        <v>Desinfetante Aquafast Paixao Cx/12 X 1l</v>
      </c>
      <c r="F635" cm="1">
        <f t="array" ref="F635">INDEX('Linha 04'!$C$3:$ZZ$3,C635)</f>
        <v>20050001</v>
      </c>
      <c r="G635" t="str" cm="1">
        <f t="array" ref="G635">INDEX('Linha 04'!$C$2:$ZZ$2,C635)</f>
        <v>Desinfetante Aquafast Campos Lavanda Cx/12 X 500ml</v>
      </c>
      <c r="H635" s="5" cm="1">
        <f t="array" ref="H635">INDEX('Linha 04'!$C$4:$ZZ$1000,B635,C635)</f>
        <v>0</v>
      </c>
    </row>
    <row r="636" spans="1:8" x14ac:dyDescent="0.25">
      <c r="A636">
        <v>634</v>
      </c>
      <c r="B636">
        <f t="shared" si="18"/>
        <v>23</v>
      </c>
      <c r="C636">
        <f t="shared" si="19"/>
        <v>18</v>
      </c>
      <c r="D636" cm="1">
        <f t="array" ref="D636">INDEX('Linha 04'!$A$4:$A$1000,B636)</f>
        <v>20050151</v>
      </c>
      <c r="E636" t="str" cm="1">
        <f t="array" ref="E636">INDEX('Linha 04'!$B$4:$B$1000,B636)</f>
        <v>Desinfetante Aquafast Paixao Cx/12 X 1l</v>
      </c>
      <c r="F636" cm="1">
        <f t="array" ref="F636">INDEX('Linha 04'!$C$3:$ZZ$3,C636)</f>
        <v>20050026</v>
      </c>
      <c r="G636" t="str" cm="1">
        <f t="array" ref="G636">INDEX('Linha 04'!$C$2:$ZZ$2,C636)</f>
        <v>Desinfetante Ito Lavanda Cx/12 X 500ml</v>
      </c>
      <c r="H636" s="5" cm="1">
        <f t="array" ref="H636">INDEX('Linha 04'!$C$4:$ZZ$1000,B636,C636)</f>
        <v>0</v>
      </c>
    </row>
    <row r="637" spans="1:8" x14ac:dyDescent="0.25">
      <c r="A637">
        <v>635</v>
      </c>
      <c r="B637">
        <f t="shared" si="18"/>
        <v>23</v>
      </c>
      <c r="C637">
        <f t="shared" si="19"/>
        <v>19</v>
      </c>
      <c r="D637" cm="1">
        <f t="array" ref="D637">INDEX('Linha 04'!$A$4:$A$1000,B637)</f>
        <v>20050151</v>
      </c>
      <c r="E637" t="str" cm="1">
        <f t="array" ref="E637">INDEX('Linha 04'!$B$4:$B$1000,B637)</f>
        <v>Desinfetante Aquafast Paixao Cx/12 X 1l</v>
      </c>
      <c r="F637" cm="1">
        <f t="array" ref="F637">INDEX('Linha 04'!$C$3:$ZZ$3,C637)</f>
        <v>20050119</v>
      </c>
      <c r="G637" t="str" cm="1">
        <f t="array" ref="G637">INDEX('Linha 04'!$C$2:$ZZ$2,C637)</f>
        <v>Desinfetante Aquafast Paixao Cx/12 X 500ml</v>
      </c>
      <c r="H637" s="5" cm="1">
        <f t="array" ref="H637">INDEX('Linha 04'!$C$4:$ZZ$1000,B637,C637)</f>
        <v>0</v>
      </c>
    </row>
    <row r="638" spans="1:8" x14ac:dyDescent="0.25">
      <c r="A638">
        <v>636</v>
      </c>
      <c r="B638">
        <f t="shared" si="18"/>
        <v>23</v>
      </c>
      <c r="C638">
        <f t="shared" si="19"/>
        <v>20</v>
      </c>
      <c r="D638" cm="1">
        <f t="array" ref="D638">INDEX('Linha 04'!$A$4:$A$1000,B638)</f>
        <v>20050151</v>
      </c>
      <c r="E638" t="str" cm="1">
        <f t="array" ref="E638">INDEX('Linha 04'!$B$4:$B$1000,B638)</f>
        <v>Desinfetante Aquafast Paixao Cx/12 X 1l</v>
      </c>
      <c r="F638" cm="1">
        <f t="array" ref="F638">INDEX('Linha 04'!$C$3:$ZZ$3,C638)</f>
        <v>20050145</v>
      </c>
      <c r="G638" t="str" cm="1">
        <f t="array" ref="G638">INDEX('Linha 04'!$C$2:$ZZ$2,C638)</f>
        <v>Desinfetante Aquafast Harmonia Natural Cx/12 X 500ml</v>
      </c>
      <c r="H638" s="5" cm="1">
        <f t="array" ref="H638">INDEX('Linha 04'!$C$4:$ZZ$1000,B638,C638)</f>
        <v>0</v>
      </c>
    </row>
    <row r="639" spans="1:8" x14ac:dyDescent="0.25">
      <c r="A639">
        <v>637</v>
      </c>
      <c r="B639">
        <f t="shared" si="18"/>
        <v>23</v>
      </c>
      <c r="C639">
        <f t="shared" si="19"/>
        <v>21</v>
      </c>
      <c r="D639" cm="1">
        <f t="array" ref="D639">INDEX('Linha 04'!$A$4:$A$1000,B639)</f>
        <v>20050151</v>
      </c>
      <c r="E639" t="str" cm="1">
        <f t="array" ref="E639">INDEX('Linha 04'!$B$4:$B$1000,B639)</f>
        <v>Desinfetante Aquafast Paixao Cx/12 X 1l</v>
      </c>
      <c r="F639" cm="1">
        <f t="array" ref="F639">INDEX('Linha 04'!$C$3:$ZZ$3,C639)</f>
        <v>20050149</v>
      </c>
      <c r="G639" t="str" cm="1">
        <f t="array" ref="G639">INDEX('Linha 04'!$C$2:$ZZ$2,C639)</f>
        <v>Desinfetante Aquafast Campos Lavanda Cx/12 X 1l</v>
      </c>
      <c r="H639" s="5" cm="1">
        <f t="array" ref="H639">INDEX('Linha 04'!$C$4:$ZZ$1000,B639,C639)</f>
        <v>0</v>
      </c>
    </row>
    <row r="640" spans="1:8" x14ac:dyDescent="0.25">
      <c r="A640">
        <v>638</v>
      </c>
      <c r="B640">
        <f t="shared" si="18"/>
        <v>23</v>
      </c>
      <c r="C640">
        <f t="shared" si="19"/>
        <v>22</v>
      </c>
      <c r="D640" cm="1">
        <f t="array" ref="D640">INDEX('Linha 04'!$A$4:$A$1000,B640)</f>
        <v>20050151</v>
      </c>
      <c r="E640" t="str" cm="1">
        <f t="array" ref="E640">INDEX('Linha 04'!$B$4:$B$1000,B640)</f>
        <v>Desinfetante Aquafast Paixao Cx/12 X 1l</v>
      </c>
      <c r="F640" cm="1">
        <f t="array" ref="F640">INDEX('Linha 04'!$C$3:$ZZ$3,C640)</f>
        <v>20050150</v>
      </c>
      <c r="G640" t="str" cm="1">
        <f t="array" ref="G640">INDEX('Linha 04'!$C$2:$ZZ$2,C640)</f>
        <v>Desinfetante Aquafast Marine Cx/12 X 1l</v>
      </c>
      <c r="H640" s="5" cm="1">
        <f t="array" ref="H640">INDEX('Linha 04'!$C$4:$ZZ$1000,B640,C640)</f>
        <v>0</v>
      </c>
    </row>
    <row r="641" spans="1:8" x14ac:dyDescent="0.25">
      <c r="A641">
        <v>639</v>
      </c>
      <c r="B641">
        <f t="shared" si="18"/>
        <v>23</v>
      </c>
      <c r="C641">
        <f t="shared" si="19"/>
        <v>23</v>
      </c>
      <c r="D641" cm="1">
        <f t="array" ref="D641">INDEX('Linha 04'!$A$4:$A$1000,B641)</f>
        <v>20050151</v>
      </c>
      <c r="E641" t="str" cm="1">
        <f t="array" ref="E641">INDEX('Linha 04'!$B$4:$B$1000,B641)</f>
        <v>Desinfetante Aquafast Paixao Cx/12 X 1l</v>
      </c>
      <c r="F641" cm="1">
        <f t="array" ref="F641">INDEX('Linha 04'!$C$3:$ZZ$3,C641)</f>
        <v>20050151</v>
      </c>
      <c r="G641" t="str" cm="1">
        <f t="array" ref="G641">INDEX('Linha 04'!$C$2:$ZZ$2,C641)</f>
        <v>Desinfetante Aquafast Paixao Cx/12 X 1l</v>
      </c>
      <c r="H641" s="5" cm="1">
        <f t="array" ref="H641">INDEX('Linha 04'!$C$4:$ZZ$1000,B641,C641)</f>
        <v>0</v>
      </c>
    </row>
    <row r="642" spans="1:8" x14ac:dyDescent="0.25">
      <c r="A642">
        <v>640</v>
      </c>
      <c r="B642">
        <f t="shared" si="18"/>
        <v>23</v>
      </c>
      <c r="C642">
        <f t="shared" si="19"/>
        <v>24</v>
      </c>
      <c r="D642" cm="1">
        <f t="array" ref="D642">INDEX('Linha 04'!$A$4:$A$1000,B642)</f>
        <v>20050151</v>
      </c>
      <c r="E642" t="str" cm="1">
        <f t="array" ref="E642">INDEX('Linha 04'!$B$4:$B$1000,B642)</f>
        <v>Desinfetante Aquafast Paixao Cx/12 X 1l</v>
      </c>
      <c r="F642" cm="1">
        <f t="array" ref="F642">INDEX('Linha 04'!$C$3:$ZZ$3,C642)</f>
        <v>20050152</v>
      </c>
      <c r="G642" t="str" cm="1">
        <f t="array" ref="G642">INDEX('Linha 04'!$C$2:$ZZ$2,C642)</f>
        <v>Desinfetante Aquafast Harmonia Natural Cx/12 X 1l</v>
      </c>
      <c r="H642" s="5" cm="1">
        <f t="array" ref="H642">INDEX('Linha 04'!$C$4:$ZZ$1000,B642,C642)</f>
        <v>0</v>
      </c>
    </row>
    <row r="643" spans="1:8" x14ac:dyDescent="0.25">
      <c r="A643">
        <v>641</v>
      </c>
      <c r="B643">
        <f t="shared" si="18"/>
        <v>23</v>
      </c>
      <c r="C643">
        <f t="shared" si="19"/>
        <v>25</v>
      </c>
      <c r="D643" cm="1">
        <f t="array" ref="D643">INDEX('Linha 04'!$A$4:$A$1000,B643)</f>
        <v>20050151</v>
      </c>
      <c r="E643" t="str" cm="1">
        <f t="array" ref="E643">INDEX('Linha 04'!$B$4:$B$1000,B643)</f>
        <v>Desinfetante Aquafast Paixao Cx/12 X 1l</v>
      </c>
      <c r="F643" cm="1">
        <f t="array" ref="F643">INDEX('Linha 04'!$C$3:$ZZ$3,C643)</f>
        <v>20050153</v>
      </c>
      <c r="G643" t="str" cm="1">
        <f t="array" ref="G643">INDEX('Linha 04'!$C$2:$ZZ$2,C643)</f>
        <v>Desinfetante Ito Harmonia Natural Cx/12 X 500ml</v>
      </c>
      <c r="H643" s="5" cm="1">
        <f t="array" ref="H643">INDEX('Linha 04'!$C$4:$ZZ$1000,B643,C643)</f>
        <v>0</v>
      </c>
    </row>
    <row r="644" spans="1:8" x14ac:dyDescent="0.25">
      <c r="A644">
        <v>642</v>
      </c>
      <c r="B644">
        <f t="shared" ref="B644:B707" si="20">INT((A644-1)/$B$1)+1</f>
        <v>23</v>
      </c>
      <c r="C644">
        <f t="shared" ref="C644:C707" si="21">MOD(A644-1,$B$1)+1</f>
        <v>26</v>
      </c>
      <c r="D644" cm="1">
        <f t="array" ref="D644">INDEX('Linha 04'!$A$4:$A$1000,B644)</f>
        <v>20050151</v>
      </c>
      <c r="E644" t="str" cm="1">
        <f t="array" ref="E644">INDEX('Linha 04'!$B$4:$B$1000,B644)</f>
        <v>Desinfetante Aquafast Paixao Cx/12 X 1l</v>
      </c>
      <c r="F644" cm="1">
        <f t="array" ref="F644">INDEX('Linha 04'!$C$3:$ZZ$3,C644)</f>
        <v>20050155</v>
      </c>
      <c r="G644" t="str" cm="1">
        <f t="array" ref="G644">INDEX('Linha 04'!$C$2:$ZZ$2,C644)</f>
        <v>Intermed Pack Desinfetante Paixao Cx/12 X 1l</v>
      </c>
      <c r="H644" s="5" cm="1">
        <f t="array" ref="H644">INDEX('Linha 04'!$C$4:$ZZ$1000,B644,C644)</f>
        <v>0</v>
      </c>
    </row>
    <row r="645" spans="1:8" x14ac:dyDescent="0.25">
      <c r="A645">
        <v>643</v>
      </c>
      <c r="B645">
        <f t="shared" si="20"/>
        <v>23</v>
      </c>
      <c r="C645">
        <f t="shared" si="21"/>
        <v>27</v>
      </c>
      <c r="D645" cm="1">
        <f t="array" ref="D645">INDEX('Linha 04'!$A$4:$A$1000,B645)</f>
        <v>20050151</v>
      </c>
      <c r="E645" t="str" cm="1">
        <f t="array" ref="E645">INDEX('Linha 04'!$B$4:$B$1000,B645)</f>
        <v>Desinfetante Aquafast Paixao Cx/12 X 1l</v>
      </c>
      <c r="F645" cm="1">
        <f t="array" ref="F645">INDEX('Linha 04'!$C$3:$ZZ$3,C645)</f>
        <v>20050156</v>
      </c>
      <c r="G645" t="str" cm="1">
        <f t="array" ref="G645">INDEX('Linha 04'!$C$2:$ZZ$2,C645)</f>
        <v>Intermed Pack Desinfetante Campos Lavanda Cx/12 X 1l</v>
      </c>
      <c r="H645" s="5" cm="1">
        <f t="array" ref="H645">INDEX('Linha 04'!$C$4:$ZZ$1000,B645,C645)</f>
        <v>0</v>
      </c>
    </row>
    <row r="646" spans="1:8" x14ac:dyDescent="0.25">
      <c r="A646">
        <v>644</v>
      </c>
      <c r="B646">
        <f t="shared" si="20"/>
        <v>23</v>
      </c>
      <c r="C646">
        <f t="shared" si="21"/>
        <v>28</v>
      </c>
      <c r="D646" cm="1">
        <f t="array" ref="D646">INDEX('Linha 04'!$A$4:$A$1000,B646)</f>
        <v>20050151</v>
      </c>
      <c r="E646" t="str" cm="1">
        <f t="array" ref="E646">INDEX('Linha 04'!$B$4:$B$1000,B646)</f>
        <v>Desinfetante Aquafast Paixao Cx/12 X 1l</v>
      </c>
      <c r="F646" cm="1">
        <f t="array" ref="F646">INDEX('Linha 04'!$C$3:$ZZ$3,C646)</f>
        <v>20050157</v>
      </c>
      <c r="G646" t="str" cm="1">
        <f t="array" ref="G646">INDEX('Linha 04'!$C$2:$ZZ$2,C646)</f>
        <v>Intermed Pack Desinfetante Marine Cx/12 X 1l</v>
      </c>
      <c r="H646" s="5" cm="1">
        <f t="array" ref="H646">INDEX('Linha 04'!$C$4:$ZZ$1000,B646,C646)</f>
        <v>0</v>
      </c>
    </row>
    <row r="647" spans="1:8" x14ac:dyDescent="0.25">
      <c r="A647">
        <v>645</v>
      </c>
      <c r="B647">
        <f t="shared" si="20"/>
        <v>24</v>
      </c>
      <c r="C647">
        <f t="shared" si="21"/>
        <v>1</v>
      </c>
      <c r="D647" cm="1">
        <f t="array" ref="D647">INDEX('Linha 04'!$A$4:$A$1000,B647)</f>
        <v>20050152</v>
      </c>
      <c r="E647" t="str" cm="1">
        <f t="array" ref="E647">INDEX('Linha 04'!$B$4:$B$1000,B647)</f>
        <v>Desinfetante Aquafast Harmonia Natural Cx/12 X 1l</v>
      </c>
      <c r="F647" cm="1">
        <f t="array" ref="F647">INDEX('Linha 04'!$C$3:$ZZ$3,C647)</f>
        <v>20030001</v>
      </c>
      <c r="G647" t="str" cm="1">
        <f t="array" ref="G647">INDEX('Linha 04'!$C$2:$ZZ$2,C647)</f>
        <v>Detergente Aquafast Maca Cx/24 X 500ml</v>
      </c>
      <c r="H647" s="5" cm="1">
        <f t="array" ref="H647">INDEX('Linha 04'!$C$4:$ZZ$1000,B647,C647)</f>
        <v>0</v>
      </c>
    </row>
    <row r="648" spans="1:8" x14ac:dyDescent="0.25">
      <c r="A648">
        <v>646</v>
      </c>
      <c r="B648">
        <f t="shared" si="20"/>
        <v>24</v>
      </c>
      <c r="C648">
        <f t="shared" si="21"/>
        <v>2</v>
      </c>
      <c r="D648" cm="1">
        <f t="array" ref="D648">INDEX('Linha 04'!$A$4:$A$1000,B648)</f>
        <v>20050152</v>
      </c>
      <c r="E648" t="str" cm="1">
        <f t="array" ref="E648">INDEX('Linha 04'!$B$4:$B$1000,B648)</f>
        <v>Desinfetante Aquafast Harmonia Natural Cx/12 X 1l</v>
      </c>
      <c r="F648" cm="1">
        <f t="array" ref="F648">INDEX('Linha 04'!$C$3:$ZZ$3,C648)</f>
        <v>20030002</v>
      </c>
      <c r="G648" t="str" cm="1">
        <f t="array" ref="G648">INDEX('Linha 04'!$C$2:$ZZ$2,C648)</f>
        <v>Detergente Aquafast Limao Cx/24 X 500ml</v>
      </c>
      <c r="H648" s="5" cm="1">
        <f t="array" ref="H648">INDEX('Linha 04'!$C$4:$ZZ$1000,B648,C648)</f>
        <v>0</v>
      </c>
    </row>
    <row r="649" spans="1:8" x14ac:dyDescent="0.25">
      <c r="A649">
        <v>647</v>
      </c>
      <c r="B649">
        <f t="shared" si="20"/>
        <v>24</v>
      </c>
      <c r="C649">
        <f t="shared" si="21"/>
        <v>3</v>
      </c>
      <c r="D649" cm="1">
        <f t="array" ref="D649">INDEX('Linha 04'!$A$4:$A$1000,B649)</f>
        <v>20050152</v>
      </c>
      <c r="E649" t="str" cm="1">
        <f t="array" ref="E649">INDEX('Linha 04'!$B$4:$B$1000,B649)</f>
        <v>Desinfetante Aquafast Harmonia Natural Cx/12 X 1l</v>
      </c>
      <c r="F649" cm="1">
        <f t="array" ref="F649">INDEX('Linha 04'!$C$3:$ZZ$3,C649)</f>
        <v>20030003</v>
      </c>
      <c r="G649" t="str" cm="1">
        <f t="array" ref="G649">INDEX('Linha 04'!$C$2:$ZZ$2,C649)</f>
        <v>Detergente Aquafast Neutro Cx/24 X 500ml</v>
      </c>
      <c r="H649" s="5" cm="1">
        <f t="array" ref="H649">INDEX('Linha 04'!$C$4:$ZZ$1000,B649,C649)</f>
        <v>0</v>
      </c>
    </row>
    <row r="650" spans="1:8" x14ac:dyDescent="0.25">
      <c r="A650">
        <v>648</v>
      </c>
      <c r="B650">
        <f t="shared" si="20"/>
        <v>24</v>
      </c>
      <c r="C650">
        <f t="shared" si="21"/>
        <v>4</v>
      </c>
      <c r="D650" cm="1">
        <f t="array" ref="D650">INDEX('Linha 04'!$A$4:$A$1000,B650)</f>
        <v>20050152</v>
      </c>
      <c r="E650" t="str" cm="1">
        <f t="array" ref="E650">INDEX('Linha 04'!$B$4:$B$1000,B650)</f>
        <v>Desinfetante Aquafast Harmonia Natural Cx/12 X 1l</v>
      </c>
      <c r="F650" cm="1">
        <f t="array" ref="F650">INDEX('Linha 04'!$C$3:$ZZ$3,C650)</f>
        <v>20030004</v>
      </c>
      <c r="G650" t="str" cm="1">
        <f t="array" ref="G650">INDEX('Linha 04'!$C$2:$ZZ$2,C650)</f>
        <v>Detergente Aquafast Clear Cx/24 X 500ml (Natural)</v>
      </c>
      <c r="H650" s="5" cm="1">
        <f t="array" ref="H650">INDEX('Linha 04'!$C$4:$ZZ$1000,B650,C650)</f>
        <v>0</v>
      </c>
    </row>
    <row r="651" spans="1:8" x14ac:dyDescent="0.25">
      <c r="A651">
        <v>649</v>
      </c>
      <c r="B651">
        <f t="shared" si="20"/>
        <v>24</v>
      </c>
      <c r="C651">
        <f t="shared" si="21"/>
        <v>5</v>
      </c>
      <c r="D651" cm="1">
        <f t="array" ref="D651">INDEX('Linha 04'!$A$4:$A$1000,B651)</f>
        <v>20050152</v>
      </c>
      <c r="E651" t="str" cm="1">
        <f t="array" ref="E651">INDEX('Linha 04'!$B$4:$B$1000,B651)</f>
        <v>Desinfetante Aquafast Harmonia Natural Cx/12 X 1l</v>
      </c>
      <c r="F651" cm="1">
        <f t="array" ref="F651">INDEX('Linha 04'!$C$3:$ZZ$3,C651)</f>
        <v>20030011</v>
      </c>
      <c r="G651" t="str" cm="1">
        <f t="array" ref="G651">INDEX('Linha 04'!$C$2:$ZZ$2,C651)</f>
        <v>Detergente Aquafast Maca Cx/12 X 1l</v>
      </c>
      <c r="H651" s="5" cm="1">
        <f t="array" ref="H651">INDEX('Linha 04'!$C$4:$ZZ$1000,B651,C651)</f>
        <v>0</v>
      </c>
    </row>
    <row r="652" spans="1:8" x14ac:dyDescent="0.25">
      <c r="A652">
        <v>650</v>
      </c>
      <c r="B652">
        <f t="shared" si="20"/>
        <v>24</v>
      </c>
      <c r="C652">
        <f t="shared" si="21"/>
        <v>6</v>
      </c>
      <c r="D652" cm="1">
        <f t="array" ref="D652">INDEX('Linha 04'!$A$4:$A$1000,B652)</f>
        <v>20050152</v>
      </c>
      <c r="E652" t="str" cm="1">
        <f t="array" ref="E652">INDEX('Linha 04'!$B$4:$B$1000,B652)</f>
        <v>Desinfetante Aquafast Harmonia Natural Cx/12 X 1l</v>
      </c>
      <c r="F652" cm="1">
        <f t="array" ref="F652">INDEX('Linha 04'!$C$3:$ZZ$3,C652)</f>
        <v>20030012</v>
      </c>
      <c r="G652" t="str" cm="1">
        <f t="array" ref="G652">INDEX('Linha 04'!$C$2:$ZZ$2,C652)</f>
        <v>Detergente Aquafast Limao Cx/12 X 1l</v>
      </c>
      <c r="H652" s="5" cm="1">
        <f t="array" ref="H652">INDEX('Linha 04'!$C$4:$ZZ$1000,B652,C652)</f>
        <v>0</v>
      </c>
    </row>
    <row r="653" spans="1:8" x14ac:dyDescent="0.25">
      <c r="A653">
        <v>651</v>
      </c>
      <c r="B653">
        <f t="shared" si="20"/>
        <v>24</v>
      </c>
      <c r="C653">
        <f t="shared" si="21"/>
        <v>7</v>
      </c>
      <c r="D653" cm="1">
        <f t="array" ref="D653">INDEX('Linha 04'!$A$4:$A$1000,B653)</f>
        <v>20050152</v>
      </c>
      <c r="E653" t="str" cm="1">
        <f t="array" ref="E653">INDEX('Linha 04'!$B$4:$B$1000,B653)</f>
        <v>Desinfetante Aquafast Harmonia Natural Cx/12 X 1l</v>
      </c>
      <c r="F653" cm="1">
        <f t="array" ref="F653">INDEX('Linha 04'!$C$3:$ZZ$3,C653)</f>
        <v>20030013</v>
      </c>
      <c r="G653" t="str" cm="1">
        <f t="array" ref="G653">INDEX('Linha 04'!$C$2:$ZZ$2,C653)</f>
        <v>Detergente Aquafast Neutro Cx/12 X 1l</v>
      </c>
      <c r="H653" s="5" cm="1">
        <f t="array" ref="H653">INDEX('Linha 04'!$C$4:$ZZ$1000,B653,C653)</f>
        <v>0</v>
      </c>
    </row>
    <row r="654" spans="1:8" x14ac:dyDescent="0.25">
      <c r="A654">
        <v>652</v>
      </c>
      <c r="B654">
        <f t="shared" si="20"/>
        <v>24</v>
      </c>
      <c r="C654">
        <f t="shared" si="21"/>
        <v>8</v>
      </c>
      <c r="D654" cm="1">
        <f t="array" ref="D654">INDEX('Linha 04'!$A$4:$A$1000,B654)</f>
        <v>20050152</v>
      </c>
      <c r="E654" t="str" cm="1">
        <f t="array" ref="E654">INDEX('Linha 04'!$B$4:$B$1000,B654)</f>
        <v>Desinfetante Aquafast Harmonia Natural Cx/12 X 1l</v>
      </c>
      <c r="F654" cm="1">
        <f t="array" ref="F654">INDEX('Linha 04'!$C$3:$ZZ$3,C654)</f>
        <v>20030014</v>
      </c>
      <c r="G654" t="str" cm="1">
        <f t="array" ref="G654">INDEX('Linha 04'!$C$2:$ZZ$2,C654)</f>
        <v>Detergente Aquafast Clear Cx/12 X 1l (Natural)</v>
      </c>
      <c r="H654" s="5" cm="1">
        <f t="array" ref="H654">INDEX('Linha 04'!$C$4:$ZZ$1000,B654,C654)</f>
        <v>0</v>
      </c>
    </row>
    <row r="655" spans="1:8" x14ac:dyDescent="0.25">
      <c r="A655">
        <v>653</v>
      </c>
      <c r="B655">
        <f t="shared" si="20"/>
        <v>24</v>
      </c>
      <c r="C655">
        <f t="shared" si="21"/>
        <v>9</v>
      </c>
      <c r="D655" cm="1">
        <f t="array" ref="D655">INDEX('Linha 04'!$A$4:$A$1000,B655)</f>
        <v>20050152</v>
      </c>
      <c r="E655" t="str" cm="1">
        <f t="array" ref="E655">INDEX('Linha 04'!$B$4:$B$1000,B655)</f>
        <v>Desinfetante Aquafast Harmonia Natural Cx/12 X 1l</v>
      </c>
      <c r="F655" cm="1">
        <f t="array" ref="F655">INDEX('Linha 04'!$C$3:$ZZ$3,C655)</f>
        <v>20030020</v>
      </c>
      <c r="G655" t="str" cm="1">
        <f t="array" ref="G655">INDEX('Linha 04'!$C$2:$ZZ$2,C655)</f>
        <v>Detergente Ito Maca Cx/24 X 500ml</v>
      </c>
      <c r="H655" s="5" cm="1">
        <f t="array" ref="H655">INDEX('Linha 04'!$C$4:$ZZ$1000,B655,C655)</f>
        <v>0</v>
      </c>
    </row>
    <row r="656" spans="1:8" x14ac:dyDescent="0.25">
      <c r="A656">
        <v>654</v>
      </c>
      <c r="B656">
        <f t="shared" si="20"/>
        <v>24</v>
      </c>
      <c r="C656">
        <f t="shared" si="21"/>
        <v>10</v>
      </c>
      <c r="D656" cm="1">
        <f t="array" ref="D656">INDEX('Linha 04'!$A$4:$A$1000,B656)</f>
        <v>20050152</v>
      </c>
      <c r="E656" t="str" cm="1">
        <f t="array" ref="E656">INDEX('Linha 04'!$B$4:$B$1000,B656)</f>
        <v>Desinfetante Aquafast Harmonia Natural Cx/12 X 1l</v>
      </c>
      <c r="F656" cm="1">
        <f t="array" ref="F656">INDEX('Linha 04'!$C$3:$ZZ$3,C656)</f>
        <v>20030021</v>
      </c>
      <c r="G656" t="str" cm="1">
        <f t="array" ref="G656">INDEX('Linha 04'!$C$2:$ZZ$2,C656)</f>
        <v>Detergente Ito Limao Cx/24 X 500ml</v>
      </c>
      <c r="H656" s="5" cm="1">
        <f t="array" ref="H656">INDEX('Linha 04'!$C$4:$ZZ$1000,B656,C656)</f>
        <v>0</v>
      </c>
    </row>
    <row r="657" spans="1:8" x14ac:dyDescent="0.25">
      <c r="A657">
        <v>655</v>
      </c>
      <c r="B657">
        <f t="shared" si="20"/>
        <v>24</v>
      </c>
      <c r="C657">
        <f t="shared" si="21"/>
        <v>11</v>
      </c>
      <c r="D657" cm="1">
        <f t="array" ref="D657">INDEX('Linha 04'!$A$4:$A$1000,B657)</f>
        <v>20050152</v>
      </c>
      <c r="E657" t="str" cm="1">
        <f t="array" ref="E657">INDEX('Linha 04'!$B$4:$B$1000,B657)</f>
        <v>Desinfetante Aquafast Harmonia Natural Cx/12 X 1l</v>
      </c>
      <c r="F657" cm="1">
        <f t="array" ref="F657">INDEX('Linha 04'!$C$3:$ZZ$3,C657)</f>
        <v>20030022</v>
      </c>
      <c r="G657" t="str" cm="1">
        <f t="array" ref="G657">INDEX('Linha 04'!$C$2:$ZZ$2,C657)</f>
        <v>Detergente Ito Neutro Cx/24 X 500ml</v>
      </c>
      <c r="H657" s="5" cm="1">
        <f t="array" ref="H657">INDEX('Linha 04'!$C$4:$ZZ$1000,B657,C657)</f>
        <v>0</v>
      </c>
    </row>
    <row r="658" spans="1:8" x14ac:dyDescent="0.25">
      <c r="A658">
        <v>656</v>
      </c>
      <c r="B658">
        <f t="shared" si="20"/>
        <v>24</v>
      </c>
      <c r="C658">
        <f t="shared" si="21"/>
        <v>12</v>
      </c>
      <c r="D658" cm="1">
        <f t="array" ref="D658">INDEX('Linha 04'!$A$4:$A$1000,B658)</f>
        <v>20050152</v>
      </c>
      <c r="E658" t="str" cm="1">
        <f t="array" ref="E658">INDEX('Linha 04'!$B$4:$B$1000,B658)</f>
        <v>Desinfetante Aquafast Harmonia Natural Cx/12 X 1l</v>
      </c>
      <c r="F658" cm="1">
        <f t="array" ref="F658">INDEX('Linha 04'!$C$3:$ZZ$3,C658)</f>
        <v>20030023</v>
      </c>
      <c r="G658" t="str" cm="1">
        <f t="array" ref="G658">INDEX('Linha 04'!$C$2:$ZZ$2,C658)</f>
        <v>Detergente Ito Clear Cx/24 X 500ml</v>
      </c>
      <c r="H658" s="5" cm="1">
        <f t="array" ref="H658">INDEX('Linha 04'!$C$4:$ZZ$1000,B658,C658)</f>
        <v>0</v>
      </c>
    </row>
    <row r="659" spans="1:8" x14ac:dyDescent="0.25">
      <c r="A659">
        <v>657</v>
      </c>
      <c r="B659">
        <f t="shared" si="20"/>
        <v>24</v>
      </c>
      <c r="C659">
        <f t="shared" si="21"/>
        <v>13</v>
      </c>
      <c r="D659" cm="1">
        <f t="array" ref="D659">INDEX('Linha 04'!$A$4:$A$1000,B659)</f>
        <v>20050152</v>
      </c>
      <c r="E659" t="str" cm="1">
        <f t="array" ref="E659">INDEX('Linha 04'!$B$4:$B$1000,B659)</f>
        <v>Desinfetante Aquafast Harmonia Natural Cx/12 X 1l</v>
      </c>
      <c r="F659" cm="1">
        <f t="array" ref="F659">INDEX('Linha 04'!$C$3:$ZZ$3,C659)</f>
        <v>20030038</v>
      </c>
      <c r="G659" t="str" cm="1">
        <f t="array" ref="G659">INDEX('Linha 04'!$C$2:$ZZ$2,C659)</f>
        <v>Detergente Myata Maca Cx/24 X 500ml</v>
      </c>
      <c r="H659" s="5" cm="1">
        <f t="array" ref="H659">INDEX('Linha 04'!$C$4:$ZZ$1000,B659,C659)</f>
        <v>0</v>
      </c>
    </row>
    <row r="660" spans="1:8" x14ac:dyDescent="0.25">
      <c r="A660">
        <v>658</v>
      </c>
      <c r="B660">
        <f t="shared" si="20"/>
        <v>24</v>
      </c>
      <c r="C660">
        <f t="shared" si="21"/>
        <v>14</v>
      </c>
      <c r="D660" cm="1">
        <f t="array" ref="D660">INDEX('Linha 04'!$A$4:$A$1000,B660)</f>
        <v>20050152</v>
      </c>
      <c r="E660" t="str" cm="1">
        <f t="array" ref="E660">INDEX('Linha 04'!$B$4:$B$1000,B660)</f>
        <v>Desinfetante Aquafast Harmonia Natural Cx/12 X 1l</v>
      </c>
      <c r="F660" cm="1">
        <f t="array" ref="F660">INDEX('Linha 04'!$C$3:$ZZ$3,C660)</f>
        <v>20030039</v>
      </c>
      <c r="G660" t="str" cm="1">
        <f t="array" ref="G660">INDEX('Linha 04'!$C$2:$ZZ$2,C660)</f>
        <v>Detergente Myata Limao Cx/24 X 500ml</v>
      </c>
      <c r="H660" s="5" cm="1">
        <f t="array" ref="H660">INDEX('Linha 04'!$C$4:$ZZ$1000,B660,C660)</f>
        <v>0</v>
      </c>
    </row>
    <row r="661" spans="1:8" x14ac:dyDescent="0.25">
      <c r="A661">
        <v>659</v>
      </c>
      <c r="B661">
        <f t="shared" si="20"/>
        <v>24</v>
      </c>
      <c r="C661">
        <f t="shared" si="21"/>
        <v>15</v>
      </c>
      <c r="D661" cm="1">
        <f t="array" ref="D661">INDEX('Linha 04'!$A$4:$A$1000,B661)</f>
        <v>20050152</v>
      </c>
      <c r="E661" t="str" cm="1">
        <f t="array" ref="E661">INDEX('Linha 04'!$B$4:$B$1000,B661)</f>
        <v>Desinfetante Aquafast Harmonia Natural Cx/12 X 1l</v>
      </c>
      <c r="F661" cm="1">
        <f t="array" ref="F661">INDEX('Linha 04'!$C$3:$ZZ$3,C661)</f>
        <v>20030040</v>
      </c>
      <c r="G661" t="str" cm="1">
        <f t="array" ref="G661">INDEX('Linha 04'!$C$2:$ZZ$2,C661)</f>
        <v>Detergente Myata Neutro Cx/24 X 500ml</v>
      </c>
      <c r="H661" s="5" cm="1">
        <f t="array" ref="H661">INDEX('Linha 04'!$C$4:$ZZ$1000,B661,C661)</f>
        <v>0</v>
      </c>
    </row>
    <row r="662" spans="1:8" x14ac:dyDescent="0.25">
      <c r="A662">
        <v>660</v>
      </c>
      <c r="B662">
        <f t="shared" si="20"/>
        <v>24</v>
      </c>
      <c r="C662">
        <f t="shared" si="21"/>
        <v>16</v>
      </c>
      <c r="D662" cm="1">
        <f t="array" ref="D662">INDEX('Linha 04'!$A$4:$A$1000,B662)</f>
        <v>20050152</v>
      </c>
      <c r="E662" t="str" cm="1">
        <f t="array" ref="E662">INDEX('Linha 04'!$B$4:$B$1000,B662)</f>
        <v>Desinfetante Aquafast Harmonia Natural Cx/12 X 1l</v>
      </c>
      <c r="F662" cm="1">
        <f t="array" ref="F662">INDEX('Linha 04'!$C$3:$ZZ$3,C662)</f>
        <v>20030067</v>
      </c>
      <c r="G662" t="str" cm="1">
        <f t="array" ref="G662">INDEX('Linha 04'!$C$2:$ZZ$2,C662)</f>
        <v>Detergente Aquafast Coco Cx/24 X 500ml</v>
      </c>
      <c r="H662" s="5" cm="1">
        <f t="array" ref="H662">INDEX('Linha 04'!$C$4:$ZZ$1000,B662,C662)</f>
        <v>0</v>
      </c>
    </row>
    <row r="663" spans="1:8" x14ac:dyDescent="0.25">
      <c r="A663">
        <v>661</v>
      </c>
      <c r="B663">
        <f t="shared" si="20"/>
        <v>24</v>
      </c>
      <c r="C663">
        <f t="shared" si="21"/>
        <v>17</v>
      </c>
      <c r="D663" cm="1">
        <f t="array" ref="D663">INDEX('Linha 04'!$A$4:$A$1000,B663)</f>
        <v>20050152</v>
      </c>
      <c r="E663" t="str" cm="1">
        <f t="array" ref="E663">INDEX('Linha 04'!$B$4:$B$1000,B663)</f>
        <v>Desinfetante Aquafast Harmonia Natural Cx/12 X 1l</v>
      </c>
      <c r="F663" cm="1">
        <f t="array" ref="F663">INDEX('Linha 04'!$C$3:$ZZ$3,C663)</f>
        <v>20050001</v>
      </c>
      <c r="G663" t="str" cm="1">
        <f t="array" ref="G663">INDEX('Linha 04'!$C$2:$ZZ$2,C663)</f>
        <v>Desinfetante Aquafast Campos Lavanda Cx/12 X 500ml</v>
      </c>
      <c r="H663" s="5" cm="1">
        <f t="array" ref="H663">INDEX('Linha 04'!$C$4:$ZZ$1000,B663,C663)</f>
        <v>0</v>
      </c>
    </row>
    <row r="664" spans="1:8" x14ac:dyDescent="0.25">
      <c r="A664">
        <v>662</v>
      </c>
      <c r="B664">
        <f t="shared" si="20"/>
        <v>24</v>
      </c>
      <c r="C664">
        <f t="shared" si="21"/>
        <v>18</v>
      </c>
      <c r="D664" cm="1">
        <f t="array" ref="D664">INDEX('Linha 04'!$A$4:$A$1000,B664)</f>
        <v>20050152</v>
      </c>
      <c r="E664" t="str" cm="1">
        <f t="array" ref="E664">INDEX('Linha 04'!$B$4:$B$1000,B664)</f>
        <v>Desinfetante Aquafast Harmonia Natural Cx/12 X 1l</v>
      </c>
      <c r="F664" cm="1">
        <f t="array" ref="F664">INDEX('Linha 04'!$C$3:$ZZ$3,C664)</f>
        <v>20050026</v>
      </c>
      <c r="G664" t="str" cm="1">
        <f t="array" ref="G664">INDEX('Linha 04'!$C$2:$ZZ$2,C664)</f>
        <v>Desinfetante Ito Lavanda Cx/12 X 500ml</v>
      </c>
      <c r="H664" s="5" cm="1">
        <f t="array" ref="H664">INDEX('Linha 04'!$C$4:$ZZ$1000,B664,C664)</f>
        <v>0</v>
      </c>
    </row>
    <row r="665" spans="1:8" x14ac:dyDescent="0.25">
      <c r="A665">
        <v>663</v>
      </c>
      <c r="B665">
        <f t="shared" si="20"/>
        <v>24</v>
      </c>
      <c r="C665">
        <f t="shared" si="21"/>
        <v>19</v>
      </c>
      <c r="D665" cm="1">
        <f t="array" ref="D665">INDEX('Linha 04'!$A$4:$A$1000,B665)</f>
        <v>20050152</v>
      </c>
      <c r="E665" t="str" cm="1">
        <f t="array" ref="E665">INDEX('Linha 04'!$B$4:$B$1000,B665)</f>
        <v>Desinfetante Aquafast Harmonia Natural Cx/12 X 1l</v>
      </c>
      <c r="F665" cm="1">
        <f t="array" ref="F665">INDEX('Linha 04'!$C$3:$ZZ$3,C665)</f>
        <v>20050119</v>
      </c>
      <c r="G665" t="str" cm="1">
        <f t="array" ref="G665">INDEX('Linha 04'!$C$2:$ZZ$2,C665)</f>
        <v>Desinfetante Aquafast Paixao Cx/12 X 500ml</v>
      </c>
      <c r="H665" s="5" cm="1">
        <f t="array" ref="H665">INDEX('Linha 04'!$C$4:$ZZ$1000,B665,C665)</f>
        <v>0</v>
      </c>
    </row>
    <row r="666" spans="1:8" x14ac:dyDescent="0.25">
      <c r="A666">
        <v>664</v>
      </c>
      <c r="B666">
        <f t="shared" si="20"/>
        <v>24</v>
      </c>
      <c r="C666">
        <f t="shared" si="21"/>
        <v>20</v>
      </c>
      <c r="D666" cm="1">
        <f t="array" ref="D666">INDEX('Linha 04'!$A$4:$A$1000,B666)</f>
        <v>20050152</v>
      </c>
      <c r="E666" t="str" cm="1">
        <f t="array" ref="E666">INDEX('Linha 04'!$B$4:$B$1000,B666)</f>
        <v>Desinfetante Aquafast Harmonia Natural Cx/12 X 1l</v>
      </c>
      <c r="F666" cm="1">
        <f t="array" ref="F666">INDEX('Linha 04'!$C$3:$ZZ$3,C666)</f>
        <v>20050145</v>
      </c>
      <c r="G666" t="str" cm="1">
        <f t="array" ref="G666">INDEX('Linha 04'!$C$2:$ZZ$2,C666)</f>
        <v>Desinfetante Aquafast Harmonia Natural Cx/12 X 500ml</v>
      </c>
      <c r="H666" s="5" cm="1">
        <f t="array" ref="H666">INDEX('Linha 04'!$C$4:$ZZ$1000,B666,C666)</f>
        <v>0</v>
      </c>
    </row>
    <row r="667" spans="1:8" x14ac:dyDescent="0.25">
      <c r="A667">
        <v>665</v>
      </c>
      <c r="B667">
        <f t="shared" si="20"/>
        <v>24</v>
      </c>
      <c r="C667">
        <f t="shared" si="21"/>
        <v>21</v>
      </c>
      <c r="D667" cm="1">
        <f t="array" ref="D667">INDEX('Linha 04'!$A$4:$A$1000,B667)</f>
        <v>20050152</v>
      </c>
      <c r="E667" t="str" cm="1">
        <f t="array" ref="E667">INDEX('Linha 04'!$B$4:$B$1000,B667)</f>
        <v>Desinfetante Aquafast Harmonia Natural Cx/12 X 1l</v>
      </c>
      <c r="F667" cm="1">
        <f t="array" ref="F667">INDEX('Linha 04'!$C$3:$ZZ$3,C667)</f>
        <v>20050149</v>
      </c>
      <c r="G667" t="str" cm="1">
        <f t="array" ref="G667">INDEX('Linha 04'!$C$2:$ZZ$2,C667)</f>
        <v>Desinfetante Aquafast Campos Lavanda Cx/12 X 1l</v>
      </c>
      <c r="H667" s="5" cm="1">
        <f t="array" ref="H667">INDEX('Linha 04'!$C$4:$ZZ$1000,B667,C667)</f>
        <v>0</v>
      </c>
    </row>
    <row r="668" spans="1:8" x14ac:dyDescent="0.25">
      <c r="A668">
        <v>666</v>
      </c>
      <c r="B668">
        <f t="shared" si="20"/>
        <v>24</v>
      </c>
      <c r="C668">
        <f t="shared" si="21"/>
        <v>22</v>
      </c>
      <c r="D668" cm="1">
        <f t="array" ref="D668">INDEX('Linha 04'!$A$4:$A$1000,B668)</f>
        <v>20050152</v>
      </c>
      <c r="E668" t="str" cm="1">
        <f t="array" ref="E668">INDEX('Linha 04'!$B$4:$B$1000,B668)</f>
        <v>Desinfetante Aquafast Harmonia Natural Cx/12 X 1l</v>
      </c>
      <c r="F668" cm="1">
        <f t="array" ref="F668">INDEX('Linha 04'!$C$3:$ZZ$3,C668)</f>
        <v>20050150</v>
      </c>
      <c r="G668" t="str" cm="1">
        <f t="array" ref="G668">INDEX('Linha 04'!$C$2:$ZZ$2,C668)</f>
        <v>Desinfetante Aquafast Marine Cx/12 X 1l</v>
      </c>
      <c r="H668" s="5" cm="1">
        <f t="array" ref="H668">INDEX('Linha 04'!$C$4:$ZZ$1000,B668,C668)</f>
        <v>0</v>
      </c>
    </row>
    <row r="669" spans="1:8" x14ac:dyDescent="0.25">
      <c r="A669">
        <v>667</v>
      </c>
      <c r="B669">
        <f t="shared" si="20"/>
        <v>24</v>
      </c>
      <c r="C669">
        <f t="shared" si="21"/>
        <v>23</v>
      </c>
      <c r="D669" cm="1">
        <f t="array" ref="D669">INDEX('Linha 04'!$A$4:$A$1000,B669)</f>
        <v>20050152</v>
      </c>
      <c r="E669" t="str" cm="1">
        <f t="array" ref="E669">INDEX('Linha 04'!$B$4:$B$1000,B669)</f>
        <v>Desinfetante Aquafast Harmonia Natural Cx/12 X 1l</v>
      </c>
      <c r="F669" cm="1">
        <f t="array" ref="F669">INDEX('Linha 04'!$C$3:$ZZ$3,C669)</f>
        <v>20050151</v>
      </c>
      <c r="G669" t="str" cm="1">
        <f t="array" ref="G669">INDEX('Linha 04'!$C$2:$ZZ$2,C669)</f>
        <v>Desinfetante Aquafast Paixao Cx/12 X 1l</v>
      </c>
      <c r="H669" s="5" cm="1">
        <f t="array" ref="H669">INDEX('Linha 04'!$C$4:$ZZ$1000,B669,C669)</f>
        <v>0</v>
      </c>
    </row>
    <row r="670" spans="1:8" x14ac:dyDescent="0.25">
      <c r="A670">
        <v>668</v>
      </c>
      <c r="B670">
        <f t="shared" si="20"/>
        <v>24</v>
      </c>
      <c r="C670">
        <f t="shared" si="21"/>
        <v>24</v>
      </c>
      <c r="D670" cm="1">
        <f t="array" ref="D670">INDEX('Linha 04'!$A$4:$A$1000,B670)</f>
        <v>20050152</v>
      </c>
      <c r="E670" t="str" cm="1">
        <f t="array" ref="E670">INDEX('Linha 04'!$B$4:$B$1000,B670)</f>
        <v>Desinfetante Aquafast Harmonia Natural Cx/12 X 1l</v>
      </c>
      <c r="F670" cm="1">
        <f t="array" ref="F670">INDEX('Linha 04'!$C$3:$ZZ$3,C670)</f>
        <v>20050152</v>
      </c>
      <c r="G670" t="str" cm="1">
        <f t="array" ref="G670">INDEX('Linha 04'!$C$2:$ZZ$2,C670)</f>
        <v>Desinfetante Aquafast Harmonia Natural Cx/12 X 1l</v>
      </c>
      <c r="H670" s="5" cm="1">
        <f t="array" ref="H670">INDEX('Linha 04'!$C$4:$ZZ$1000,B670,C670)</f>
        <v>0</v>
      </c>
    </row>
    <row r="671" spans="1:8" x14ac:dyDescent="0.25">
      <c r="A671">
        <v>669</v>
      </c>
      <c r="B671">
        <f t="shared" si="20"/>
        <v>24</v>
      </c>
      <c r="C671">
        <f t="shared" si="21"/>
        <v>25</v>
      </c>
      <c r="D671" cm="1">
        <f t="array" ref="D671">INDEX('Linha 04'!$A$4:$A$1000,B671)</f>
        <v>20050152</v>
      </c>
      <c r="E671" t="str" cm="1">
        <f t="array" ref="E671">INDEX('Linha 04'!$B$4:$B$1000,B671)</f>
        <v>Desinfetante Aquafast Harmonia Natural Cx/12 X 1l</v>
      </c>
      <c r="F671" cm="1">
        <f t="array" ref="F671">INDEX('Linha 04'!$C$3:$ZZ$3,C671)</f>
        <v>20050153</v>
      </c>
      <c r="G671" t="str" cm="1">
        <f t="array" ref="G671">INDEX('Linha 04'!$C$2:$ZZ$2,C671)</f>
        <v>Desinfetante Ito Harmonia Natural Cx/12 X 500ml</v>
      </c>
      <c r="H671" s="5" cm="1">
        <f t="array" ref="H671">INDEX('Linha 04'!$C$4:$ZZ$1000,B671,C671)</f>
        <v>0</v>
      </c>
    </row>
    <row r="672" spans="1:8" x14ac:dyDescent="0.25">
      <c r="A672">
        <v>670</v>
      </c>
      <c r="B672">
        <f t="shared" si="20"/>
        <v>24</v>
      </c>
      <c r="C672">
        <f t="shared" si="21"/>
        <v>26</v>
      </c>
      <c r="D672" cm="1">
        <f t="array" ref="D672">INDEX('Linha 04'!$A$4:$A$1000,B672)</f>
        <v>20050152</v>
      </c>
      <c r="E672" t="str" cm="1">
        <f t="array" ref="E672">INDEX('Linha 04'!$B$4:$B$1000,B672)</f>
        <v>Desinfetante Aquafast Harmonia Natural Cx/12 X 1l</v>
      </c>
      <c r="F672" cm="1">
        <f t="array" ref="F672">INDEX('Linha 04'!$C$3:$ZZ$3,C672)</f>
        <v>20050155</v>
      </c>
      <c r="G672" t="str" cm="1">
        <f t="array" ref="G672">INDEX('Linha 04'!$C$2:$ZZ$2,C672)</f>
        <v>Intermed Pack Desinfetante Paixao Cx/12 X 1l</v>
      </c>
      <c r="H672" s="5" cm="1">
        <f t="array" ref="H672">INDEX('Linha 04'!$C$4:$ZZ$1000,B672,C672)</f>
        <v>0</v>
      </c>
    </row>
    <row r="673" spans="1:8" x14ac:dyDescent="0.25">
      <c r="A673">
        <v>671</v>
      </c>
      <c r="B673">
        <f t="shared" si="20"/>
        <v>24</v>
      </c>
      <c r="C673">
        <f t="shared" si="21"/>
        <v>27</v>
      </c>
      <c r="D673" cm="1">
        <f t="array" ref="D673">INDEX('Linha 04'!$A$4:$A$1000,B673)</f>
        <v>20050152</v>
      </c>
      <c r="E673" t="str" cm="1">
        <f t="array" ref="E673">INDEX('Linha 04'!$B$4:$B$1000,B673)</f>
        <v>Desinfetante Aquafast Harmonia Natural Cx/12 X 1l</v>
      </c>
      <c r="F673" cm="1">
        <f t="array" ref="F673">INDEX('Linha 04'!$C$3:$ZZ$3,C673)</f>
        <v>20050156</v>
      </c>
      <c r="G673" t="str" cm="1">
        <f t="array" ref="G673">INDEX('Linha 04'!$C$2:$ZZ$2,C673)</f>
        <v>Intermed Pack Desinfetante Campos Lavanda Cx/12 X 1l</v>
      </c>
      <c r="H673" s="5" cm="1">
        <f t="array" ref="H673">INDEX('Linha 04'!$C$4:$ZZ$1000,B673,C673)</f>
        <v>0</v>
      </c>
    </row>
    <row r="674" spans="1:8" x14ac:dyDescent="0.25">
      <c r="A674">
        <v>672</v>
      </c>
      <c r="B674">
        <f t="shared" si="20"/>
        <v>24</v>
      </c>
      <c r="C674">
        <f t="shared" si="21"/>
        <v>28</v>
      </c>
      <c r="D674" cm="1">
        <f t="array" ref="D674">INDEX('Linha 04'!$A$4:$A$1000,B674)</f>
        <v>20050152</v>
      </c>
      <c r="E674" t="str" cm="1">
        <f t="array" ref="E674">INDEX('Linha 04'!$B$4:$B$1000,B674)</f>
        <v>Desinfetante Aquafast Harmonia Natural Cx/12 X 1l</v>
      </c>
      <c r="F674" cm="1">
        <f t="array" ref="F674">INDEX('Linha 04'!$C$3:$ZZ$3,C674)</f>
        <v>20050157</v>
      </c>
      <c r="G674" t="str" cm="1">
        <f t="array" ref="G674">INDEX('Linha 04'!$C$2:$ZZ$2,C674)</f>
        <v>Intermed Pack Desinfetante Marine Cx/12 X 1l</v>
      </c>
      <c r="H674" s="5" cm="1">
        <f t="array" ref="H674">INDEX('Linha 04'!$C$4:$ZZ$1000,B674,C674)</f>
        <v>0</v>
      </c>
    </row>
    <row r="675" spans="1:8" x14ac:dyDescent="0.25">
      <c r="A675">
        <v>673</v>
      </c>
      <c r="B675">
        <f t="shared" si="20"/>
        <v>25</v>
      </c>
      <c r="C675">
        <f t="shared" si="21"/>
        <v>1</v>
      </c>
      <c r="D675" cm="1">
        <f t="array" ref="D675">INDEX('Linha 04'!$A$4:$A$1000,B675)</f>
        <v>20050153</v>
      </c>
      <c r="E675" t="str" cm="1">
        <f t="array" ref="E675">INDEX('Linha 04'!$B$4:$B$1000,B675)</f>
        <v>Desinfetante Ito Harmonia Natural Cx/12 X 500ml</v>
      </c>
      <c r="F675" cm="1">
        <f t="array" ref="F675">INDEX('Linha 04'!$C$3:$ZZ$3,C675)</f>
        <v>20030001</v>
      </c>
      <c r="G675" t="str" cm="1">
        <f t="array" ref="G675">INDEX('Linha 04'!$C$2:$ZZ$2,C675)</f>
        <v>Detergente Aquafast Maca Cx/24 X 500ml</v>
      </c>
      <c r="H675" s="5" cm="1">
        <f t="array" ref="H675">INDEX('Linha 04'!$C$4:$ZZ$1000,B675,C675)</f>
        <v>0</v>
      </c>
    </row>
    <row r="676" spans="1:8" x14ac:dyDescent="0.25">
      <c r="A676">
        <v>674</v>
      </c>
      <c r="B676">
        <f t="shared" si="20"/>
        <v>25</v>
      </c>
      <c r="C676">
        <f t="shared" si="21"/>
        <v>2</v>
      </c>
      <c r="D676" cm="1">
        <f t="array" ref="D676">INDEX('Linha 04'!$A$4:$A$1000,B676)</f>
        <v>20050153</v>
      </c>
      <c r="E676" t="str" cm="1">
        <f t="array" ref="E676">INDEX('Linha 04'!$B$4:$B$1000,B676)</f>
        <v>Desinfetante Ito Harmonia Natural Cx/12 X 500ml</v>
      </c>
      <c r="F676" cm="1">
        <f t="array" ref="F676">INDEX('Linha 04'!$C$3:$ZZ$3,C676)</f>
        <v>20030002</v>
      </c>
      <c r="G676" t="str" cm="1">
        <f t="array" ref="G676">INDEX('Linha 04'!$C$2:$ZZ$2,C676)</f>
        <v>Detergente Aquafast Limao Cx/24 X 500ml</v>
      </c>
      <c r="H676" s="5" cm="1">
        <f t="array" ref="H676">INDEX('Linha 04'!$C$4:$ZZ$1000,B676,C676)</f>
        <v>0</v>
      </c>
    </row>
    <row r="677" spans="1:8" x14ac:dyDescent="0.25">
      <c r="A677">
        <v>675</v>
      </c>
      <c r="B677">
        <f t="shared" si="20"/>
        <v>25</v>
      </c>
      <c r="C677">
        <f t="shared" si="21"/>
        <v>3</v>
      </c>
      <c r="D677" cm="1">
        <f t="array" ref="D677">INDEX('Linha 04'!$A$4:$A$1000,B677)</f>
        <v>20050153</v>
      </c>
      <c r="E677" t="str" cm="1">
        <f t="array" ref="E677">INDEX('Linha 04'!$B$4:$B$1000,B677)</f>
        <v>Desinfetante Ito Harmonia Natural Cx/12 X 500ml</v>
      </c>
      <c r="F677" cm="1">
        <f t="array" ref="F677">INDEX('Linha 04'!$C$3:$ZZ$3,C677)</f>
        <v>20030003</v>
      </c>
      <c r="G677" t="str" cm="1">
        <f t="array" ref="G677">INDEX('Linha 04'!$C$2:$ZZ$2,C677)</f>
        <v>Detergente Aquafast Neutro Cx/24 X 500ml</v>
      </c>
      <c r="H677" s="5" cm="1">
        <f t="array" ref="H677">INDEX('Linha 04'!$C$4:$ZZ$1000,B677,C677)</f>
        <v>0</v>
      </c>
    </row>
    <row r="678" spans="1:8" x14ac:dyDescent="0.25">
      <c r="A678">
        <v>676</v>
      </c>
      <c r="B678">
        <f t="shared" si="20"/>
        <v>25</v>
      </c>
      <c r="C678">
        <f t="shared" si="21"/>
        <v>4</v>
      </c>
      <c r="D678" cm="1">
        <f t="array" ref="D678">INDEX('Linha 04'!$A$4:$A$1000,B678)</f>
        <v>20050153</v>
      </c>
      <c r="E678" t="str" cm="1">
        <f t="array" ref="E678">INDEX('Linha 04'!$B$4:$B$1000,B678)</f>
        <v>Desinfetante Ito Harmonia Natural Cx/12 X 500ml</v>
      </c>
      <c r="F678" cm="1">
        <f t="array" ref="F678">INDEX('Linha 04'!$C$3:$ZZ$3,C678)</f>
        <v>20030004</v>
      </c>
      <c r="G678" t="str" cm="1">
        <f t="array" ref="G678">INDEX('Linha 04'!$C$2:$ZZ$2,C678)</f>
        <v>Detergente Aquafast Clear Cx/24 X 500ml (Natural)</v>
      </c>
      <c r="H678" s="5" cm="1">
        <f t="array" ref="H678">INDEX('Linha 04'!$C$4:$ZZ$1000,B678,C678)</f>
        <v>0</v>
      </c>
    </row>
    <row r="679" spans="1:8" x14ac:dyDescent="0.25">
      <c r="A679">
        <v>677</v>
      </c>
      <c r="B679">
        <f t="shared" si="20"/>
        <v>25</v>
      </c>
      <c r="C679">
        <f t="shared" si="21"/>
        <v>5</v>
      </c>
      <c r="D679" cm="1">
        <f t="array" ref="D679">INDEX('Linha 04'!$A$4:$A$1000,B679)</f>
        <v>20050153</v>
      </c>
      <c r="E679" t="str" cm="1">
        <f t="array" ref="E679">INDEX('Linha 04'!$B$4:$B$1000,B679)</f>
        <v>Desinfetante Ito Harmonia Natural Cx/12 X 500ml</v>
      </c>
      <c r="F679" cm="1">
        <f t="array" ref="F679">INDEX('Linha 04'!$C$3:$ZZ$3,C679)</f>
        <v>20030011</v>
      </c>
      <c r="G679" t="str" cm="1">
        <f t="array" ref="G679">INDEX('Linha 04'!$C$2:$ZZ$2,C679)</f>
        <v>Detergente Aquafast Maca Cx/12 X 1l</v>
      </c>
      <c r="H679" s="5" cm="1">
        <f t="array" ref="H679">INDEX('Linha 04'!$C$4:$ZZ$1000,B679,C679)</f>
        <v>0</v>
      </c>
    </row>
    <row r="680" spans="1:8" x14ac:dyDescent="0.25">
      <c r="A680">
        <v>678</v>
      </c>
      <c r="B680">
        <f t="shared" si="20"/>
        <v>25</v>
      </c>
      <c r="C680">
        <f t="shared" si="21"/>
        <v>6</v>
      </c>
      <c r="D680" cm="1">
        <f t="array" ref="D680">INDEX('Linha 04'!$A$4:$A$1000,B680)</f>
        <v>20050153</v>
      </c>
      <c r="E680" t="str" cm="1">
        <f t="array" ref="E680">INDEX('Linha 04'!$B$4:$B$1000,B680)</f>
        <v>Desinfetante Ito Harmonia Natural Cx/12 X 500ml</v>
      </c>
      <c r="F680" cm="1">
        <f t="array" ref="F680">INDEX('Linha 04'!$C$3:$ZZ$3,C680)</f>
        <v>20030012</v>
      </c>
      <c r="G680" t="str" cm="1">
        <f t="array" ref="G680">INDEX('Linha 04'!$C$2:$ZZ$2,C680)</f>
        <v>Detergente Aquafast Limao Cx/12 X 1l</v>
      </c>
      <c r="H680" s="5" cm="1">
        <f t="array" ref="H680">INDEX('Linha 04'!$C$4:$ZZ$1000,B680,C680)</f>
        <v>0</v>
      </c>
    </row>
    <row r="681" spans="1:8" x14ac:dyDescent="0.25">
      <c r="A681">
        <v>679</v>
      </c>
      <c r="B681">
        <f t="shared" si="20"/>
        <v>25</v>
      </c>
      <c r="C681">
        <f t="shared" si="21"/>
        <v>7</v>
      </c>
      <c r="D681" cm="1">
        <f t="array" ref="D681">INDEX('Linha 04'!$A$4:$A$1000,B681)</f>
        <v>20050153</v>
      </c>
      <c r="E681" t="str" cm="1">
        <f t="array" ref="E681">INDEX('Linha 04'!$B$4:$B$1000,B681)</f>
        <v>Desinfetante Ito Harmonia Natural Cx/12 X 500ml</v>
      </c>
      <c r="F681" cm="1">
        <f t="array" ref="F681">INDEX('Linha 04'!$C$3:$ZZ$3,C681)</f>
        <v>20030013</v>
      </c>
      <c r="G681" t="str" cm="1">
        <f t="array" ref="G681">INDEX('Linha 04'!$C$2:$ZZ$2,C681)</f>
        <v>Detergente Aquafast Neutro Cx/12 X 1l</v>
      </c>
      <c r="H681" s="5" cm="1">
        <f t="array" ref="H681">INDEX('Linha 04'!$C$4:$ZZ$1000,B681,C681)</f>
        <v>0</v>
      </c>
    </row>
    <row r="682" spans="1:8" x14ac:dyDescent="0.25">
      <c r="A682">
        <v>680</v>
      </c>
      <c r="B682">
        <f t="shared" si="20"/>
        <v>25</v>
      </c>
      <c r="C682">
        <f t="shared" si="21"/>
        <v>8</v>
      </c>
      <c r="D682" cm="1">
        <f t="array" ref="D682">INDEX('Linha 04'!$A$4:$A$1000,B682)</f>
        <v>20050153</v>
      </c>
      <c r="E682" t="str" cm="1">
        <f t="array" ref="E682">INDEX('Linha 04'!$B$4:$B$1000,B682)</f>
        <v>Desinfetante Ito Harmonia Natural Cx/12 X 500ml</v>
      </c>
      <c r="F682" cm="1">
        <f t="array" ref="F682">INDEX('Linha 04'!$C$3:$ZZ$3,C682)</f>
        <v>20030014</v>
      </c>
      <c r="G682" t="str" cm="1">
        <f t="array" ref="G682">INDEX('Linha 04'!$C$2:$ZZ$2,C682)</f>
        <v>Detergente Aquafast Clear Cx/12 X 1l (Natural)</v>
      </c>
      <c r="H682" s="5" cm="1">
        <f t="array" ref="H682">INDEX('Linha 04'!$C$4:$ZZ$1000,B682,C682)</f>
        <v>0</v>
      </c>
    </row>
    <row r="683" spans="1:8" x14ac:dyDescent="0.25">
      <c r="A683">
        <v>681</v>
      </c>
      <c r="B683">
        <f t="shared" si="20"/>
        <v>25</v>
      </c>
      <c r="C683">
        <f t="shared" si="21"/>
        <v>9</v>
      </c>
      <c r="D683" cm="1">
        <f t="array" ref="D683">INDEX('Linha 04'!$A$4:$A$1000,B683)</f>
        <v>20050153</v>
      </c>
      <c r="E683" t="str" cm="1">
        <f t="array" ref="E683">INDEX('Linha 04'!$B$4:$B$1000,B683)</f>
        <v>Desinfetante Ito Harmonia Natural Cx/12 X 500ml</v>
      </c>
      <c r="F683" cm="1">
        <f t="array" ref="F683">INDEX('Linha 04'!$C$3:$ZZ$3,C683)</f>
        <v>20030020</v>
      </c>
      <c r="G683" t="str" cm="1">
        <f t="array" ref="G683">INDEX('Linha 04'!$C$2:$ZZ$2,C683)</f>
        <v>Detergente Ito Maca Cx/24 X 500ml</v>
      </c>
      <c r="H683" s="5" cm="1">
        <f t="array" ref="H683">INDEX('Linha 04'!$C$4:$ZZ$1000,B683,C683)</f>
        <v>0</v>
      </c>
    </row>
    <row r="684" spans="1:8" x14ac:dyDescent="0.25">
      <c r="A684">
        <v>682</v>
      </c>
      <c r="B684">
        <f t="shared" si="20"/>
        <v>25</v>
      </c>
      <c r="C684">
        <f t="shared" si="21"/>
        <v>10</v>
      </c>
      <c r="D684" cm="1">
        <f t="array" ref="D684">INDEX('Linha 04'!$A$4:$A$1000,B684)</f>
        <v>20050153</v>
      </c>
      <c r="E684" t="str" cm="1">
        <f t="array" ref="E684">INDEX('Linha 04'!$B$4:$B$1000,B684)</f>
        <v>Desinfetante Ito Harmonia Natural Cx/12 X 500ml</v>
      </c>
      <c r="F684" cm="1">
        <f t="array" ref="F684">INDEX('Linha 04'!$C$3:$ZZ$3,C684)</f>
        <v>20030021</v>
      </c>
      <c r="G684" t="str" cm="1">
        <f t="array" ref="G684">INDEX('Linha 04'!$C$2:$ZZ$2,C684)</f>
        <v>Detergente Ito Limao Cx/24 X 500ml</v>
      </c>
      <c r="H684" s="5" cm="1">
        <f t="array" ref="H684">INDEX('Linha 04'!$C$4:$ZZ$1000,B684,C684)</f>
        <v>0</v>
      </c>
    </row>
    <row r="685" spans="1:8" x14ac:dyDescent="0.25">
      <c r="A685">
        <v>683</v>
      </c>
      <c r="B685">
        <f t="shared" si="20"/>
        <v>25</v>
      </c>
      <c r="C685">
        <f t="shared" si="21"/>
        <v>11</v>
      </c>
      <c r="D685" cm="1">
        <f t="array" ref="D685">INDEX('Linha 04'!$A$4:$A$1000,B685)</f>
        <v>20050153</v>
      </c>
      <c r="E685" t="str" cm="1">
        <f t="array" ref="E685">INDEX('Linha 04'!$B$4:$B$1000,B685)</f>
        <v>Desinfetante Ito Harmonia Natural Cx/12 X 500ml</v>
      </c>
      <c r="F685" cm="1">
        <f t="array" ref="F685">INDEX('Linha 04'!$C$3:$ZZ$3,C685)</f>
        <v>20030022</v>
      </c>
      <c r="G685" t="str" cm="1">
        <f t="array" ref="G685">INDEX('Linha 04'!$C$2:$ZZ$2,C685)</f>
        <v>Detergente Ito Neutro Cx/24 X 500ml</v>
      </c>
      <c r="H685" s="5" cm="1">
        <f t="array" ref="H685">INDEX('Linha 04'!$C$4:$ZZ$1000,B685,C685)</f>
        <v>0</v>
      </c>
    </row>
    <row r="686" spans="1:8" x14ac:dyDescent="0.25">
      <c r="A686">
        <v>684</v>
      </c>
      <c r="B686">
        <f t="shared" si="20"/>
        <v>25</v>
      </c>
      <c r="C686">
        <f t="shared" si="21"/>
        <v>12</v>
      </c>
      <c r="D686" cm="1">
        <f t="array" ref="D686">INDEX('Linha 04'!$A$4:$A$1000,B686)</f>
        <v>20050153</v>
      </c>
      <c r="E686" t="str" cm="1">
        <f t="array" ref="E686">INDEX('Linha 04'!$B$4:$B$1000,B686)</f>
        <v>Desinfetante Ito Harmonia Natural Cx/12 X 500ml</v>
      </c>
      <c r="F686" cm="1">
        <f t="array" ref="F686">INDEX('Linha 04'!$C$3:$ZZ$3,C686)</f>
        <v>20030023</v>
      </c>
      <c r="G686" t="str" cm="1">
        <f t="array" ref="G686">INDEX('Linha 04'!$C$2:$ZZ$2,C686)</f>
        <v>Detergente Ito Clear Cx/24 X 500ml</v>
      </c>
      <c r="H686" s="5" cm="1">
        <f t="array" ref="H686">INDEX('Linha 04'!$C$4:$ZZ$1000,B686,C686)</f>
        <v>0</v>
      </c>
    </row>
    <row r="687" spans="1:8" x14ac:dyDescent="0.25">
      <c r="A687">
        <v>685</v>
      </c>
      <c r="B687">
        <f t="shared" si="20"/>
        <v>25</v>
      </c>
      <c r="C687">
        <f t="shared" si="21"/>
        <v>13</v>
      </c>
      <c r="D687" cm="1">
        <f t="array" ref="D687">INDEX('Linha 04'!$A$4:$A$1000,B687)</f>
        <v>20050153</v>
      </c>
      <c r="E687" t="str" cm="1">
        <f t="array" ref="E687">INDEX('Linha 04'!$B$4:$B$1000,B687)</f>
        <v>Desinfetante Ito Harmonia Natural Cx/12 X 500ml</v>
      </c>
      <c r="F687" cm="1">
        <f t="array" ref="F687">INDEX('Linha 04'!$C$3:$ZZ$3,C687)</f>
        <v>20030038</v>
      </c>
      <c r="G687" t="str" cm="1">
        <f t="array" ref="G687">INDEX('Linha 04'!$C$2:$ZZ$2,C687)</f>
        <v>Detergente Myata Maca Cx/24 X 500ml</v>
      </c>
      <c r="H687" s="5" cm="1">
        <f t="array" ref="H687">INDEX('Linha 04'!$C$4:$ZZ$1000,B687,C687)</f>
        <v>0</v>
      </c>
    </row>
    <row r="688" spans="1:8" x14ac:dyDescent="0.25">
      <c r="A688">
        <v>686</v>
      </c>
      <c r="B688">
        <f t="shared" si="20"/>
        <v>25</v>
      </c>
      <c r="C688">
        <f t="shared" si="21"/>
        <v>14</v>
      </c>
      <c r="D688" cm="1">
        <f t="array" ref="D688">INDEX('Linha 04'!$A$4:$A$1000,B688)</f>
        <v>20050153</v>
      </c>
      <c r="E688" t="str" cm="1">
        <f t="array" ref="E688">INDEX('Linha 04'!$B$4:$B$1000,B688)</f>
        <v>Desinfetante Ito Harmonia Natural Cx/12 X 500ml</v>
      </c>
      <c r="F688" cm="1">
        <f t="array" ref="F688">INDEX('Linha 04'!$C$3:$ZZ$3,C688)</f>
        <v>20030039</v>
      </c>
      <c r="G688" t="str" cm="1">
        <f t="array" ref="G688">INDEX('Linha 04'!$C$2:$ZZ$2,C688)</f>
        <v>Detergente Myata Limao Cx/24 X 500ml</v>
      </c>
      <c r="H688" s="5" cm="1">
        <f t="array" ref="H688">INDEX('Linha 04'!$C$4:$ZZ$1000,B688,C688)</f>
        <v>0</v>
      </c>
    </row>
    <row r="689" spans="1:8" x14ac:dyDescent="0.25">
      <c r="A689">
        <v>687</v>
      </c>
      <c r="B689">
        <f t="shared" si="20"/>
        <v>25</v>
      </c>
      <c r="C689">
        <f t="shared" si="21"/>
        <v>15</v>
      </c>
      <c r="D689" cm="1">
        <f t="array" ref="D689">INDEX('Linha 04'!$A$4:$A$1000,B689)</f>
        <v>20050153</v>
      </c>
      <c r="E689" t="str" cm="1">
        <f t="array" ref="E689">INDEX('Linha 04'!$B$4:$B$1000,B689)</f>
        <v>Desinfetante Ito Harmonia Natural Cx/12 X 500ml</v>
      </c>
      <c r="F689" cm="1">
        <f t="array" ref="F689">INDEX('Linha 04'!$C$3:$ZZ$3,C689)</f>
        <v>20030040</v>
      </c>
      <c r="G689" t="str" cm="1">
        <f t="array" ref="G689">INDEX('Linha 04'!$C$2:$ZZ$2,C689)</f>
        <v>Detergente Myata Neutro Cx/24 X 500ml</v>
      </c>
      <c r="H689" s="5" cm="1">
        <f t="array" ref="H689">INDEX('Linha 04'!$C$4:$ZZ$1000,B689,C689)</f>
        <v>0</v>
      </c>
    </row>
    <row r="690" spans="1:8" x14ac:dyDescent="0.25">
      <c r="A690">
        <v>688</v>
      </c>
      <c r="B690">
        <f t="shared" si="20"/>
        <v>25</v>
      </c>
      <c r="C690">
        <f t="shared" si="21"/>
        <v>16</v>
      </c>
      <c r="D690" cm="1">
        <f t="array" ref="D690">INDEX('Linha 04'!$A$4:$A$1000,B690)</f>
        <v>20050153</v>
      </c>
      <c r="E690" t="str" cm="1">
        <f t="array" ref="E690">INDEX('Linha 04'!$B$4:$B$1000,B690)</f>
        <v>Desinfetante Ito Harmonia Natural Cx/12 X 500ml</v>
      </c>
      <c r="F690" cm="1">
        <f t="array" ref="F690">INDEX('Linha 04'!$C$3:$ZZ$3,C690)</f>
        <v>20030067</v>
      </c>
      <c r="G690" t="str" cm="1">
        <f t="array" ref="G690">INDEX('Linha 04'!$C$2:$ZZ$2,C690)</f>
        <v>Detergente Aquafast Coco Cx/24 X 500ml</v>
      </c>
      <c r="H690" s="5" cm="1">
        <f t="array" ref="H690">INDEX('Linha 04'!$C$4:$ZZ$1000,B690,C690)</f>
        <v>0</v>
      </c>
    </row>
    <row r="691" spans="1:8" x14ac:dyDescent="0.25">
      <c r="A691">
        <v>689</v>
      </c>
      <c r="B691">
        <f t="shared" si="20"/>
        <v>25</v>
      </c>
      <c r="C691">
        <f t="shared" si="21"/>
        <v>17</v>
      </c>
      <c r="D691" cm="1">
        <f t="array" ref="D691">INDEX('Linha 04'!$A$4:$A$1000,B691)</f>
        <v>20050153</v>
      </c>
      <c r="E691" t="str" cm="1">
        <f t="array" ref="E691">INDEX('Linha 04'!$B$4:$B$1000,B691)</f>
        <v>Desinfetante Ito Harmonia Natural Cx/12 X 500ml</v>
      </c>
      <c r="F691" cm="1">
        <f t="array" ref="F691">INDEX('Linha 04'!$C$3:$ZZ$3,C691)</f>
        <v>20050001</v>
      </c>
      <c r="G691" t="str" cm="1">
        <f t="array" ref="G691">INDEX('Linha 04'!$C$2:$ZZ$2,C691)</f>
        <v>Desinfetante Aquafast Campos Lavanda Cx/12 X 500ml</v>
      </c>
      <c r="H691" s="5" cm="1">
        <f t="array" ref="H691">INDEX('Linha 04'!$C$4:$ZZ$1000,B691,C691)</f>
        <v>0</v>
      </c>
    </row>
    <row r="692" spans="1:8" x14ac:dyDescent="0.25">
      <c r="A692">
        <v>690</v>
      </c>
      <c r="B692">
        <f t="shared" si="20"/>
        <v>25</v>
      </c>
      <c r="C692">
        <f t="shared" si="21"/>
        <v>18</v>
      </c>
      <c r="D692" cm="1">
        <f t="array" ref="D692">INDEX('Linha 04'!$A$4:$A$1000,B692)</f>
        <v>20050153</v>
      </c>
      <c r="E692" t="str" cm="1">
        <f t="array" ref="E692">INDEX('Linha 04'!$B$4:$B$1000,B692)</f>
        <v>Desinfetante Ito Harmonia Natural Cx/12 X 500ml</v>
      </c>
      <c r="F692" cm="1">
        <f t="array" ref="F692">INDEX('Linha 04'!$C$3:$ZZ$3,C692)</f>
        <v>20050026</v>
      </c>
      <c r="G692" t="str" cm="1">
        <f t="array" ref="G692">INDEX('Linha 04'!$C$2:$ZZ$2,C692)</f>
        <v>Desinfetante Ito Lavanda Cx/12 X 500ml</v>
      </c>
      <c r="H692" s="5" cm="1">
        <f t="array" ref="H692">INDEX('Linha 04'!$C$4:$ZZ$1000,B692,C692)</f>
        <v>0</v>
      </c>
    </row>
    <row r="693" spans="1:8" x14ac:dyDescent="0.25">
      <c r="A693">
        <v>691</v>
      </c>
      <c r="B693">
        <f t="shared" si="20"/>
        <v>25</v>
      </c>
      <c r="C693">
        <f t="shared" si="21"/>
        <v>19</v>
      </c>
      <c r="D693" cm="1">
        <f t="array" ref="D693">INDEX('Linha 04'!$A$4:$A$1000,B693)</f>
        <v>20050153</v>
      </c>
      <c r="E693" t="str" cm="1">
        <f t="array" ref="E693">INDEX('Linha 04'!$B$4:$B$1000,B693)</f>
        <v>Desinfetante Ito Harmonia Natural Cx/12 X 500ml</v>
      </c>
      <c r="F693" cm="1">
        <f t="array" ref="F693">INDEX('Linha 04'!$C$3:$ZZ$3,C693)</f>
        <v>20050119</v>
      </c>
      <c r="G693" t="str" cm="1">
        <f t="array" ref="G693">INDEX('Linha 04'!$C$2:$ZZ$2,C693)</f>
        <v>Desinfetante Aquafast Paixao Cx/12 X 500ml</v>
      </c>
      <c r="H693" s="5" cm="1">
        <f t="array" ref="H693">INDEX('Linha 04'!$C$4:$ZZ$1000,B693,C693)</f>
        <v>0</v>
      </c>
    </row>
    <row r="694" spans="1:8" x14ac:dyDescent="0.25">
      <c r="A694">
        <v>692</v>
      </c>
      <c r="B694">
        <f t="shared" si="20"/>
        <v>25</v>
      </c>
      <c r="C694">
        <f t="shared" si="21"/>
        <v>20</v>
      </c>
      <c r="D694" cm="1">
        <f t="array" ref="D694">INDEX('Linha 04'!$A$4:$A$1000,B694)</f>
        <v>20050153</v>
      </c>
      <c r="E694" t="str" cm="1">
        <f t="array" ref="E694">INDEX('Linha 04'!$B$4:$B$1000,B694)</f>
        <v>Desinfetante Ito Harmonia Natural Cx/12 X 500ml</v>
      </c>
      <c r="F694" cm="1">
        <f t="array" ref="F694">INDEX('Linha 04'!$C$3:$ZZ$3,C694)</f>
        <v>20050145</v>
      </c>
      <c r="G694" t="str" cm="1">
        <f t="array" ref="G694">INDEX('Linha 04'!$C$2:$ZZ$2,C694)</f>
        <v>Desinfetante Aquafast Harmonia Natural Cx/12 X 500ml</v>
      </c>
      <c r="H694" s="5" cm="1">
        <f t="array" ref="H694">INDEX('Linha 04'!$C$4:$ZZ$1000,B694,C694)</f>
        <v>0</v>
      </c>
    </row>
    <row r="695" spans="1:8" x14ac:dyDescent="0.25">
      <c r="A695">
        <v>693</v>
      </c>
      <c r="B695">
        <f t="shared" si="20"/>
        <v>25</v>
      </c>
      <c r="C695">
        <f t="shared" si="21"/>
        <v>21</v>
      </c>
      <c r="D695" cm="1">
        <f t="array" ref="D695">INDEX('Linha 04'!$A$4:$A$1000,B695)</f>
        <v>20050153</v>
      </c>
      <c r="E695" t="str" cm="1">
        <f t="array" ref="E695">INDEX('Linha 04'!$B$4:$B$1000,B695)</f>
        <v>Desinfetante Ito Harmonia Natural Cx/12 X 500ml</v>
      </c>
      <c r="F695" cm="1">
        <f t="array" ref="F695">INDEX('Linha 04'!$C$3:$ZZ$3,C695)</f>
        <v>20050149</v>
      </c>
      <c r="G695" t="str" cm="1">
        <f t="array" ref="G695">INDEX('Linha 04'!$C$2:$ZZ$2,C695)</f>
        <v>Desinfetante Aquafast Campos Lavanda Cx/12 X 1l</v>
      </c>
      <c r="H695" s="5" cm="1">
        <f t="array" ref="H695">INDEX('Linha 04'!$C$4:$ZZ$1000,B695,C695)</f>
        <v>0</v>
      </c>
    </row>
    <row r="696" spans="1:8" x14ac:dyDescent="0.25">
      <c r="A696">
        <v>694</v>
      </c>
      <c r="B696">
        <f t="shared" si="20"/>
        <v>25</v>
      </c>
      <c r="C696">
        <f t="shared" si="21"/>
        <v>22</v>
      </c>
      <c r="D696" cm="1">
        <f t="array" ref="D696">INDEX('Linha 04'!$A$4:$A$1000,B696)</f>
        <v>20050153</v>
      </c>
      <c r="E696" t="str" cm="1">
        <f t="array" ref="E696">INDEX('Linha 04'!$B$4:$B$1000,B696)</f>
        <v>Desinfetante Ito Harmonia Natural Cx/12 X 500ml</v>
      </c>
      <c r="F696" cm="1">
        <f t="array" ref="F696">INDEX('Linha 04'!$C$3:$ZZ$3,C696)</f>
        <v>20050150</v>
      </c>
      <c r="G696" t="str" cm="1">
        <f t="array" ref="G696">INDEX('Linha 04'!$C$2:$ZZ$2,C696)</f>
        <v>Desinfetante Aquafast Marine Cx/12 X 1l</v>
      </c>
      <c r="H696" s="5" cm="1">
        <f t="array" ref="H696">INDEX('Linha 04'!$C$4:$ZZ$1000,B696,C696)</f>
        <v>0</v>
      </c>
    </row>
    <row r="697" spans="1:8" x14ac:dyDescent="0.25">
      <c r="A697">
        <v>695</v>
      </c>
      <c r="B697">
        <f t="shared" si="20"/>
        <v>25</v>
      </c>
      <c r="C697">
        <f t="shared" si="21"/>
        <v>23</v>
      </c>
      <c r="D697" cm="1">
        <f t="array" ref="D697">INDEX('Linha 04'!$A$4:$A$1000,B697)</f>
        <v>20050153</v>
      </c>
      <c r="E697" t="str" cm="1">
        <f t="array" ref="E697">INDEX('Linha 04'!$B$4:$B$1000,B697)</f>
        <v>Desinfetante Ito Harmonia Natural Cx/12 X 500ml</v>
      </c>
      <c r="F697" cm="1">
        <f t="array" ref="F697">INDEX('Linha 04'!$C$3:$ZZ$3,C697)</f>
        <v>20050151</v>
      </c>
      <c r="G697" t="str" cm="1">
        <f t="array" ref="G697">INDEX('Linha 04'!$C$2:$ZZ$2,C697)</f>
        <v>Desinfetante Aquafast Paixao Cx/12 X 1l</v>
      </c>
      <c r="H697" s="5" cm="1">
        <f t="array" ref="H697">INDEX('Linha 04'!$C$4:$ZZ$1000,B697,C697)</f>
        <v>0</v>
      </c>
    </row>
    <row r="698" spans="1:8" x14ac:dyDescent="0.25">
      <c r="A698">
        <v>696</v>
      </c>
      <c r="B698">
        <f t="shared" si="20"/>
        <v>25</v>
      </c>
      <c r="C698">
        <f t="shared" si="21"/>
        <v>24</v>
      </c>
      <c r="D698" cm="1">
        <f t="array" ref="D698">INDEX('Linha 04'!$A$4:$A$1000,B698)</f>
        <v>20050153</v>
      </c>
      <c r="E698" t="str" cm="1">
        <f t="array" ref="E698">INDEX('Linha 04'!$B$4:$B$1000,B698)</f>
        <v>Desinfetante Ito Harmonia Natural Cx/12 X 500ml</v>
      </c>
      <c r="F698" cm="1">
        <f t="array" ref="F698">INDEX('Linha 04'!$C$3:$ZZ$3,C698)</f>
        <v>20050152</v>
      </c>
      <c r="G698" t="str" cm="1">
        <f t="array" ref="G698">INDEX('Linha 04'!$C$2:$ZZ$2,C698)</f>
        <v>Desinfetante Aquafast Harmonia Natural Cx/12 X 1l</v>
      </c>
      <c r="H698" s="5" cm="1">
        <f t="array" ref="H698">INDEX('Linha 04'!$C$4:$ZZ$1000,B698,C698)</f>
        <v>0</v>
      </c>
    </row>
    <row r="699" spans="1:8" x14ac:dyDescent="0.25">
      <c r="A699">
        <v>697</v>
      </c>
      <c r="B699">
        <f t="shared" si="20"/>
        <v>25</v>
      </c>
      <c r="C699">
        <f t="shared" si="21"/>
        <v>25</v>
      </c>
      <c r="D699" cm="1">
        <f t="array" ref="D699">INDEX('Linha 04'!$A$4:$A$1000,B699)</f>
        <v>20050153</v>
      </c>
      <c r="E699" t="str" cm="1">
        <f t="array" ref="E699">INDEX('Linha 04'!$B$4:$B$1000,B699)</f>
        <v>Desinfetante Ito Harmonia Natural Cx/12 X 500ml</v>
      </c>
      <c r="F699" cm="1">
        <f t="array" ref="F699">INDEX('Linha 04'!$C$3:$ZZ$3,C699)</f>
        <v>20050153</v>
      </c>
      <c r="G699" t="str" cm="1">
        <f t="array" ref="G699">INDEX('Linha 04'!$C$2:$ZZ$2,C699)</f>
        <v>Desinfetante Ito Harmonia Natural Cx/12 X 500ml</v>
      </c>
      <c r="H699" s="5" cm="1">
        <f t="array" ref="H699">INDEX('Linha 04'!$C$4:$ZZ$1000,B699,C699)</f>
        <v>0</v>
      </c>
    </row>
    <row r="700" spans="1:8" x14ac:dyDescent="0.25">
      <c r="A700">
        <v>698</v>
      </c>
      <c r="B700">
        <f t="shared" si="20"/>
        <v>25</v>
      </c>
      <c r="C700">
        <f t="shared" si="21"/>
        <v>26</v>
      </c>
      <c r="D700" cm="1">
        <f t="array" ref="D700">INDEX('Linha 04'!$A$4:$A$1000,B700)</f>
        <v>20050153</v>
      </c>
      <c r="E700" t="str" cm="1">
        <f t="array" ref="E700">INDEX('Linha 04'!$B$4:$B$1000,B700)</f>
        <v>Desinfetante Ito Harmonia Natural Cx/12 X 500ml</v>
      </c>
      <c r="F700" cm="1">
        <f t="array" ref="F700">INDEX('Linha 04'!$C$3:$ZZ$3,C700)</f>
        <v>20050155</v>
      </c>
      <c r="G700" t="str" cm="1">
        <f t="array" ref="G700">INDEX('Linha 04'!$C$2:$ZZ$2,C700)</f>
        <v>Intermed Pack Desinfetante Paixao Cx/12 X 1l</v>
      </c>
      <c r="H700" s="5" cm="1">
        <f t="array" ref="H700">INDEX('Linha 04'!$C$4:$ZZ$1000,B700,C700)</f>
        <v>0</v>
      </c>
    </row>
    <row r="701" spans="1:8" x14ac:dyDescent="0.25">
      <c r="A701">
        <v>699</v>
      </c>
      <c r="B701">
        <f t="shared" si="20"/>
        <v>25</v>
      </c>
      <c r="C701">
        <f t="shared" si="21"/>
        <v>27</v>
      </c>
      <c r="D701" cm="1">
        <f t="array" ref="D701">INDEX('Linha 04'!$A$4:$A$1000,B701)</f>
        <v>20050153</v>
      </c>
      <c r="E701" t="str" cm="1">
        <f t="array" ref="E701">INDEX('Linha 04'!$B$4:$B$1000,B701)</f>
        <v>Desinfetante Ito Harmonia Natural Cx/12 X 500ml</v>
      </c>
      <c r="F701" cm="1">
        <f t="array" ref="F701">INDEX('Linha 04'!$C$3:$ZZ$3,C701)</f>
        <v>20050156</v>
      </c>
      <c r="G701" t="str" cm="1">
        <f t="array" ref="G701">INDEX('Linha 04'!$C$2:$ZZ$2,C701)</f>
        <v>Intermed Pack Desinfetante Campos Lavanda Cx/12 X 1l</v>
      </c>
      <c r="H701" s="5" cm="1">
        <f t="array" ref="H701">INDEX('Linha 04'!$C$4:$ZZ$1000,B701,C701)</f>
        <v>0</v>
      </c>
    </row>
    <row r="702" spans="1:8" x14ac:dyDescent="0.25">
      <c r="A702">
        <v>700</v>
      </c>
      <c r="B702">
        <f t="shared" si="20"/>
        <v>25</v>
      </c>
      <c r="C702">
        <f t="shared" si="21"/>
        <v>28</v>
      </c>
      <c r="D702" cm="1">
        <f t="array" ref="D702">INDEX('Linha 04'!$A$4:$A$1000,B702)</f>
        <v>20050153</v>
      </c>
      <c r="E702" t="str" cm="1">
        <f t="array" ref="E702">INDEX('Linha 04'!$B$4:$B$1000,B702)</f>
        <v>Desinfetante Ito Harmonia Natural Cx/12 X 500ml</v>
      </c>
      <c r="F702" cm="1">
        <f t="array" ref="F702">INDEX('Linha 04'!$C$3:$ZZ$3,C702)</f>
        <v>20050157</v>
      </c>
      <c r="G702" t="str" cm="1">
        <f t="array" ref="G702">INDEX('Linha 04'!$C$2:$ZZ$2,C702)</f>
        <v>Intermed Pack Desinfetante Marine Cx/12 X 1l</v>
      </c>
      <c r="H702" s="5" cm="1">
        <f t="array" ref="H702">INDEX('Linha 04'!$C$4:$ZZ$1000,B702,C702)</f>
        <v>0</v>
      </c>
    </row>
    <row r="703" spans="1:8" x14ac:dyDescent="0.25">
      <c r="A703">
        <v>701</v>
      </c>
      <c r="B703">
        <f t="shared" si="20"/>
        <v>26</v>
      </c>
      <c r="C703">
        <f t="shared" si="21"/>
        <v>1</v>
      </c>
      <c r="D703" cm="1">
        <f t="array" ref="D703">INDEX('Linha 04'!$A$4:$A$1000,B703)</f>
        <v>20050155</v>
      </c>
      <c r="E703" t="str" cm="1">
        <f t="array" ref="E703">INDEX('Linha 04'!$B$4:$B$1000,B703)</f>
        <v>Intermed Pack Desinfetante Paixao Cx/12 X 1l</v>
      </c>
      <c r="F703" cm="1">
        <f t="array" ref="F703">INDEX('Linha 04'!$C$3:$ZZ$3,C703)</f>
        <v>20030001</v>
      </c>
      <c r="G703" t="str" cm="1">
        <f t="array" ref="G703">INDEX('Linha 04'!$C$2:$ZZ$2,C703)</f>
        <v>Detergente Aquafast Maca Cx/24 X 500ml</v>
      </c>
      <c r="H703" s="5" cm="1">
        <f t="array" ref="H703">INDEX('Linha 04'!$C$4:$ZZ$1000,B703,C703)</f>
        <v>0</v>
      </c>
    </row>
    <row r="704" spans="1:8" x14ac:dyDescent="0.25">
      <c r="A704">
        <v>702</v>
      </c>
      <c r="B704">
        <f t="shared" si="20"/>
        <v>26</v>
      </c>
      <c r="C704">
        <f t="shared" si="21"/>
        <v>2</v>
      </c>
      <c r="D704" cm="1">
        <f t="array" ref="D704">INDEX('Linha 04'!$A$4:$A$1000,B704)</f>
        <v>20050155</v>
      </c>
      <c r="E704" t="str" cm="1">
        <f t="array" ref="E704">INDEX('Linha 04'!$B$4:$B$1000,B704)</f>
        <v>Intermed Pack Desinfetante Paixao Cx/12 X 1l</v>
      </c>
      <c r="F704" cm="1">
        <f t="array" ref="F704">INDEX('Linha 04'!$C$3:$ZZ$3,C704)</f>
        <v>20030002</v>
      </c>
      <c r="G704" t="str" cm="1">
        <f t="array" ref="G704">INDEX('Linha 04'!$C$2:$ZZ$2,C704)</f>
        <v>Detergente Aquafast Limao Cx/24 X 500ml</v>
      </c>
      <c r="H704" s="5" cm="1">
        <f t="array" ref="H704">INDEX('Linha 04'!$C$4:$ZZ$1000,B704,C704)</f>
        <v>0</v>
      </c>
    </row>
    <row r="705" spans="1:8" x14ac:dyDescent="0.25">
      <c r="A705">
        <v>703</v>
      </c>
      <c r="B705">
        <f t="shared" si="20"/>
        <v>26</v>
      </c>
      <c r="C705">
        <f t="shared" si="21"/>
        <v>3</v>
      </c>
      <c r="D705" cm="1">
        <f t="array" ref="D705">INDEX('Linha 04'!$A$4:$A$1000,B705)</f>
        <v>20050155</v>
      </c>
      <c r="E705" t="str" cm="1">
        <f t="array" ref="E705">INDEX('Linha 04'!$B$4:$B$1000,B705)</f>
        <v>Intermed Pack Desinfetante Paixao Cx/12 X 1l</v>
      </c>
      <c r="F705" cm="1">
        <f t="array" ref="F705">INDEX('Linha 04'!$C$3:$ZZ$3,C705)</f>
        <v>20030003</v>
      </c>
      <c r="G705" t="str" cm="1">
        <f t="array" ref="G705">INDEX('Linha 04'!$C$2:$ZZ$2,C705)</f>
        <v>Detergente Aquafast Neutro Cx/24 X 500ml</v>
      </c>
      <c r="H705" s="5" cm="1">
        <f t="array" ref="H705">INDEX('Linha 04'!$C$4:$ZZ$1000,B705,C705)</f>
        <v>0</v>
      </c>
    </row>
    <row r="706" spans="1:8" x14ac:dyDescent="0.25">
      <c r="A706">
        <v>704</v>
      </c>
      <c r="B706">
        <f t="shared" si="20"/>
        <v>26</v>
      </c>
      <c r="C706">
        <f t="shared" si="21"/>
        <v>4</v>
      </c>
      <c r="D706" cm="1">
        <f t="array" ref="D706">INDEX('Linha 04'!$A$4:$A$1000,B706)</f>
        <v>20050155</v>
      </c>
      <c r="E706" t="str" cm="1">
        <f t="array" ref="E706">INDEX('Linha 04'!$B$4:$B$1000,B706)</f>
        <v>Intermed Pack Desinfetante Paixao Cx/12 X 1l</v>
      </c>
      <c r="F706" cm="1">
        <f t="array" ref="F706">INDEX('Linha 04'!$C$3:$ZZ$3,C706)</f>
        <v>20030004</v>
      </c>
      <c r="G706" t="str" cm="1">
        <f t="array" ref="G706">INDEX('Linha 04'!$C$2:$ZZ$2,C706)</f>
        <v>Detergente Aquafast Clear Cx/24 X 500ml (Natural)</v>
      </c>
      <c r="H706" s="5" cm="1">
        <f t="array" ref="H706">INDEX('Linha 04'!$C$4:$ZZ$1000,B706,C706)</f>
        <v>0</v>
      </c>
    </row>
    <row r="707" spans="1:8" x14ac:dyDescent="0.25">
      <c r="A707">
        <v>705</v>
      </c>
      <c r="B707">
        <f t="shared" si="20"/>
        <v>26</v>
      </c>
      <c r="C707">
        <f t="shared" si="21"/>
        <v>5</v>
      </c>
      <c r="D707" cm="1">
        <f t="array" ref="D707">INDEX('Linha 04'!$A$4:$A$1000,B707)</f>
        <v>20050155</v>
      </c>
      <c r="E707" t="str" cm="1">
        <f t="array" ref="E707">INDEX('Linha 04'!$B$4:$B$1000,B707)</f>
        <v>Intermed Pack Desinfetante Paixao Cx/12 X 1l</v>
      </c>
      <c r="F707" cm="1">
        <f t="array" ref="F707">INDEX('Linha 04'!$C$3:$ZZ$3,C707)</f>
        <v>20030011</v>
      </c>
      <c r="G707" t="str" cm="1">
        <f t="array" ref="G707">INDEX('Linha 04'!$C$2:$ZZ$2,C707)</f>
        <v>Detergente Aquafast Maca Cx/12 X 1l</v>
      </c>
      <c r="H707" s="5" cm="1">
        <f t="array" ref="H707">INDEX('Linha 04'!$C$4:$ZZ$1000,B707,C707)</f>
        <v>0</v>
      </c>
    </row>
    <row r="708" spans="1:8" x14ac:dyDescent="0.25">
      <c r="A708">
        <v>706</v>
      </c>
      <c r="B708">
        <f t="shared" ref="B708:B771" si="22">INT((A708-1)/$B$1)+1</f>
        <v>26</v>
      </c>
      <c r="C708">
        <f t="shared" ref="C708:C771" si="23">MOD(A708-1,$B$1)+1</f>
        <v>6</v>
      </c>
      <c r="D708" cm="1">
        <f t="array" ref="D708">INDEX('Linha 04'!$A$4:$A$1000,B708)</f>
        <v>20050155</v>
      </c>
      <c r="E708" t="str" cm="1">
        <f t="array" ref="E708">INDEX('Linha 04'!$B$4:$B$1000,B708)</f>
        <v>Intermed Pack Desinfetante Paixao Cx/12 X 1l</v>
      </c>
      <c r="F708" cm="1">
        <f t="array" ref="F708">INDEX('Linha 04'!$C$3:$ZZ$3,C708)</f>
        <v>20030012</v>
      </c>
      <c r="G708" t="str" cm="1">
        <f t="array" ref="G708">INDEX('Linha 04'!$C$2:$ZZ$2,C708)</f>
        <v>Detergente Aquafast Limao Cx/12 X 1l</v>
      </c>
      <c r="H708" s="5" cm="1">
        <f t="array" ref="H708">INDEX('Linha 04'!$C$4:$ZZ$1000,B708,C708)</f>
        <v>0</v>
      </c>
    </row>
    <row r="709" spans="1:8" x14ac:dyDescent="0.25">
      <c r="A709">
        <v>707</v>
      </c>
      <c r="B709">
        <f t="shared" si="22"/>
        <v>26</v>
      </c>
      <c r="C709">
        <f t="shared" si="23"/>
        <v>7</v>
      </c>
      <c r="D709" cm="1">
        <f t="array" ref="D709">INDEX('Linha 04'!$A$4:$A$1000,B709)</f>
        <v>20050155</v>
      </c>
      <c r="E709" t="str" cm="1">
        <f t="array" ref="E709">INDEX('Linha 04'!$B$4:$B$1000,B709)</f>
        <v>Intermed Pack Desinfetante Paixao Cx/12 X 1l</v>
      </c>
      <c r="F709" cm="1">
        <f t="array" ref="F709">INDEX('Linha 04'!$C$3:$ZZ$3,C709)</f>
        <v>20030013</v>
      </c>
      <c r="G709" t="str" cm="1">
        <f t="array" ref="G709">INDEX('Linha 04'!$C$2:$ZZ$2,C709)</f>
        <v>Detergente Aquafast Neutro Cx/12 X 1l</v>
      </c>
      <c r="H709" s="5" cm="1">
        <f t="array" ref="H709">INDEX('Linha 04'!$C$4:$ZZ$1000,B709,C709)</f>
        <v>0</v>
      </c>
    </row>
    <row r="710" spans="1:8" x14ac:dyDescent="0.25">
      <c r="A710">
        <v>708</v>
      </c>
      <c r="B710">
        <f t="shared" si="22"/>
        <v>26</v>
      </c>
      <c r="C710">
        <f t="shared" si="23"/>
        <v>8</v>
      </c>
      <c r="D710" cm="1">
        <f t="array" ref="D710">INDEX('Linha 04'!$A$4:$A$1000,B710)</f>
        <v>20050155</v>
      </c>
      <c r="E710" t="str" cm="1">
        <f t="array" ref="E710">INDEX('Linha 04'!$B$4:$B$1000,B710)</f>
        <v>Intermed Pack Desinfetante Paixao Cx/12 X 1l</v>
      </c>
      <c r="F710" cm="1">
        <f t="array" ref="F710">INDEX('Linha 04'!$C$3:$ZZ$3,C710)</f>
        <v>20030014</v>
      </c>
      <c r="G710" t="str" cm="1">
        <f t="array" ref="G710">INDEX('Linha 04'!$C$2:$ZZ$2,C710)</f>
        <v>Detergente Aquafast Clear Cx/12 X 1l (Natural)</v>
      </c>
      <c r="H710" s="5" cm="1">
        <f t="array" ref="H710">INDEX('Linha 04'!$C$4:$ZZ$1000,B710,C710)</f>
        <v>0</v>
      </c>
    </row>
    <row r="711" spans="1:8" x14ac:dyDescent="0.25">
      <c r="A711">
        <v>709</v>
      </c>
      <c r="B711">
        <f t="shared" si="22"/>
        <v>26</v>
      </c>
      <c r="C711">
        <f t="shared" si="23"/>
        <v>9</v>
      </c>
      <c r="D711" cm="1">
        <f t="array" ref="D711">INDEX('Linha 04'!$A$4:$A$1000,B711)</f>
        <v>20050155</v>
      </c>
      <c r="E711" t="str" cm="1">
        <f t="array" ref="E711">INDEX('Linha 04'!$B$4:$B$1000,B711)</f>
        <v>Intermed Pack Desinfetante Paixao Cx/12 X 1l</v>
      </c>
      <c r="F711" cm="1">
        <f t="array" ref="F711">INDEX('Linha 04'!$C$3:$ZZ$3,C711)</f>
        <v>20030020</v>
      </c>
      <c r="G711" t="str" cm="1">
        <f t="array" ref="G711">INDEX('Linha 04'!$C$2:$ZZ$2,C711)</f>
        <v>Detergente Ito Maca Cx/24 X 500ml</v>
      </c>
      <c r="H711" s="5" cm="1">
        <f t="array" ref="H711">INDEX('Linha 04'!$C$4:$ZZ$1000,B711,C711)</f>
        <v>0</v>
      </c>
    </row>
    <row r="712" spans="1:8" x14ac:dyDescent="0.25">
      <c r="A712">
        <v>710</v>
      </c>
      <c r="B712">
        <f t="shared" si="22"/>
        <v>26</v>
      </c>
      <c r="C712">
        <f t="shared" si="23"/>
        <v>10</v>
      </c>
      <c r="D712" cm="1">
        <f t="array" ref="D712">INDEX('Linha 04'!$A$4:$A$1000,B712)</f>
        <v>20050155</v>
      </c>
      <c r="E712" t="str" cm="1">
        <f t="array" ref="E712">INDEX('Linha 04'!$B$4:$B$1000,B712)</f>
        <v>Intermed Pack Desinfetante Paixao Cx/12 X 1l</v>
      </c>
      <c r="F712" cm="1">
        <f t="array" ref="F712">INDEX('Linha 04'!$C$3:$ZZ$3,C712)</f>
        <v>20030021</v>
      </c>
      <c r="G712" t="str" cm="1">
        <f t="array" ref="G712">INDEX('Linha 04'!$C$2:$ZZ$2,C712)</f>
        <v>Detergente Ito Limao Cx/24 X 500ml</v>
      </c>
      <c r="H712" s="5" cm="1">
        <f t="array" ref="H712">INDEX('Linha 04'!$C$4:$ZZ$1000,B712,C712)</f>
        <v>0</v>
      </c>
    </row>
    <row r="713" spans="1:8" x14ac:dyDescent="0.25">
      <c r="A713">
        <v>711</v>
      </c>
      <c r="B713">
        <f t="shared" si="22"/>
        <v>26</v>
      </c>
      <c r="C713">
        <f t="shared" si="23"/>
        <v>11</v>
      </c>
      <c r="D713" cm="1">
        <f t="array" ref="D713">INDEX('Linha 04'!$A$4:$A$1000,B713)</f>
        <v>20050155</v>
      </c>
      <c r="E713" t="str" cm="1">
        <f t="array" ref="E713">INDEX('Linha 04'!$B$4:$B$1000,B713)</f>
        <v>Intermed Pack Desinfetante Paixao Cx/12 X 1l</v>
      </c>
      <c r="F713" cm="1">
        <f t="array" ref="F713">INDEX('Linha 04'!$C$3:$ZZ$3,C713)</f>
        <v>20030022</v>
      </c>
      <c r="G713" t="str" cm="1">
        <f t="array" ref="G713">INDEX('Linha 04'!$C$2:$ZZ$2,C713)</f>
        <v>Detergente Ito Neutro Cx/24 X 500ml</v>
      </c>
      <c r="H713" s="5" cm="1">
        <f t="array" ref="H713">INDEX('Linha 04'!$C$4:$ZZ$1000,B713,C713)</f>
        <v>0</v>
      </c>
    </row>
    <row r="714" spans="1:8" x14ac:dyDescent="0.25">
      <c r="A714">
        <v>712</v>
      </c>
      <c r="B714">
        <f t="shared" si="22"/>
        <v>26</v>
      </c>
      <c r="C714">
        <f t="shared" si="23"/>
        <v>12</v>
      </c>
      <c r="D714" cm="1">
        <f t="array" ref="D714">INDEX('Linha 04'!$A$4:$A$1000,B714)</f>
        <v>20050155</v>
      </c>
      <c r="E714" t="str" cm="1">
        <f t="array" ref="E714">INDEX('Linha 04'!$B$4:$B$1000,B714)</f>
        <v>Intermed Pack Desinfetante Paixao Cx/12 X 1l</v>
      </c>
      <c r="F714" cm="1">
        <f t="array" ref="F714">INDEX('Linha 04'!$C$3:$ZZ$3,C714)</f>
        <v>20030023</v>
      </c>
      <c r="G714" t="str" cm="1">
        <f t="array" ref="G714">INDEX('Linha 04'!$C$2:$ZZ$2,C714)</f>
        <v>Detergente Ito Clear Cx/24 X 500ml</v>
      </c>
      <c r="H714" s="5" cm="1">
        <f t="array" ref="H714">INDEX('Linha 04'!$C$4:$ZZ$1000,B714,C714)</f>
        <v>0</v>
      </c>
    </row>
    <row r="715" spans="1:8" x14ac:dyDescent="0.25">
      <c r="A715">
        <v>713</v>
      </c>
      <c r="B715">
        <f t="shared" si="22"/>
        <v>26</v>
      </c>
      <c r="C715">
        <f t="shared" si="23"/>
        <v>13</v>
      </c>
      <c r="D715" cm="1">
        <f t="array" ref="D715">INDEX('Linha 04'!$A$4:$A$1000,B715)</f>
        <v>20050155</v>
      </c>
      <c r="E715" t="str" cm="1">
        <f t="array" ref="E715">INDEX('Linha 04'!$B$4:$B$1000,B715)</f>
        <v>Intermed Pack Desinfetante Paixao Cx/12 X 1l</v>
      </c>
      <c r="F715" cm="1">
        <f t="array" ref="F715">INDEX('Linha 04'!$C$3:$ZZ$3,C715)</f>
        <v>20030038</v>
      </c>
      <c r="G715" t="str" cm="1">
        <f t="array" ref="G715">INDEX('Linha 04'!$C$2:$ZZ$2,C715)</f>
        <v>Detergente Myata Maca Cx/24 X 500ml</v>
      </c>
      <c r="H715" s="5" cm="1">
        <f t="array" ref="H715">INDEX('Linha 04'!$C$4:$ZZ$1000,B715,C715)</f>
        <v>0</v>
      </c>
    </row>
    <row r="716" spans="1:8" x14ac:dyDescent="0.25">
      <c r="A716">
        <v>714</v>
      </c>
      <c r="B716">
        <f t="shared" si="22"/>
        <v>26</v>
      </c>
      <c r="C716">
        <f t="shared" si="23"/>
        <v>14</v>
      </c>
      <c r="D716" cm="1">
        <f t="array" ref="D716">INDEX('Linha 04'!$A$4:$A$1000,B716)</f>
        <v>20050155</v>
      </c>
      <c r="E716" t="str" cm="1">
        <f t="array" ref="E716">INDEX('Linha 04'!$B$4:$B$1000,B716)</f>
        <v>Intermed Pack Desinfetante Paixao Cx/12 X 1l</v>
      </c>
      <c r="F716" cm="1">
        <f t="array" ref="F716">INDEX('Linha 04'!$C$3:$ZZ$3,C716)</f>
        <v>20030039</v>
      </c>
      <c r="G716" t="str" cm="1">
        <f t="array" ref="G716">INDEX('Linha 04'!$C$2:$ZZ$2,C716)</f>
        <v>Detergente Myata Limao Cx/24 X 500ml</v>
      </c>
      <c r="H716" s="5" cm="1">
        <f t="array" ref="H716">INDEX('Linha 04'!$C$4:$ZZ$1000,B716,C716)</f>
        <v>0</v>
      </c>
    </row>
    <row r="717" spans="1:8" x14ac:dyDescent="0.25">
      <c r="A717">
        <v>715</v>
      </c>
      <c r="B717">
        <f t="shared" si="22"/>
        <v>26</v>
      </c>
      <c r="C717">
        <f t="shared" si="23"/>
        <v>15</v>
      </c>
      <c r="D717" cm="1">
        <f t="array" ref="D717">INDEX('Linha 04'!$A$4:$A$1000,B717)</f>
        <v>20050155</v>
      </c>
      <c r="E717" t="str" cm="1">
        <f t="array" ref="E717">INDEX('Linha 04'!$B$4:$B$1000,B717)</f>
        <v>Intermed Pack Desinfetante Paixao Cx/12 X 1l</v>
      </c>
      <c r="F717" cm="1">
        <f t="array" ref="F717">INDEX('Linha 04'!$C$3:$ZZ$3,C717)</f>
        <v>20030040</v>
      </c>
      <c r="G717" t="str" cm="1">
        <f t="array" ref="G717">INDEX('Linha 04'!$C$2:$ZZ$2,C717)</f>
        <v>Detergente Myata Neutro Cx/24 X 500ml</v>
      </c>
      <c r="H717" s="5" cm="1">
        <f t="array" ref="H717">INDEX('Linha 04'!$C$4:$ZZ$1000,B717,C717)</f>
        <v>0</v>
      </c>
    </row>
    <row r="718" spans="1:8" x14ac:dyDescent="0.25">
      <c r="A718">
        <v>716</v>
      </c>
      <c r="B718">
        <f t="shared" si="22"/>
        <v>26</v>
      </c>
      <c r="C718">
        <f t="shared" si="23"/>
        <v>16</v>
      </c>
      <c r="D718" cm="1">
        <f t="array" ref="D718">INDEX('Linha 04'!$A$4:$A$1000,B718)</f>
        <v>20050155</v>
      </c>
      <c r="E718" t="str" cm="1">
        <f t="array" ref="E718">INDEX('Linha 04'!$B$4:$B$1000,B718)</f>
        <v>Intermed Pack Desinfetante Paixao Cx/12 X 1l</v>
      </c>
      <c r="F718" cm="1">
        <f t="array" ref="F718">INDEX('Linha 04'!$C$3:$ZZ$3,C718)</f>
        <v>20030067</v>
      </c>
      <c r="G718" t="str" cm="1">
        <f t="array" ref="G718">INDEX('Linha 04'!$C$2:$ZZ$2,C718)</f>
        <v>Detergente Aquafast Coco Cx/24 X 500ml</v>
      </c>
      <c r="H718" s="5" cm="1">
        <f t="array" ref="H718">INDEX('Linha 04'!$C$4:$ZZ$1000,B718,C718)</f>
        <v>0</v>
      </c>
    </row>
    <row r="719" spans="1:8" x14ac:dyDescent="0.25">
      <c r="A719">
        <v>717</v>
      </c>
      <c r="B719">
        <f t="shared" si="22"/>
        <v>26</v>
      </c>
      <c r="C719">
        <f t="shared" si="23"/>
        <v>17</v>
      </c>
      <c r="D719" cm="1">
        <f t="array" ref="D719">INDEX('Linha 04'!$A$4:$A$1000,B719)</f>
        <v>20050155</v>
      </c>
      <c r="E719" t="str" cm="1">
        <f t="array" ref="E719">INDEX('Linha 04'!$B$4:$B$1000,B719)</f>
        <v>Intermed Pack Desinfetante Paixao Cx/12 X 1l</v>
      </c>
      <c r="F719" cm="1">
        <f t="array" ref="F719">INDEX('Linha 04'!$C$3:$ZZ$3,C719)</f>
        <v>20050001</v>
      </c>
      <c r="G719" t="str" cm="1">
        <f t="array" ref="G719">INDEX('Linha 04'!$C$2:$ZZ$2,C719)</f>
        <v>Desinfetante Aquafast Campos Lavanda Cx/12 X 500ml</v>
      </c>
      <c r="H719" s="5" cm="1">
        <f t="array" ref="H719">INDEX('Linha 04'!$C$4:$ZZ$1000,B719,C719)</f>
        <v>0</v>
      </c>
    </row>
    <row r="720" spans="1:8" x14ac:dyDescent="0.25">
      <c r="A720">
        <v>718</v>
      </c>
      <c r="B720">
        <f t="shared" si="22"/>
        <v>26</v>
      </c>
      <c r="C720">
        <f t="shared" si="23"/>
        <v>18</v>
      </c>
      <c r="D720" cm="1">
        <f t="array" ref="D720">INDEX('Linha 04'!$A$4:$A$1000,B720)</f>
        <v>20050155</v>
      </c>
      <c r="E720" t="str" cm="1">
        <f t="array" ref="E720">INDEX('Linha 04'!$B$4:$B$1000,B720)</f>
        <v>Intermed Pack Desinfetante Paixao Cx/12 X 1l</v>
      </c>
      <c r="F720" cm="1">
        <f t="array" ref="F720">INDEX('Linha 04'!$C$3:$ZZ$3,C720)</f>
        <v>20050026</v>
      </c>
      <c r="G720" t="str" cm="1">
        <f t="array" ref="G720">INDEX('Linha 04'!$C$2:$ZZ$2,C720)</f>
        <v>Desinfetante Ito Lavanda Cx/12 X 500ml</v>
      </c>
      <c r="H720" s="5" cm="1">
        <f t="array" ref="H720">INDEX('Linha 04'!$C$4:$ZZ$1000,B720,C720)</f>
        <v>0</v>
      </c>
    </row>
    <row r="721" spans="1:8" x14ac:dyDescent="0.25">
      <c r="A721">
        <v>719</v>
      </c>
      <c r="B721">
        <f t="shared" si="22"/>
        <v>26</v>
      </c>
      <c r="C721">
        <f t="shared" si="23"/>
        <v>19</v>
      </c>
      <c r="D721" cm="1">
        <f t="array" ref="D721">INDEX('Linha 04'!$A$4:$A$1000,B721)</f>
        <v>20050155</v>
      </c>
      <c r="E721" t="str" cm="1">
        <f t="array" ref="E721">INDEX('Linha 04'!$B$4:$B$1000,B721)</f>
        <v>Intermed Pack Desinfetante Paixao Cx/12 X 1l</v>
      </c>
      <c r="F721" cm="1">
        <f t="array" ref="F721">INDEX('Linha 04'!$C$3:$ZZ$3,C721)</f>
        <v>20050119</v>
      </c>
      <c r="G721" t="str" cm="1">
        <f t="array" ref="G721">INDEX('Linha 04'!$C$2:$ZZ$2,C721)</f>
        <v>Desinfetante Aquafast Paixao Cx/12 X 500ml</v>
      </c>
      <c r="H721" s="5" cm="1">
        <f t="array" ref="H721">INDEX('Linha 04'!$C$4:$ZZ$1000,B721,C721)</f>
        <v>0</v>
      </c>
    </row>
    <row r="722" spans="1:8" x14ac:dyDescent="0.25">
      <c r="A722">
        <v>720</v>
      </c>
      <c r="B722">
        <f t="shared" si="22"/>
        <v>26</v>
      </c>
      <c r="C722">
        <f t="shared" si="23"/>
        <v>20</v>
      </c>
      <c r="D722" cm="1">
        <f t="array" ref="D722">INDEX('Linha 04'!$A$4:$A$1000,B722)</f>
        <v>20050155</v>
      </c>
      <c r="E722" t="str" cm="1">
        <f t="array" ref="E722">INDEX('Linha 04'!$B$4:$B$1000,B722)</f>
        <v>Intermed Pack Desinfetante Paixao Cx/12 X 1l</v>
      </c>
      <c r="F722" cm="1">
        <f t="array" ref="F722">INDEX('Linha 04'!$C$3:$ZZ$3,C722)</f>
        <v>20050145</v>
      </c>
      <c r="G722" t="str" cm="1">
        <f t="array" ref="G722">INDEX('Linha 04'!$C$2:$ZZ$2,C722)</f>
        <v>Desinfetante Aquafast Harmonia Natural Cx/12 X 500ml</v>
      </c>
      <c r="H722" s="5" cm="1">
        <f t="array" ref="H722">INDEX('Linha 04'!$C$4:$ZZ$1000,B722,C722)</f>
        <v>0</v>
      </c>
    </row>
    <row r="723" spans="1:8" x14ac:dyDescent="0.25">
      <c r="A723">
        <v>721</v>
      </c>
      <c r="B723">
        <f t="shared" si="22"/>
        <v>26</v>
      </c>
      <c r="C723">
        <f t="shared" si="23"/>
        <v>21</v>
      </c>
      <c r="D723" cm="1">
        <f t="array" ref="D723">INDEX('Linha 04'!$A$4:$A$1000,B723)</f>
        <v>20050155</v>
      </c>
      <c r="E723" t="str" cm="1">
        <f t="array" ref="E723">INDEX('Linha 04'!$B$4:$B$1000,B723)</f>
        <v>Intermed Pack Desinfetante Paixao Cx/12 X 1l</v>
      </c>
      <c r="F723" cm="1">
        <f t="array" ref="F723">INDEX('Linha 04'!$C$3:$ZZ$3,C723)</f>
        <v>20050149</v>
      </c>
      <c r="G723" t="str" cm="1">
        <f t="array" ref="G723">INDEX('Linha 04'!$C$2:$ZZ$2,C723)</f>
        <v>Desinfetante Aquafast Campos Lavanda Cx/12 X 1l</v>
      </c>
      <c r="H723" s="5" cm="1">
        <f t="array" ref="H723">INDEX('Linha 04'!$C$4:$ZZ$1000,B723,C723)</f>
        <v>0</v>
      </c>
    </row>
    <row r="724" spans="1:8" x14ac:dyDescent="0.25">
      <c r="A724">
        <v>722</v>
      </c>
      <c r="B724">
        <f t="shared" si="22"/>
        <v>26</v>
      </c>
      <c r="C724">
        <f t="shared" si="23"/>
        <v>22</v>
      </c>
      <c r="D724" cm="1">
        <f t="array" ref="D724">INDEX('Linha 04'!$A$4:$A$1000,B724)</f>
        <v>20050155</v>
      </c>
      <c r="E724" t="str" cm="1">
        <f t="array" ref="E724">INDEX('Linha 04'!$B$4:$B$1000,B724)</f>
        <v>Intermed Pack Desinfetante Paixao Cx/12 X 1l</v>
      </c>
      <c r="F724" cm="1">
        <f t="array" ref="F724">INDEX('Linha 04'!$C$3:$ZZ$3,C724)</f>
        <v>20050150</v>
      </c>
      <c r="G724" t="str" cm="1">
        <f t="array" ref="G724">INDEX('Linha 04'!$C$2:$ZZ$2,C724)</f>
        <v>Desinfetante Aquafast Marine Cx/12 X 1l</v>
      </c>
      <c r="H724" s="5" cm="1">
        <f t="array" ref="H724">INDEX('Linha 04'!$C$4:$ZZ$1000,B724,C724)</f>
        <v>0</v>
      </c>
    </row>
    <row r="725" spans="1:8" x14ac:dyDescent="0.25">
      <c r="A725">
        <v>723</v>
      </c>
      <c r="B725">
        <f t="shared" si="22"/>
        <v>26</v>
      </c>
      <c r="C725">
        <f t="shared" si="23"/>
        <v>23</v>
      </c>
      <c r="D725" cm="1">
        <f t="array" ref="D725">INDEX('Linha 04'!$A$4:$A$1000,B725)</f>
        <v>20050155</v>
      </c>
      <c r="E725" t="str" cm="1">
        <f t="array" ref="E725">INDEX('Linha 04'!$B$4:$B$1000,B725)</f>
        <v>Intermed Pack Desinfetante Paixao Cx/12 X 1l</v>
      </c>
      <c r="F725" cm="1">
        <f t="array" ref="F725">INDEX('Linha 04'!$C$3:$ZZ$3,C725)</f>
        <v>20050151</v>
      </c>
      <c r="G725" t="str" cm="1">
        <f t="array" ref="G725">INDEX('Linha 04'!$C$2:$ZZ$2,C725)</f>
        <v>Desinfetante Aquafast Paixao Cx/12 X 1l</v>
      </c>
      <c r="H725" s="5" cm="1">
        <f t="array" ref="H725">INDEX('Linha 04'!$C$4:$ZZ$1000,B725,C725)</f>
        <v>0</v>
      </c>
    </row>
    <row r="726" spans="1:8" x14ac:dyDescent="0.25">
      <c r="A726">
        <v>724</v>
      </c>
      <c r="B726">
        <f t="shared" si="22"/>
        <v>26</v>
      </c>
      <c r="C726">
        <f t="shared" si="23"/>
        <v>24</v>
      </c>
      <c r="D726" cm="1">
        <f t="array" ref="D726">INDEX('Linha 04'!$A$4:$A$1000,B726)</f>
        <v>20050155</v>
      </c>
      <c r="E726" t="str" cm="1">
        <f t="array" ref="E726">INDEX('Linha 04'!$B$4:$B$1000,B726)</f>
        <v>Intermed Pack Desinfetante Paixao Cx/12 X 1l</v>
      </c>
      <c r="F726" cm="1">
        <f t="array" ref="F726">INDEX('Linha 04'!$C$3:$ZZ$3,C726)</f>
        <v>20050152</v>
      </c>
      <c r="G726" t="str" cm="1">
        <f t="array" ref="G726">INDEX('Linha 04'!$C$2:$ZZ$2,C726)</f>
        <v>Desinfetante Aquafast Harmonia Natural Cx/12 X 1l</v>
      </c>
      <c r="H726" s="5" cm="1">
        <f t="array" ref="H726">INDEX('Linha 04'!$C$4:$ZZ$1000,B726,C726)</f>
        <v>0</v>
      </c>
    </row>
    <row r="727" spans="1:8" x14ac:dyDescent="0.25">
      <c r="A727">
        <v>725</v>
      </c>
      <c r="B727">
        <f t="shared" si="22"/>
        <v>26</v>
      </c>
      <c r="C727">
        <f t="shared" si="23"/>
        <v>25</v>
      </c>
      <c r="D727" cm="1">
        <f t="array" ref="D727">INDEX('Linha 04'!$A$4:$A$1000,B727)</f>
        <v>20050155</v>
      </c>
      <c r="E727" t="str" cm="1">
        <f t="array" ref="E727">INDEX('Linha 04'!$B$4:$B$1000,B727)</f>
        <v>Intermed Pack Desinfetante Paixao Cx/12 X 1l</v>
      </c>
      <c r="F727" cm="1">
        <f t="array" ref="F727">INDEX('Linha 04'!$C$3:$ZZ$3,C727)</f>
        <v>20050153</v>
      </c>
      <c r="G727" t="str" cm="1">
        <f t="array" ref="G727">INDEX('Linha 04'!$C$2:$ZZ$2,C727)</f>
        <v>Desinfetante Ito Harmonia Natural Cx/12 X 500ml</v>
      </c>
      <c r="H727" s="5" cm="1">
        <f t="array" ref="H727">INDEX('Linha 04'!$C$4:$ZZ$1000,B727,C727)</f>
        <v>0</v>
      </c>
    </row>
    <row r="728" spans="1:8" x14ac:dyDescent="0.25">
      <c r="A728">
        <v>726</v>
      </c>
      <c r="B728">
        <f t="shared" si="22"/>
        <v>26</v>
      </c>
      <c r="C728">
        <f t="shared" si="23"/>
        <v>26</v>
      </c>
      <c r="D728" cm="1">
        <f t="array" ref="D728">INDEX('Linha 04'!$A$4:$A$1000,B728)</f>
        <v>20050155</v>
      </c>
      <c r="E728" t="str" cm="1">
        <f t="array" ref="E728">INDEX('Linha 04'!$B$4:$B$1000,B728)</f>
        <v>Intermed Pack Desinfetante Paixao Cx/12 X 1l</v>
      </c>
      <c r="F728" cm="1">
        <f t="array" ref="F728">INDEX('Linha 04'!$C$3:$ZZ$3,C728)</f>
        <v>20050155</v>
      </c>
      <c r="G728" t="str" cm="1">
        <f t="array" ref="G728">INDEX('Linha 04'!$C$2:$ZZ$2,C728)</f>
        <v>Intermed Pack Desinfetante Paixao Cx/12 X 1l</v>
      </c>
      <c r="H728" s="5" cm="1">
        <f t="array" ref="H728">INDEX('Linha 04'!$C$4:$ZZ$1000,B728,C728)</f>
        <v>0</v>
      </c>
    </row>
    <row r="729" spans="1:8" x14ac:dyDescent="0.25">
      <c r="A729">
        <v>727</v>
      </c>
      <c r="B729">
        <f t="shared" si="22"/>
        <v>26</v>
      </c>
      <c r="C729">
        <f t="shared" si="23"/>
        <v>27</v>
      </c>
      <c r="D729" cm="1">
        <f t="array" ref="D729">INDEX('Linha 04'!$A$4:$A$1000,B729)</f>
        <v>20050155</v>
      </c>
      <c r="E729" t="str" cm="1">
        <f t="array" ref="E729">INDEX('Linha 04'!$B$4:$B$1000,B729)</f>
        <v>Intermed Pack Desinfetante Paixao Cx/12 X 1l</v>
      </c>
      <c r="F729" cm="1">
        <f t="array" ref="F729">INDEX('Linha 04'!$C$3:$ZZ$3,C729)</f>
        <v>20050156</v>
      </c>
      <c r="G729" t="str" cm="1">
        <f t="array" ref="G729">INDEX('Linha 04'!$C$2:$ZZ$2,C729)</f>
        <v>Intermed Pack Desinfetante Campos Lavanda Cx/12 X 1l</v>
      </c>
      <c r="H729" s="5" cm="1">
        <f t="array" ref="H729">INDEX('Linha 04'!$C$4:$ZZ$1000,B729,C729)</f>
        <v>0</v>
      </c>
    </row>
    <row r="730" spans="1:8" x14ac:dyDescent="0.25">
      <c r="A730">
        <v>728</v>
      </c>
      <c r="B730">
        <f t="shared" si="22"/>
        <v>26</v>
      </c>
      <c r="C730">
        <f t="shared" si="23"/>
        <v>28</v>
      </c>
      <c r="D730" cm="1">
        <f t="array" ref="D730">INDEX('Linha 04'!$A$4:$A$1000,B730)</f>
        <v>20050155</v>
      </c>
      <c r="E730" t="str" cm="1">
        <f t="array" ref="E730">INDEX('Linha 04'!$B$4:$B$1000,B730)</f>
        <v>Intermed Pack Desinfetante Paixao Cx/12 X 1l</v>
      </c>
      <c r="F730" cm="1">
        <f t="array" ref="F730">INDEX('Linha 04'!$C$3:$ZZ$3,C730)</f>
        <v>20050157</v>
      </c>
      <c r="G730" t="str" cm="1">
        <f t="array" ref="G730">INDEX('Linha 04'!$C$2:$ZZ$2,C730)</f>
        <v>Intermed Pack Desinfetante Marine Cx/12 X 1l</v>
      </c>
      <c r="H730" s="5" cm="1">
        <f t="array" ref="H730">INDEX('Linha 04'!$C$4:$ZZ$1000,B730,C730)</f>
        <v>0</v>
      </c>
    </row>
    <row r="731" spans="1:8" x14ac:dyDescent="0.25">
      <c r="A731">
        <v>729</v>
      </c>
      <c r="B731">
        <f t="shared" si="22"/>
        <v>27</v>
      </c>
      <c r="C731">
        <f t="shared" si="23"/>
        <v>1</v>
      </c>
      <c r="D731" cm="1">
        <f t="array" ref="D731">INDEX('Linha 04'!$A$4:$A$1000,B731)</f>
        <v>20050156</v>
      </c>
      <c r="E731" t="str" cm="1">
        <f t="array" ref="E731">INDEX('Linha 04'!$B$4:$B$1000,B731)</f>
        <v>Intermed Pack Desinfetante Campos Lavanda Cx/12 X 1l</v>
      </c>
      <c r="F731" cm="1">
        <f t="array" ref="F731">INDEX('Linha 04'!$C$3:$ZZ$3,C731)</f>
        <v>20030001</v>
      </c>
      <c r="G731" t="str" cm="1">
        <f t="array" ref="G731">INDEX('Linha 04'!$C$2:$ZZ$2,C731)</f>
        <v>Detergente Aquafast Maca Cx/24 X 500ml</v>
      </c>
      <c r="H731" s="5" cm="1">
        <f t="array" ref="H731">INDEX('Linha 04'!$C$4:$ZZ$1000,B731,C731)</f>
        <v>0</v>
      </c>
    </row>
    <row r="732" spans="1:8" x14ac:dyDescent="0.25">
      <c r="A732">
        <v>730</v>
      </c>
      <c r="B732">
        <f t="shared" si="22"/>
        <v>27</v>
      </c>
      <c r="C732">
        <f t="shared" si="23"/>
        <v>2</v>
      </c>
      <c r="D732" cm="1">
        <f t="array" ref="D732">INDEX('Linha 04'!$A$4:$A$1000,B732)</f>
        <v>20050156</v>
      </c>
      <c r="E732" t="str" cm="1">
        <f t="array" ref="E732">INDEX('Linha 04'!$B$4:$B$1000,B732)</f>
        <v>Intermed Pack Desinfetante Campos Lavanda Cx/12 X 1l</v>
      </c>
      <c r="F732" cm="1">
        <f t="array" ref="F732">INDEX('Linha 04'!$C$3:$ZZ$3,C732)</f>
        <v>20030002</v>
      </c>
      <c r="G732" t="str" cm="1">
        <f t="array" ref="G732">INDEX('Linha 04'!$C$2:$ZZ$2,C732)</f>
        <v>Detergente Aquafast Limao Cx/24 X 500ml</v>
      </c>
      <c r="H732" s="5" cm="1">
        <f t="array" ref="H732">INDEX('Linha 04'!$C$4:$ZZ$1000,B732,C732)</f>
        <v>0</v>
      </c>
    </row>
    <row r="733" spans="1:8" x14ac:dyDescent="0.25">
      <c r="A733">
        <v>731</v>
      </c>
      <c r="B733">
        <f t="shared" si="22"/>
        <v>27</v>
      </c>
      <c r="C733">
        <f t="shared" si="23"/>
        <v>3</v>
      </c>
      <c r="D733" cm="1">
        <f t="array" ref="D733">INDEX('Linha 04'!$A$4:$A$1000,B733)</f>
        <v>20050156</v>
      </c>
      <c r="E733" t="str" cm="1">
        <f t="array" ref="E733">INDEX('Linha 04'!$B$4:$B$1000,B733)</f>
        <v>Intermed Pack Desinfetante Campos Lavanda Cx/12 X 1l</v>
      </c>
      <c r="F733" cm="1">
        <f t="array" ref="F733">INDEX('Linha 04'!$C$3:$ZZ$3,C733)</f>
        <v>20030003</v>
      </c>
      <c r="G733" t="str" cm="1">
        <f t="array" ref="G733">INDEX('Linha 04'!$C$2:$ZZ$2,C733)</f>
        <v>Detergente Aquafast Neutro Cx/24 X 500ml</v>
      </c>
      <c r="H733" s="5" cm="1">
        <f t="array" ref="H733">INDEX('Linha 04'!$C$4:$ZZ$1000,B733,C733)</f>
        <v>0</v>
      </c>
    </row>
    <row r="734" spans="1:8" x14ac:dyDescent="0.25">
      <c r="A734">
        <v>732</v>
      </c>
      <c r="B734">
        <f t="shared" si="22"/>
        <v>27</v>
      </c>
      <c r="C734">
        <f t="shared" si="23"/>
        <v>4</v>
      </c>
      <c r="D734" cm="1">
        <f t="array" ref="D734">INDEX('Linha 04'!$A$4:$A$1000,B734)</f>
        <v>20050156</v>
      </c>
      <c r="E734" t="str" cm="1">
        <f t="array" ref="E734">INDEX('Linha 04'!$B$4:$B$1000,B734)</f>
        <v>Intermed Pack Desinfetante Campos Lavanda Cx/12 X 1l</v>
      </c>
      <c r="F734" cm="1">
        <f t="array" ref="F734">INDEX('Linha 04'!$C$3:$ZZ$3,C734)</f>
        <v>20030004</v>
      </c>
      <c r="G734" t="str" cm="1">
        <f t="array" ref="G734">INDEX('Linha 04'!$C$2:$ZZ$2,C734)</f>
        <v>Detergente Aquafast Clear Cx/24 X 500ml (Natural)</v>
      </c>
      <c r="H734" s="5" cm="1">
        <f t="array" ref="H734">INDEX('Linha 04'!$C$4:$ZZ$1000,B734,C734)</f>
        <v>0</v>
      </c>
    </row>
    <row r="735" spans="1:8" x14ac:dyDescent="0.25">
      <c r="A735">
        <v>733</v>
      </c>
      <c r="B735">
        <f t="shared" si="22"/>
        <v>27</v>
      </c>
      <c r="C735">
        <f t="shared" si="23"/>
        <v>5</v>
      </c>
      <c r="D735" cm="1">
        <f t="array" ref="D735">INDEX('Linha 04'!$A$4:$A$1000,B735)</f>
        <v>20050156</v>
      </c>
      <c r="E735" t="str" cm="1">
        <f t="array" ref="E735">INDEX('Linha 04'!$B$4:$B$1000,B735)</f>
        <v>Intermed Pack Desinfetante Campos Lavanda Cx/12 X 1l</v>
      </c>
      <c r="F735" cm="1">
        <f t="array" ref="F735">INDEX('Linha 04'!$C$3:$ZZ$3,C735)</f>
        <v>20030011</v>
      </c>
      <c r="G735" t="str" cm="1">
        <f t="array" ref="G735">INDEX('Linha 04'!$C$2:$ZZ$2,C735)</f>
        <v>Detergente Aquafast Maca Cx/12 X 1l</v>
      </c>
      <c r="H735" s="5" cm="1">
        <f t="array" ref="H735">INDEX('Linha 04'!$C$4:$ZZ$1000,B735,C735)</f>
        <v>0</v>
      </c>
    </row>
    <row r="736" spans="1:8" x14ac:dyDescent="0.25">
      <c r="A736">
        <v>734</v>
      </c>
      <c r="B736">
        <f t="shared" si="22"/>
        <v>27</v>
      </c>
      <c r="C736">
        <f t="shared" si="23"/>
        <v>6</v>
      </c>
      <c r="D736" cm="1">
        <f t="array" ref="D736">INDEX('Linha 04'!$A$4:$A$1000,B736)</f>
        <v>20050156</v>
      </c>
      <c r="E736" t="str" cm="1">
        <f t="array" ref="E736">INDEX('Linha 04'!$B$4:$B$1000,B736)</f>
        <v>Intermed Pack Desinfetante Campos Lavanda Cx/12 X 1l</v>
      </c>
      <c r="F736" cm="1">
        <f t="array" ref="F736">INDEX('Linha 04'!$C$3:$ZZ$3,C736)</f>
        <v>20030012</v>
      </c>
      <c r="G736" t="str" cm="1">
        <f t="array" ref="G736">INDEX('Linha 04'!$C$2:$ZZ$2,C736)</f>
        <v>Detergente Aquafast Limao Cx/12 X 1l</v>
      </c>
      <c r="H736" s="5" cm="1">
        <f t="array" ref="H736">INDEX('Linha 04'!$C$4:$ZZ$1000,B736,C736)</f>
        <v>0</v>
      </c>
    </row>
    <row r="737" spans="1:8" x14ac:dyDescent="0.25">
      <c r="A737">
        <v>735</v>
      </c>
      <c r="B737">
        <f t="shared" si="22"/>
        <v>27</v>
      </c>
      <c r="C737">
        <f t="shared" si="23"/>
        <v>7</v>
      </c>
      <c r="D737" cm="1">
        <f t="array" ref="D737">INDEX('Linha 04'!$A$4:$A$1000,B737)</f>
        <v>20050156</v>
      </c>
      <c r="E737" t="str" cm="1">
        <f t="array" ref="E737">INDEX('Linha 04'!$B$4:$B$1000,B737)</f>
        <v>Intermed Pack Desinfetante Campos Lavanda Cx/12 X 1l</v>
      </c>
      <c r="F737" cm="1">
        <f t="array" ref="F737">INDEX('Linha 04'!$C$3:$ZZ$3,C737)</f>
        <v>20030013</v>
      </c>
      <c r="G737" t="str" cm="1">
        <f t="array" ref="G737">INDEX('Linha 04'!$C$2:$ZZ$2,C737)</f>
        <v>Detergente Aquafast Neutro Cx/12 X 1l</v>
      </c>
      <c r="H737" s="5" cm="1">
        <f t="array" ref="H737">INDEX('Linha 04'!$C$4:$ZZ$1000,B737,C737)</f>
        <v>0</v>
      </c>
    </row>
    <row r="738" spans="1:8" x14ac:dyDescent="0.25">
      <c r="A738">
        <v>736</v>
      </c>
      <c r="B738">
        <f t="shared" si="22"/>
        <v>27</v>
      </c>
      <c r="C738">
        <f t="shared" si="23"/>
        <v>8</v>
      </c>
      <c r="D738" cm="1">
        <f t="array" ref="D738">INDEX('Linha 04'!$A$4:$A$1000,B738)</f>
        <v>20050156</v>
      </c>
      <c r="E738" t="str" cm="1">
        <f t="array" ref="E738">INDEX('Linha 04'!$B$4:$B$1000,B738)</f>
        <v>Intermed Pack Desinfetante Campos Lavanda Cx/12 X 1l</v>
      </c>
      <c r="F738" cm="1">
        <f t="array" ref="F738">INDEX('Linha 04'!$C$3:$ZZ$3,C738)</f>
        <v>20030014</v>
      </c>
      <c r="G738" t="str" cm="1">
        <f t="array" ref="G738">INDEX('Linha 04'!$C$2:$ZZ$2,C738)</f>
        <v>Detergente Aquafast Clear Cx/12 X 1l (Natural)</v>
      </c>
      <c r="H738" s="5" cm="1">
        <f t="array" ref="H738">INDEX('Linha 04'!$C$4:$ZZ$1000,B738,C738)</f>
        <v>0</v>
      </c>
    </row>
    <row r="739" spans="1:8" x14ac:dyDescent="0.25">
      <c r="A739">
        <v>737</v>
      </c>
      <c r="B739">
        <f t="shared" si="22"/>
        <v>27</v>
      </c>
      <c r="C739">
        <f t="shared" si="23"/>
        <v>9</v>
      </c>
      <c r="D739" cm="1">
        <f t="array" ref="D739">INDEX('Linha 04'!$A$4:$A$1000,B739)</f>
        <v>20050156</v>
      </c>
      <c r="E739" t="str" cm="1">
        <f t="array" ref="E739">INDEX('Linha 04'!$B$4:$B$1000,B739)</f>
        <v>Intermed Pack Desinfetante Campos Lavanda Cx/12 X 1l</v>
      </c>
      <c r="F739" cm="1">
        <f t="array" ref="F739">INDEX('Linha 04'!$C$3:$ZZ$3,C739)</f>
        <v>20030020</v>
      </c>
      <c r="G739" t="str" cm="1">
        <f t="array" ref="G739">INDEX('Linha 04'!$C$2:$ZZ$2,C739)</f>
        <v>Detergente Ito Maca Cx/24 X 500ml</v>
      </c>
      <c r="H739" s="5" cm="1">
        <f t="array" ref="H739">INDEX('Linha 04'!$C$4:$ZZ$1000,B739,C739)</f>
        <v>0</v>
      </c>
    </row>
    <row r="740" spans="1:8" x14ac:dyDescent="0.25">
      <c r="A740">
        <v>738</v>
      </c>
      <c r="B740">
        <f t="shared" si="22"/>
        <v>27</v>
      </c>
      <c r="C740">
        <f t="shared" si="23"/>
        <v>10</v>
      </c>
      <c r="D740" cm="1">
        <f t="array" ref="D740">INDEX('Linha 04'!$A$4:$A$1000,B740)</f>
        <v>20050156</v>
      </c>
      <c r="E740" t="str" cm="1">
        <f t="array" ref="E740">INDEX('Linha 04'!$B$4:$B$1000,B740)</f>
        <v>Intermed Pack Desinfetante Campos Lavanda Cx/12 X 1l</v>
      </c>
      <c r="F740" cm="1">
        <f t="array" ref="F740">INDEX('Linha 04'!$C$3:$ZZ$3,C740)</f>
        <v>20030021</v>
      </c>
      <c r="G740" t="str" cm="1">
        <f t="array" ref="G740">INDEX('Linha 04'!$C$2:$ZZ$2,C740)</f>
        <v>Detergente Ito Limao Cx/24 X 500ml</v>
      </c>
      <c r="H740" s="5" cm="1">
        <f t="array" ref="H740">INDEX('Linha 04'!$C$4:$ZZ$1000,B740,C740)</f>
        <v>0</v>
      </c>
    </row>
    <row r="741" spans="1:8" x14ac:dyDescent="0.25">
      <c r="A741">
        <v>739</v>
      </c>
      <c r="B741">
        <f t="shared" si="22"/>
        <v>27</v>
      </c>
      <c r="C741">
        <f t="shared" si="23"/>
        <v>11</v>
      </c>
      <c r="D741" cm="1">
        <f t="array" ref="D741">INDEX('Linha 04'!$A$4:$A$1000,B741)</f>
        <v>20050156</v>
      </c>
      <c r="E741" t="str" cm="1">
        <f t="array" ref="E741">INDEX('Linha 04'!$B$4:$B$1000,B741)</f>
        <v>Intermed Pack Desinfetante Campos Lavanda Cx/12 X 1l</v>
      </c>
      <c r="F741" cm="1">
        <f t="array" ref="F741">INDEX('Linha 04'!$C$3:$ZZ$3,C741)</f>
        <v>20030022</v>
      </c>
      <c r="G741" t="str" cm="1">
        <f t="array" ref="G741">INDEX('Linha 04'!$C$2:$ZZ$2,C741)</f>
        <v>Detergente Ito Neutro Cx/24 X 500ml</v>
      </c>
      <c r="H741" s="5" cm="1">
        <f t="array" ref="H741">INDEX('Linha 04'!$C$4:$ZZ$1000,B741,C741)</f>
        <v>0</v>
      </c>
    </row>
    <row r="742" spans="1:8" x14ac:dyDescent="0.25">
      <c r="A742">
        <v>740</v>
      </c>
      <c r="B742">
        <f t="shared" si="22"/>
        <v>27</v>
      </c>
      <c r="C742">
        <f t="shared" si="23"/>
        <v>12</v>
      </c>
      <c r="D742" cm="1">
        <f t="array" ref="D742">INDEX('Linha 04'!$A$4:$A$1000,B742)</f>
        <v>20050156</v>
      </c>
      <c r="E742" t="str" cm="1">
        <f t="array" ref="E742">INDEX('Linha 04'!$B$4:$B$1000,B742)</f>
        <v>Intermed Pack Desinfetante Campos Lavanda Cx/12 X 1l</v>
      </c>
      <c r="F742" cm="1">
        <f t="array" ref="F742">INDEX('Linha 04'!$C$3:$ZZ$3,C742)</f>
        <v>20030023</v>
      </c>
      <c r="G742" t="str" cm="1">
        <f t="array" ref="G742">INDEX('Linha 04'!$C$2:$ZZ$2,C742)</f>
        <v>Detergente Ito Clear Cx/24 X 500ml</v>
      </c>
      <c r="H742" s="5" cm="1">
        <f t="array" ref="H742">INDEX('Linha 04'!$C$4:$ZZ$1000,B742,C742)</f>
        <v>0</v>
      </c>
    </row>
    <row r="743" spans="1:8" x14ac:dyDescent="0.25">
      <c r="A743">
        <v>741</v>
      </c>
      <c r="B743">
        <f t="shared" si="22"/>
        <v>27</v>
      </c>
      <c r="C743">
        <f t="shared" si="23"/>
        <v>13</v>
      </c>
      <c r="D743" cm="1">
        <f t="array" ref="D743">INDEX('Linha 04'!$A$4:$A$1000,B743)</f>
        <v>20050156</v>
      </c>
      <c r="E743" t="str" cm="1">
        <f t="array" ref="E743">INDEX('Linha 04'!$B$4:$B$1000,B743)</f>
        <v>Intermed Pack Desinfetante Campos Lavanda Cx/12 X 1l</v>
      </c>
      <c r="F743" cm="1">
        <f t="array" ref="F743">INDEX('Linha 04'!$C$3:$ZZ$3,C743)</f>
        <v>20030038</v>
      </c>
      <c r="G743" t="str" cm="1">
        <f t="array" ref="G743">INDEX('Linha 04'!$C$2:$ZZ$2,C743)</f>
        <v>Detergente Myata Maca Cx/24 X 500ml</v>
      </c>
      <c r="H743" s="5" cm="1">
        <f t="array" ref="H743">INDEX('Linha 04'!$C$4:$ZZ$1000,B743,C743)</f>
        <v>0</v>
      </c>
    </row>
    <row r="744" spans="1:8" x14ac:dyDescent="0.25">
      <c r="A744">
        <v>742</v>
      </c>
      <c r="B744">
        <f t="shared" si="22"/>
        <v>27</v>
      </c>
      <c r="C744">
        <f t="shared" si="23"/>
        <v>14</v>
      </c>
      <c r="D744" cm="1">
        <f t="array" ref="D744">INDEX('Linha 04'!$A$4:$A$1000,B744)</f>
        <v>20050156</v>
      </c>
      <c r="E744" t="str" cm="1">
        <f t="array" ref="E744">INDEX('Linha 04'!$B$4:$B$1000,B744)</f>
        <v>Intermed Pack Desinfetante Campos Lavanda Cx/12 X 1l</v>
      </c>
      <c r="F744" cm="1">
        <f t="array" ref="F744">INDEX('Linha 04'!$C$3:$ZZ$3,C744)</f>
        <v>20030039</v>
      </c>
      <c r="G744" t="str" cm="1">
        <f t="array" ref="G744">INDEX('Linha 04'!$C$2:$ZZ$2,C744)</f>
        <v>Detergente Myata Limao Cx/24 X 500ml</v>
      </c>
      <c r="H744" s="5" cm="1">
        <f t="array" ref="H744">INDEX('Linha 04'!$C$4:$ZZ$1000,B744,C744)</f>
        <v>0</v>
      </c>
    </row>
    <row r="745" spans="1:8" x14ac:dyDescent="0.25">
      <c r="A745">
        <v>743</v>
      </c>
      <c r="B745">
        <f t="shared" si="22"/>
        <v>27</v>
      </c>
      <c r="C745">
        <f t="shared" si="23"/>
        <v>15</v>
      </c>
      <c r="D745" cm="1">
        <f t="array" ref="D745">INDEX('Linha 04'!$A$4:$A$1000,B745)</f>
        <v>20050156</v>
      </c>
      <c r="E745" t="str" cm="1">
        <f t="array" ref="E745">INDEX('Linha 04'!$B$4:$B$1000,B745)</f>
        <v>Intermed Pack Desinfetante Campos Lavanda Cx/12 X 1l</v>
      </c>
      <c r="F745" cm="1">
        <f t="array" ref="F745">INDEX('Linha 04'!$C$3:$ZZ$3,C745)</f>
        <v>20030040</v>
      </c>
      <c r="G745" t="str" cm="1">
        <f t="array" ref="G745">INDEX('Linha 04'!$C$2:$ZZ$2,C745)</f>
        <v>Detergente Myata Neutro Cx/24 X 500ml</v>
      </c>
      <c r="H745" s="5" cm="1">
        <f t="array" ref="H745">INDEX('Linha 04'!$C$4:$ZZ$1000,B745,C745)</f>
        <v>0</v>
      </c>
    </row>
    <row r="746" spans="1:8" x14ac:dyDescent="0.25">
      <c r="A746">
        <v>744</v>
      </c>
      <c r="B746">
        <f t="shared" si="22"/>
        <v>27</v>
      </c>
      <c r="C746">
        <f t="shared" si="23"/>
        <v>16</v>
      </c>
      <c r="D746" cm="1">
        <f t="array" ref="D746">INDEX('Linha 04'!$A$4:$A$1000,B746)</f>
        <v>20050156</v>
      </c>
      <c r="E746" t="str" cm="1">
        <f t="array" ref="E746">INDEX('Linha 04'!$B$4:$B$1000,B746)</f>
        <v>Intermed Pack Desinfetante Campos Lavanda Cx/12 X 1l</v>
      </c>
      <c r="F746" cm="1">
        <f t="array" ref="F746">INDEX('Linha 04'!$C$3:$ZZ$3,C746)</f>
        <v>20030067</v>
      </c>
      <c r="G746" t="str" cm="1">
        <f t="array" ref="G746">INDEX('Linha 04'!$C$2:$ZZ$2,C746)</f>
        <v>Detergente Aquafast Coco Cx/24 X 500ml</v>
      </c>
      <c r="H746" s="5" cm="1">
        <f t="array" ref="H746">INDEX('Linha 04'!$C$4:$ZZ$1000,B746,C746)</f>
        <v>0</v>
      </c>
    </row>
    <row r="747" spans="1:8" x14ac:dyDescent="0.25">
      <c r="A747">
        <v>745</v>
      </c>
      <c r="B747">
        <f t="shared" si="22"/>
        <v>27</v>
      </c>
      <c r="C747">
        <f t="shared" si="23"/>
        <v>17</v>
      </c>
      <c r="D747" cm="1">
        <f t="array" ref="D747">INDEX('Linha 04'!$A$4:$A$1000,B747)</f>
        <v>20050156</v>
      </c>
      <c r="E747" t="str" cm="1">
        <f t="array" ref="E747">INDEX('Linha 04'!$B$4:$B$1000,B747)</f>
        <v>Intermed Pack Desinfetante Campos Lavanda Cx/12 X 1l</v>
      </c>
      <c r="F747" cm="1">
        <f t="array" ref="F747">INDEX('Linha 04'!$C$3:$ZZ$3,C747)</f>
        <v>20050001</v>
      </c>
      <c r="G747" t="str" cm="1">
        <f t="array" ref="G747">INDEX('Linha 04'!$C$2:$ZZ$2,C747)</f>
        <v>Desinfetante Aquafast Campos Lavanda Cx/12 X 500ml</v>
      </c>
      <c r="H747" s="5" cm="1">
        <f t="array" ref="H747">INDEX('Linha 04'!$C$4:$ZZ$1000,B747,C747)</f>
        <v>0</v>
      </c>
    </row>
    <row r="748" spans="1:8" x14ac:dyDescent="0.25">
      <c r="A748">
        <v>746</v>
      </c>
      <c r="B748">
        <f t="shared" si="22"/>
        <v>27</v>
      </c>
      <c r="C748">
        <f t="shared" si="23"/>
        <v>18</v>
      </c>
      <c r="D748" cm="1">
        <f t="array" ref="D748">INDEX('Linha 04'!$A$4:$A$1000,B748)</f>
        <v>20050156</v>
      </c>
      <c r="E748" t="str" cm="1">
        <f t="array" ref="E748">INDEX('Linha 04'!$B$4:$B$1000,B748)</f>
        <v>Intermed Pack Desinfetante Campos Lavanda Cx/12 X 1l</v>
      </c>
      <c r="F748" cm="1">
        <f t="array" ref="F748">INDEX('Linha 04'!$C$3:$ZZ$3,C748)</f>
        <v>20050026</v>
      </c>
      <c r="G748" t="str" cm="1">
        <f t="array" ref="G748">INDEX('Linha 04'!$C$2:$ZZ$2,C748)</f>
        <v>Desinfetante Ito Lavanda Cx/12 X 500ml</v>
      </c>
      <c r="H748" s="5" cm="1">
        <f t="array" ref="H748">INDEX('Linha 04'!$C$4:$ZZ$1000,B748,C748)</f>
        <v>0</v>
      </c>
    </row>
    <row r="749" spans="1:8" x14ac:dyDescent="0.25">
      <c r="A749">
        <v>747</v>
      </c>
      <c r="B749">
        <f t="shared" si="22"/>
        <v>27</v>
      </c>
      <c r="C749">
        <f t="shared" si="23"/>
        <v>19</v>
      </c>
      <c r="D749" cm="1">
        <f t="array" ref="D749">INDEX('Linha 04'!$A$4:$A$1000,B749)</f>
        <v>20050156</v>
      </c>
      <c r="E749" t="str" cm="1">
        <f t="array" ref="E749">INDEX('Linha 04'!$B$4:$B$1000,B749)</f>
        <v>Intermed Pack Desinfetante Campos Lavanda Cx/12 X 1l</v>
      </c>
      <c r="F749" cm="1">
        <f t="array" ref="F749">INDEX('Linha 04'!$C$3:$ZZ$3,C749)</f>
        <v>20050119</v>
      </c>
      <c r="G749" t="str" cm="1">
        <f t="array" ref="G749">INDEX('Linha 04'!$C$2:$ZZ$2,C749)</f>
        <v>Desinfetante Aquafast Paixao Cx/12 X 500ml</v>
      </c>
      <c r="H749" s="5" cm="1">
        <f t="array" ref="H749">INDEX('Linha 04'!$C$4:$ZZ$1000,B749,C749)</f>
        <v>0</v>
      </c>
    </row>
    <row r="750" spans="1:8" x14ac:dyDescent="0.25">
      <c r="A750">
        <v>748</v>
      </c>
      <c r="B750">
        <f t="shared" si="22"/>
        <v>27</v>
      </c>
      <c r="C750">
        <f t="shared" si="23"/>
        <v>20</v>
      </c>
      <c r="D750" cm="1">
        <f t="array" ref="D750">INDEX('Linha 04'!$A$4:$A$1000,B750)</f>
        <v>20050156</v>
      </c>
      <c r="E750" t="str" cm="1">
        <f t="array" ref="E750">INDEX('Linha 04'!$B$4:$B$1000,B750)</f>
        <v>Intermed Pack Desinfetante Campos Lavanda Cx/12 X 1l</v>
      </c>
      <c r="F750" cm="1">
        <f t="array" ref="F750">INDEX('Linha 04'!$C$3:$ZZ$3,C750)</f>
        <v>20050145</v>
      </c>
      <c r="G750" t="str" cm="1">
        <f t="array" ref="G750">INDEX('Linha 04'!$C$2:$ZZ$2,C750)</f>
        <v>Desinfetante Aquafast Harmonia Natural Cx/12 X 500ml</v>
      </c>
      <c r="H750" s="5" cm="1">
        <f t="array" ref="H750">INDEX('Linha 04'!$C$4:$ZZ$1000,B750,C750)</f>
        <v>0</v>
      </c>
    </row>
    <row r="751" spans="1:8" x14ac:dyDescent="0.25">
      <c r="A751">
        <v>749</v>
      </c>
      <c r="B751">
        <f t="shared" si="22"/>
        <v>27</v>
      </c>
      <c r="C751">
        <f t="shared" si="23"/>
        <v>21</v>
      </c>
      <c r="D751" cm="1">
        <f t="array" ref="D751">INDEX('Linha 04'!$A$4:$A$1000,B751)</f>
        <v>20050156</v>
      </c>
      <c r="E751" t="str" cm="1">
        <f t="array" ref="E751">INDEX('Linha 04'!$B$4:$B$1000,B751)</f>
        <v>Intermed Pack Desinfetante Campos Lavanda Cx/12 X 1l</v>
      </c>
      <c r="F751" cm="1">
        <f t="array" ref="F751">INDEX('Linha 04'!$C$3:$ZZ$3,C751)</f>
        <v>20050149</v>
      </c>
      <c r="G751" t="str" cm="1">
        <f t="array" ref="G751">INDEX('Linha 04'!$C$2:$ZZ$2,C751)</f>
        <v>Desinfetante Aquafast Campos Lavanda Cx/12 X 1l</v>
      </c>
      <c r="H751" s="5" cm="1">
        <f t="array" ref="H751">INDEX('Linha 04'!$C$4:$ZZ$1000,B751,C751)</f>
        <v>0</v>
      </c>
    </row>
    <row r="752" spans="1:8" x14ac:dyDescent="0.25">
      <c r="A752">
        <v>750</v>
      </c>
      <c r="B752">
        <f t="shared" si="22"/>
        <v>27</v>
      </c>
      <c r="C752">
        <f t="shared" si="23"/>
        <v>22</v>
      </c>
      <c r="D752" cm="1">
        <f t="array" ref="D752">INDEX('Linha 04'!$A$4:$A$1000,B752)</f>
        <v>20050156</v>
      </c>
      <c r="E752" t="str" cm="1">
        <f t="array" ref="E752">INDEX('Linha 04'!$B$4:$B$1000,B752)</f>
        <v>Intermed Pack Desinfetante Campos Lavanda Cx/12 X 1l</v>
      </c>
      <c r="F752" cm="1">
        <f t="array" ref="F752">INDEX('Linha 04'!$C$3:$ZZ$3,C752)</f>
        <v>20050150</v>
      </c>
      <c r="G752" t="str" cm="1">
        <f t="array" ref="G752">INDEX('Linha 04'!$C$2:$ZZ$2,C752)</f>
        <v>Desinfetante Aquafast Marine Cx/12 X 1l</v>
      </c>
      <c r="H752" s="5" cm="1">
        <f t="array" ref="H752">INDEX('Linha 04'!$C$4:$ZZ$1000,B752,C752)</f>
        <v>0</v>
      </c>
    </row>
    <row r="753" spans="1:8" x14ac:dyDescent="0.25">
      <c r="A753">
        <v>751</v>
      </c>
      <c r="B753">
        <f t="shared" si="22"/>
        <v>27</v>
      </c>
      <c r="C753">
        <f t="shared" si="23"/>
        <v>23</v>
      </c>
      <c r="D753" cm="1">
        <f t="array" ref="D753">INDEX('Linha 04'!$A$4:$A$1000,B753)</f>
        <v>20050156</v>
      </c>
      <c r="E753" t="str" cm="1">
        <f t="array" ref="E753">INDEX('Linha 04'!$B$4:$B$1000,B753)</f>
        <v>Intermed Pack Desinfetante Campos Lavanda Cx/12 X 1l</v>
      </c>
      <c r="F753" cm="1">
        <f t="array" ref="F753">INDEX('Linha 04'!$C$3:$ZZ$3,C753)</f>
        <v>20050151</v>
      </c>
      <c r="G753" t="str" cm="1">
        <f t="array" ref="G753">INDEX('Linha 04'!$C$2:$ZZ$2,C753)</f>
        <v>Desinfetante Aquafast Paixao Cx/12 X 1l</v>
      </c>
      <c r="H753" s="5" cm="1">
        <f t="array" ref="H753">INDEX('Linha 04'!$C$4:$ZZ$1000,B753,C753)</f>
        <v>0</v>
      </c>
    </row>
    <row r="754" spans="1:8" x14ac:dyDescent="0.25">
      <c r="A754">
        <v>752</v>
      </c>
      <c r="B754">
        <f t="shared" si="22"/>
        <v>27</v>
      </c>
      <c r="C754">
        <f t="shared" si="23"/>
        <v>24</v>
      </c>
      <c r="D754" cm="1">
        <f t="array" ref="D754">INDEX('Linha 04'!$A$4:$A$1000,B754)</f>
        <v>20050156</v>
      </c>
      <c r="E754" t="str" cm="1">
        <f t="array" ref="E754">INDEX('Linha 04'!$B$4:$B$1000,B754)</f>
        <v>Intermed Pack Desinfetante Campos Lavanda Cx/12 X 1l</v>
      </c>
      <c r="F754" cm="1">
        <f t="array" ref="F754">INDEX('Linha 04'!$C$3:$ZZ$3,C754)</f>
        <v>20050152</v>
      </c>
      <c r="G754" t="str" cm="1">
        <f t="array" ref="G754">INDEX('Linha 04'!$C$2:$ZZ$2,C754)</f>
        <v>Desinfetante Aquafast Harmonia Natural Cx/12 X 1l</v>
      </c>
      <c r="H754" s="5" cm="1">
        <f t="array" ref="H754">INDEX('Linha 04'!$C$4:$ZZ$1000,B754,C754)</f>
        <v>0</v>
      </c>
    </row>
    <row r="755" spans="1:8" x14ac:dyDescent="0.25">
      <c r="A755">
        <v>753</v>
      </c>
      <c r="B755">
        <f t="shared" si="22"/>
        <v>27</v>
      </c>
      <c r="C755">
        <f t="shared" si="23"/>
        <v>25</v>
      </c>
      <c r="D755" cm="1">
        <f t="array" ref="D755">INDEX('Linha 04'!$A$4:$A$1000,B755)</f>
        <v>20050156</v>
      </c>
      <c r="E755" t="str" cm="1">
        <f t="array" ref="E755">INDEX('Linha 04'!$B$4:$B$1000,B755)</f>
        <v>Intermed Pack Desinfetante Campos Lavanda Cx/12 X 1l</v>
      </c>
      <c r="F755" cm="1">
        <f t="array" ref="F755">INDEX('Linha 04'!$C$3:$ZZ$3,C755)</f>
        <v>20050153</v>
      </c>
      <c r="G755" t="str" cm="1">
        <f t="array" ref="G755">INDEX('Linha 04'!$C$2:$ZZ$2,C755)</f>
        <v>Desinfetante Ito Harmonia Natural Cx/12 X 500ml</v>
      </c>
      <c r="H755" s="5" cm="1">
        <f t="array" ref="H755">INDEX('Linha 04'!$C$4:$ZZ$1000,B755,C755)</f>
        <v>0</v>
      </c>
    </row>
    <row r="756" spans="1:8" x14ac:dyDescent="0.25">
      <c r="A756">
        <v>754</v>
      </c>
      <c r="B756">
        <f t="shared" si="22"/>
        <v>27</v>
      </c>
      <c r="C756">
        <f t="shared" si="23"/>
        <v>26</v>
      </c>
      <c r="D756" cm="1">
        <f t="array" ref="D756">INDEX('Linha 04'!$A$4:$A$1000,B756)</f>
        <v>20050156</v>
      </c>
      <c r="E756" t="str" cm="1">
        <f t="array" ref="E756">INDEX('Linha 04'!$B$4:$B$1000,B756)</f>
        <v>Intermed Pack Desinfetante Campos Lavanda Cx/12 X 1l</v>
      </c>
      <c r="F756" cm="1">
        <f t="array" ref="F756">INDEX('Linha 04'!$C$3:$ZZ$3,C756)</f>
        <v>20050155</v>
      </c>
      <c r="G756" t="str" cm="1">
        <f t="array" ref="G756">INDEX('Linha 04'!$C$2:$ZZ$2,C756)</f>
        <v>Intermed Pack Desinfetante Paixao Cx/12 X 1l</v>
      </c>
      <c r="H756" s="5" cm="1">
        <f t="array" ref="H756">INDEX('Linha 04'!$C$4:$ZZ$1000,B756,C756)</f>
        <v>0</v>
      </c>
    </row>
    <row r="757" spans="1:8" x14ac:dyDescent="0.25">
      <c r="A757">
        <v>755</v>
      </c>
      <c r="B757">
        <f t="shared" si="22"/>
        <v>27</v>
      </c>
      <c r="C757">
        <f t="shared" si="23"/>
        <v>27</v>
      </c>
      <c r="D757" cm="1">
        <f t="array" ref="D757">INDEX('Linha 04'!$A$4:$A$1000,B757)</f>
        <v>20050156</v>
      </c>
      <c r="E757" t="str" cm="1">
        <f t="array" ref="E757">INDEX('Linha 04'!$B$4:$B$1000,B757)</f>
        <v>Intermed Pack Desinfetante Campos Lavanda Cx/12 X 1l</v>
      </c>
      <c r="F757" cm="1">
        <f t="array" ref="F757">INDEX('Linha 04'!$C$3:$ZZ$3,C757)</f>
        <v>20050156</v>
      </c>
      <c r="G757" t="str" cm="1">
        <f t="array" ref="G757">INDEX('Linha 04'!$C$2:$ZZ$2,C757)</f>
        <v>Intermed Pack Desinfetante Campos Lavanda Cx/12 X 1l</v>
      </c>
      <c r="H757" s="5" cm="1">
        <f t="array" ref="H757">INDEX('Linha 04'!$C$4:$ZZ$1000,B757,C757)</f>
        <v>0</v>
      </c>
    </row>
    <row r="758" spans="1:8" x14ac:dyDescent="0.25">
      <c r="A758">
        <v>756</v>
      </c>
      <c r="B758">
        <f t="shared" si="22"/>
        <v>27</v>
      </c>
      <c r="C758">
        <f t="shared" si="23"/>
        <v>28</v>
      </c>
      <c r="D758" cm="1">
        <f t="array" ref="D758">INDEX('Linha 04'!$A$4:$A$1000,B758)</f>
        <v>20050156</v>
      </c>
      <c r="E758" t="str" cm="1">
        <f t="array" ref="E758">INDEX('Linha 04'!$B$4:$B$1000,B758)</f>
        <v>Intermed Pack Desinfetante Campos Lavanda Cx/12 X 1l</v>
      </c>
      <c r="F758" cm="1">
        <f t="array" ref="F758">INDEX('Linha 04'!$C$3:$ZZ$3,C758)</f>
        <v>20050157</v>
      </c>
      <c r="G758" t="str" cm="1">
        <f t="array" ref="G758">INDEX('Linha 04'!$C$2:$ZZ$2,C758)</f>
        <v>Intermed Pack Desinfetante Marine Cx/12 X 1l</v>
      </c>
      <c r="H758" s="5" cm="1">
        <f t="array" ref="H758">INDEX('Linha 04'!$C$4:$ZZ$1000,B758,C758)</f>
        <v>0</v>
      </c>
    </row>
    <row r="759" spans="1:8" x14ac:dyDescent="0.25">
      <c r="A759">
        <v>757</v>
      </c>
      <c r="B759">
        <f t="shared" si="22"/>
        <v>28</v>
      </c>
      <c r="C759">
        <f t="shared" si="23"/>
        <v>1</v>
      </c>
      <c r="D759" cm="1">
        <f t="array" ref="D759">INDEX('Linha 04'!$A$4:$A$1000,B759)</f>
        <v>20050157</v>
      </c>
      <c r="E759" t="str" cm="1">
        <f t="array" ref="E759">INDEX('Linha 04'!$B$4:$B$1000,B759)</f>
        <v>Intermed Pack Desinfetante Marine Cx/12 X 1l</v>
      </c>
      <c r="F759" cm="1">
        <f t="array" ref="F759">INDEX('Linha 04'!$C$3:$ZZ$3,C759)</f>
        <v>20030001</v>
      </c>
      <c r="G759" t="str" cm="1">
        <f t="array" ref="G759">INDEX('Linha 04'!$C$2:$ZZ$2,C759)</f>
        <v>Detergente Aquafast Maca Cx/24 X 500ml</v>
      </c>
      <c r="H759" s="5" cm="1">
        <f t="array" ref="H759">INDEX('Linha 04'!$C$4:$ZZ$1000,B759,C759)</f>
        <v>0</v>
      </c>
    </row>
    <row r="760" spans="1:8" x14ac:dyDescent="0.25">
      <c r="A760">
        <v>758</v>
      </c>
      <c r="B760">
        <f t="shared" si="22"/>
        <v>28</v>
      </c>
      <c r="C760">
        <f t="shared" si="23"/>
        <v>2</v>
      </c>
      <c r="D760" cm="1">
        <f t="array" ref="D760">INDEX('Linha 04'!$A$4:$A$1000,B760)</f>
        <v>20050157</v>
      </c>
      <c r="E760" t="str" cm="1">
        <f t="array" ref="E760">INDEX('Linha 04'!$B$4:$B$1000,B760)</f>
        <v>Intermed Pack Desinfetante Marine Cx/12 X 1l</v>
      </c>
      <c r="F760" cm="1">
        <f t="array" ref="F760">INDEX('Linha 04'!$C$3:$ZZ$3,C760)</f>
        <v>20030002</v>
      </c>
      <c r="G760" t="str" cm="1">
        <f t="array" ref="G760">INDEX('Linha 04'!$C$2:$ZZ$2,C760)</f>
        <v>Detergente Aquafast Limao Cx/24 X 500ml</v>
      </c>
      <c r="H760" s="5" cm="1">
        <f t="array" ref="H760">INDEX('Linha 04'!$C$4:$ZZ$1000,B760,C760)</f>
        <v>0</v>
      </c>
    </row>
    <row r="761" spans="1:8" x14ac:dyDescent="0.25">
      <c r="A761">
        <v>759</v>
      </c>
      <c r="B761">
        <f t="shared" si="22"/>
        <v>28</v>
      </c>
      <c r="C761">
        <f t="shared" si="23"/>
        <v>3</v>
      </c>
      <c r="D761" cm="1">
        <f t="array" ref="D761">INDEX('Linha 04'!$A$4:$A$1000,B761)</f>
        <v>20050157</v>
      </c>
      <c r="E761" t="str" cm="1">
        <f t="array" ref="E761">INDEX('Linha 04'!$B$4:$B$1000,B761)</f>
        <v>Intermed Pack Desinfetante Marine Cx/12 X 1l</v>
      </c>
      <c r="F761" cm="1">
        <f t="array" ref="F761">INDEX('Linha 04'!$C$3:$ZZ$3,C761)</f>
        <v>20030003</v>
      </c>
      <c r="G761" t="str" cm="1">
        <f t="array" ref="G761">INDEX('Linha 04'!$C$2:$ZZ$2,C761)</f>
        <v>Detergente Aquafast Neutro Cx/24 X 500ml</v>
      </c>
      <c r="H761" s="5" cm="1">
        <f t="array" ref="H761">INDEX('Linha 04'!$C$4:$ZZ$1000,B761,C761)</f>
        <v>0</v>
      </c>
    </row>
    <row r="762" spans="1:8" x14ac:dyDescent="0.25">
      <c r="A762">
        <v>760</v>
      </c>
      <c r="B762">
        <f t="shared" si="22"/>
        <v>28</v>
      </c>
      <c r="C762">
        <f t="shared" si="23"/>
        <v>4</v>
      </c>
      <c r="D762" cm="1">
        <f t="array" ref="D762">INDEX('Linha 04'!$A$4:$A$1000,B762)</f>
        <v>20050157</v>
      </c>
      <c r="E762" t="str" cm="1">
        <f t="array" ref="E762">INDEX('Linha 04'!$B$4:$B$1000,B762)</f>
        <v>Intermed Pack Desinfetante Marine Cx/12 X 1l</v>
      </c>
      <c r="F762" cm="1">
        <f t="array" ref="F762">INDEX('Linha 04'!$C$3:$ZZ$3,C762)</f>
        <v>20030004</v>
      </c>
      <c r="G762" t="str" cm="1">
        <f t="array" ref="G762">INDEX('Linha 04'!$C$2:$ZZ$2,C762)</f>
        <v>Detergente Aquafast Clear Cx/24 X 500ml (Natural)</v>
      </c>
      <c r="H762" s="5" cm="1">
        <f t="array" ref="H762">INDEX('Linha 04'!$C$4:$ZZ$1000,B762,C762)</f>
        <v>0</v>
      </c>
    </row>
    <row r="763" spans="1:8" x14ac:dyDescent="0.25">
      <c r="A763">
        <v>761</v>
      </c>
      <c r="B763">
        <f t="shared" si="22"/>
        <v>28</v>
      </c>
      <c r="C763">
        <f t="shared" si="23"/>
        <v>5</v>
      </c>
      <c r="D763" cm="1">
        <f t="array" ref="D763">INDEX('Linha 04'!$A$4:$A$1000,B763)</f>
        <v>20050157</v>
      </c>
      <c r="E763" t="str" cm="1">
        <f t="array" ref="E763">INDEX('Linha 04'!$B$4:$B$1000,B763)</f>
        <v>Intermed Pack Desinfetante Marine Cx/12 X 1l</v>
      </c>
      <c r="F763" cm="1">
        <f t="array" ref="F763">INDEX('Linha 04'!$C$3:$ZZ$3,C763)</f>
        <v>20030011</v>
      </c>
      <c r="G763" t="str" cm="1">
        <f t="array" ref="G763">INDEX('Linha 04'!$C$2:$ZZ$2,C763)</f>
        <v>Detergente Aquafast Maca Cx/12 X 1l</v>
      </c>
      <c r="H763" s="5" cm="1">
        <f t="array" ref="H763">INDEX('Linha 04'!$C$4:$ZZ$1000,B763,C763)</f>
        <v>0</v>
      </c>
    </row>
    <row r="764" spans="1:8" x14ac:dyDescent="0.25">
      <c r="A764">
        <v>762</v>
      </c>
      <c r="B764">
        <f t="shared" si="22"/>
        <v>28</v>
      </c>
      <c r="C764">
        <f t="shared" si="23"/>
        <v>6</v>
      </c>
      <c r="D764" cm="1">
        <f t="array" ref="D764">INDEX('Linha 04'!$A$4:$A$1000,B764)</f>
        <v>20050157</v>
      </c>
      <c r="E764" t="str" cm="1">
        <f t="array" ref="E764">INDEX('Linha 04'!$B$4:$B$1000,B764)</f>
        <v>Intermed Pack Desinfetante Marine Cx/12 X 1l</v>
      </c>
      <c r="F764" cm="1">
        <f t="array" ref="F764">INDEX('Linha 04'!$C$3:$ZZ$3,C764)</f>
        <v>20030012</v>
      </c>
      <c r="G764" t="str" cm="1">
        <f t="array" ref="G764">INDEX('Linha 04'!$C$2:$ZZ$2,C764)</f>
        <v>Detergente Aquafast Limao Cx/12 X 1l</v>
      </c>
      <c r="H764" s="5" cm="1">
        <f t="array" ref="H764">INDEX('Linha 04'!$C$4:$ZZ$1000,B764,C764)</f>
        <v>0</v>
      </c>
    </row>
    <row r="765" spans="1:8" x14ac:dyDescent="0.25">
      <c r="A765">
        <v>763</v>
      </c>
      <c r="B765">
        <f t="shared" si="22"/>
        <v>28</v>
      </c>
      <c r="C765">
        <f t="shared" si="23"/>
        <v>7</v>
      </c>
      <c r="D765" cm="1">
        <f t="array" ref="D765">INDEX('Linha 04'!$A$4:$A$1000,B765)</f>
        <v>20050157</v>
      </c>
      <c r="E765" t="str" cm="1">
        <f t="array" ref="E765">INDEX('Linha 04'!$B$4:$B$1000,B765)</f>
        <v>Intermed Pack Desinfetante Marine Cx/12 X 1l</v>
      </c>
      <c r="F765" cm="1">
        <f t="array" ref="F765">INDEX('Linha 04'!$C$3:$ZZ$3,C765)</f>
        <v>20030013</v>
      </c>
      <c r="G765" t="str" cm="1">
        <f t="array" ref="G765">INDEX('Linha 04'!$C$2:$ZZ$2,C765)</f>
        <v>Detergente Aquafast Neutro Cx/12 X 1l</v>
      </c>
      <c r="H765" s="5" cm="1">
        <f t="array" ref="H765">INDEX('Linha 04'!$C$4:$ZZ$1000,B765,C765)</f>
        <v>0</v>
      </c>
    </row>
    <row r="766" spans="1:8" x14ac:dyDescent="0.25">
      <c r="A766">
        <v>764</v>
      </c>
      <c r="B766">
        <f t="shared" si="22"/>
        <v>28</v>
      </c>
      <c r="C766">
        <f t="shared" si="23"/>
        <v>8</v>
      </c>
      <c r="D766" cm="1">
        <f t="array" ref="D766">INDEX('Linha 04'!$A$4:$A$1000,B766)</f>
        <v>20050157</v>
      </c>
      <c r="E766" t="str" cm="1">
        <f t="array" ref="E766">INDEX('Linha 04'!$B$4:$B$1000,B766)</f>
        <v>Intermed Pack Desinfetante Marine Cx/12 X 1l</v>
      </c>
      <c r="F766" cm="1">
        <f t="array" ref="F766">INDEX('Linha 04'!$C$3:$ZZ$3,C766)</f>
        <v>20030014</v>
      </c>
      <c r="G766" t="str" cm="1">
        <f t="array" ref="G766">INDEX('Linha 04'!$C$2:$ZZ$2,C766)</f>
        <v>Detergente Aquafast Clear Cx/12 X 1l (Natural)</v>
      </c>
      <c r="H766" s="5" cm="1">
        <f t="array" ref="H766">INDEX('Linha 04'!$C$4:$ZZ$1000,B766,C766)</f>
        <v>0</v>
      </c>
    </row>
    <row r="767" spans="1:8" x14ac:dyDescent="0.25">
      <c r="A767">
        <v>765</v>
      </c>
      <c r="B767">
        <f t="shared" si="22"/>
        <v>28</v>
      </c>
      <c r="C767">
        <f t="shared" si="23"/>
        <v>9</v>
      </c>
      <c r="D767" cm="1">
        <f t="array" ref="D767">INDEX('Linha 04'!$A$4:$A$1000,B767)</f>
        <v>20050157</v>
      </c>
      <c r="E767" t="str" cm="1">
        <f t="array" ref="E767">INDEX('Linha 04'!$B$4:$B$1000,B767)</f>
        <v>Intermed Pack Desinfetante Marine Cx/12 X 1l</v>
      </c>
      <c r="F767" cm="1">
        <f t="array" ref="F767">INDEX('Linha 04'!$C$3:$ZZ$3,C767)</f>
        <v>20030020</v>
      </c>
      <c r="G767" t="str" cm="1">
        <f t="array" ref="G767">INDEX('Linha 04'!$C$2:$ZZ$2,C767)</f>
        <v>Detergente Ito Maca Cx/24 X 500ml</v>
      </c>
      <c r="H767" s="5" cm="1">
        <f t="array" ref="H767">INDEX('Linha 04'!$C$4:$ZZ$1000,B767,C767)</f>
        <v>0</v>
      </c>
    </row>
    <row r="768" spans="1:8" x14ac:dyDescent="0.25">
      <c r="A768">
        <v>766</v>
      </c>
      <c r="B768">
        <f t="shared" si="22"/>
        <v>28</v>
      </c>
      <c r="C768">
        <f t="shared" si="23"/>
        <v>10</v>
      </c>
      <c r="D768" cm="1">
        <f t="array" ref="D768">INDEX('Linha 04'!$A$4:$A$1000,B768)</f>
        <v>20050157</v>
      </c>
      <c r="E768" t="str" cm="1">
        <f t="array" ref="E768">INDEX('Linha 04'!$B$4:$B$1000,B768)</f>
        <v>Intermed Pack Desinfetante Marine Cx/12 X 1l</v>
      </c>
      <c r="F768" cm="1">
        <f t="array" ref="F768">INDEX('Linha 04'!$C$3:$ZZ$3,C768)</f>
        <v>20030021</v>
      </c>
      <c r="G768" t="str" cm="1">
        <f t="array" ref="G768">INDEX('Linha 04'!$C$2:$ZZ$2,C768)</f>
        <v>Detergente Ito Limao Cx/24 X 500ml</v>
      </c>
      <c r="H768" s="5" cm="1">
        <f t="array" ref="H768">INDEX('Linha 04'!$C$4:$ZZ$1000,B768,C768)</f>
        <v>0</v>
      </c>
    </row>
    <row r="769" spans="1:8" x14ac:dyDescent="0.25">
      <c r="A769">
        <v>767</v>
      </c>
      <c r="B769">
        <f t="shared" si="22"/>
        <v>28</v>
      </c>
      <c r="C769">
        <f t="shared" si="23"/>
        <v>11</v>
      </c>
      <c r="D769" cm="1">
        <f t="array" ref="D769">INDEX('Linha 04'!$A$4:$A$1000,B769)</f>
        <v>20050157</v>
      </c>
      <c r="E769" t="str" cm="1">
        <f t="array" ref="E769">INDEX('Linha 04'!$B$4:$B$1000,B769)</f>
        <v>Intermed Pack Desinfetante Marine Cx/12 X 1l</v>
      </c>
      <c r="F769" cm="1">
        <f t="array" ref="F769">INDEX('Linha 04'!$C$3:$ZZ$3,C769)</f>
        <v>20030022</v>
      </c>
      <c r="G769" t="str" cm="1">
        <f t="array" ref="G769">INDEX('Linha 04'!$C$2:$ZZ$2,C769)</f>
        <v>Detergente Ito Neutro Cx/24 X 500ml</v>
      </c>
      <c r="H769" s="5" cm="1">
        <f t="array" ref="H769">INDEX('Linha 04'!$C$4:$ZZ$1000,B769,C769)</f>
        <v>0</v>
      </c>
    </row>
    <row r="770" spans="1:8" x14ac:dyDescent="0.25">
      <c r="A770">
        <v>768</v>
      </c>
      <c r="B770">
        <f t="shared" si="22"/>
        <v>28</v>
      </c>
      <c r="C770">
        <f t="shared" si="23"/>
        <v>12</v>
      </c>
      <c r="D770" cm="1">
        <f t="array" ref="D770">INDEX('Linha 04'!$A$4:$A$1000,B770)</f>
        <v>20050157</v>
      </c>
      <c r="E770" t="str" cm="1">
        <f t="array" ref="E770">INDEX('Linha 04'!$B$4:$B$1000,B770)</f>
        <v>Intermed Pack Desinfetante Marine Cx/12 X 1l</v>
      </c>
      <c r="F770" cm="1">
        <f t="array" ref="F770">INDEX('Linha 04'!$C$3:$ZZ$3,C770)</f>
        <v>20030023</v>
      </c>
      <c r="G770" t="str" cm="1">
        <f t="array" ref="G770">INDEX('Linha 04'!$C$2:$ZZ$2,C770)</f>
        <v>Detergente Ito Clear Cx/24 X 500ml</v>
      </c>
      <c r="H770" s="5" cm="1">
        <f t="array" ref="H770">INDEX('Linha 04'!$C$4:$ZZ$1000,B770,C770)</f>
        <v>0</v>
      </c>
    </row>
    <row r="771" spans="1:8" x14ac:dyDescent="0.25">
      <c r="A771">
        <v>769</v>
      </c>
      <c r="B771">
        <f t="shared" si="22"/>
        <v>28</v>
      </c>
      <c r="C771">
        <f t="shared" si="23"/>
        <v>13</v>
      </c>
      <c r="D771" cm="1">
        <f t="array" ref="D771">INDEX('Linha 04'!$A$4:$A$1000,B771)</f>
        <v>20050157</v>
      </c>
      <c r="E771" t="str" cm="1">
        <f t="array" ref="E771">INDEX('Linha 04'!$B$4:$B$1000,B771)</f>
        <v>Intermed Pack Desinfetante Marine Cx/12 X 1l</v>
      </c>
      <c r="F771" cm="1">
        <f t="array" ref="F771">INDEX('Linha 04'!$C$3:$ZZ$3,C771)</f>
        <v>20030038</v>
      </c>
      <c r="G771" t="str" cm="1">
        <f t="array" ref="G771">INDEX('Linha 04'!$C$2:$ZZ$2,C771)</f>
        <v>Detergente Myata Maca Cx/24 X 500ml</v>
      </c>
      <c r="H771" s="5" cm="1">
        <f t="array" ref="H771">INDEX('Linha 04'!$C$4:$ZZ$1000,B771,C771)</f>
        <v>0</v>
      </c>
    </row>
    <row r="772" spans="1:8" x14ac:dyDescent="0.25">
      <c r="A772">
        <v>770</v>
      </c>
      <c r="B772">
        <f t="shared" ref="B772:B786" si="24">INT((A772-1)/$B$1)+1</f>
        <v>28</v>
      </c>
      <c r="C772">
        <f t="shared" ref="C772:C786" si="25">MOD(A772-1,$B$1)+1</f>
        <v>14</v>
      </c>
      <c r="D772" cm="1">
        <f t="array" ref="D772">INDEX('Linha 04'!$A$4:$A$1000,B772)</f>
        <v>20050157</v>
      </c>
      <c r="E772" t="str" cm="1">
        <f t="array" ref="E772">INDEX('Linha 04'!$B$4:$B$1000,B772)</f>
        <v>Intermed Pack Desinfetante Marine Cx/12 X 1l</v>
      </c>
      <c r="F772" cm="1">
        <f t="array" ref="F772">INDEX('Linha 04'!$C$3:$ZZ$3,C772)</f>
        <v>20030039</v>
      </c>
      <c r="G772" t="str" cm="1">
        <f t="array" ref="G772">INDEX('Linha 04'!$C$2:$ZZ$2,C772)</f>
        <v>Detergente Myata Limao Cx/24 X 500ml</v>
      </c>
      <c r="H772" s="5" cm="1">
        <f t="array" ref="H772">INDEX('Linha 04'!$C$4:$ZZ$1000,B772,C772)</f>
        <v>0</v>
      </c>
    </row>
    <row r="773" spans="1:8" x14ac:dyDescent="0.25">
      <c r="A773">
        <v>771</v>
      </c>
      <c r="B773">
        <f t="shared" si="24"/>
        <v>28</v>
      </c>
      <c r="C773">
        <f t="shared" si="25"/>
        <v>15</v>
      </c>
      <c r="D773" cm="1">
        <f t="array" ref="D773">INDEX('Linha 04'!$A$4:$A$1000,B773)</f>
        <v>20050157</v>
      </c>
      <c r="E773" t="str" cm="1">
        <f t="array" ref="E773">INDEX('Linha 04'!$B$4:$B$1000,B773)</f>
        <v>Intermed Pack Desinfetante Marine Cx/12 X 1l</v>
      </c>
      <c r="F773" cm="1">
        <f t="array" ref="F773">INDEX('Linha 04'!$C$3:$ZZ$3,C773)</f>
        <v>20030040</v>
      </c>
      <c r="G773" t="str" cm="1">
        <f t="array" ref="G773">INDEX('Linha 04'!$C$2:$ZZ$2,C773)</f>
        <v>Detergente Myata Neutro Cx/24 X 500ml</v>
      </c>
      <c r="H773" s="5" cm="1">
        <f t="array" ref="H773">INDEX('Linha 04'!$C$4:$ZZ$1000,B773,C773)</f>
        <v>0</v>
      </c>
    </row>
    <row r="774" spans="1:8" x14ac:dyDescent="0.25">
      <c r="A774">
        <v>772</v>
      </c>
      <c r="B774">
        <f t="shared" si="24"/>
        <v>28</v>
      </c>
      <c r="C774">
        <f t="shared" si="25"/>
        <v>16</v>
      </c>
      <c r="D774" cm="1">
        <f t="array" ref="D774">INDEX('Linha 04'!$A$4:$A$1000,B774)</f>
        <v>20050157</v>
      </c>
      <c r="E774" t="str" cm="1">
        <f t="array" ref="E774">INDEX('Linha 04'!$B$4:$B$1000,B774)</f>
        <v>Intermed Pack Desinfetante Marine Cx/12 X 1l</v>
      </c>
      <c r="F774" cm="1">
        <f t="array" ref="F774">INDEX('Linha 04'!$C$3:$ZZ$3,C774)</f>
        <v>20030067</v>
      </c>
      <c r="G774" t="str" cm="1">
        <f t="array" ref="G774">INDEX('Linha 04'!$C$2:$ZZ$2,C774)</f>
        <v>Detergente Aquafast Coco Cx/24 X 500ml</v>
      </c>
      <c r="H774" s="5" cm="1">
        <f t="array" ref="H774">INDEX('Linha 04'!$C$4:$ZZ$1000,B774,C774)</f>
        <v>0</v>
      </c>
    </row>
    <row r="775" spans="1:8" x14ac:dyDescent="0.25">
      <c r="A775">
        <v>773</v>
      </c>
      <c r="B775">
        <f t="shared" si="24"/>
        <v>28</v>
      </c>
      <c r="C775">
        <f t="shared" si="25"/>
        <v>17</v>
      </c>
      <c r="D775" cm="1">
        <f t="array" ref="D775">INDEX('Linha 04'!$A$4:$A$1000,B775)</f>
        <v>20050157</v>
      </c>
      <c r="E775" t="str" cm="1">
        <f t="array" ref="E775">INDEX('Linha 04'!$B$4:$B$1000,B775)</f>
        <v>Intermed Pack Desinfetante Marine Cx/12 X 1l</v>
      </c>
      <c r="F775" cm="1">
        <f t="array" ref="F775">INDEX('Linha 04'!$C$3:$ZZ$3,C775)</f>
        <v>20050001</v>
      </c>
      <c r="G775" t="str" cm="1">
        <f t="array" ref="G775">INDEX('Linha 04'!$C$2:$ZZ$2,C775)</f>
        <v>Desinfetante Aquafast Campos Lavanda Cx/12 X 500ml</v>
      </c>
      <c r="H775" s="5" cm="1">
        <f t="array" ref="H775">INDEX('Linha 04'!$C$4:$ZZ$1000,B775,C775)</f>
        <v>0</v>
      </c>
    </row>
    <row r="776" spans="1:8" x14ac:dyDescent="0.25">
      <c r="A776">
        <v>774</v>
      </c>
      <c r="B776">
        <f t="shared" si="24"/>
        <v>28</v>
      </c>
      <c r="C776">
        <f t="shared" si="25"/>
        <v>18</v>
      </c>
      <c r="D776" cm="1">
        <f t="array" ref="D776">INDEX('Linha 04'!$A$4:$A$1000,B776)</f>
        <v>20050157</v>
      </c>
      <c r="E776" t="str" cm="1">
        <f t="array" ref="E776">INDEX('Linha 04'!$B$4:$B$1000,B776)</f>
        <v>Intermed Pack Desinfetante Marine Cx/12 X 1l</v>
      </c>
      <c r="F776" cm="1">
        <f t="array" ref="F776">INDEX('Linha 04'!$C$3:$ZZ$3,C776)</f>
        <v>20050026</v>
      </c>
      <c r="G776" t="str" cm="1">
        <f t="array" ref="G776">INDEX('Linha 04'!$C$2:$ZZ$2,C776)</f>
        <v>Desinfetante Ito Lavanda Cx/12 X 500ml</v>
      </c>
      <c r="H776" s="5" cm="1">
        <f t="array" ref="H776">INDEX('Linha 04'!$C$4:$ZZ$1000,B776,C776)</f>
        <v>0</v>
      </c>
    </row>
    <row r="777" spans="1:8" x14ac:dyDescent="0.25">
      <c r="A777">
        <v>775</v>
      </c>
      <c r="B777">
        <f t="shared" si="24"/>
        <v>28</v>
      </c>
      <c r="C777">
        <f t="shared" si="25"/>
        <v>19</v>
      </c>
      <c r="D777" cm="1">
        <f t="array" ref="D777">INDEX('Linha 04'!$A$4:$A$1000,B777)</f>
        <v>20050157</v>
      </c>
      <c r="E777" t="str" cm="1">
        <f t="array" ref="E777">INDEX('Linha 04'!$B$4:$B$1000,B777)</f>
        <v>Intermed Pack Desinfetante Marine Cx/12 X 1l</v>
      </c>
      <c r="F777" cm="1">
        <f t="array" ref="F777">INDEX('Linha 04'!$C$3:$ZZ$3,C777)</f>
        <v>20050119</v>
      </c>
      <c r="G777" t="str" cm="1">
        <f t="array" ref="G777">INDEX('Linha 04'!$C$2:$ZZ$2,C777)</f>
        <v>Desinfetante Aquafast Paixao Cx/12 X 500ml</v>
      </c>
      <c r="H777" s="5" cm="1">
        <f t="array" ref="H777">INDEX('Linha 04'!$C$4:$ZZ$1000,B777,C777)</f>
        <v>0</v>
      </c>
    </row>
    <row r="778" spans="1:8" x14ac:dyDescent="0.25">
      <c r="A778">
        <v>776</v>
      </c>
      <c r="B778">
        <f t="shared" si="24"/>
        <v>28</v>
      </c>
      <c r="C778">
        <f t="shared" si="25"/>
        <v>20</v>
      </c>
      <c r="D778" cm="1">
        <f t="array" ref="D778">INDEX('Linha 04'!$A$4:$A$1000,B778)</f>
        <v>20050157</v>
      </c>
      <c r="E778" t="str" cm="1">
        <f t="array" ref="E778">INDEX('Linha 04'!$B$4:$B$1000,B778)</f>
        <v>Intermed Pack Desinfetante Marine Cx/12 X 1l</v>
      </c>
      <c r="F778" cm="1">
        <f t="array" ref="F778">INDEX('Linha 04'!$C$3:$ZZ$3,C778)</f>
        <v>20050145</v>
      </c>
      <c r="G778" t="str" cm="1">
        <f t="array" ref="G778">INDEX('Linha 04'!$C$2:$ZZ$2,C778)</f>
        <v>Desinfetante Aquafast Harmonia Natural Cx/12 X 500ml</v>
      </c>
      <c r="H778" s="5" cm="1">
        <f t="array" ref="H778">INDEX('Linha 04'!$C$4:$ZZ$1000,B778,C778)</f>
        <v>0</v>
      </c>
    </row>
    <row r="779" spans="1:8" x14ac:dyDescent="0.25">
      <c r="A779">
        <v>777</v>
      </c>
      <c r="B779">
        <f t="shared" si="24"/>
        <v>28</v>
      </c>
      <c r="C779">
        <f t="shared" si="25"/>
        <v>21</v>
      </c>
      <c r="D779" cm="1">
        <f t="array" ref="D779">INDEX('Linha 04'!$A$4:$A$1000,B779)</f>
        <v>20050157</v>
      </c>
      <c r="E779" t="str" cm="1">
        <f t="array" ref="E779">INDEX('Linha 04'!$B$4:$B$1000,B779)</f>
        <v>Intermed Pack Desinfetante Marine Cx/12 X 1l</v>
      </c>
      <c r="F779" cm="1">
        <f t="array" ref="F779">INDEX('Linha 04'!$C$3:$ZZ$3,C779)</f>
        <v>20050149</v>
      </c>
      <c r="G779" t="str" cm="1">
        <f t="array" ref="G779">INDEX('Linha 04'!$C$2:$ZZ$2,C779)</f>
        <v>Desinfetante Aquafast Campos Lavanda Cx/12 X 1l</v>
      </c>
      <c r="H779" s="5" cm="1">
        <f t="array" ref="H779">INDEX('Linha 04'!$C$4:$ZZ$1000,B779,C779)</f>
        <v>0</v>
      </c>
    </row>
    <row r="780" spans="1:8" x14ac:dyDescent="0.25">
      <c r="A780">
        <v>778</v>
      </c>
      <c r="B780">
        <f t="shared" si="24"/>
        <v>28</v>
      </c>
      <c r="C780">
        <f t="shared" si="25"/>
        <v>22</v>
      </c>
      <c r="D780" cm="1">
        <f t="array" ref="D780">INDEX('Linha 04'!$A$4:$A$1000,B780)</f>
        <v>20050157</v>
      </c>
      <c r="E780" t="str" cm="1">
        <f t="array" ref="E780">INDEX('Linha 04'!$B$4:$B$1000,B780)</f>
        <v>Intermed Pack Desinfetante Marine Cx/12 X 1l</v>
      </c>
      <c r="F780" cm="1">
        <f t="array" ref="F780">INDEX('Linha 04'!$C$3:$ZZ$3,C780)</f>
        <v>20050150</v>
      </c>
      <c r="G780" t="str" cm="1">
        <f t="array" ref="G780">INDEX('Linha 04'!$C$2:$ZZ$2,C780)</f>
        <v>Desinfetante Aquafast Marine Cx/12 X 1l</v>
      </c>
      <c r="H780" s="5" cm="1">
        <f t="array" ref="H780">INDEX('Linha 04'!$C$4:$ZZ$1000,B780,C780)</f>
        <v>0</v>
      </c>
    </row>
    <row r="781" spans="1:8" x14ac:dyDescent="0.25">
      <c r="A781">
        <v>779</v>
      </c>
      <c r="B781">
        <f t="shared" si="24"/>
        <v>28</v>
      </c>
      <c r="C781">
        <f t="shared" si="25"/>
        <v>23</v>
      </c>
      <c r="D781" cm="1">
        <f t="array" ref="D781">INDEX('Linha 04'!$A$4:$A$1000,B781)</f>
        <v>20050157</v>
      </c>
      <c r="E781" t="str" cm="1">
        <f t="array" ref="E781">INDEX('Linha 04'!$B$4:$B$1000,B781)</f>
        <v>Intermed Pack Desinfetante Marine Cx/12 X 1l</v>
      </c>
      <c r="F781" cm="1">
        <f t="array" ref="F781">INDEX('Linha 04'!$C$3:$ZZ$3,C781)</f>
        <v>20050151</v>
      </c>
      <c r="G781" t="str" cm="1">
        <f t="array" ref="G781">INDEX('Linha 04'!$C$2:$ZZ$2,C781)</f>
        <v>Desinfetante Aquafast Paixao Cx/12 X 1l</v>
      </c>
      <c r="H781" s="5" cm="1">
        <f t="array" ref="H781">INDEX('Linha 04'!$C$4:$ZZ$1000,B781,C781)</f>
        <v>0</v>
      </c>
    </row>
    <row r="782" spans="1:8" x14ac:dyDescent="0.25">
      <c r="A782">
        <v>780</v>
      </c>
      <c r="B782">
        <f t="shared" si="24"/>
        <v>28</v>
      </c>
      <c r="C782">
        <f t="shared" si="25"/>
        <v>24</v>
      </c>
      <c r="D782" cm="1">
        <f t="array" ref="D782">INDEX('Linha 04'!$A$4:$A$1000,B782)</f>
        <v>20050157</v>
      </c>
      <c r="E782" t="str" cm="1">
        <f t="array" ref="E782">INDEX('Linha 04'!$B$4:$B$1000,B782)</f>
        <v>Intermed Pack Desinfetante Marine Cx/12 X 1l</v>
      </c>
      <c r="F782" cm="1">
        <f t="array" ref="F782">INDEX('Linha 04'!$C$3:$ZZ$3,C782)</f>
        <v>20050152</v>
      </c>
      <c r="G782" t="str" cm="1">
        <f t="array" ref="G782">INDEX('Linha 04'!$C$2:$ZZ$2,C782)</f>
        <v>Desinfetante Aquafast Harmonia Natural Cx/12 X 1l</v>
      </c>
      <c r="H782" s="5" cm="1">
        <f t="array" ref="H782">INDEX('Linha 04'!$C$4:$ZZ$1000,B782,C782)</f>
        <v>0</v>
      </c>
    </row>
    <row r="783" spans="1:8" x14ac:dyDescent="0.25">
      <c r="A783">
        <v>781</v>
      </c>
      <c r="B783">
        <f t="shared" si="24"/>
        <v>28</v>
      </c>
      <c r="C783">
        <f t="shared" si="25"/>
        <v>25</v>
      </c>
      <c r="D783" cm="1">
        <f t="array" ref="D783">INDEX('Linha 04'!$A$4:$A$1000,B783)</f>
        <v>20050157</v>
      </c>
      <c r="E783" t="str" cm="1">
        <f t="array" ref="E783">INDEX('Linha 04'!$B$4:$B$1000,B783)</f>
        <v>Intermed Pack Desinfetante Marine Cx/12 X 1l</v>
      </c>
      <c r="F783" cm="1">
        <f t="array" ref="F783">INDEX('Linha 04'!$C$3:$ZZ$3,C783)</f>
        <v>20050153</v>
      </c>
      <c r="G783" t="str" cm="1">
        <f t="array" ref="G783">INDEX('Linha 04'!$C$2:$ZZ$2,C783)</f>
        <v>Desinfetante Ito Harmonia Natural Cx/12 X 500ml</v>
      </c>
      <c r="H783" s="5" cm="1">
        <f t="array" ref="H783">INDEX('Linha 04'!$C$4:$ZZ$1000,B783,C783)</f>
        <v>0</v>
      </c>
    </row>
    <row r="784" spans="1:8" x14ac:dyDescent="0.25">
      <c r="A784">
        <v>782</v>
      </c>
      <c r="B784">
        <f t="shared" si="24"/>
        <v>28</v>
      </c>
      <c r="C784">
        <f t="shared" si="25"/>
        <v>26</v>
      </c>
      <c r="D784" cm="1">
        <f t="array" ref="D784">INDEX('Linha 04'!$A$4:$A$1000,B784)</f>
        <v>20050157</v>
      </c>
      <c r="E784" t="str" cm="1">
        <f t="array" ref="E784">INDEX('Linha 04'!$B$4:$B$1000,B784)</f>
        <v>Intermed Pack Desinfetante Marine Cx/12 X 1l</v>
      </c>
      <c r="F784" cm="1">
        <f t="array" ref="F784">INDEX('Linha 04'!$C$3:$ZZ$3,C784)</f>
        <v>20050155</v>
      </c>
      <c r="G784" t="str" cm="1">
        <f t="array" ref="G784">INDEX('Linha 04'!$C$2:$ZZ$2,C784)</f>
        <v>Intermed Pack Desinfetante Paixao Cx/12 X 1l</v>
      </c>
      <c r="H784" s="5" cm="1">
        <f t="array" ref="H784">INDEX('Linha 04'!$C$4:$ZZ$1000,B784,C784)</f>
        <v>0</v>
      </c>
    </row>
    <row r="785" spans="1:8" x14ac:dyDescent="0.25">
      <c r="A785">
        <v>783</v>
      </c>
      <c r="B785">
        <f t="shared" si="24"/>
        <v>28</v>
      </c>
      <c r="C785">
        <f t="shared" si="25"/>
        <v>27</v>
      </c>
      <c r="D785" cm="1">
        <f t="array" ref="D785">INDEX('Linha 04'!$A$4:$A$1000,B785)</f>
        <v>20050157</v>
      </c>
      <c r="E785" t="str" cm="1">
        <f t="array" ref="E785">INDEX('Linha 04'!$B$4:$B$1000,B785)</f>
        <v>Intermed Pack Desinfetante Marine Cx/12 X 1l</v>
      </c>
      <c r="F785" cm="1">
        <f t="array" ref="F785">INDEX('Linha 04'!$C$3:$ZZ$3,C785)</f>
        <v>20050156</v>
      </c>
      <c r="G785" t="str" cm="1">
        <f t="array" ref="G785">INDEX('Linha 04'!$C$2:$ZZ$2,C785)</f>
        <v>Intermed Pack Desinfetante Campos Lavanda Cx/12 X 1l</v>
      </c>
      <c r="H785" s="5" cm="1">
        <f t="array" ref="H785">INDEX('Linha 04'!$C$4:$ZZ$1000,B785,C785)</f>
        <v>0</v>
      </c>
    </row>
    <row r="786" spans="1:8" x14ac:dyDescent="0.25">
      <c r="A786">
        <v>784</v>
      </c>
      <c r="B786">
        <f t="shared" si="24"/>
        <v>28</v>
      </c>
      <c r="C786">
        <f t="shared" si="25"/>
        <v>28</v>
      </c>
      <c r="D786" cm="1">
        <f t="array" ref="D786">INDEX('Linha 04'!$A$4:$A$1000,B786)</f>
        <v>20050157</v>
      </c>
      <c r="E786" t="str" cm="1">
        <f t="array" ref="E786">INDEX('Linha 04'!$B$4:$B$1000,B786)</f>
        <v>Intermed Pack Desinfetante Marine Cx/12 X 1l</v>
      </c>
      <c r="F786" cm="1">
        <f t="array" ref="F786">INDEX('Linha 04'!$C$3:$ZZ$3,C786)</f>
        <v>20050157</v>
      </c>
      <c r="G786" t="str" cm="1">
        <f t="array" ref="G786">INDEX('Linha 04'!$C$2:$ZZ$2,C786)</f>
        <v>Intermed Pack Desinfetante Marine Cx/12 X 1l</v>
      </c>
      <c r="H786" s="5" cm="1">
        <f t="array" ref="H786">INDEX('Linha 04'!$C$4:$ZZ$1000,B786,C786)</f>
        <v>0</v>
      </c>
    </row>
    <row r="787" spans="1:8" x14ac:dyDescent="0.25">
      <c r="H787" s="5"/>
    </row>
    <row r="788" spans="1:8" x14ac:dyDescent="0.25">
      <c r="H788" s="5"/>
    </row>
    <row r="789" spans="1:8" x14ac:dyDescent="0.25">
      <c r="H789" s="5"/>
    </row>
    <row r="790" spans="1:8" x14ac:dyDescent="0.25">
      <c r="H790" s="5"/>
    </row>
    <row r="791" spans="1:8" x14ac:dyDescent="0.25">
      <c r="H791" s="5"/>
    </row>
    <row r="792" spans="1:8" x14ac:dyDescent="0.25">
      <c r="H792" s="5"/>
    </row>
    <row r="793" spans="1:8" x14ac:dyDescent="0.25">
      <c r="H793" s="5"/>
    </row>
    <row r="794" spans="1:8" x14ac:dyDescent="0.25">
      <c r="H794" s="5"/>
    </row>
    <row r="795" spans="1:8" x14ac:dyDescent="0.25">
      <c r="H795" s="5"/>
    </row>
    <row r="796" spans="1:8" x14ac:dyDescent="0.25">
      <c r="H796" s="5"/>
    </row>
    <row r="797" spans="1:8" x14ac:dyDescent="0.25">
      <c r="H797" s="5"/>
    </row>
    <row r="798" spans="1:8" x14ac:dyDescent="0.25">
      <c r="H798" s="5"/>
    </row>
    <row r="799" spans="1:8" x14ac:dyDescent="0.25">
      <c r="H799" s="5"/>
    </row>
    <row r="800" spans="1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  <row r="1001" spans="8:8" x14ac:dyDescent="0.25">
      <c r="H1001" s="5"/>
    </row>
    <row r="1002" spans="8:8" x14ac:dyDescent="0.25">
      <c r="H1002" s="5"/>
    </row>
    <row r="1003" spans="8:8" x14ac:dyDescent="0.25">
      <c r="H1003" s="5"/>
    </row>
    <row r="1004" spans="8:8" x14ac:dyDescent="0.25">
      <c r="H1004" s="5"/>
    </row>
    <row r="1005" spans="8:8" x14ac:dyDescent="0.25">
      <c r="H1005" s="5"/>
    </row>
    <row r="1006" spans="8:8" x14ac:dyDescent="0.25">
      <c r="H1006" s="5"/>
    </row>
    <row r="1007" spans="8:8" x14ac:dyDescent="0.25">
      <c r="H1007" s="5"/>
    </row>
    <row r="1008" spans="8:8" x14ac:dyDescent="0.25">
      <c r="H1008" s="5"/>
    </row>
    <row r="1009" spans="8:8" x14ac:dyDescent="0.25">
      <c r="H1009" s="5"/>
    </row>
    <row r="1010" spans="8:8" x14ac:dyDescent="0.25">
      <c r="H1010" s="5"/>
    </row>
    <row r="1011" spans="8:8" x14ac:dyDescent="0.25">
      <c r="H1011" s="5"/>
    </row>
    <row r="1012" spans="8:8" x14ac:dyDescent="0.25">
      <c r="H1012" s="5"/>
    </row>
    <row r="1013" spans="8:8" x14ac:dyDescent="0.25">
      <c r="H1013" s="5"/>
    </row>
    <row r="1014" spans="8:8" x14ac:dyDescent="0.25">
      <c r="H1014" s="5"/>
    </row>
    <row r="1015" spans="8:8" x14ac:dyDescent="0.25">
      <c r="H1015" s="5"/>
    </row>
    <row r="1016" spans="8:8" x14ac:dyDescent="0.25">
      <c r="H1016" s="5"/>
    </row>
    <row r="1017" spans="8:8" x14ac:dyDescent="0.25">
      <c r="H1017" s="5"/>
    </row>
    <row r="1018" spans="8:8" x14ac:dyDescent="0.25">
      <c r="H1018" s="5"/>
    </row>
    <row r="1019" spans="8:8" x14ac:dyDescent="0.25">
      <c r="H1019" s="5"/>
    </row>
    <row r="1020" spans="8:8" x14ac:dyDescent="0.25">
      <c r="H1020" s="5"/>
    </row>
    <row r="1021" spans="8:8" x14ac:dyDescent="0.25">
      <c r="H1021" s="5"/>
    </row>
    <row r="1022" spans="8:8" x14ac:dyDescent="0.25">
      <c r="H1022" s="5"/>
    </row>
    <row r="1023" spans="8:8" x14ac:dyDescent="0.25">
      <c r="H1023" s="5"/>
    </row>
    <row r="1024" spans="8:8" x14ac:dyDescent="0.25">
      <c r="H1024" s="5"/>
    </row>
    <row r="1025" spans="8:8" x14ac:dyDescent="0.25">
      <c r="H1025" s="5"/>
    </row>
    <row r="1026" spans="8:8" x14ac:dyDescent="0.25">
      <c r="H1026" s="5"/>
    </row>
    <row r="1027" spans="8:8" x14ac:dyDescent="0.25">
      <c r="H1027" s="5"/>
    </row>
    <row r="1028" spans="8:8" x14ac:dyDescent="0.25">
      <c r="H1028" s="5"/>
    </row>
    <row r="1029" spans="8:8" x14ac:dyDescent="0.25">
      <c r="H1029" s="5"/>
    </row>
    <row r="1030" spans="8:8" x14ac:dyDescent="0.25">
      <c r="H1030" s="5"/>
    </row>
    <row r="1031" spans="8:8" x14ac:dyDescent="0.25">
      <c r="H1031" s="5"/>
    </row>
    <row r="1032" spans="8:8" x14ac:dyDescent="0.25">
      <c r="H1032" s="5"/>
    </row>
    <row r="1033" spans="8:8" x14ac:dyDescent="0.25">
      <c r="H1033" s="5"/>
    </row>
    <row r="1034" spans="8:8" x14ac:dyDescent="0.25">
      <c r="H1034" s="5"/>
    </row>
    <row r="1035" spans="8:8" x14ac:dyDescent="0.25">
      <c r="H1035" s="5"/>
    </row>
    <row r="1036" spans="8:8" x14ac:dyDescent="0.25">
      <c r="H1036" s="5"/>
    </row>
    <row r="1037" spans="8:8" x14ac:dyDescent="0.25">
      <c r="H1037" s="5"/>
    </row>
    <row r="1038" spans="8:8" x14ac:dyDescent="0.25">
      <c r="H1038" s="5"/>
    </row>
    <row r="1039" spans="8:8" x14ac:dyDescent="0.25">
      <c r="H1039" s="5"/>
    </row>
    <row r="1040" spans="8:8" x14ac:dyDescent="0.25">
      <c r="H1040" s="5"/>
    </row>
    <row r="1041" spans="8:8" x14ac:dyDescent="0.25">
      <c r="H1041" s="5"/>
    </row>
    <row r="1042" spans="8:8" x14ac:dyDescent="0.25">
      <c r="H1042" s="5"/>
    </row>
    <row r="1043" spans="8:8" x14ac:dyDescent="0.25">
      <c r="H1043" s="5"/>
    </row>
    <row r="1044" spans="8:8" x14ac:dyDescent="0.25">
      <c r="H1044" s="5"/>
    </row>
    <row r="1045" spans="8:8" x14ac:dyDescent="0.25">
      <c r="H1045" s="5"/>
    </row>
    <row r="1046" spans="8:8" x14ac:dyDescent="0.25">
      <c r="H1046" s="5"/>
    </row>
    <row r="1047" spans="8:8" x14ac:dyDescent="0.25">
      <c r="H1047" s="5"/>
    </row>
    <row r="1048" spans="8:8" x14ac:dyDescent="0.25">
      <c r="H1048" s="5"/>
    </row>
    <row r="1049" spans="8:8" x14ac:dyDescent="0.25">
      <c r="H1049" s="5"/>
    </row>
    <row r="1050" spans="8:8" x14ac:dyDescent="0.25">
      <c r="H1050" s="5"/>
    </row>
    <row r="1051" spans="8:8" x14ac:dyDescent="0.25">
      <c r="H1051" s="5"/>
    </row>
    <row r="1052" spans="8:8" x14ac:dyDescent="0.25">
      <c r="H1052" s="5"/>
    </row>
    <row r="1053" spans="8:8" x14ac:dyDescent="0.25">
      <c r="H1053" s="5"/>
    </row>
    <row r="1054" spans="8:8" x14ac:dyDescent="0.25">
      <c r="H1054" s="5"/>
    </row>
    <row r="1055" spans="8:8" x14ac:dyDescent="0.25">
      <c r="H1055" s="5"/>
    </row>
    <row r="1056" spans="8:8" x14ac:dyDescent="0.25">
      <c r="H1056" s="5"/>
    </row>
    <row r="1057" spans="8:8" x14ac:dyDescent="0.25">
      <c r="H1057" s="5"/>
    </row>
    <row r="1058" spans="8:8" x14ac:dyDescent="0.25">
      <c r="H1058" s="5"/>
    </row>
    <row r="1059" spans="8:8" x14ac:dyDescent="0.25">
      <c r="H1059" s="5"/>
    </row>
    <row r="1060" spans="8:8" x14ac:dyDescent="0.25">
      <c r="H1060" s="5"/>
    </row>
    <row r="1061" spans="8:8" x14ac:dyDescent="0.25">
      <c r="H1061" s="5"/>
    </row>
    <row r="1062" spans="8:8" x14ac:dyDescent="0.25">
      <c r="H1062" s="5"/>
    </row>
    <row r="1063" spans="8:8" x14ac:dyDescent="0.25">
      <c r="H1063" s="5"/>
    </row>
    <row r="1064" spans="8:8" x14ac:dyDescent="0.25">
      <c r="H1064" s="5"/>
    </row>
    <row r="1065" spans="8:8" x14ac:dyDescent="0.25">
      <c r="H1065" s="5"/>
    </row>
    <row r="1066" spans="8:8" x14ac:dyDescent="0.25">
      <c r="H1066" s="5"/>
    </row>
    <row r="1067" spans="8:8" x14ac:dyDescent="0.25">
      <c r="H1067" s="5"/>
    </row>
    <row r="1068" spans="8:8" x14ac:dyDescent="0.25">
      <c r="H1068" s="5"/>
    </row>
    <row r="1069" spans="8:8" x14ac:dyDescent="0.25">
      <c r="H1069" s="5"/>
    </row>
    <row r="1070" spans="8:8" x14ac:dyDescent="0.25">
      <c r="H1070" s="5"/>
    </row>
    <row r="1071" spans="8:8" x14ac:dyDescent="0.25">
      <c r="H1071" s="5"/>
    </row>
    <row r="1072" spans="8:8" x14ac:dyDescent="0.25">
      <c r="H1072" s="5"/>
    </row>
    <row r="1073" spans="8:8" x14ac:dyDescent="0.25">
      <c r="H1073" s="5"/>
    </row>
    <row r="1074" spans="8:8" x14ac:dyDescent="0.25">
      <c r="H1074" s="5"/>
    </row>
    <row r="1075" spans="8:8" x14ac:dyDescent="0.25">
      <c r="H1075" s="5"/>
    </row>
    <row r="1076" spans="8:8" x14ac:dyDescent="0.25">
      <c r="H1076" s="5"/>
    </row>
    <row r="1077" spans="8:8" x14ac:dyDescent="0.25">
      <c r="H1077" s="5"/>
    </row>
    <row r="1078" spans="8:8" x14ac:dyDescent="0.25">
      <c r="H1078" s="5"/>
    </row>
    <row r="1079" spans="8:8" x14ac:dyDescent="0.25">
      <c r="H1079" s="5"/>
    </row>
    <row r="1080" spans="8:8" x14ac:dyDescent="0.25">
      <c r="H1080" s="5"/>
    </row>
    <row r="1081" spans="8:8" x14ac:dyDescent="0.25">
      <c r="H1081" s="5"/>
    </row>
    <row r="1082" spans="8:8" x14ac:dyDescent="0.25">
      <c r="H1082" s="5"/>
    </row>
    <row r="1083" spans="8:8" x14ac:dyDescent="0.25">
      <c r="H1083" s="5"/>
    </row>
    <row r="1084" spans="8:8" x14ac:dyDescent="0.25">
      <c r="H1084" s="5"/>
    </row>
    <row r="1085" spans="8:8" x14ac:dyDescent="0.25">
      <c r="H1085" s="5"/>
    </row>
    <row r="1086" spans="8:8" x14ac:dyDescent="0.25">
      <c r="H1086" s="5"/>
    </row>
    <row r="1087" spans="8:8" x14ac:dyDescent="0.25">
      <c r="H1087" s="5"/>
    </row>
    <row r="1088" spans="8:8" x14ac:dyDescent="0.25">
      <c r="H1088" s="5"/>
    </row>
    <row r="1089" spans="8:8" x14ac:dyDescent="0.25">
      <c r="H1089" s="5"/>
    </row>
    <row r="1090" spans="8:8" x14ac:dyDescent="0.25">
      <c r="H1090" s="5"/>
    </row>
    <row r="1091" spans="8:8" x14ac:dyDescent="0.25">
      <c r="H1091" s="5"/>
    </row>
    <row r="1092" spans="8:8" x14ac:dyDescent="0.25">
      <c r="H1092" s="5"/>
    </row>
    <row r="1093" spans="8:8" x14ac:dyDescent="0.25">
      <c r="H1093" s="5"/>
    </row>
    <row r="1094" spans="8:8" x14ac:dyDescent="0.25">
      <c r="H1094" s="5"/>
    </row>
    <row r="1095" spans="8:8" x14ac:dyDescent="0.25">
      <c r="H1095" s="5"/>
    </row>
    <row r="1096" spans="8:8" x14ac:dyDescent="0.25">
      <c r="H1096" s="5"/>
    </row>
    <row r="1097" spans="8:8" x14ac:dyDescent="0.25">
      <c r="H1097" s="5"/>
    </row>
    <row r="1098" spans="8:8" x14ac:dyDescent="0.25">
      <c r="H1098" s="5"/>
    </row>
    <row r="1099" spans="8:8" x14ac:dyDescent="0.25">
      <c r="H1099" s="5"/>
    </row>
    <row r="1100" spans="8:8" x14ac:dyDescent="0.25">
      <c r="H1100" s="5"/>
    </row>
    <row r="1101" spans="8:8" x14ac:dyDescent="0.25">
      <c r="H1101" s="5"/>
    </row>
    <row r="1102" spans="8:8" x14ac:dyDescent="0.25">
      <c r="H1102" s="5"/>
    </row>
    <row r="1103" spans="8:8" x14ac:dyDescent="0.25">
      <c r="H1103" s="5"/>
    </row>
    <row r="1104" spans="8:8" x14ac:dyDescent="0.25">
      <c r="H1104" s="5"/>
    </row>
    <row r="1105" spans="8:8" x14ac:dyDescent="0.25">
      <c r="H1105" s="5"/>
    </row>
    <row r="1106" spans="8:8" x14ac:dyDescent="0.25">
      <c r="H1106" s="5"/>
    </row>
    <row r="1107" spans="8:8" x14ac:dyDescent="0.25">
      <c r="H1107" s="5"/>
    </row>
    <row r="1108" spans="8:8" x14ac:dyDescent="0.25">
      <c r="H1108" s="5"/>
    </row>
    <row r="1109" spans="8:8" x14ac:dyDescent="0.25">
      <c r="H1109" s="5"/>
    </row>
    <row r="1110" spans="8:8" x14ac:dyDescent="0.25">
      <c r="H1110" s="5"/>
    </row>
    <row r="1111" spans="8:8" x14ac:dyDescent="0.25">
      <c r="H1111" s="5"/>
    </row>
    <row r="1112" spans="8:8" x14ac:dyDescent="0.25">
      <c r="H1112" s="5"/>
    </row>
    <row r="1113" spans="8:8" x14ac:dyDescent="0.25">
      <c r="H1113" s="5"/>
    </row>
    <row r="1114" spans="8:8" x14ac:dyDescent="0.25">
      <c r="H1114" s="5"/>
    </row>
    <row r="1115" spans="8:8" x14ac:dyDescent="0.25">
      <c r="H1115" s="5"/>
    </row>
    <row r="1116" spans="8:8" x14ac:dyDescent="0.25">
      <c r="H1116" s="5"/>
    </row>
    <row r="1117" spans="8:8" x14ac:dyDescent="0.25">
      <c r="H1117" s="5"/>
    </row>
    <row r="1118" spans="8:8" x14ac:dyDescent="0.25">
      <c r="H1118" s="5"/>
    </row>
    <row r="1119" spans="8:8" x14ac:dyDescent="0.25">
      <c r="H1119" s="5"/>
    </row>
    <row r="1120" spans="8:8" x14ac:dyDescent="0.25">
      <c r="H1120" s="5"/>
    </row>
    <row r="1121" spans="8:8" x14ac:dyDescent="0.25">
      <c r="H1121" s="5"/>
    </row>
    <row r="1122" spans="8:8" x14ac:dyDescent="0.25">
      <c r="H1122" s="5"/>
    </row>
    <row r="1123" spans="8:8" x14ac:dyDescent="0.25">
      <c r="H1123" s="5"/>
    </row>
    <row r="1124" spans="8:8" x14ac:dyDescent="0.25">
      <c r="H1124" s="5"/>
    </row>
    <row r="1125" spans="8:8" x14ac:dyDescent="0.25">
      <c r="H1125" s="5"/>
    </row>
    <row r="1126" spans="8:8" x14ac:dyDescent="0.25">
      <c r="H1126" s="5"/>
    </row>
    <row r="1127" spans="8:8" x14ac:dyDescent="0.25">
      <c r="H1127" s="5"/>
    </row>
    <row r="1128" spans="8:8" x14ac:dyDescent="0.25">
      <c r="H1128" s="5"/>
    </row>
    <row r="1129" spans="8:8" x14ac:dyDescent="0.25">
      <c r="H1129" s="5"/>
    </row>
    <row r="1130" spans="8:8" x14ac:dyDescent="0.25">
      <c r="H1130" s="5"/>
    </row>
    <row r="1131" spans="8:8" x14ac:dyDescent="0.25">
      <c r="H1131" s="5"/>
    </row>
    <row r="1132" spans="8:8" x14ac:dyDescent="0.25">
      <c r="H1132" s="5"/>
    </row>
    <row r="1133" spans="8:8" x14ac:dyDescent="0.25">
      <c r="H1133" s="5"/>
    </row>
    <row r="1134" spans="8:8" x14ac:dyDescent="0.25">
      <c r="H1134" s="5"/>
    </row>
    <row r="1135" spans="8:8" x14ac:dyDescent="0.25">
      <c r="H1135" s="5"/>
    </row>
    <row r="1136" spans="8:8" x14ac:dyDescent="0.25">
      <c r="H1136" s="5"/>
    </row>
    <row r="1137" spans="8:8" x14ac:dyDescent="0.25">
      <c r="H1137" s="5"/>
    </row>
    <row r="1138" spans="8:8" x14ac:dyDescent="0.25">
      <c r="H1138" s="5"/>
    </row>
    <row r="1139" spans="8:8" x14ac:dyDescent="0.25">
      <c r="H1139" s="5"/>
    </row>
    <row r="1140" spans="8:8" x14ac:dyDescent="0.25">
      <c r="H1140" s="5"/>
    </row>
    <row r="1141" spans="8:8" x14ac:dyDescent="0.25">
      <c r="H1141" s="5"/>
    </row>
    <row r="1142" spans="8:8" x14ac:dyDescent="0.25">
      <c r="H1142" s="5"/>
    </row>
    <row r="1143" spans="8:8" x14ac:dyDescent="0.25">
      <c r="H1143" s="5"/>
    </row>
    <row r="1144" spans="8:8" x14ac:dyDescent="0.25">
      <c r="H1144" s="5"/>
    </row>
    <row r="1145" spans="8:8" x14ac:dyDescent="0.25">
      <c r="H1145" s="5"/>
    </row>
    <row r="1146" spans="8:8" x14ac:dyDescent="0.25">
      <c r="H1146" s="5"/>
    </row>
    <row r="1147" spans="8:8" x14ac:dyDescent="0.25">
      <c r="H1147" s="5"/>
    </row>
    <row r="1148" spans="8:8" x14ac:dyDescent="0.25">
      <c r="H1148" s="5"/>
    </row>
    <row r="1149" spans="8:8" x14ac:dyDescent="0.25">
      <c r="H1149" s="5"/>
    </row>
    <row r="1150" spans="8:8" x14ac:dyDescent="0.25">
      <c r="H1150" s="5"/>
    </row>
    <row r="1151" spans="8:8" x14ac:dyDescent="0.25">
      <c r="H1151" s="5"/>
    </row>
    <row r="1152" spans="8:8" x14ac:dyDescent="0.25">
      <c r="H1152" s="5"/>
    </row>
    <row r="1153" spans="8:8" x14ac:dyDescent="0.25">
      <c r="H1153" s="5"/>
    </row>
    <row r="1154" spans="8:8" x14ac:dyDescent="0.25">
      <c r="H1154" s="5"/>
    </row>
    <row r="1155" spans="8:8" x14ac:dyDescent="0.25">
      <c r="H1155" s="5"/>
    </row>
    <row r="1156" spans="8:8" x14ac:dyDescent="0.25">
      <c r="H1156" s="5"/>
    </row>
    <row r="1157" spans="8:8" x14ac:dyDescent="0.25">
      <c r="H1157" s="5"/>
    </row>
    <row r="1158" spans="8:8" x14ac:dyDescent="0.25">
      <c r="H1158" s="5"/>
    </row>
    <row r="1159" spans="8:8" x14ac:dyDescent="0.25">
      <c r="H1159" s="5"/>
    </row>
    <row r="1160" spans="8:8" x14ac:dyDescent="0.25">
      <c r="H1160" s="5"/>
    </row>
    <row r="1161" spans="8:8" x14ac:dyDescent="0.25">
      <c r="H1161" s="5"/>
    </row>
    <row r="1162" spans="8:8" x14ac:dyDescent="0.25">
      <c r="H1162" s="5"/>
    </row>
    <row r="1163" spans="8:8" x14ac:dyDescent="0.25">
      <c r="H1163" s="5"/>
    </row>
    <row r="1164" spans="8:8" x14ac:dyDescent="0.25">
      <c r="H1164" s="5"/>
    </row>
    <row r="1165" spans="8:8" x14ac:dyDescent="0.25">
      <c r="H1165" s="5"/>
    </row>
    <row r="1166" spans="8:8" x14ac:dyDescent="0.25">
      <c r="H1166" s="5"/>
    </row>
    <row r="1167" spans="8:8" x14ac:dyDescent="0.25">
      <c r="H1167" s="5"/>
    </row>
    <row r="1168" spans="8:8" x14ac:dyDescent="0.25">
      <c r="H1168" s="5"/>
    </row>
    <row r="1169" spans="8:8" x14ac:dyDescent="0.25">
      <c r="H1169" s="5"/>
    </row>
    <row r="1170" spans="8:8" x14ac:dyDescent="0.25">
      <c r="H1170" s="5"/>
    </row>
    <row r="1171" spans="8:8" x14ac:dyDescent="0.25">
      <c r="H1171" s="5"/>
    </row>
    <row r="1172" spans="8:8" x14ac:dyDescent="0.25">
      <c r="H1172" s="5"/>
    </row>
    <row r="1173" spans="8:8" x14ac:dyDescent="0.25">
      <c r="H1173" s="5"/>
    </row>
    <row r="1174" spans="8:8" x14ac:dyDescent="0.25">
      <c r="H1174" s="5"/>
    </row>
    <row r="1175" spans="8:8" x14ac:dyDescent="0.25">
      <c r="H1175" s="5"/>
    </row>
    <row r="1176" spans="8:8" x14ac:dyDescent="0.25">
      <c r="H1176" s="5"/>
    </row>
    <row r="1177" spans="8:8" x14ac:dyDescent="0.25">
      <c r="H1177" s="5"/>
    </row>
    <row r="1178" spans="8:8" x14ac:dyDescent="0.25">
      <c r="H1178" s="5"/>
    </row>
    <row r="1179" spans="8:8" x14ac:dyDescent="0.25">
      <c r="H1179" s="5"/>
    </row>
    <row r="1180" spans="8:8" x14ac:dyDescent="0.25">
      <c r="H1180" s="5"/>
    </row>
    <row r="1181" spans="8:8" x14ac:dyDescent="0.25">
      <c r="H1181" s="5"/>
    </row>
    <row r="1182" spans="8:8" x14ac:dyDescent="0.25">
      <c r="H1182" s="5"/>
    </row>
    <row r="1183" spans="8:8" x14ac:dyDescent="0.25">
      <c r="H1183" s="5"/>
    </row>
    <row r="1184" spans="8:8" x14ac:dyDescent="0.25">
      <c r="H1184" s="5"/>
    </row>
    <row r="1185" spans="8:8" x14ac:dyDescent="0.25">
      <c r="H1185" s="5"/>
    </row>
    <row r="1186" spans="8:8" x14ac:dyDescent="0.25">
      <c r="H1186" s="5"/>
    </row>
    <row r="1187" spans="8:8" x14ac:dyDescent="0.25">
      <c r="H1187" s="5"/>
    </row>
    <row r="1188" spans="8:8" x14ac:dyDescent="0.25">
      <c r="H1188" s="5"/>
    </row>
    <row r="1189" spans="8:8" x14ac:dyDescent="0.25">
      <c r="H1189" s="5"/>
    </row>
    <row r="1190" spans="8:8" x14ac:dyDescent="0.25">
      <c r="H1190" s="5"/>
    </row>
    <row r="1191" spans="8:8" x14ac:dyDescent="0.25">
      <c r="H1191" s="5"/>
    </row>
    <row r="1192" spans="8:8" x14ac:dyDescent="0.25">
      <c r="H1192" s="5"/>
    </row>
    <row r="1193" spans="8:8" x14ac:dyDescent="0.25">
      <c r="H1193" s="5"/>
    </row>
    <row r="1194" spans="8:8" x14ac:dyDescent="0.25">
      <c r="H1194" s="5"/>
    </row>
    <row r="1195" spans="8:8" x14ac:dyDescent="0.25">
      <c r="H1195" s="5"/>
    </row>
    <row r="1196" spans="8:8" x14ac:dyDescent="0.25">
      <c r="H1196" s="5"/>
    </row>
    <row r="1197" spans="8:8" x14ac:dyDescent="0.25">
      <c r="H1197" s="5"/>
    </row>
    <row r="1198" spans="8:8" x14ac:dyDescent="0.25">
      <c r="H1198" s="5"/>
    </row>
    <row r="1199" spans="8:8" x14ac:dyDescent="0.25">
      <c r="H1199" s="5"/>
    </row>
    <row r="1200" spans="8:8" x14ac:dyDescent="0.25">
      <c r="H1200" s="5"/>
    </row>
    <row r="1201" spans="8:8" x14ac:dyDescent="0.25">
      <c r="H1201" s="5"/>
    </row>
    <row r="1202" spans="8:8" x14ac:dyDescent="0.25">
      <c r="H1202" s="5"/>
    </row>
    <row r="1203" spans="8:8" x14ac:dyDescent="0.25">
      <c r="H1203" s="5"/>
    </row>
    <row r="1204" spans="8:8" x14ac:dyDescent="0.25">
      <c r="H1204" s="5"/>
    </row>
    <row r="1205" spans="8:8" x14ac:dyDescent="0.25">
      <c r="H1205" s="5"/>
    </row>
    <row r="1206" spans="8:8" x14ac:dyDescent="0.25">
      <c r="H1206" s="5"/>
    </row>
    <row r="1207" spans="8:8" x14ac:dyDescent="0.25">
      <c r="H1207" s="5"/>
    </row>
    <row r="1208" spans="8:8" x14ac:dyDescent="0.25">
      <c r="H1208" s="5"/>
    </row>
    <row r="1209" spans="8:8" x14ac:dyDescent="0.25">
      <c r="H1209" s="5"/>
    </row>
    <row r="1210" spans="8:8" x14ac:dyDescent="0.25">
      <c r="H1210" s="5"/>
    </row>
    <row r="1211" spans="8:8" x14ac:dyDescent="0.25">
      <c r="H1211" s="5"/>
    </row>
    <row r="1212" spans="8:8" x14ac:dyDescent="0.25">
      <c r="H1212" s="5"/>
    </row>
    <row r="1213" spans="8:8" x14ac:dyDescent="0.25">
      <c r="H1213" s="5"/>
    </row>
    <row r="1214" spans="8:8" x14ac:dyDescent="0.25">
      <c r="H1214" s="5"/>
    </row>
    <row r="1215" spans="8:8" x14ac:dyDescent="0.25">
      <c r="H1215" s="5"/>
    </row>
    <row r="1216" spans="8:8" x14ac:dyDescent="0.25">
      <c r="H1216" s="5"/>
    </row>
    <row r="1217" spans="8:8" x14ac:dyDescent="0.25">
      <c r="H1217" s="5"/>
    </row>
    <row r="1218" spans="8:8" x14ac:dyDescent="0.25">
      <c r="H1218" s="5"/>
    </row>
    <row r="1219" spans="8:8" x14ac:dyDescent="0.25">
      <c r="H1219" s="5"/>
    </row>
    <row r="1220" spans="8:8" x14ac:dyDescent="0.25">
      <c r="H1220" s="5"/>
    </row>
    <row r="1221" spans="8:8" x14ac:dyDescent="0.25">
      <c r="H1221" s="5"/>
    </row>
    <row r="1222" spans="8:8" x14ac:dyDescent="0.25">
      <c r="H1222" s="5"/>
    </row>
    <row r="1223" spans="8:8" x14ac:dyDescent="0.25">
      <c r="H1223" s="5"/>
    </row>
    <row r="1224" spans="8:8" x14ac:dyDescent="0.25">
      <c r="H1224" s="5"/>
    </row>
    <row r="1225" spans="8:8" x14ac:dyDescent="0.25">
      <c r="H1225" s="5"/>
    </row>
    <row r="1226" spans="8:8" x14ac:dyDescent="0.25">
      <c r="H1226" s="5"/>
    </row>
    <row r="1227" spans="8:8" x14ac:dyDescent="0.25">
      <c r="H1227" s="5"/>
    </row>
    <row r="1228" spans="8:8" x14ac:dyDescent="0.25">
      <c r="H1228" s="5"/>
    </row>
    <row r="1229" spans="8:8" x14ac:dyDescent="0.25">
      <c r="H1229" s="5"/>
    </row>
    <row r="1230" spans="8:8" x14ac:dyDescent="0.25">
      <c r="H1230" s="5"/>
    </row>
    <row r="1231" spans="8:8" x14ac:dyDescent="0.25">
      <c r="H1231" s="5"/>
    </row>
    <row r="1232" spans="8:8" x14ac:dyDescent="0.25">
      <c r="H1232" s="5"/>
    </row>
    <row r="1233" spans="8:8" x14ac:dyDescent="0.25">
      <c r="H1233" s="5"/>
    </row>
    <row r="1234" spans="8:8" x14ac:dyDescent="0.25">
      <c r="H1234" s="5"/>
    </row>
    <row r="1235" spans="8:8" x14ac:dyDescent="0.25">
      <c r="H1235" s="5"/>
    </row>
    <row r="1236" spans="8:8" x14ac:dyDescent="0.25">
      <c r="H1236" s="5"/>
    </row>
    <row r="1237" spans="8:8" x14ac:dyDescent="0.25">
      <c r="H1237" s="5"/>
    </row>
    <row r="1238" spans="8:8" x14ac:dyDescent="0.25">
      <c r="H1238" s="5"/>
    </row>
    <row r="1239" spans="8:8" x14ac:dyDescent="0.25">
      <c r="H1239" s="5"/>
    </row>
    <row r="1240" spans="8:8" x14ac:dyDescent="0.25">
      <c r="H1240" s="5"/>
    </row>
    <row r="1241" spans="8:8" x14ac:dyDescent="0.25">
      <c r="H1241" s="5"/>
    </row>
    <row r="1242" spans="8:8" x14ac:dyDescent="0.25">
      <c r="H1242" s="5"/>
    </row>
    <row r="1243" spans="8:8" x14ac:dyDescent="0.25">
      <c r="H1243" s="5"/>
    </row>
    <row r="1244" spans="8:8" x14ac:dyDescent="0.25">
      <c r="H1244" s="5"/>
    </row>
    <row r="1245" spans="8:8" x14ac:dyDescent="0.25">
      <c r="H1245" s="5"/>
    </row>
    <row r="1246" spans="8:8" x14ac:dyDescent="0.25">
      <c r="H1246" s="5"/>
    </row>
    <row r="1247" spans="8:8" x14ac:dyDescent="0.25">
      <c r="H1247" s="5"/>
    </row>
    <row r="1248" spans="8:8" x14ac:dyDescent="0.25">
      <c r="H1248" s="5"/>
    </row>
    <row r="1249" spans="8:8" x14ac:dyDescent="0.25">
      <c r="H1249" s="5"/>
    </row>
    <row r="1250" spans="8:8" x14ac:dyDescent="0.25">
      <c r="H1250" s="5"/>
    </row>
    <row r="1251" spans="8:8" x14ac:dyDescent="0.25">
      <c r="H1251" s="5"/>
    </row>
    <row r="1252" spans="8:8" x14ac:dyDescent="0.25">
      <c r="H1252" s="5"/>
    </row>
    <row r="1253" spans="8:8" x14ac:dyDescent="0.25">
      <c r="H1253" s="5"/>
    </row>
    <row r="1254" spans="8:8" x14ac:dyDescent="0.25">
      <c r="H1254" s="5"/>
    </row>
    <row r="1255" spans="8:8" x14ac:dyDescent="0.25">
      <c r="H1255" s="5"/>
    </row>
    <row r="1256" spans="8:8" x14ac:dyDescent="0.25">
      <c r="H1256" s="5"/>
    </row>
    <row r="1257" spans="8:8" x14ac:dyDescent="0.25">
      <c r="H1257" s="5"/>
    </row>
    <row r="1258" spans="8:8" x14ac:dyDescent="0.25">
      <c r="H1258" s="5"/>
    </row>
    <row r="1259" spans="8:8" x14ac:dyDescent="0.25">
      <c r="H1259" s="5"/>
    </row>
    <row r="1260" spans="8:8" x14ac:dyDescent="0.25">
      <c r="H1260" s="5"/>
    </row>
    <row r="1261" spans="8:8" x14ac:dyDescent="0.25">
      <c r="H1261" s="5"/>
    </row>
    <row r="1262" spans="8:8" x14ac:dyDescent="0.25">
      <c r="H1262" s="5"/>
    </row>
    <row r="1263" spans="8:8" x14ac:dyDescent="0.25">
      <c r="H1263" s="5"/>
    </row>
    <row r="1264" spans="8:8" x14ac:dyDescent="0.25">
      <c r="H1264" s="5"/>
    </row>
    <row r="1265" spans="8:8" x14ac:dyDescent="0.25">
      <c r="H1265" s="5"/>
    </row>
    <row r="1266" spans="8:8" x14ac:dyDescent="0.25">
      <c r="H1266" s="5"/>
    </row>
    <row r="1267" spans="8:8" x14ac:dyDescent="0.25">
      <c r="H1267" s="5"/>
    </row>
    <row r="1268" spans="8:8" x14ac:dyDescent="0.25">
      <c r="H1268" s="5"/>
    </row>
    <row r="1269" spans="8:8" x14ac:dyDescent="0.25">
      <c r="H1269" s="5"/>
    </row>
    <row r="1270" spans="8:8" x14ac:dyDescent="0.25">
      <c r="H1270" s="5"/>
    </row>
    <row r="1271" spans="8:8" x14ac:dyDescent="0.25">
      <c r="H1271" s="5"/>
    </row>
    <row r="1272" spans="8:8" x14ac:dyDescent="0.25">
      <c r="H1272" s="5"/>
    </row>
    <row r="1273" spans="8:8" x14ac:dyDescent="0.25">
      <c r="H1273" s="5"/>
    </row>
    <row r="1274" spans="8:8" x14ac:dyDescent="0.25">
      <c r="H1274" s="5"/>
    </row>
    <row r="1275" spans="8:8" x14ac:dyDescent="0.25">
      <c r="H1275" s="5"/>
    </row>
    <row r="1276" spans="8:8" x14ac:dyDescent="0.25">
      <c r="H1276" s="5"/>
    </row>
    <row r="1277" spans="8:8" x14ac:dyDescent="0.25">
      <c r="H1277" s="5"/>
    </row>
    <row r="1278" spans="8:8" x14ac:dyDescent="0.25">
      <c r="H1278" s="5"/>
    </row>
    <row r="1279" spans="8:8" x14ac:dyDescent="0.25">
      <c r="H1279" s="5"/>
    </row>
    <row r="1280" spans="8:8" x14ac:dyDescent="0.25">
      <c r="H1280" s="5"/>
    </row>
    <row r="1281" spans="8:8" x14ac:dyDescent="0.25">
      <c r="H1281" s="5"/>
    </row>
    <row r="1282" spans="8:8" x14ac:dyDescent="0.25">
      <c r="H1282" s="5"/>
    </row>
    <row r="1283" spans="8:8" x14ac:dyDescent="0.25">
      <c r="H1283" s="5"/>
    </row>
    <row r="1284" spans="8:8" x14ac:dyDescent="0.25">
      <c r="H1284" s="5"/>
    </row>
    <row r="1285" spans="8:8" x14ac:dyDescent="0.25">
      <c r="H1285" s="5"/>
    </row>
    <row r="1286" spans="8:8" x14ac:dyDescent="0.25">
      <c r="H1286" s="5"/>
    </row>
    <row r="1287" spans="8:8" x14ac:dyDescent="0.25">
      <c r="H1287" s="5"/>
    </row>
    <row r="1288" spans="8:8" x14ac:dyDescent="0.25">
      <c r="H1288" s="5"/>
    </row>
    <row r="1289" spans="8:8" x14ac:dyDescent="0.25">
      <c r="H1289" s="5"/>
    </row>
    <row r="1290" spans="8:8" x14ac:dyDescent="0.25">
      <c r="H1290" s="5"/>
    </row>
    <row r="1291" spans="8:8" x14ac:dyDescent="0.25">
      <c r="H1291" s="5"/>
    </row>
    <row r="1292" spans="8:8" x14ac:dyDescent="0.25">
      <c r="H1292" s="5"/>
    </row>
    <row r="1293" spans="8:8" x14ac:dyDescent="0.25">
      <c r="H1293" s="5"/>
    </row>
    <row r="1294" spans="8:8" x14ac:dyDescent="0.25">
      <c r="H1294" s="5"/>
    </row>
    <row r="1295" spans="8:8" x14ac:dyDescent="0.25">
      <c r="H1295" s="5"/>
    </row>
    <row r="1296" spans="8:8" x14ac:dyDescent="0.25">
      <c r="H1296" s="5"/>
    </row>
    <row r="1297" spans="8:8" x14ac:dyDescent="0.25">
      <c r="H1297" s="5"/>
    </row>
    <row r="1298" spans="8:8" x14ac:dyDescent="0.25">
      <c r="H1298" s="5"/>
    </row>
    <row r="1299" spans="8:8" x14ac:dyDescent="0.25">
      <c r="H1299" s="5"/>
    </row>
    <row r="1300" spans="8:8" x14ac:dyDescent="0.25">
      <c r="H1300" s="5"/>
    </row>
    <row r="1301" spans="8:8" x14ac:dyDescent="0.25">
      <c r="H1301" s="5"/>
    </row>
    <row r="1302" spans="8:8" x14ac:dyDescent="0.25">
      <c r="H1302" s="5"/>
    </row>
    <row r="1303" spans="8:8" x14ac:dyDescent="0.25">
      <c r="H1303" s="5"/>
    </row>
    <row r="1304" spans="8:8" x14ac:dyDescent="0.25">
      <c r="H1304" s="5"/>
    </row>
    <row r="1305" spans="8:8" x14ac:dyDescent="0.25">
      <c r="H1305" s="5"/>
    </row>
    <row r="1306" spans="8:8" x14ac:dyDescent="0.25">
      <c r="H1306" s="5"/>
    </row>
    <row r="1307" spans="8:8" x14ac:dyDescent="0.25">
      <c r="H1307" s="5"/>
    </row>
    <row r="1308" spans="8:8" x14ac:dyDescent="0.25">
      <c r="H1308" s="5"/>
    </row>
    <row r="1309" spans="8:8" x14ac:dyDescent="0.25">
      <c r="H1309" s="5"/>
    </row>
    <row r="1310" spans="8:8" x14ac:dyDescent="0.25">
      <c r="H1310" s="5"/>
    </row>
    <row r="1311" spans="8:8" x14ac:dyDescent="0.25">
      <c r="H1311" s="5"/>
    </row>
    <row r="1312" spans="8:8" x14ac:dyDescent="0.25">
      <c r="H1312" s="5"/>
    </row>
    <row r="1313" spans="8:8" x14ac:dyDescent="0.25">
      <c r="H1313" s="5"/>
    </row>
    <row r="1314" spans="8:8" x14ac:dyDescent="0.25">
      <c r="H1314" s="5"/>
    </row>
    <row r="1315" spans="8:8" x14ac:dyDescent="0.25">
      <c r="H1315" s="5"/>
    </row>
    <row r="1316" spans="8:8" x14ac:dyDescent="0.25">
      <c r="H1316" s="5"/>
    </row>
    <row r="1317" spans="8:8" x14ac:dyDescent="0.25">
      <c r="H1317" s="5"/>
    </row>
    <row r="1318" spans="8:8" x14ac:dyDescent="0.25">
      <c r="H1318" s="5"/>
    </row>
    <row r="1319" spans="8:8" x14ac:dyDescent="0.25">
      <c r="H1319" s="5"/>
    </row>
    <row r="1320" spans="8:8" x14ac:dyDescent="0.25">
      <c r="H1320" s="5"/>
    </row>
    <row r="1321" spans="8:8" x14ac:dyDescent="0.25">
      <c r="H1321" s="5"/>
    </row>
    <row r="1322" spans="8:8" x14ac:dyDescent="0.25">
      <c r="H1322" s="5"/>
    </row>
    <row r="1323" spans="8:8" x14ac:dyDescent="0.25">
      <c r="H1323" s="5"/>
    </row>
    <row r="1324" spans="8:8" x14ac:dyDescent="0.25">
      <c r="H1324" s="5"/>
    </row>
    <row r="1325" spans="8:8" x14ac:dyDescent="0.25">
      <c r="H1325" s="5"/>
    </row>
    <row r="1326" spans="8:8" x14ac:dyDescent="0.25">
      <c r="H1326" s="5"/>
    </row>
    <row r="1327" spans="8:8" x14ac:dyDescent="0.25">
      <c r="H1327" s="5"/>
    </row>
    <row r="1328" spans="8:8" x14ac:dyDescent="0.25">
      <c r="H1328" s="5"/>
    </row>
    <row r="1329" spans="8:8" x14ac:dyDescent="0.25">
      <c r="H1329" s="5"/>
    </row>
    <row r="1330" spans="8:8" x14ac:dyDescent="0.25">
      <c r="H1330" s="5"/>
    </row>
    <row r="1331" spans="8:8" x14ac:dyDescent="0.25">
      <c r="H1331" s="5"/>
    </row>
    <row r="1332" spans="8:8" x14ac:dyDescent="0.25">
      <c r="H1332" s="5"/>
    </row>
    <row r="1333" spans="8:8" x14ac:dyDescent="0.25">
      <c r="H1333" s="5"/>
    </row>
    <row r="1334" spans="8:8" x14ac:dyDescent="0.25">
      <c r="H1334" s="5"/>
    </row>
    <row r="1335" spans="8:8" x14ac:dyDescent="0.25">
      <c r="H1335" s="5"/>
    </row>
    <row r="1336" spans="8:8" x14ac:dyDescent="0.25">
      <c r="H1336" s="5"/>
    </row>
    <row r="1337" spans="8:8" x14ac:dyDescent="0.25">
      <c r="H1337" s="5"/>
    </row>
    <row r="1338" spans="8:8" x14ac:dyDescent="0.25">
      <c r="H1338" s="5"/>
    </row>
    <row r="1339" spans="8:8" x14ac:dyDescent="0.25">
      <c r="H1339" s="5"/>
    </row>
    <row r="1340" spans="8:8" x14ac:dyDescent="0.25">
      <c r="H1340" s="5"/>
    </row>
    <row r="1341" spans="8:8" x14ac:dyDescent="0.25">
      <c r="H1341" s="5"/>
    </row>
    <row r="1342" spans="8:8" x14ac:dyDescent="0.25">
      <c r="H1342" s="5"/>
    </row>
    <row r="1343" spans="8:8" x14ac:dyDescent="0.25">
      <c r="H1343" s="5"/>
    </row>
    <row r="1344" spans="8:8" x14ac:dyDescent="0.25">
      <c r="H1344" s="5"/>
    </row>
    <row r="1345" spans="8:8" x14ac:dyDescent="0.25">
      <c r="H1345" s="5"/>
    </row>
    <row r="1346" spans="8:8" x14ac:dyDescent="0.25">
      <c r="H1346" s="5"/>
    </row>
    <row r="1347" spans="8:8" x14ac:dyDescent="0.25">
      <c r="H1347" s="5"/>
    </row>
    <row r="1348" spans="8:8" x14ac:dyDescent="0.25">
      <c r="H1348" s="5"/>
    </row>
    <row r="1349" spans="8:8" x14ac:dyDescent="0.25">
      <c r="H1349" s="5"/>
    </row>
    <row r="1350" spans="8:8" x14ac:dyDescent="0.25">
      <c r="H1350" s="5"/>
    </row>
    <row r="1351" spans="8:8" x14ac:dyDescent="0.25">
      <c r="H1351" s="5"/>
    </row>
    <row r="1352" spans="8:8" x14ac:dyDescent="0.25">
      <c r="H1352" s="5"/>
    </row>
    <row r="1353" spans="8:8" x14ac:dyDescent="0.25">
      <c r="H1353" s="5"/>
    </row>
    <row r="1354" spans="8:8" x14ac:dyDescent="0.25">
      <c r="H1354" s="5"/>
    </row>
    <row r="1355" spans="8:8" x14ac:dyDescent="0.25">
      <c r="H1355" s="5"/>
    </row>
    <row r="1356" spans="8:8" x14ac:dyDescent="0.25">
      <c r="H1356" s="5"/>
    </row>
    <row r="1357" spans="8:8" x14ac:dyDescent="0.25">
      <c r="H1357" s="5"/>
    </row>
    <row r="1358" spans="8:8" x14ac:dyDescent="0.25">
      <c r="H1358" s="5"/>
    </row>
    <row r="1359" spans="8:8" x14ac:dyDescent="0.25">
      <c r="H1359" s="5"/>
    </row>
    <row r="1360" spans="8:8" x14ac:dyDescent="0.25">
      <c r="H1360" s="5"/>
    </row>
    <row r="1361" spans="8:8" x14ac:dyDescent="0.25">
      <c r="H1361" s="5"/>
    </row>
    <row r="1362" spans="8:8" x14ac:dyDescent="0.25">
      <c r="H1362" s="5"/>
    </row>
    <row r="1363" spans="8:8" x14ac:dyDescent="0.25">
      <c r="H1363" s="5"/>
    </row>
    <row r="1364" spans="8:8" x14ac:dyDescent="0.25">
      <c r="H1364" s="5"/>
    </row>
    <row r="1365" spans="8:8" x14ac:dyDescent="0.25">
      <c r="H1365" s="5"/>
    </row>
    <row r="1366" spans="8:8" x14ac:dyDescent="0.25">
      <c r="H1366" s="5"/>
    </row>
    <row r="1367" spans="8:8" x14ac:dyDescent="0.25">
      <c r="H1367" s="5"/>
    </row>
    <row r="1368" spans="8:8" x14ac:dyDescent="0.25">
      <c r="H1368" s="5"/>
    </row>
    <row r="1369" spans="8:8" x14ac:dyDescent="0.25">
      <c r="H1369" s="5"/>
    </row>
    <row r="1370" spans="8:8" x14ac:dyDescent="0.25">
      <c r="H1370" s="5"/>
    </row>
    <row r="1371" spans="8:8" x14ac:dyDescent="0.25">
      <c r="H1371" s="5"/>
    </row>
    <row r="1372" spans="8:8" x14ac:dyDescent="0.25">
      <c r="H1372" s="5"/>
    </row>
    <row r="1373" spans="8:8" x14ac:dyDescent="0.25">
      <c r="H1373" s="5"/>
    </row>
    <row r="1374" spans="8:8" x14ac:dyDescent="0.25">
      <c r="H1374" s="5"/>
    </row>
    <row r="1375" spans="8:8" x14ac:dyDescent="0.25">
      <c r="H1375" s="5"/>
    </row>
    <row r="1376" spans="8:8" x14ac:dyDescent="0.25">
      <c r="H1376" s="5"/>
    </row>
    <row r="1377" spans="8:8" x14ac:dyDescent="0.25">
      <c r="H1377" s="5"/>
    </row>
    <row r="1378" spans="8:8" x14ac:dyDescent="0.25">
      <c r="H1378" s="5"/>
    </row>
    <row r="1379" spans="8:8" x14ac:dyDescent="0.25">
      <c r="H1379" s="5"/>
    </row>
    <row r="1380" spans="8:8" x14ac:dyDescent="0.25">
      <c r="H1380" s="5"/>
    </row>
    <row r="1381" spans="8:8" x14ac:dyDescent="0.25">
      <c r="H1381" s="5"/>
    </row>
    <row r="1382" spans="8:8" x14ac:dyDescent="0.25">
      <c r="H1382" s="5"/>
    </row>
    <row r="1383" spans="8:8" x14ac:dyDescent="0.25">
      <c r="H1383" s="5"/>
    </row>
    <row r="1384" spans="8:8" x14ac:dyDescent="0.25">
      <c r="H1384" s="5"/>
    </row>
    <row r="1385" spans="8:8" x14ac:dyDescent="0.25">
      <c r="H1385" s="5"/>
    </row>
    <row r="1386" spans="8:8" x14ac:dyDescent="0.25">
      <c r="H1386" s="5"/>
    </row>
    <row r="1387" spans="8:8" x14ac:dyDescent="0.25">
      <c r="H1387" s="5"/>
    </row>
    <row r="1388" spans="8:8" x14ac:dyDescent="0.25">
      <c r="H1388" s="5"/>
    </row>
    <row r="1389" spans="8:8" x14ac:dyDescent="0.25">
      <c r="H1389" s="5"/>
    </row>
    <row r="1390" spans="8:8" x14ac:dyDescent="0.25">
      <c r="H1390" s="5"/>
    </row>
    <row r="1391" spans="8:8" x14ac:dyDescent="0.25">
      <c r="H1391" s="5"/>
    </row>
    <row r="1392" spans="8:8" x14ac:dyDescent="0.25">
      <c r="H1392" s="5"/>
    </row>
    <row r="1393" spans="8:8" x14ac:dyDescent="0.25">
      <c r="H1393" s="5"/>
    </row>
    <row r="1394" spans="8:8" x14ac:dyDescent="0.25">
      <c r="H1394" s="5"/>
    </row>
    <row r="1395" spans="8:8" x14ac:dyDescent="0.25">
      <c r="H1395" s="5"/>
    </row>
    <row r="1396" spans="8:8" x14ac:dyDescent="0.25">
      <c r="H1396" s="5"/>
    </row>
    <row r="1397" spans="8:8" x14ac:dyDescent="0.25">
      <c r="H1397" s="5"/>
    </row>
    <row r="1398" spans="8:8" x14ac:dyDescent="0.25">
      <c r="H1398" s="5"/>
    </row>
    <row r="1399" spans="8:8" x14ac:dyDescent="0.25">
      <c r="H1399" s="5"/>
    </row>
    <row r="1400" spans="8:8" x14ac:dyDescent="0.25">
      <c r="H1400" s="5"/>
    </row>
    <row r="1401" spans="8:8" x14ac:dyDescent="0.25">
      <c r="H1401" s="5"/>
    </row>
    <row r="1402" spans="8:8" x14ac:dyDescent="0.25">
      <c r="H1402" s="5"/>
    </row>
    <row r="1403" spans="8:8" x14ac:dyDescent="0.25">
      <c r="H1403" s="5"/>
    </row>
    <row r="1404" spans="8:8" x14ac:dyDescent="0.25">
      <c r="H1404" s="5"/>
    </row>
    <row r="1405" spans="8:8" x14ac:dyDescent="0.25">
      <c r="H1405" s="5"/>
    </row>
    <row r="1406" spans="8:8" x14ac:dyDescent="0.25">
      <c r="H1406" s="5"/>
    </row>
    <row r="1407" spans="8:8" x14ac:dyDescent="0.25">
      <c r="H1407" s="5"/>
    </row>
    <row r="1408" spans="8:8" x14ac:dyDescent="0.25">
      <c r="H1408" s="5"/>
    </row>
    <row r="1409" spans="8:8" x14ac:dyDescent="0.25">
      <c r="H1409" s="5"/>
    </row>
    <row r="1410" spans="8:8" x14ac:dyDescent="0.25">
      <c r="H1410" s="5"/>
    </row>
    <row r="1411" spans="8:8" x14ac:dyDescent="0.25">
      <c r="H1411" s="5"/>
    </row>
    <row r="1412" spans="8:8" x14ac:dyDescent="0.25">
      <c r="H1412" s="5"/>
    </row>
    <row r="1413" spans="8:8" x14ac:dyDescent="0.25">
      <c r="H1413" s="5"/>
    </row>
    <row r="1414" spans="8:8" x14ac:dyDescent="0.25">
      <c r="H1414" s="5"/>
    </row>
    <row r="1415" spans="8:8" x14ac:dyDescent="0.25">
      <c r="H1415" s="5"/>
    </row>
    <row r="1416" spans="8:8" x14ac:dyDescent="0.25">
      <c r="H1416" s="5"/>
    </row>
    <row r="1417" spans="8:8" x14ac:dyDescent="0.25">
      <c r="H1417" s="5"/>
    </row>
    <row r="1418" spans="8:8" x14ac:dyDescent="0.25">
      <c r="H1418" s="5"/>
    </row>
    <row r="1419" spans="8:8" x14ac:dyDescent="0.25">
      <c r="H1419" s="5"/>
    </row>
    <row r="1420" spans="8:8" x14ac:dyDescent="0.25">
      <c r="H1420" s="5"/>
    </row>
    <row r="1421" spans="8:8" x14ac:dyDescent="0.25">
      <c r="H1421" s="5"/>
    </row>
    <row r="1422" spans="8:8" x14ac:dyDescent="0.25">
      <c r="H1422" s="5"/>
    </row>
    <row r="1423" spans="8:8" x14ac:dyDescent="0.25">
      <c r="H1423" s="5"/>
    </row>
    <row r="1424" spans="8:8" x14ac:dyDescent="0.25">
      <c r="H1424" s="5"/>
    </row>
    <row r="1425" spans="8:8" x14ac:dyDescent="0.25">
      <c r="H1425" s="5"/>
    </row>
    <row r="1426" spans="8:8" x14ac:dyDescent="0.25">
      <c r="H1426" s="5"/>
    </row>
    <row r="1427" spans="8:8" x14ac:dyDescent="0.25">
      <c r="H1427" s="5"/>
    </row>
    <row r="1428" spans="8:8" x14ac:dyDescent="0.25">
      <c r="H1428" s="5"/>
    </row>
    <row r="1429" spans="8:8" x14ac:dyDescent="0.25">
      <c r="H1429" s="5"/>
    </row>
    <row r="1430" spans="8:8" x14ac:dyDescent="0.25">
      <c r="H1430" s="5"/>
    </row>
    <row r="1431" spans="8:8" x14ac:dyDescent="0.25">
      <c r="H1431" s="5"/>
    </row>
    <row r="1432" spans="8:8" x14ac:dyDescent="0.25">
      <c r="H1432" s="5"/>
    </row>
    <row r="1433" spans="8:8" x14ac:dyDescent="0.25">
      <c r="H1433" s="5"/>
    </row>
    <row r="1434" spans="8:8" x14ac:dyDescent="0.25">
      <c r="H1434" s="5"/>
    </row>
    <row r="1435" spans="8:8" x14ac:dyDescent="0.25">
      <c r="H1435" s="5"/>
    </row>
    <row r="1436" spans="8:8" x14ac:dyDescent="0.25">
      <c r="H1436" s="5"/>
    </row>
    <row r="1437" spans="8:8" x14ac:dyDescent="0.25">
      <c r="H1437" s="5"/>
    </row>
    <row r="1438" spans="8:8" x14ac:dyDescent="0.25">
      <c r="H1438" s="5"/>
    </row>
    <row r="1439" spans="8:8" x14ac:dyDescent="0.25">
      <c r="H1439" s="5"/>
    </row>
    <row r="1440" spans="8:8" x14ac:dyDescent="0.25">
      <c r="H1440" s="5"/>
    </row>
    <row r="1441" spans="8:8" x14ac:dyDescent="0.25">
      <c r="H1441" s="5"/>
    </row>
    <row r="1442" spans="8:8" x14ac:dyDescent="0.25">
      <c r="H1442" s="5"/>
    </row>
    <row r="1443" spans="8:8" x14ac:dyDescent="0.25">
      <c r="H1443" s="5"/>
    </row>
    <row r="1444" spans="8:8" x14ac:dyDescent="0.25">
      <c r="H1444" s="5"/>
    </row>
    <row r="1445" spans="8:8" x14ac:dyDescent="0.25">
      <c r="H1445" s="5"/>
    </row>
    <row r="1446" spans="8:8" x14ac:dyDescent="0.25">
      <c r="H1446" s="5"/>
    </row>
    <row r="1447" spans="8:8" x14ac:dyDescent="0.25">
      <c r="H1447" s="5"/>
    </row>
    <row r="1448" spans="8:8" x14ac:dyDescent="0.25">
      <c r="H1448" s="5"/>
    </row>
    <row r="1449" spans="8:8" x14ac:dyDescent="0.25">
      <c r="H1449" s="5"/>
    </row>
    <row r="1450" spans="8:8" x14ac:dyDescent="0.25">
      <c r="H1450" s="5"/>
    </row>
    <row r="1451" spans="8:8" x14ac:dyDescent="0.25">
      <c r="H1451" s="5"/>
    </row>
    <row r="1452" spans="8:8" x14ac:dyDescent="0.25">
      <c r="H1452" s="5"/>
    </row>
    <row r="1453" spans="8:8" x14ac:dyDescent="0.25">
      <c r="H1453" s="5"/>
    </row>
    <row r="1454" spans="8:8" x14ac:dyDescent="0.25">
      <c r="H1454" s="5"/>
    </row>
    <row r="1455" spans="8:8" x14ac:dyDescent="0.25">
      <c r="H1455" s="5"/>
    </row>
    <row r="1456" spans="8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D17C-71EB-4F2A-9A37-D50081F5AB30}">
  <dimension ref="A1:W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W24"/>
    </sheetView>
  </sheetViews>
  <sheetFormatPr defaultRowHeight="15" x14ac:dyDescent="0.25"/>
  <cols>
    <col min="1" max="1" width="10.28515625" customWidth="1"/>
    <col min="2" max="2" width="57.28515625" bestFit="1" customWidth="1"/>
  </cols>
  <sheetData>
    <row r="1" spans="1:23" ht="48" x14ac:dyDescent="0.25">
      <c r="A1" t="s">
        <v>222</v>
      </c>
      <c r="B1" t="s">
        <v>223</v>
      </c>
      <c r="C1" s="25" t="s">
        <v>224</v>
      </c>
      <c r="D1" s="25" t="s">
        <v>225</v>
      </c>
      <c r="E1" s="25" t="s">
        <v>226</v>
      </c>
      <c r="F1" s="25" t="s">
        <v>227</v>
      </c>
      <c r="G1" s="25" t="s">
        <v>228</v>
      </c>
      <c r="H1" s="25" t="s">
        <v>229</v>
      </c>
      <c r="I1" s="25" t="s">
        <v>230</v>
      </c>
      <c r="J1" s="25" t="s">
        <v>231</v>
      </c>
      <c r="K1" s="25" t="s">
        <v>232</v>
      </c>
      <c r="L1" s="25" t="s">
        <v>233</v>
      </c>
      <c r="M1" s="25" t="s">
        <v>234</v>
      </c>
      <c r="N1" s="25" t="s">
        <v>235</v>
      </c>
      <c r="O1" s="25" t="s">
        <v>236</v>
      </c>
      <c r="P1" s="25" t="s">
        <v>237</v>
      </c>
      <c r="Q1" s="25" t="s">
        <v>238</v>
      </c>
      <c r="R1" s="25" t="s">
        <v>239</v>
      </c>
      <c r="S1" s="25" t="s">
        <v>240</v>
      </c>
      <c r="T1" s="25" t="s">
        <v>241</v>
      </c>
      <c r="U1" s="25" t="s">
        <v>242</v>
      </c>
      <c r="V1" s="25" t="s">
        <v>243</v>
      </c>
      <c r="W1" s="25" t="s">
        <v>244</v>
      </c>
    </row>
    <row r="2" spans="1:23" ht="300.75" x14ac:dyDescent="0.25">
      <c r="C2" s="25" t="s">
        <v>17</v>
      </c>
      <c r="D2" s="25" t="s">
        <v>19</v>
      </c>
      <c r="E2" s="25" t="s">
        <v>20</v>
      </c>
      <c r="F2" s="25" t="s">
        <v>29</v>
      </c>
      <c r="G2" s="25" t="s">
        <v>34</v>
      </c>
      <c r="H2" s="25" t="s">
        <v>42</v>
      </c>
      <c r="I2" s="25" t="s">
        <v>45</v>
      </c>
      <c r="J2" s="25" t="s">
        <v>46</v>
      </c>
      <c r="K2" s="25" t="s">
        <v>48</v>
      </c>
      <c r="L2" s="25" t="s">
        <v>50</v>
      </c>
      <c r="M2" s="25" t="s">
        <v>52</v>
      </c>
      <c r="N2" s="28" t="s">
        <v>114</v>
      </c>
      <c r="O2" s="28" t="s">
        <v>116</v>
      </c>
      <c r="P2" s="25" t="s">
        <v>125</v>
      </c>
      <c r="Q2" s="25" t="s">
        <v>126</v>
      </c>
      <c r="R2" s="28" t="s">
        <v>127</v>
      </c>
      <c r="S2" s="28" t="s">
        <v>128</v>
      </c>
      <c r="T2" s="28" t="s">
        <v>129</v>
      </c>
      <c r="U2" s="25" t="s">
        <v>130</v>
      </c>
      <c r="V2" s="28" t="s">
        <v>132</v>
      </c>
      <c r="W2" s="29" t="s">
        <v>180</v>
      </c>
    </row>
    <row r="3" spans="1:23" ht="61.5" customHeight="1" x14ac:dyDescent="0.25">
      <c r="C3" s="26">
        <v>20030008</v>
      </c>
      <c r="D3" s="26">
        <v>20030009</v>
      </c>
      <c r="E3" s="26">
        <v>20030010</v>
      </c>
      <c r="F3" s="26">
        <v>20030024</v>
      </c>
      <c r="G3" s="26">
        <v>20030083</v>
      </c>
      <c r="H3" s="26">
        <v>20040030</v>
      </c>
      <c r="I3" s="26">
        <v>20040074</v>
      </c>
      <c r="J3" s="26">
        <v>20040075</v>
      </c>
      <c r="K3" s="26">
        <v>20040086</v>
      </c>
      <c r="L3" s="26">
        <v>20040091</v>
      </c>
      <c r="M3" s="26">
        <v>20040095</v>
      </c>
      <c r="N3" s="26">
        <v>20150028</v>
      </c>
      <c r="O3" s="26">
        <v>20150051</v>
      </c>
      <c r="P3" s="26">
        <v>20200009</v>
      </c>
      <c r="Q3" s="26">
        <v>20200014</v>
      </c>
      <c r="R3" s="26">
        <v>20200020</v>
      </c>
      <c r="S3" s="26">
        <v>20200022</v>
      </c>
      <c r="T3" s="26">
        <v>20200026</v>
      </c>
      <c r="U3" s="26">
        <v>20200027</v>
      </c>
      <c r="V3" s="26">
        <v>20200058</v>
      </c>
      <c r="W3" s="26">
        <v>20200077</v>
      </c>
    </row>
    <row r="4" spans="1:23" x14ac:dyDescent="0.25">
      <c r="A4" s="2">
        <v>20030008</v>
      </c>
      <c r="B4" s="3" t="s">
        <v>17</v>
      </c>
      <c r="C4" s="5">
        <v>0</v>
      </c>
      <c r="D4" s="5">
        <v>6.9444444444444441E-3</v>
      </c>
      <c r="E4" s="5">
        <v>6.9444444444444441E-3</v>
      </c>
      <c r="F4" s="5">
        <v>6.9444444444444441E-3</v>
      </c>
      <c r="G4" s="5">
        <v>6.9444444444444441E-3</v>
      </c>
      <c r="H4" s="5">
        <v>1.3888888888888888E-2</v>
      </c>
      <c r="I4" s="5">
        <v>1.3888888888888888E-2</v>
      </c>
      <c r="J4" s="5">
        <v>1.3888888888888888E-2</v>
      </c>
      <c r="K4" s="5">
        <v>1.3888888888888888E-2</v>
      </c>
      <c r="L4" s="5">
        <v>1.3888888888888888E-2</v>
      </c>
      <c r="M4" s="5">
        <v>1.3888888888888888E-2</v>
      </c>
      <c r="N4" s="5">
        <v>3.4722222222222224E-2</v>
      </c>
      <c r="O4" s="5">
        <v>3.4722222222222224E-2</v>
      </c>
      <c r="P4" s="5">
        <v>1.3888888888888888E-2</v>
      </c>
      <c r="Q4" s="5">
        <v>1.3888888888888888E-2</v>
      </c>
      <c r="R4" s="5">
        <v>3.4722222222222224E-2</v>
      </c>
      <c r="S4" s="5">
        <v>3.4722222222222224E-2</v>
      </c>
      <c r="T4" s="5">
        <v>3.4722222222222224E-2</v>
      </c>
      <c r="U4" s="5">
        <v>1.3888888888888888E-2</v>
      </c>
      <c r="V4" s="5">
        <v>3.4722222222222224E-2</v>
      </c>
      <c r="W4" s="5">
        <v>3.4722222222222224E-2</v>
      </c>
    </row>
    <row r="5" spans="1:23" x14ac:dyDescent="0.25">
      <c r="A5" s="2">
        <v>20030009</v>
      </c>
      <c r="B5" s="3" t="s">
        <v>19</v>
      </c>
      <c r="C5" s="5">
        <v>6.9444444444444441E-3</v>
      </c>
      <c r="D5" s="5">
        <v>0</v>
      </c>
      <c r="E5" s="5">
        <v>6.9444444444444441E-3</v>
      </c>
      <c r="F5" s="5">
        <v>6.9444444444444441E-3</v>
      </c>
      <c r="G5" s="5">
        <v>6.9444444444444441E-3</v>
      </c>
      <c r="H5" s="5">
        <v>1.3888888888888888E-2</v>
      </c>
      <c r="I5" s="5">
        <v>1.3888888888888888E-2</v>
      </c>
      <c r="J5" s="5">
        <v>1.3888888888888888E-2</v>
      </c>
      <c r="K5" s="5">
        <v>1.3888888888888888E-2</v>
      </c>
      <c r="L5" s="5">
        <v>1.3888888888888888E-2</v>
      </c>
      <c r="M5" s="5">
        <v>1.3888888888888888E-2</v>
      </c>
      <c r="N5" s="5">
        <v>3.4722222222222224E-2</v>
      </c>
      <c r="O5" s="5">
        <v>3.4722222222222224E-2</v>
      </c>
      <c r="P5" s="5">
        <v>1.3888888888888888E-2</v>
      </c>
      <c r="Q5" s="5">
        <v>1.3888888888888888E-2</v>
      </c>
      <c r="R5" s="5">
        <v>3.4722222222222224E-2</v>
      </c>
      <c r="S5" s="5">
        <v>3.4722222222222224E-2</v>
      </c>
      <c r="T5" s="5">
        <v>3.4722222222222224E-2</v>
      </c>
      <c r="U5" s="5">
        <v>1.3888888888888888E-2</v>
      </c>
      <c r="V5" s="5">
        <v>3.4722222222222224E-2</v>
      </c>
      <c r="W5" s="5">
        <v>3.4722222222222224E-2</v>
      </c>
    </row>
    <row r="6" spans="1:23" x14ac:dyDescent="0.25">
      <c r="A6" s="2">
        <v>20030010</v>
      </c>
      <c r="B6" s="3" t="s">
        <v>20</v>
      </c>
      <c r="C6" s="5">
        <v>6.9444444444444441E-3</v>
      </c>
      <c r="D6" s="5">
        <v>6.9444444444444441E-3</v>
      </c>
      <c r="E6" s="5">
        <v>0</v>
      </c>
      <c r="F6" s="5">
        <v>6.9444444444444441E-3</v>
      </c>
      <c r="G6" s="5">
        <v>6.9444444444444441E-3</v>
      </c>
      <c r="H6" s="5">
        <v>1.3888888888888888E-2</v>
      </c>
      <c r="I6" s="5">
        <v>1.3888888888888888E-2</v>
      </c>
      <c r="J6" s="5">
        <v>1.3888888888888888E-2</v>
      </c>
      <c r="K6" s="5">
        <v>1.3888888888888888E-2</v>
      </c>
      <c r="L6" s="5">
        <v>1.3888888888888888E-2</v>
      </c>
      <c r="M6" s="5">
        <v>1.3888888888888888E-2</v>
      </c>
      <c r="N6" s="5">
        <v>3.4722222222222224E-2</v>
      </c>
      <c r="O6" s="5">
        <v>3.4722222222222224E-2</v>
      </c>
      <c r="P6" s="5">
        <v>1.3888888888888888E-2</v>
      </c>
      <c r="Q6" s="5">
        <v>1.3888888888888888E-2</v>
      </c>
      <c r="R6" s="5">
        <v>3.4722222222222224E-2</v>
      </c>
      <c r="S6" s="5">
        <v>3.4722222222222224E-2</v>
      </c>
      <c r="T6" s="5">
        <v>3.4722222222222224E-2</v>
      </c>
      <c r="U6" s="5">
        <v>1.3888888888888888E-2</v>
      </c>
      <c r="V6" s="5">
        <v>3.4722222222222224E-2</v>
      </c>
      <c r="W6" s="5">
        <v>3.4722222222222224E-2</v>
      </c>
    </row>
    <row r="7" spans="1:23" x14ac:dyDescent="0.25">
      <c r="A7" s="2">
        <v>20030024</v>
      </c>
      <c r="B7" s="3" t="s">
        <v>29</v>
      </c>
      <c r="C7" s="5">
        <v>6.9444444444444441E-3</v>
      </c>
      <c r="D7" s="5">
        <v>6.9444444444444441E-3</v>
      </c>
      <c r="E7" s="5">
        <v>6.9444444444444441E-3</v>
      </c>
      <c r="F7" s="5">
        <v>0</v>
      </c>
      <c r="G7" s="5">
        <v>6.9444444444444441E-3</v>
      </c>
      <c r="H7" s="5">
        <v>1.3888888888888888E-2</v>
      </c>
      <c r="I7" s="5">
        <v>1.3888888888888888E-2</v>
      </c>
      <c r="J7" s="5">
        <v>1.3888888888888888E-2</v>
      </c>
      <c r="K7" s="5">
        <v>1.3888888888888888E-2</v>
      </c>
      <c r="L7" s="5">
        <v>1.3888888888888888E-2</v>
      </c>
      <c r="M7" s="5">
        <v>1.3888888888888888E-2</v>
      </c>
      <c r="N7" s="5">
        <v>3.4722222222222224E-2</v>
      </c>
      <c r="O7" s="5">
        <v>3.4722222222222224E-2</v>
      </c>
      <c r="P7" s="5">
        <v>1.3888888888888888E-2</v>
      </c>
      <c r="Q7" s="5">
        <v>1.3888888888888888E-2</v>
      </c>
      <c r="R7" s="5">
        <v>3.4722222222222224E-2</v>
      </c>
      <c r="S7" s="5">
        <v>3.4722222222222224E-2</v>
      </c>
      <c r="T7" s="5">
        <v>3.4722222222222224E-2</v>
      </c>
      <c r="U7" s="5">
        <v>1.3888888888888888E-2</v>
      </c>
      <c r="V7" s="5">
        <v>3.4722222222222224E-2</v>
      </c>
      <c r="W7" s="5">
        <v>3.4722222222222224E-2</v>
      </c>
    </row>
    <row r="8" spans="1:23" x14ac:dyDescent="0.25">
      <c r="A8" s="2">
        <v>20030083</v>
      </c>
      <c r="B8" s="3" t="s">
        <v>34</v>
      </c>
      <c r="C8" s="5">
        <v>6.9444444444444441E-3</v>
      </c>
      <c r="D8" s="5">
        <v>6.9444444444444441E-3</v>
      </c>
      <c r="E8" s="5">
        <v>6.9444444444444441E-3</v>
      </c>
      <c r="F8" s="5">
        <v>6.9444444444444441E-3</v>
      </c>
      <c r="G8" s="5">
        <v>0</v>
      </c>
      <c r="H8" s="5">
        <v>1.3888888888888888E-2</v>
      </c>
      <c r="I8" s="5">
        <v>1.3888888888888888E-2</v>
      </c>
      <c r="J8" s="5">
        <v>1.3888888888888888E-2</v>
      </c>
      <c r="K8" s="5">
        <v>1.3888888888888888E-2</v>
      </c>
      <c r="L8" s="5">
        <v>1.3888888888888888E-2</v>
      </c>
      <c r="M8" s="5">
        <v>1.3888888888888888E-2</v>
      </c>
      <c r="N8" s="5">
        <v>3.4722222222222224E-2</v>
      </c>
      <c r="O8" s="5">
        <v>3.4722222222222224E-2</v>
      </c>
      <c r="P8" s="5">
        <v>1.3888888888888888E-2</v>
      </c>
      <c r="Q8" s="5">
        <v>1.3888888888888888E-2</v>
      </c>
      <c r="R8" s="5">
        <v>3.4722222222222224E-2</v>
      </c>
      <c r="S8" s="5">
        <v>3.4722222222222224E-2</v>
      </c>
      <c r="T8" s="5">
        <v>3.4722222222222224E-2</v>
      </c>
      <c r="U8" s="5">
        <v>1.3888888888888888E-2</v>
      </c>
      <c r="V8" s="5">
        <v>3.4722222222222224E-2</v>
      </c>
      <c r="W8" s="5">
        <v>3.4722222222222224E-2</v>
      </c>
    </row>
    <row r="9" spans="1:23" x14ac:dyDescent="0.25">
      <c r="A9" s="2">
        <v>20040030</v>
      </c>
      <c r="B9" s="3" t="s">
        <v>42</v>
      </c>
      <c r="C9" s="5">
        <v>1.3888888888888888E-2</v>
      </c>
      <c r="D9" s="5">
        <v>1.3888888888888888E-2</v>
      </c>
      <c r="E9" s="5">
        <v>1.3888888888888888E-2</v>
      </c>
      <c r="F9" s="5">
        <v>1.3888888888888888E-2</v>
      </c>
      <c r="G9" s="5">
        <v>1.3888888888888888E-2</v>
      </c>
      <c r="H9" s="5">
        <v>0</v>
      </c>
      <c r="I9" s="5">
        <v>6.9444444444444441E-3</v>
      </c>
      <c r="J9" s="5">
        <v>6.9444444444444441E-3</v>
      </c>
      <c r="K9" s="5">
        <v>6.9444444444444441E-3</v>
      </c>
      <c r="L9" s="5">
        <v>6.9444444444444441E-3</v>
      </c>
      <c r="M9" s="5">
        <v>6.9444444444444441E-3</v>
      </c>
      <c r="N9" s="5">
        <v>3.4722222222222224E-2</v>
      </c>
      <c r="O9" s="5">
        <v>3.4722222222222224E-2</v>
      </c>
      <c r="P9" s="5">
        <v>1.3888888888888888E-2</v>
      </c>
      <c r="Q9" s="5">
        <v>1.3888888888888888E-2</v>
      </c>
      <c r="R9" s="5">
        <v>3.4722222222222224E-2</v>
      </c>
      <c r="S9" s="5">
        <v>3.4722222222222224E-2</v>
      </c>
      <c r="T9" s="5">
        <v>3.4722222222222224E-2</v>
      </c>
      <c r="U9" s="5">
        <v>1.3888888888888888E-2</v>
      </c>
      <c r="V9" s="5">
        <v>3.4722222222222224E-2</v>
      </c>
      <c r="W9" s="5">
        <v>3.4722222222222224E-2</v>
      </c>
    </row>
    <row r="10" spans="1:23" x14ac:dyDescent="0.25">
      <c r="A10" s="2">
        <v>20040074</v>
      </c>
      <c r="B10" s="3" t="s">
        <v>45</v>
      </c>
      <c r="C10" s="5">
        <v>1.3888888888888888E-2</v>
      </c>
      <c r="D10" s="5">
        <v>1.3888888888888888E-2</v>
      </c>
      <c r="E10" s="5">
        <v>1.3888888888888888E-2</v>
      </c>
      <c r="F10" s="5">
        <v>1.3888888888888888E-2</v>
      </c>
      <c r="G10" s="5">
        <v>1.3888888888888888E-2</v>
      </c>
      <c r="H10" s="5">
        <v>6.9444444444444441E-3</v>
      </c>
      <c r="I10" s="5">
        <v>0</v>
      </c>
      <c r="J10" s="5">
        <v>6.9444444444444441E-3</v>
      </c>
      <c r="K10" s="5">
        <v>6.9444444444444441E-3</v>
      </c>
      <c r="L10" s="5">
        <v>6.9444444444444441E-3</v>
      </c>
      <c r="M10" s="5">
        <v>6.9444444444444441E-3</v>
      </c>
      <c r="N10" s="5">
        <v>3.4722222222222224E-2</v>
      </c>
      <c r="O10" s="5">
        <v>3.4722222222222224E-2</v>
      </c>
      <c r="P10" s="5">
        <v>1.3888888888888888E-2</v>
      </c>
      <c r="Q10" s="5">
        <v>1.3888888888888888E-2</v>
      </c>
      <c r="R10" s="5">
        <v>3.4722222222222224E-2</v>
      </c>
      <c r="S10" s="5">
        <v>3.4722222222222224E-2</v>
      </c>
      <c r="T10" s="5">
        <v>3.4722222222222224E-2</v>
      </c>
      <c r="U10" s="5">
        <v>1.3888888888888888E-2</v>
      </c>
      <c r="V10" s="5">
        <v>3.4722222222222224E-2</v>
      </c>
      <c r="W10" s="5">
        <v>3.4722222222222224E-2</v>
      </c>
    </row>
    <row r="11" spans="1:23" x14ac:dyDescent="0.25">
      <c r="A11" s="2">
        <v>20040075</v>
      </c>
      <c r="B11" s="3" t="s">
        <v>46</v>
      </c>
      <c r="C11" s="5">
        <v>1.3888888888888888E-2</v>
      </c>
      <c r="D11" s="5">
        <v>1.3888888888888888E-2</v>
      </c>
      <c r="E11" s="5">
        <v>1.3888888888888888E-2</v>
      </c>
      <c r="F11" s="5">
        <v>1.3888888888888888E-2</v>
      </c>
      <c r="G11" s="5">
        <v>1.3888888888888888E-2</v>
      </c>
      <c r="H11" s="5">
        <v>6.9444444444444441E-3</v>
      </c>
      <c r="I11" s="5">
        <v>6.9444444444444441E-3</v>
      </c>
      <c r="J11" s="5">
        <v>0</v>
      </c>
      <c r="K11" s="5">
        <v>6.9444444444444441E-3</v>
      </c>
      <c r="L11" s="5">
        <v>6.9444444444444441E-3</v>
      </c>
      <c r="M11" s="5">
        <v>6.9444444444444441E-3</v>
      </c>
      <c r="N11" s="5">
        <v>3.4722222222222224E-2</v>
      </c>
      <c r="O11" s="5">
        <v>3.4722222222222224E-2</v>
      </c>
      <c r="P11" s="5">
        <v>1.3888888888888888E-2</v>
      </c>
      <c r="Q11" s="5">
        <v>1.3888888888888888E-2</v>
      </c>
      <c r="R11" s="5">
        <v>3.4722222222222224E-2</v>
      </c>
      <c r="S11" s="5">
        <v>3.4722222222222224E-2</v>
      </c>
      <c r="T11" s="5">
        <v>3.4722222222222224E-2</v>
      </c>
      <c r="U11" s="5">
        <v>1.3888888888888888E-2</v>
      </c>
      <c r="V11" s="5">
        <v>3.4722222222222224E-2</v>
      </c>
      <c r="W11" s="5">
        <v>3.4722222222222224E-2</v>
      </c>
    </row>
    <row r="12" spans="1:23" x14ac:dyDescent="0.25">
      <c r="A12" s="2">
        <v>20040086</v>
      </c>
      <c r="B12" s="3" t="s">
        <v>48</v>
      </c>
      <c r="C12" s="5">
        <v>1.3888888888888888E-2</v>
      </c>
      <c r="D12" s="5">
        <v>1.3888888888888888E-2</v>
      </c>
      <c r="E12" s="5">
        <v>1.3888888888888888E-2</v>
      </c>
      <c r="F12" s="5">
        <v>1.3888888888888888E-2</v>
      </c>
      <c r="G12" s="5">
        <v>1.3888888888888888E-2</v>
      </c>
      <c r="H12" s="5">
        <v>6.9444444444444441E-3</v>
      </c>
      <c r="I12" s="5">
        <v>6.9444444444444441E-3</v>
      </c>
      <c r="J12" s="5">
        <v>6.9444444444444441E-3</v>
      </c>
      <c r="K12" s="5">
        <v>0</v>
      </c>
      <c r="L12" s="5">
        <v>6.9444444444444441E-3</v>
      </c>
      <c r="M12" s="5">
        <v>6.9444444444444441E-3</v>
      </c>
      <c r="N12" s="5">
        <v>3.4722222222222224E-2</v>
      </c>
      <c r="O12" s="5">
        <v>3.4722222222222224E-2</v>
      </c>
      <c r="P12" s="5">
        <v>1.3888888888888888E-2</v>
      </c>
      <c r="Q12" s="5">
        <v>1.3888888888888888E-2</v>
      </c>
      <c r="R12" s="5">
        <v>3.4722222222222224E-2</v>
      </c>
      <c r="S12" s="5">
        <v>3.4722222222222224E-2</v>
      </c>
      <c r="T12" s="5">
        <v>3.4722222222222224E-2</v>
      </c>
      <c r="U12" s="5">
        <v>1.3888888888888888E-2</v>
      </c>
      <c r="V12" s="5">
        <v>3.4722222222222224E-2</v>
      </c>
      <c r="W12" s="5">
        <v>3.4722222222222224E-2</v>
      </c>
    </row>
    <row r="13" spans="1:23" x14ac:dyDescent="0.25">
      <c r="A13" s="2">
        <v>20040091</v>
      </c>
      <c r="B13" s="3" t="s">
        <v>50</v>
      </c>
      <c r="C13" s="5">
        <v>1.3888888888888888E-2</v>
      </c>
      <c r="D13" s="5">
        <v>1.3888888888888888E-2</v>
      </c>
      <c r="E13" s="5">
        <v>1.3888888888888888E-2</v>
      </c>
      <c r="F13" s="5">
        <v>1.3888888888888888E-2</v>
      </c>
      <c r="G13" s="5">
        <v>1.3888888888888888E-2</v>
      </c>
      <c r="H13" s="5">
        <v>6.9444444444444441E-3</v>
      </c>
      <c r="I13" s="5">
        <v>6.9444444444444441E-3</v>
      </c>
      <c r="J13" s="5">
        <v>6.9444444444444441E-3</v>
      </c>
      <c r="K13" s="5">
        <v>6.9444444444444441E-3</v>
      </c>
      <c r="L13" s="5">
        <v>0</v>
      </c>
      <c r="M13" s="5">
        <v>6.9444444444444441E-3</v>
      </c>
      <c r="N13" s="5">
        <v>3.4722222222222224E-2</v>
      </c>
      <c r="O13" s="5">
        <v>3.4722222222222224E-2</v>
      </c>
      <c r="P13" s="5">
        <v>1.3888888888888888E-2</v>
      </c>
      <c r="Q13" s="5">
        <v>1.3888888888888888E-2</v>
      </c>
      <c r="R13" s="5">
        <v>3.4722222222222224E-2</v>
      </c>
      <c r="S13" s="5">
        <v>3.4722222222222224E-2</v>
      </c>
      <c r="T13" s="5">
        <v>3.4722222222222224E-2</v>
      </c>
      <c r="U13" s="5">
        <v>1.3888888888888888E-2</v>
      </c>
      <c r="V13" s="5">
        <v>3.4722222222222224E-2</v>
      </c>
      <c r="W13" s="5">
        <v>3.4722222222222224E-2</v>
      </c>
    </row>
    <row r="14" spans="1:23" x14ac:dyDescent="0.25">
      <c r="A14" s="2">
        <v>20040095</v>
      </c>
      <c r="B14" s="3" t="s">
        <v>52</v>
      </c>
      <c r="C14" s="5">
        <v>1.3888888888888888E-2</v>
      </c>
      <c r="D14" s="5">
        <v>1.3888888888888888E-2</v>
      </c>
      <c r="E14" s="5">
        <v>1.3888888888888888E-2</v>
      </c>
      <c r="F14" s="5">
        <v>1.3888888888888888E-2</v>
      </c>
      <c r="G14" s="5">
        <v>1.3888888888888888E-2</v>
      </c>
      <c r="H14" s="5">
        <v>6.9444444444444441E-3</v>
      </c>
      <c r="I14" s="5">
        <v>6.9444444444444441E-3</v>
      </c>
      <c r="J14" s="5">
        <v>6.9444444444444441E-3</v>
      </c>
      <c r="K14" s="5">
        <v>6.9444444444444441E-3</v>
      </c>
      <c r="L14" s="5">
        <v>6.9444444444444441E-3</v>
      </c>
      <c r="M14" s="5">
        <v>0</v>
      </c>
      <c r="N14" s="5">
        <v>3.4722222222222224E-2</v>
      </c>
      <c r="O14" s="5">
        <v>3.4722222222222224E-2</v>
      </c>
      <c r="P14" s="5">
        <v>1.3888888888888888E-2</v>
      </c>
      <c r="Q14" s="5">
        <v>1.3888888888888888E-2</v>
      </c>
      <c r="R14" s="5">
        <v>3.4722222222222224E-2</v>
      </c>
      <c r="S14" s="5">
        <v>3.4722222222222224E-2</v>
      </c>
      <c r="T14" s="5">
        <v>3.4722222222222224E-2</v>
      </c>
      <c r="U14" s="5">
        <v>1.3888888888888888E-2</v>
      </c>
      <c r="V14" s="5">
        <v>3.4722222222222224E-2</v>
      </c>
      <c r="W14" s="5">
        <v>3.4722222222222224E-2</v>
      </c>
    </row>
    <row r="15" spans="1:23" x14ac:dyDescent="0.25">
      <c r="A15" s="2">
        <v>20150028</v>
      </c>
      <c r="B15" s="3" t="s">
        <v>114</v>
      </c>
      <c r="C15" s="5">
        <v>3.4722222222222224E-2</v>
      </c>
      <c r="D15" s="5">
        <v>3.4722222222222224E-2</v>
      </c>
      <c r="E15" s="5">
        <v>3.4722222222222203E-2</v>
      </c>
      <c r="F15" s="5">
        <v>3.4722222222222203E-2</v>
      </c>
      <c r="G15" s="5">
        <v>3.4722222222222203E-2</v>
      </c>
      <c r="H15" s="5">
        <v>3.4722222222222203E-2</v>
      </c>
      <c r="I15" s="5">
        <v>3.4722222222222203E-2</v>
      </c>
      <c r="J15" s="5">
        <v>3.4722222222222203E-2</v>
      </c>
      <c r="K15" s="5">
        <v>3.4722222222222203E-2</v>
      </c>
      <c r="L15" s="5">
        <v>3.4722222222222224E-2</v>
      </c>
      <c r="M15" s="5">
        <v>3.4722222222222224E-2</v>
      </c>
      <c r="N15" s="5">
        <v>0</v>
      </c>
      <c r="O15" s="5">
        <v>6.9444444444444441E-3</v>
      </c>
      <c r="P15" s="5">
        <v>3.4722222222222224E-2</v>
      </c>
      <c r="Q15" s="5">
        <v>3.4722222222222224E-2</v>
      </c>
      <c r="R15" s="5">
        <v>1.3888888888888888E-2</v>
      </c>
      <c r="S15" s="5">
        <v>1.3888888888888888E-2</v>
      </c>
      <c r="T15" s="5">
        <v>1.38888888888889E-2</v>
      </c>
      <c r="U15" s="5">
        <v>3.4722222222222224E-2</v>
      </c>
      <c r="V15" s="5">
        <v>1.3888888888888888E-2</v>
      </c>
      <c r="W15" s="5">
        <v>3.4722222222222224E-2</v>
      </c>
    </row>
    <row r="16" spans="1:23" x14ac:dyDescent="0.25">
      <c r="A16" s="2">
        <v>20150051</v>
      </c>
      <c r="B16" s="3" t="s">
        <v>116</v>
      </c>
      <c r="C16" s="5">
        <v>3.4722222222222224E-2</v>
      </c>
      <c r="D16" s="5">
        <v>3.4722222222222224E-2</v>
      </c>
      <c r="E16" s="5">
        <v>3.4722222222222224E-2</v>
      </c>
      <c r="F16" s="5">
        <v>3.4722222222222224E-2</v>
      </c>
      <c r="G16" s="5">
        <v>3.4722222222222224E-2</v>
      </c>
      <c r="H16" s="5">
        <v>3.4722222222222224E-2</v>
      </c>
      <c r="I16" s="5">
        <v>3.4722222222222224E-2</v>
      </c>
      <c r="J16" s="5">
        <v>3.4722222222222224E-2</v>
      </c>
      <c r="K16" s="5">
        <v>3.4722222222222224E-2</v>
      </c>
      <c r="L16" s="5">
        <v>3.4722222222222224E-2</v>
      </c>
      <c r="M16" s="5">
        <v>3.4722222222222224E-2</v>
      </c>
      <c r="N16" s="5">
        <v>6.9444444444444441E-3</v>
      </c>
      <c r="O16" s="5">
        <v>0</v>
      </c>
      <c r="P16" s="5">
        <v>3.4722222222222224E-2</v>
      </c>
      <c r="Q16" s="5">
        <v>3.4722222222222224E-2</v>
      </c>
      <c r="R16" s="5">
        <v>1.3888888888888888E-2</v>
      </c>
      <c r="S16" s="5">
        <v>1.3888888888888888E-2</v>
      </c>
      <c r="T16" s="5">
        <v>1.38888888888889E-2</v>
      </c>
      <c r="U16" s="5">
        <v>3.4722222222222224E-2</v>
      </c>
      <c r="V16" s="5">
        <v>1.3888888888888888E-2</v>
      </c>
      <c r="W16" s="5">
        <v>3.4722222222222224E-2</v>
      </c>
    </row>
    <row r="17" spans="1:23" x14ac:dyDescent="0.25">
      <c r="A17" s="2">
        <v>20200009</v>
      </c>
      <c r="B17" s="3" t="s">
        <v>125</v>
      </c>
      <c r="C17" s="5">
        <v>1.3888888888888888E-2</v>
      </c>
      <c r="D17" s="5">
        <v>1.3888888888888888E-2</v>
      </c>
      <c r="E17" s="5">
        <v>1.38888888888889E-2</v>
      </c>
      <c r="F17" s="5">
        <v>1.38888888888889E-2</v>
      </c>
      <c r="G17" s="5">
        <v>1.38888888888889E-2</v>
      </c>
      <c r="H17" s="5">
        <v>1.3888888888888888E-2</v>
      </c>
      <c r="I17" s="5">
        <v>1.3888888888888888E-2</v>
      </c>
      <c r="J17" s="5">
        <v>1.38888888888889E-2</v>
      </c>
      <c r="K17" s="5">
        <v>1.38888888888889E-2</v>
      </c>
      <c r="L17" s="5">
        <v>1.38888888888889E-2</v>
      </c>
      <c r="M17" s="5">
        <v>1.38888888888889E-2</v>
      </c>
      <c r="N17" s="5">
        <v>3.4722222222222224E-2</v>
      </c>
      <c r="O17" s="5">
        <v>3.4722222222222224E-2</v>
      </c>
      <c r="P17" s="5">
        <v>0</v>
      </c>
      <c r="Q17" s="5">
        <v>6.9444444444444441E-3</v>
      </c>
      <c r="R17" s="5">
        <v>3.4722222222222224E-2</v>
      </c>
      <c r="S17" s="5">
        <v>3.4722222222222224E-2</v>
      </c>
      <c r="T17" s="5">
        <v>3.4722222222222224E-2</v>
      </c>
      <c r="U17" s="5">
        <v>6.9444444444444441E-3</v>
      </c>
      <c r="V17" s="5">
        <v>3.4722222222222224E-2</v>
      </c>
      <c r="W17" s="5">
        <v>3.4722222222222224E-2</v>
      </c>
    </row>
    <row r="18" spans="1:23" x14ac:dyDescent="0.25">
      <c r="A18" s="2">
        <v>20200014</v>
      </c>
      <c r="B18" s="3" t="s">
        <v>126</v>
      </c>
      <c r="C18" s="5">
        <v>1.3888888888888888E-2</v>
      </c>
      <c r="D18" s="5">
        <v>1.3888888888888888E-2</v>
      </c>
      <c r="E18" s="5">
        <v>1.38888888888889E-2</v>
      </c>
      <c r="F18" s="5">
        <v>1.38888888888889E-2</v>
      </c>
      <c r="G18" s="5">
        <v>1.38888888888889E-2</v>
      </c>
      <c r="H18" s="5">
        <v>1.3888888888888888E-2</v>
      </c>
      <c r="I18" s="5">
        <v>1.3888888888888888E-2</v>
      </c>
      <c r="J18" s="5">
        <v>1.38888888888889E-2</v>
      </c>
      <c r="K18" s="5">
        <v>1.38888888888889E-2</v>
      </c>
      <c r="L18" s="5">
        <v>1.38888888888889E-2</v>
      </c>
      <c r="M18" s="5">
        <v>1.38888888888889E-2</v>
      </c>
      <c r="N18" s="5">
        <v>3.4722222222222224E-2</v>
      </c>
      <c r="O18" s="5">
        <v>3.4722222222222224E-2</v>
      </c>
      <c r="P18" s="5">
        <v>6.9444444444444441E-3</v>
      </c>
      <c r="Q18" s="5">
        <v>0</v>
      </c>
      <c r="R18" s="5">
        <v>3.4722222222222224E-2</v>
      </c>
      <c r="S18" s="5">
        <v>3.4722222222222224E-2</v>
      </c>
      <c r="T18" s="5">
        <v>3.4722222222222224E-2</v>
      </c>
      <c r="U18" s="5">
        <v>6.9444444444444441E-3</v>
      </c>
      <c r="V18" s="5">
        <v>3.4722222222222224E-2</v>
      </c>
      <c r="W18" s="5">
        <v>3.4722222222222224E-2</v>
      </c>
    </row>
    <row r="19" spans="1:23" x14ac:dyDescent="0.25">
      <c r="A19" s="2">
        <v>20200020</v>
      </c>
      <c r="B19" s="3" t="s">
        <v>127</v>
      </c>
      <c r="C19" s="5">
        <v>3.4722222222222224E-2</v>
      </c>
      <c r="D19" s="5">
        <v>3.4722222222222224E-2</v>
      </c>
      <c r="E19" s="5">
        <v>3.4722222222222203E-2</v>
      </c>
      <c r="F19" s="5">
        <v>3.4722222222222203E-2</v>
      </c>
      <c r="G19" s="5">
        <v>3.4722222222222203E-2</v>
      </c>
      <c r="H19" s="5">
        <v>3.4722222222222203E-2</v>
      </c>
      <c r="I19" s="5">
        <v>3.4722222222222203E-2</v>
      </c>
      <c r="J19" s="5">
        <v>3.4722222222222203E-2</v>
      </c>
      <c r="K19" s="5">
        <v>3.4722222222222203E-2</v>
      </c>
      <c r="L19" s="5">
        <v>3.4722222222222203E-2</v>
      </c>
      <c r="M19" s="5">
        <v>3.4722222222222224E-2</v>
      </c>
      <c r="N19" s="5">
        <v>1.3888888888888888E-2</v>
      </c>
      <c r="O19" s="5">
        <v>1.3888888888888888E-2</v>
      </c>
      <c r="P19" s="5">
        <v>3.4722222222222224E-2</v>
      </c>
      <c r="Q19" s="5">
        <v>3.4722222222222224E-2</v>
      </c>
      <c r="R19" s="5">
        <v>0</v>
      </c>
      <c r="S19" s="5">
        <v>6.9444444444444441E-3</v>
      </c>
      <c r="T19" s="5">
        <v>6.9444444444444441E-3</v>
      </c>
      <c r="U19" s="5">
        <v>3.4722222222222224E-2</v>
      </c>
      <c r="V19" s="5">
        <v>6.9444444444444441E-3</v>
      </c>
      <c r="W19" s="5">
        <v>3.4722222222222224E-2</v>
      </c>
    </row>
    <row r="20" spans="1:23" x14ac:dyDescent="0.25">
      <c r="A20" s="2">
        <v>20200022</v>
      </c>
      <c r="B20" s="3" t="s">
        <v>128</v>
      </c>
      <c r="C20" s="5">
        <v>3.4722222222222224E-2</v>
      </c>
      <c r="D20" s="5">
        <v>3.4722222222222224E-2</v>
      </c>
      <c r="E20" s="5">
        <v>3.4722222222222203E-2</v>
      </c>
      <c r="F20" s="5">
        <v>3.4722222222222203E-2</v>
      </c>
      <c r="G20" s="5">
        <v>3.4722222222222203E-2</v>
      </c>
      <c r="H20" s="5">
        <v>3.4722222222222203E-2</v>
      </c>
      <c r="I20" s="5">
        <v>3.4722222222222203E-2</v>
      </c>
      <c r="J20" s="5">
        <v>3.4722222222222203E-2</v>
      </c>
      <c r="K20" s="5">
        <v>3.4722222222222203E-2</v>
      </c>
      <c r="L20" s="5">
        <v>3.4722222222222203E-2</v>
      </c>
      <c r="M20" s="5">
        <v>3.4722222222222224E-2</v>
      </c>
      <c r="N20" s="5">
        <v>1.3888888888888888E-2</v>
      </c>
      <c r="O20" s="5">
        <v>1.3888888888888888E-2</v>
      </c>
      <c r="P20" s="5">
        <v>3.4722222222222224E-2</v>
      </c>
      <c r="Q20" s="5">
        <v>3.4722222222222224E-2</v>
      </c>
      <c r="R20" s="5">
        <v>6.9444444444444441E-3</v>
      </c>
      <c r="S20" s="5">
        <v>0</v>
      </c>
      <c r="T20" s="5">
        <v>6.9444444444444441E-3</v>
      </c>
      <c r="U20" s="5">
        <v>3.4722222222222224E-2</v>
      </c>
      <c r="V20" s="5">
        <v>6.9444444444444441E-3</v>
      </c>
      <c r="W20" s="5">
        <v>3.4722222222222224E-2</v>
      </c>
    </row>
    <row r="21" spans="1:23" x14ac:dyDescent="0.25">
      <c r="A21" s="2">
        <v>20200026</v>
      </c>
      <c r="B21" s="3" t="s">
        <v>129</v>
      </c>
      <c r="C21" s="5">
        <v>3.4722222222222224E-2</v>
      </c>
      <c r="D21" s="5">
        <v>3.4722222222222224E-2</v>
      </c>
      <c r="E21" s="5">
        <v>3.4722222222222203E-2</v>
      </c>
      <c r="F21" s="5">
        <v>3.4722222222222203E-2</v>
      </c>
      <c r="G21" s="5">
        <v>3.4722222222222203E-2</v>
      </c>
      <c r="H21" s="5">
        <v>3.4722222222222203E-2</v>
      </c>
      <c r="I21" s="5">
        <v>3.4722222222222203E-2</v>
      </c>
      <c r="J21" s="5">
        <v>3.4722222222222203E-2</v>
      </c>
      <c r="K21" s="5">
        <v>3.4722222222222203E-2</v>
      </c>
      <c r="L21" s="5">
        <v>3.4722222222222203E-2</v>
      </c>
      <c r="M21" s="5">
        <v>3.4722222222222224E-2</v>
      </c>
      <c r="N21" s="5">
        <v>1.3888888888888888E-2</v>
      </c>
      <c r="O21" s="5">
        <v>1.3888888888888888E-2</v>
      </c>
      <c r="P21" s="5">
        <v>3.4722222222222224E-2</v>
      </c>
      <c r="Q21" s="5">
        <v>3.4722222222222224E-2</v>
      </c>
      <c r="R21" s="5">
        <v>6.9444444444444441E-3</v>
      </c>
      <c r="S21" s="5">
        <v>6.9444444444444441E-3</v>
      </c>
      <c r="T21" s="5">
        <v>0</v>
      </c>
    </row>
    <row r="22" spans="1:23" x14ac:dyDescent="0.25">
      <c r="A22" s="2">
        <v>20200027</v>
      </c>
      <c r="B22" s="3" t="s">
        <v>130</v>
      </c>
      <c r="C22" s="5">
        <v>1.3888888888888888E-2</v>
      </c>
      <c r="D22" s="5">
        <v>1.3888888888888888E-2</v>
      </c>
      <c r="E22" s="5">
        <v>1.38888888888889E-2</v>
      </c>
      <c r="F22" s="5">
        <v>1.38888888888889E-2</v>
      </c>
      <c r="G22" s="5">
        <v>1.38888888888889E-2</v>
      </c>
      <c r="H22" s="5">
        <v>1.38888888888889E-2</v>
      </c>
      <c r="I22" s="5">
        <v>1.3888888888888888E-2</v>
      </c>
      <c r="J22" s="5">
        <v>1.38888888888889E-2</v>
      </c>
      <c r="K22" s="5">
        <v>1.38888888888889E-2</v>
      </c>
      <c r="L22" s="5">
        <v>1.38888888888889E-2</v>
      </c>
      <c r="M22" s="5">
        <v>1.38888888888888E-2</v>
      </c>
      <c r="N22" s="5">
        <v>3.4722222222222224E-2</v>
      </c>
      <c r="O22" s="5">
        <v>3.4722222222222224E-2</v>
      </c>
      <c r="P22" s="5">
        <v>6.9444444444444441E-3</v>
      </c>
      <c r="Q22" s="5">
        <v>6.9444444444444441E-3</v>
      </c>
      <c r="R22" s="5">
        <v>3.4722222222222224E-2</v>
      </c>
      <c r="S22" s="5">
        <v>3.4722222222222224E-2</v>
      </c>
      <c r="T22" s="5">
        <v>3.4722222222222224E-2</v>
      </c>
      <c r="U22" s="5">
        <v>0</v>
      </c>
      <c r="V22" s="5">
        <v>3.4722222222222224E-2</v>
      </c>
      <c r="W22" s="5">
        <v>3.4722222222222224E-2</v>
      </c>
    </row>
    <row r="23" spans="1:23" x14ac:dyDescent="0.25">
      <c r="A23" s="2">
        <v>20200058</v>
      </c>
      <c r="B23" s="3" t="s">
        <v>132</v>
      </c>
      <c r="C23" s="5">
        <v>3.4722222222222224E-2</v>
      </c>
      <c r="D23" s="5">
        <v>3.4722222222222224E-2</v>
      </c>
      <c r="E23" s="5">
        <v>3.4722222222222203E-2</v>
      </c>
      <c r="F23" s="5">
        <v>3.4722222222222203E-2</v>
      </c>
      <c r="G23" s="5">
        <v>3.4722222222222203E-2</v>
      </c>
      <c r="H23" s="5">
        <v>3.4722222222222203E-2</v>
      </c>
      <c r="I23" s="5">
        <v>3.4722222222222203E-2</v>
      </c>
      <c r="J23" s="5">
        <v>3.4722222222222203E-2</v>
      </c>
      <c r="K23" s="5">
        <v>3.4722222222222203E-2</v>
      </c>
      <c r="L23" s="5">
        <v>3.4722222222222203E-2</v>
      </c>
      <c r="M23" s="5">
        <v>3.4722222222222224E-2</v>
      </c>
      <c r="N23" s="5">
        <v>1.3888888888888888E-2</v>
      </c>
      <c r="O23" s="5">
        <v>1.3888888888888888E-2</v>
      </c>
      <c r="P23" s="5">
        <v>3.4722222222222224E-2</v>
      </c>
      <c r="Q23" s="5">
        <v>3.4722222222222224E-2</v>
      </c>
      <c r="R23" s="5">
        <v>6.9444444444444441E-3</v>
      </c>
      <c r="S23" s="5">
        <v>6.9444444444444441E-3</v>
      </c>
      <c r="T23" s="5">
        <v>6.9444444444444441E-3</v>
      </c>
      <c r="U23" s="5">
        <v>3.4722222222222224E-2</v>
      </c>
      <c r="V23" s="5">
        <v>0</v>
      </c>
      <c r="W23" s="5">
        <v>3.4722222222222224E-2</v>
      </c>
    </row>
    <row r="24" spans="1:23" x14ac:dyDescent="0.25">
      <c r="A24" s="2">
        <v>20200077</v>
      </c>
      <c r="B24" s="3" t="s">
        <v>180</v>
      </c>
      <c r="C24" s="5">
        <v>3.4722222222222224E-2</v>
      </c>
      <c r="D24" s="5">
        <v>3.4722222222222224E-2</v>
      </c>
      <c r="E24" s="5">
        <v>3.4722222222222203E-2</v>
      </c>
      <c r="F24" s="5">
        <v>3.4722222222222203E-2</v>
      </c>
      <c r="G24" s="5">
        <v>3.4722222222222203E-2</v>
      </c>
      <c r="H24" s="5">
        <v>3.4722222222222203E-2</v>
      </c>
      <c r="I24" s="5">
        <v>3.4722222222222203E-2</v>
      </c>
      <c r="J24" s="5">
        <v>3.4722222222222203E-2</v>
      </c>
      <c r="K24" s="5">
        <v>3.4722222222222203E-2</v>
      </c>
      <c r="L24" s="5">
        <v>3.4722222222222203E-2</v>
      </c>
      <c r="M24" s="5">
        <v>3.4722222222222203E-2</v>
      </c>
      <c r="N24" s="5">
        <v>3.4722222222222203E-2</v>
      </c>
      <c r="O24" s="5">
        <v>3.4722222222222203E-2</v>
      </c>
      <c r="P24" s="5">
        <v>3.4722222222222203E-2</v>
      </c>
      <c r="Q24" s="5">
        <v>3.4722222222222203E-2</v>
      </c>
      <c r="R24" s="5">
        <v>3.4722222222222203E-2</v>
      </c>
      <c r="S24" s="5">
        <v>3.4722222222222203E-2</v>
      </c>
      <c r="T24" s="5">
        <v>3.4722222222222203E-2</v>
      </c>
      <c r="U24" s="5">
        <v>3.4722222222222203E-2</v>
      </c>
      <c r="V24" s="5">
        <v>3.4722222222222224E-2</v>
      </c>
      <c r="W24" s="2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12B-28B7-4F9E-96E7-7A9F37ED4648}">
  <dimension ref="A1:J1782"/>
  <sheetViews>
    <sheetView tabSelected="1" topLeftCell="A407" workbookViewId="0">
      <selection activeCell="P420" sqref="P420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  <col min="9" max="10" width="17.7109375" bestFit="1" customWidth="1"/>
  </cols>
  <sheetData>
    <row r="1" spans="1:10" x14ac:dyDescent="0.25">
      <c r="A1">
        <f>COUNTA('Linha 05'!B:B)-1</f>
        <v>21</v>
      </c>
      <c r="B1">
        <f>COUNTA('Linha 05'!2:2)</f>
        <v>21</v>
      </c>
      <c r="C1">
        <f>A1*B1</f>
        <v>441</v>
      </c>
    </row>
    <row r="3" spans="1:10" x14ac:dyDescent="0.25">
      <c r="A3" cm="1">
        <f t="array" ref="A3:A443">_xlfn.SEQUENCE($C$1)</f>
        <v>1</v>
      </c>
      <c r="B3">
        <f>INT((A3-1)/$B$1)+1</f>
        <v>1</v>
      </c>
      <c r="C3">
        <f>MOD(A3-1,$B$1)+1</f>
        <v>1</v>
      </c>
      <c r="D3" cm="1">
        <f t="array" ref="D3">INDEX('Linha 05'!$A$4:$A$1000,B3)</f>
        <v>20030008</v>
      </c>
      <c r="E3" t="str" cm="1">
        <f t="array" ref="E3">INDEX('Linha 05'!$B$4:$B$1000,B3)</f>
        <v>Detergente Aquafast Limao Cx/04 X 5l (Emb Econ)</v>
      </c>
      <c r="F3" cm="1">
        <f t="array" ref="F3">INDEX('Linha 05'!$C$3:$ZZ$3,C3)</f>
        <v>20030008</v>
      </c>
      <c r="G3" t="str" cm="1">
        <f t="array" ref="G3">INDEX('Linha 05'!$C$2:$ZZ$2,C3)</f>
        <v>Detergente Aquafast Limao Cx/04 X 5l (Emb Econ)</v>
      </c>
      <c r="H3" s="5" cm="1">
        <f t="array" ref="H3">INDEX('Linha 05'!$C$4:$ZZ$1000,B3,C3)</f>
        <v>0</v>
      </c>
      <c r="I3" t="str">
        <f>CONCATENATE(D3," ",F3)</f>
        <v>20030008 20030008</v>
      </c>
      <c r="J3" s="5">
        <v>0</v>
      </c>
    </row>
    <row r="4" spans="1:10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05'!$A$4:$A$1000,B4)</f>
        <v>20030008</v>
      </c>
      <c r="E4" t="str" cm="1">
        <f t="array" ref="E4">INDEX('Linha 05'!$B$4:$B$1000,B4)</f>
        <v>Detergente Aquafast Limao Cx/04 X 5l (Emb Econ)</v>
      </c>
      <c r="F4" cm="1">
        <f t="array" ref="F4">INDEX('Linha 05'!$C$3:$ZZ$3,C4)</f>
        <v>20030009</v>
      </c>
      <c r="G4" t="str" cm="1">
        <f t="array" ref="G4">INDEX('Linha 05'!$C$2:$ZZ$2,C4)</f>
        <v>Detergente Aquafast Neutro Cx/04 X 5l (Emb Econ)</v>
      </c>
      <c r="H4" s="5" cm="1">
        <f t="array" ref="H4">INDEX('Linha 05'!$C$4:$ZZ$1000,B4,C4)</f>
        <v>6.9444444444444441E-3</v>
      </c>
      <c r="I4" t="str">
        <f t="shared" ref="I4:I67" si="2">CONCATENATE(D4," ",F4)</f>
        <v>20030008 20030009</v>
      </c>
      <c r="J4" s="5">
        <v>6.9444444444444441E-3</v>
      </c>
    </row>
    <row r="5" spans="1:10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05'!$A$4:$A$1000,B5)</f>
        <v>20030008</v>
      </c>
      <c r="E5" t="str" cm="1">
        <f t="array" ref="E5">INDEX('Linha 05'!$B$4:$B$1000,B5)</f>
        <v>Detergente Aquafast Limao Cx/04 X 5l (Emb Econ)</v>
      </c>
      <c r="F5" cm="1">
        <f t="array" ref="F5">INDEX('Linha 05'!$C$3:$ZZ$3,C5)</f>
        <v>20030010</v>
      </c>
      <c r="G5" t="str" cm="1">
        <f t="array" ref="G5">INDEX('Linha 05'!$C$2:$ZZ$2,C5)</f>
        <v>Detergente Aquafast Clear Cx/04 X 5l (Emb Econ)</v>
      </c>
      <c r="H5" s="5" cm="1">
        <f t="array" ref="H5">INDEX('Linha 05'!$C$4:$ZZ$1000,B5,C5)</f>
        <v>6.9444444444444441E-3</v>
      </c>
      <c r="I5" t="str">
        <f t="shared" si="2"/>
        <v>20030008 20030010</v>
      </c>
      <c r="J5" s="5">
        <v>6.9444444444444441E-3</v>
      </c>
    </row>
    <row r="6" spans="1:10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05'!$A$4:$A$1000,B6)</f>
        <v>20030008</v>
      </c>
      <c r="E6" t="str" cm="1">
        <f t="array" ref="E6">INDEX('Linha 05'!$B$4:$B$1000,B6)</f>
        <v>Detergente Aquafast Limao Cx/04 X 5l (Emb Econ)</v>
      </c>
      <c r="F6" cm="1">
        <f t="array" ref="F6">INDEX('Linha 05'!$C$3:$ZZ$3,C6)</f>
        <v>20030024</v>
      </c>
      <c r="G6" t="str" cm="1">
        <f t="array" ref="G6">INDEX('Linha 05'!$C$2:$ZZ$2,C6)</f>
        <v>Detergente Ito Neutro Cx/04 X 5l</v>
      </c>
      <c r="H6" s="5" cm="1">
        <f t="array" ref="H6">INDEX('Linha 05'!$C$4:$ZZ$1000,B6,C6)</f>
        <v>6.9444444444444441E-3</v>
      </c>
      <c r="I6" t="str">
        <f t="shared" si="2"/>
        <v>20030008 20030024</v>
      </c>
      <c r="J6" s="5">
        <v>6.9444444444444441E-3</v>
      </c>
    </row>
    <row r="7" spans="1:10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05'!$A$4:$A$1000,B7)</f>
        <v>20030008</v>
      </c>
      <c r="E7" t="str" cm="1">
        <f t="array" ref="E7">INDEX('Linha 05'!$B$4:$B$1000,B7)</f>
        <v>Detergente Aquafast Limao Cx/04 X 5l (Emb Econ)</v>
      </c>
      <c r="F7" cm="1">
        <f t="array" ref="F7">INDEX('Linha 05'!$C$3:$ZZ$3,C7)</f>
        <v>20030083</v>
      </c>
      <c r="G7" t="str" cm="1">
        <f t="array" ref="G7">INDEX('Linha 05'!$C$2:$ZZ$2,C7)</f>
        <v>Detergente Ito Clear Cx/04 X 5l</v>
      </c>
      <c r="H7" s="5" cm="1">
        <f t="array" ref="H7">INDEX('Linha 05'!$C$4:$ZZ$1000,B7,C7)</f>
        <v>6.9444444444444441E-3</v>
      </c>
      <c r="I7" t="str">
        <f t="shared" si="2"/>
        <v>20030008 20030083</v>
      </c>
      <c r="J7" s="5">
        <v>6.9444444444444441E-3</v>
      </c>
    </row>
    <row r="8" spans="1:10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05'!$A$4:$A$1000,B8)</f>
        <v>20030008</v>
      </c>
      <c r="E8" t="str" cm="1">
        <f t="array" ref="E8">INDEX('Linha 05'!$B$4:$B$1000,B8)</f>
        <v>Detergente Aquafast Limao Cx/04 X 5l (Emb Econ)</v>
      </c>
      <c r="F8" cm="1">
        <f t="array" ref="F8">INDEX('Linha 05'!$C$3:$ZZ$3,C8)</f>
        <v>20040030</v>
      </c>
      <c r="G8" t="str" cm="1">
        <f t="array" ref="G8">INDEX('Linha 05'!$C$2:$ZZ$2,C8)</f>
        <v>Amaciante Ito Azul Cx/04 X 5l</v>
      </c>
      <c r="H8" s="5" cm="1">
        <f t="array" ref="H8">INDEX('Linha 05'!$C$4:$ZZ$1000,B8,C8)</f>
        <v>1.3888888888888888E-2</v>
      </c>
      <c r="I8" t="str">
        <f t="shared" si="2"/>
        <v>20030008 20040030</v>
      </c>
      <c r="J8" s="5">
        <v>1.3888888888888888E-2</v>
      </c>
    </row>
    <row r="9" spans="1:10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05'!$A$4:$A$1000,B9)</f>
        <v>20030008</v>
      </c>
      <c r="E9" t="str" cm="1">
        <f t="array" ref="E9">INDEX('Linha 05'!$B$4:$B$1000,B9)</f>
        <v>Detergente Aquafast Limao Cx/04 X 5l (Emb Econ)</v>
      </c>
      <c r="F9" cm="1">
        <f t="array" ref="F9">INDEX('Linha 05'!$C$3:$ZZ$3,C9)</f>
        <v>20040074</v>
      </c>
      <c r="G9" t="str" cm="1">
        <f t="array" ref="G9">INDEX('Linha 05'!$C$2:$ZZ$2,C9)</f>
        <v>Amaciante Aquafast Azul Cx C/04 X 5l (Fresc Manh) Emb. Econ</v>
      </c>
      <c r="H9" s="5" cm="1">
        <f t="array" ref="H9">INDEX('Linha 05'!$C$4:$ZZ$1000,B9,C9)</f>
        <v>1.3888888888888888E-2</v>
      </c>
      <c r="I9" t="str">
        <f t="shared" si="2"/>
        <v>20030008 20040074</v>
      </c>
      <c r="J9" s="5">
        <v>1.3888888888888888E-2</v>
      </c>
    </row>
    <row r="10" spans="1:10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05'!$A$4:$A$1000,B10)</f>
        <v>20030008</v>
      </c>
      <c r="E10" t="str" cm="1">
        <f t="array" ref="E10">INDEX('Linha 05'!$B$4:$B$1000,B10)</f>
        <v>Detergente Aquafast Limao Cx/04 X 5l (Emb Econ)</v>
      </c>
      <c r="F10" cm="1">
        <f t="array" ref="F10">INDEX('Linha 05'!$C$3:$ZZ$3,C10)</f>
        <v>20040075</v>
      </c>
      <c r="G10" t="str" cm="1">
        <f t="array" ref="G10">INDEX('Linha 05'!$C$2:$ZZ$2,C10)</f>
        <v>Amaciante Aquafast Rosa Cx C/04 X 5l (Jard Flor) Emb. Econ</v>
      </c>
      <c r="H10" s="5" cm="1">
        <f t="array" ref="H10">INDEX('Linha 05'!$C$4:$ZZ$1000,B10,C10)</f>
        <v>1.3888888888888888E-2</v>
      </c>
      <c r="I10" t="str">
        <f t="shared" si="2"/>
        <v>20030008 20040075</v>
      </c>
      <c r="J10" s="5">
        <v>1.3888888888888888E-2</v>
      </c>
    </row>
    <row r="11" spans="1:10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05'!$A$4:$A$1000,B11)</f>
        <v>20030008</v>
      </c>
      <c r="E11" t="str" cm="1">
        <f t="array" ref="E11">INDEX('Linha 05'!$B$4:$B$1000,B11)</f>
        <v>Detergente Aquafast Limao Cx/04 X 5l (Emb Econ)</v>
      </c>
      <c r="F11" cm="1">
        <f t="array" ref="F11">INDEX('Linha 05'!$C$3:$ZZ$3,C11)</f>
        <v>20040086</v>
      </c>
      <c r="G11" t="str" cm="1">
        <f t="array" ref="G11">INDEX('Linha 05'!$C$2:$ZZ$2,C11)</f>
        <v>Amaciante Aquafast Vermelho Cx/04 X 5l (Seducao) Emb. Econ</v>
      </c>
      <c r="H11" s="5" cm="1">
        <f t="array" ref="H11">INDEX('Linha 05'!$C$4:$ZZ$1000,B11,C11)</f>
        <v>1.3888888888888888E-2</v>
      </c>
      <c r="I11" t="str">
        <f t="shared" si="2"/>
        <v>20030008 20040086</v>
      </c>
      <c r="J11" s="5">
        <v>1.3888888888888888E-2</v>
      </c>
    </row>
    <row r="12" spans="1:10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05'!$A$4:$A$1000,B12)</f>
        <v>20030008</v>
      </c>
      <c r="E12" t="str" cm="1">
        <f t="array" ref="E12">INDEX('Linha 05'!$B$4:$B$1000,B12)</f>
        <v>Detergente Aquafast Limao Cx/04 X 5l (Emb Econ)</v>
      </c>
      <c r="F12" cm="1">
        <f t="array" ref="F12">INDEX('Linha 05'!$C$3:$ZZ$3,C12)</f>
        <v>20040091</v>
      </c>
      <c r="G12" t="str" cm="1">
        <f t="array" ref="G12">INDEX('Linha 05'!$C$2:$ZZ$2,C12)</f>
        <v>Amaciante Aquafast Roxo Cx/04 X 5l (Magia) Emb. Econ</v>
      </c>
      <c r="H12" s="5" cm="1">
        <f t="array" ref="H12">INDEX('Linha 05'!$C$4:$ZZ$1000,B12,C12)</f>
        <v>1.3888888888888888E-2</v>
      </c>
      <c r="I12" t="str">
        <f t="shared" si="2"/>
        <v>20030008 20040091</v>
      </c>
      <c r="J12" s="5">
        <v>1.3888888888888888E-2</v>
      </c>
    </row>
    <row r="13" spans="1:10" x14ac:dyDescent="0.25">
      <c r="A13">
        <v>11</v>
      </c>
      <c r="B13">
        <f t="shared" si="0"/>
        <v>1</v>
      </c>
      <c r="C13">
        <f t="shared" si="1"/>
        <v>11</v>
      </c>
      <c r="D13" cm="1">
        <f t="array" ref="D13">INDEX('Linha 05'!$A$4:$A$1000,B13)</f>
        <v>20030008</v>
      </c>
      <c r="E13" t="str" cm="1">
        <f t="array" ref="E13">INDEX('Linha 05'!$B$4:$B$1000,B13)</f>
        <v>Detergente Aquafast Limao Cx/04 X 5l (Emb Econ)</v>
      </c>
      <c r="F13" cm="1">
        <f t="array" ref="F13">INDEX('Linha 05'!$C$3:$ZZ$3,C13)</f>
        <v>20040095</v>
      </c>
      <c r="G13" t="str" cm="1">
        <f t="array" ref="G13">INDEX('Linha 05'!$C$2:$ZZ$2,C13)</f>
        <v>Amaciante Aquafast Energia Cx/04 X 5l Emb. Econ</v>
      </c>
      <c r="H13" s="5" cm="1">
        <f t="array" ref="H13">INDEX('Linha 05'!$C$4:$ZZ$1000,B13,C13)</f>
        <v>1.3888888888888888E-2</v>
      </c>
      <c r="I13" t="str">
        <f t="shared" si="2"/>
        <v>20030008 20040095</v>
      </c>
      <c r="J13" s="5">
        <v>1.3888888888888888E-2</v>
      </c>
    </row>
    <row r="14" spans="1:10" x14ac:dyDescent="0.25">
      <c r="A14">
        <v>12</v>
      </c>
      <c r="B14">
        <f t="shared" si="0"/>
        <v>1</v>
      </c>
      <c r="C14">
        <f t="shared" si="1"/>
        <v>12</v>
      </c>
      <c r="D14" cm="1">
        <f t="array" ref="D14">INDEX('Linha 05'!$A$4:$A$1000,B14)</f>
        <v>20030008</v>
      </c>
      <c r="E14" t="str" cm="1">
        <f t="array" ref="E14">INDEX('Linha 05'!$B$4:$B$1000,B14)</f>
        <v>Detergente Aquafast Limao Cx/04 X 5l (Emb Econ)</v>
      </c>
      <c r="F14" cm="1">
        <f t="array" ref="F14">INDEX('Linha 05'!$C$3:$ZZ$3,C14)</f>
        <v>20150028</v>
      </c>
      <c r="G14" t="str" cm="1">
        <f t="array" ref="G14">INDEX('Linha 05'!$C$2:$ZZ$2,C14)</f>
        <v>Amac. Conc. Aquafast Branco Ternura Cx/ 04 X 3l</v>
      </c>
      <c r="H14" s="5" cm="1">
        <f t="array" ref="H14">INDEX('Linha 05'!$C$4:$ZZ$1000,B14,C14)</f>
        <v>3.4722222222222224E-2</v>
      </c>
      <c r="I14" t="str">
        <f t="shared" si="2"/>
        <v>20030008 20150028</v>
      </c>
      <c r="J14" s="5">
        <v>3.4722222222222224E-2</v>
      </c>
    </row>
    <row r="15" spans="1:10" x14ac:dyDescent="0.25">
      <c r="A15">
        <v>13</v>
      </c>
      <c r="B15">
        <f t="shared" si="0"/>
        <v>1</v>
      </c>
      <c r="C15">
        <f t="shared" si="1"/>
        <v>13</v>
      </c>
      <c r="D15" cm="1">
        <f t="array" ref="D15">INDEX('Linha 05'!$A$4:$A$1000,B15)</f>
        <v>20030008</v>
      </c>
      <c r="E15" t="str" cm="1">
        <f t="array" ref="E15">INDEX('Linha 05'!$B$4:$B$1000,B15)</f>
        <v>Detergente Aquafast Limao Cx/04 X 5l (Emb Econ)</v>
      </c>
      <c r="F15" cm="1">
        <f t="array" ref="F15">INDEX('Linha 05'!$C$3:$ZZ$3,C15)</f>
        <v>20150051</v>
      </c>
      <c r="G15" t="str" cm="1">
        <f t="array" ref="G15">INDEX('Linha 05'!$C$2:$ZZ$2,C15)</f>
        <v>Amac. Conc. Aquafast Azul Harmonia Cx/ 04 X 3l</v>
      </c>
      <c r="H15" s="5" cm="1">
        <f t="array" ref="H15">INDEX('Linha 05'!$C$4:$ZZ$1000,B15,C15)</f>
        <v>3.4722222222222224E-2</v>
      </c>
      <c r="I15" t="str">
        <f t="shared" si="2"/>
        <v>20030008 20150051</v>
      </c>
      <c r="J15" s="5">
        <v>3.4722222222222224E-2</v>
      </c>
    </row>
    <row r="16" spans="1:10" x14ac:dyDescent="0.25">
      <c r="A16">
        <v>14</v>
      </c>
      <c r="B16">
        <f t="shared" si="0"/>
        <v>1</v>
      </c>
      <c r="C16">
        <f t="shared" si="1"/>
        <v>14</v>
      </c>
      <c r="D16" cm="1">
        <f t="array" ref="D16">INDEX('Linha 05'!$A$4:$A$1000,B16)</f>
        <v>20030008</v>
      </c>
      <c r="E16" t="str" cm="1">
        <f t="array" ref="E16">INDEX('Linha 05'!$B$4:$B$1000,B16)</f>
        <v>Detergente Aquafast Limao Cx/04 X 5l (Emb Econ)</v>
      </c>
      <c r="F16" cm="1">
        <f t="array" ref="F16">INDEX('Linha 05'!$C$3:$ZZ$3,C16)</f>
        <v>20200009</v>
      </c>
      <c r="G16" t="str" cm="1">
        <f t="array" ref="G16">INDEX('Linha 05'!$C$2:$ZZ$2,C16)</f>
        <v>Lava Roupas Aquafast Multi Acao Cx/04 X 5l (Emb Econ)</v>
      </c>
      <c r="H16" s="5" cm="1">
        <f t="array" ref="H16">INDEX('Linha 05'!$C$4:$ZZ$1000,B16,C16)</f>
        <v>1.3888888888888888E-2</v>
      </c>
      <c r="I16" t="str">
        <f t="shared" si="2"/>
        <v>20030008 20200009</v>
      </c>
      <c r="J16" s="5">
        <v>1.3888888888888888E-2</v>
      </c>
    </row>
    <row r="17" spans="1:10" x14ac:dyDescent="0.25">
      <c r="A17">
        <v>15</v>
      </c>
      <c r="B17">
        <f t="shared" si="0"/>
        <v>1</v>
      </c>
      <c r="C17">
        <f t="shared" si="1"/>
        <v>15</v>
      </c>
      <c r="D17" cm="1">
        <f t="array" ref="D17">INDEX('Linha 05'!$A$4:$A$1000,B17)</f>
        <v>20030008</v>
      </c>
      <c r="E17" t="str" cm="1">
        <f t="array" ref="E17">INDEX('Linha 05'!$B$4:$B$1000,B17)</f>
        <v>Detergente Aquafast Limao Cx/04 X 5l (Emb Econ)</v>
      </c>
      <c r="F17" cm="1">
        <f t="array" ref="F17">INDEX('Linha 05'!$C$3:$ZZ$3,C17)</f>
        <v>20200014</v>
      </c>
      <c r="G17" t="str" cm="1">
        <f t="array" ref="G17">INDEX('Linha 05'!$C$2:$ZZ$2,C17)</f>
        <v>Lava Roupas Aquafast Glicerina Cx/04 X 5l</v>
      </c>
      <c r="H17" s="5" cm="1">
        <f t="array" ref="H17">INDEX('Linha 05'!$C$4:$ZZ$1000,B17,C17)</f>
        <v>1.3888888888888888E-2</v>
      </c>
      <c r="I17" t="str">
        <f t="shared" si="2"/>
        <v>20030008 20200014</v>
      </c>
      <c r="J17" s="5">
        <v>1.3888888888888888E-2</v>
      </c>
    </row>
    <row r="18" spans="1:10" x14ac:dyDescent="0.25">
      <c r="A18">
        <v>16</v>
      </c>
      <c r="B18">
        <f t="shared" si="0"/>
        <v>1</v>
      </c>
      <c r="C18">
        <f t="shared" si="1"/>
        <v>16</v>
      </c>
      <c r="D18" cm="1">
        <f t="array" ref="D18">INDEX('Linha 05'!$A$4:$A$1000,B18)</f>
        <v>20030008</v>
      </c>
      <c r="E18" t="str" cm="1">
        <f t="array" ref="E18">INDEX('Linha 05'!$B$4:$B$1000,B18)</f>
        <v>Detergente Aquafast Limao Cx/04 X 5l (Emb Econ)</v>
      </c>
      <c r="F18" cm="1">
        <f t="array" ref="F18">INDEX('Linha 05'!$C$3:$ZZ$3,C18)</f>
        <v>20200020</v>
      </c>
      <c r="G18" t="str" cm="1">
        <f t="array" ref="G18">INDEX('Linha 05'!$C$2:$ZZ$2,C18)</f>
        <v>Lava Roupas Aquafast Glicerina Cx/04 X 3l</v>
      </c>
      <c r="H18" s="5" cm="1">
        <f t="array" ref="H18">INDEX('Linha 05'!$C$4:$ZZ$1000,B18,C18)</f>
        <v>3.4722222222222224E-2</v>
      </c>
      <c r="I18" t="str">
        <f t="shared" si="2"/>
        <v>20030008 20200020</v>
      </c>
      <c r="J18" s="5">
        <v>3.4722222222222224E-2</v>
      </c>
    </row>
    <row r="19" spans="1:10" x14ac:dyDescent="0.25">
      <c r="A19">
        <v>17</v>
      </c>
      <c r="B19">
        <f t="shared" si="0"/>
        <v>1</v>
      </c>
      <c r="C19">
        <f t="shared" si="1"/>
        <v>17</v>
      </c>
      <c r="D19" cm="1">
        <f t="array" ref="D19">INDEX('Linha 05'!$A$4:$A$1000,B19)</f>
        <v>20030008</v>
      </c>
      <c r="E19" t="str" cm="1">
        <f t="array" ref="E19">INDEX('Linha 05'!$B$4:$B$1000,B19)</f>
        <v>Detergente Aquafast Limao Cx/04 X 5l (Emb Econ)</v>
      </c>
      <c r="F19" cm="1">
        <f t="array" ref="F19">INDEX('Linha 05'!$C$3:$ZZ$3,C19)</f>
        <v>20200022</v>
      </c>
      <c r="G19" t="str" cm="1">
        <f t="array" ref="G19">INDEX('Linha 05'!$C$2:$ZZ$2,C19)</f>
        <v>Lava Roupas Aquafast Multiacao Cx/04 X 3l</v>
      </c>
      <c r="H19" s="5" cm="1">
        <f t="array" ref="H19">INDEX('Linha 05'!$C$4:$ZZ$1000,B19,C19)</f>
        <v>3.4722222222222224E-2</v>
      </c>
      <c r="I19" t="str">
        <f t="shared" si="2"/>
        <v>20030008 20200022</v>
      </c>
      <c r="J19" s="5">
        <v>3.4722222222222224E-2</v>
      </c>
    </row>
    <row r="20" spans="1:10" x14ac:dyDescent="0.25">
      <c r="A20">
        <v>18</v>
      </c>
      <c r="B20">
        <f t="shared" si="0"/>
        <v>1</v>
      </c>
      <c r="C20">
        <f t="shared" si="1"/>
        <v>18</v>
      </c>
      <c r="D20" cm="1">
        <f t="array" ref="D20">INDEX('Linha 05'!$A$4:$A$1000,B20)</f>
        <v>20030008</v>
      </c>
      <c r="E20" t="str" cm="1">
        <f t="array" ref="E20">INDEX('Linha 05'!$B$4:$B$1000,B20)</f>
        <v>Detergente Aquafast Limao Cx/04 X 5l (Emb Econ)</v>
      </c>
      <c r="F20" cm="1">
        <f t="array" ref="F20">INDEX('Linha 05'!$C$3:$ZZ$3,C20)</f>
        <v>20200026</v>
      </c>
      <c r="G20" t="str" cm="1">
        <f t="array" ref="G20">INDEX('Linha 05'!$C$2:$ZZ$2,C20)</f>
        <v>Lava Roupas Aquafast Ternura Cx/04 X 3l</v>
      </c>
      <c r="H20" s="5" cm="1">
        <f t="array" ref="H20">INDEX('Linha 05'!$C$4:$ZZ$1000,B20,C20)</f>
        <v>3.4722222222222224E-2</v>
      </c>
      <c r="I20" t="str">
        <f t="shared" si="2"/>
        <v>20030008 20200026</v>
      </c>
      <c r="J20" s="5">
        <v>3.4722222222222224E-2</v>
      </c>
    </row>
    <row r="21" spans="1:10" x14ac:dyDescent="0.25">
      <c r="A21">
        <v>19</v>
      </c>
      <c r="B21">
        <f t="shared" si="0"/>
        <v>1</v>
      </c>
      <c r="C21">
        <f t="shared" si="1"/>
        <v>19</v>
      </c>
      <c r="D21" cm="1">
        <f t="array" ref="D21">INDEX('Linha 05'!$A$4:$A$1000,B21)</f>
        <v>20030008</v>
      </c>
      <c r="E21" t="str" cm="1">
        <f t="array" ref="E21">INDEX('Linha 05'!$B$4:$B$1000,B21)</f>
        <v>Detergente Aquafast Limao Cx/04 X 5l (Emb Econ)</v>
      </c>
      <c r="F21" cm="1">
        <f t="array" ref="F21">INDEX('Linha 05'!$C$3:$ZZ$3,C21)</f>
        <v>20200027</v>
      </c>
      <c r="G21" t="str" cm="1">
        <f t="array" ref="G21">INDEX('Linha 05'!$C$2:$ZZ$2,C21)</f>
        <v>Lava Roupas Aquafast Ternura C/04 X 5l (Emb Econ)</v>
      </c>
      <c r="H21" s="5" cm="1">
        <f t="array" ref="H21">INDEX('Linha 05'!$C$4:$ZZ$1000,B21,C21)</f>
        <v>1.3888888888888888E-2</v>
      </c>
      <c r="I21" t="str">
        <f t="shared" si="2"/>
        <v>20030008 20200027</v>
      </c>
      <c r="J21" s="5">
        <v>1.3888888888888888E-2</v>
      </c>
    </row>
    <row r="22" spans="1:10" x14ac:dyDescent="0.25">
      <c r="A22">
        <v>20</v>
      </c>
      <c r="B22">
        <f t="shared" si="0"/>
        <v>1</v>
      </c>
      <c r="C22">
        <f t="shared" si="1"/>
        <v>20</v>
      </c>
      <c r="D22" cm="1">
        <f t="array" ref="D22">INDEX('Linha 05'!$A$4:$A$1000,B22)</f>
        <v>20030008</v>
      </c>
      <c r="E22" t="str" cm="1">
        <f t="array" ref="E22">INDEX('Linha 05'!$B$4:$B$1000,B22)</f>
        <v>Detergente Aquafast Limao Cx/04 X 5l (Emb Econ)</v>
      </c>
      <c r="F22" cm="1">
        <f t="array" ref="F22">INDEX('Linha 05'!$C$3:$ZZ$3,C22)</f>
        <v>20200058</v>
      </c>
      <c r="G22" t="str" cm="1">
        <f t="array" ref="G22">INDEX('Linha 05'!$C$2:$ZZ$2,C22)</f>
        <v>Lava Roupas Aquafast Flores Brancas E Baunilha Cx/4 X 3l</v>
      </c>
      <c r="H22" s="5" cm="1">
        <f t="array" ref="H22">INDEX('Linha 05'!$C$4:$ZZ$1000,B22,C22)</f>
        <v>3.4722222222222224E-2</v>
      </c>
      <c r="I22" t="str">
        <f t="shared" si="2"/>
        <v>20030008 20200058</v>
      </c>
      <c r="J22" s="5">
        <v>3.4722222222222224E-2</v>
      </c>
    </row>
    <row r="23" spans="1:10" x14ac:dyDescent="0.25">
      <c r="A23">
        <v>21</v>
      </c>
      <c r="B23">
        <f t="shared" si="0"/>
        <v>1</v>
      </c>
      <c r="C23">
        <f t="shared" si="1"/>
        <v>21</v>
      </c>
      <c r="D23" cm="1">
        <f t="array" ref="D23">INDEX('Linha 05'!$A$4:$A$1000,B23)</f>
        <v>20030008</v>
      </c>
      <c r="E23" t="str" cm="1">
        <f t="array" ref="E23">INDEX('Linha 05'!$B$4:$B$1000,B23)</f>
        <v>Detergente Aquafast Limao Cx/04 X 5l (Emb Econ)</v>
      </c>
      <c r="F23" cm="1">
        <f t="array" ref="F23">INDEX('Linha 05'!$C$3:$ZZ$3,C23)</f>
        <v>20200077</v>
      </c>
      <c r="G23" t="str" cm="1">
        <f t="array" ref="G23">INDEX('Linha 05'!$C$2:$ZZ$2,C23)</f>
        <v>Lava Roupas Aquafast Alta Performance 7l</v>
      </c>
      <c r="H23" s="5" cm="1">
        <f t="array" ref="H23">INDEX('Linha 05'!$C$4:$ZZ$1000,B23,C23)</f>
        <v>3.4722222222222224E-2</v>
      </c>
      <c r="I23" t="str">
        <f t="shared" si="2"/>
        <v>20030008 20200077</v>
      </c>
      <c r="J23" s="5">
        <v>3.4722222222222224E-2</v>
      </c>
    </row>
    <row r="24" spans="1:10" x14ac:dyDescent="0.25">
      <c r="A24">
        <v>22</v>
      </c>
      <c r="B24">
        <f t="shared" si="0"/>
        <v>2</v>
      </c>
      <c r="C24">
        <f t="shared" si="1"/>
        <v>1</v>
      </c>
      <c r="D24" cm="1">
        <f t="array" ref="D24">INDEX('Linha 05'!$A$4:$A$1000,B24)</f>
        <v>20030009</v>
      </c>
      <c r="E24" t="str" cm="1">
        <f t="array" ref="E24">INDEX('Linha 05'!$B$4:$B$1000,B24)</f>
        <v>Detergente Aquafast Neutro Cx/04 X 5l (Emb Econ)</v>
      </c>
      <c r="F24" cm="1">
        <f t="array" ref="F24">INDEX('Linha 05'!$C$3:$ZZ$3,C24)</f>
        <v>20030008</v>
      </c>
      <c r="G24" t="str" cm="1">
        <f t="array" ref="G24">INDEX('Linha 05'!$C$2:$ZZ$2,C24)</f>
        <v>Detergente Aquafast Limao Cx/04 X 5l (Emb Econ)</v>
      </c>
      <c r="H24" s="5" cm="1">
        <f t="array" ref="H24">INDEX('Linha 05'!$C$4:$ZZ$1000,B24,C24)</f>
        <v>6.9444444444444441E-3</v>
      </c>
      <c r="I24" t="str">
        <f t="shared" si="2"/>
        <v>20030009 20030008</v>
      </c>
      <c r="J24" s="5">
        <v>6.9444444444444441E-3</v>
      </c>
    </row>
    <row r="25" spans="1:10" x14ac:dyDescent="0.25">
      <c r="A25">
        <v>23</v>
      </c>
      <c r="B25">
        <f t="shared" si="0"/>
        <v>2</v>
      </c>
      <c r="C25">
        <f t="shared" si="1"/>
        <v>2</v>
      </c>
      <c r="D25" cm="1">
        <f t="array" ref="D25">INDEX('Linha 05'!$A$4:$A$1000,B25)</f>
        <v>20030009</v>
      </c>
      <c r="E25" t="str" cm="1">
        <f t="array" ref="E25">INDEX('Linha 05'!$B$4:$B$1000,B25)</f>
        <v>Detergente Aquafast Neutro Cx/04 X 5l (Emb Econ)</v>
      </c>
      <c r="F25" cm="1">
        <f t="array" ref="F25">INDEX('Linha 05'!$C$3:$ZZ$3,C25)</f>
        <v>20030009</v>
      </c>
      <c r="G25" t="str" cm="1">
        <f t="array" ref="G25">INDEX('Linha 05'!$C$2:$ZZ$2,C25)</f>
        <v>Detergente Aquafast Neutro Cx/04 X 5l (Emb Econ)</v>
      </c>
      <c r="H25" s="5" cm="1">
        <f t="array" ref="H25">INDEX('Linha 05'!$C$4:$ZZ$1000,B25,C25)</f>
        <v>0</v>
      </c>
      <c r="I25" t="str">
        <f t="shared" si="2"/>
        <v>20030009 20030009</v>
      </c>
      <c r="J25" s="5">
        <v>0</v>
      </c>
    </row>
    <row r="26" spans="1:10" x14ac:dyDescent="0.25">
      <c r="A26">
        <v>24</v>
      </c>
      <c r="B26">
        <f t="shared" si="0"/>
        <v>2</v>
      </c>
      <c r="C26">
        <f t="shared" si="1"/>
        <v>3</v>
      </c>
      <c r="D26" cm="1">
        <f t="array" ref="D26">INDEX('Linha 05'!$A$4:$A$1000,B26)</f>
        <v>20030009</v>
      </c>
      <c r="E26" t="str" cm="1">
        <f t="array" ref="E26">INDEX('Linha 05'!$B$4:$B$1000,B26)</f>
        <v>Detergente Aquafast Neutro Cx/04 X 5l (Emb Econ)</v>
      </c>
      <c r="F26" cm="1">
        <f t="array" ref="F26">INDEX('Linha 05'!$C$3:$ZZ$3,C26)</f>
        <v>20030010</v>
      </c>
      <c r="G26" t="str" cm="1">
        <f t="array" ref="G26">INDEX('Linha 05'!$C$2:$ZZ$2,C26)</f>
        <v>Detergente Aquafast Clear Cx/04 X 5l (Emb Econ)</v>
      </c>
      <c r="H26" s="5" cm="1">
        <f t="array" ref="H26">INDEX('Linha 05'!$C$4:$ZZ$1000,B26,C26)</f>
        <v>6.9444444444444441E-3</v>
      </c>
      <c r="I26" t="str">
        <f t="shared" si="2"/>
        <v>20030009 20030010</v>
      </c>
      <c r="J26" s="5">
        <v>6.9444444444444441E-3</v>
      </c>
    </row>
    <row r="27" spans="1:10" x14ac:dyDescent="0.25">
      <c r="A27">
        <v>25</v>
      </c>
      <c r="B27">
        <f t="shared" si="0"/>
        <v>2</v>
      </c>
      <c r="C27">
        <f t="shared" si="1"/>
        <v>4</v>
      </c>
      <c r="D27" cm="1">
        <f t="array" ref="D27">INDEX('Linha 05'!$A$4:$A$1000,B27)</f>
        <v>20030009</v>
      </c>
      <c r="E27" t="str" cm="1">
        <f t="array" ref="E27">INDEX('Linha 05'!$B$4:$B$1000,B27)</f>
        <v>Detergente Aquafast Neutro Cx/04 X 5l (Emb Econ)</v>
      </c>
      <c r="F27" cm="1">
        <f t="array" ref="F27">INDEX('Linha 05'!$C$3:$ZZ$3,C27)</f>
        <v>20030024</v>
      </c>
      <c r="G27" t="str" cm="1">
        <f t="array" ref="G27">INDEX('Linha 05'!$C$2:$ZZ$2,C27)</f>
        <v>Detergente Ito Neutro Cx/04 X 5l</v>
      </c>
      <c r="H27" s="5" cm="1">
        <f t="array" ref="H27">INDEX('Linha 05'!$C$4:$ZZ$1000,B27,C27)</f>
        <v>6.9444444444444441E-3</v>
      </c>
      <c r="I27" t="str">
        <f t="shared" si="2"/>
        <v>20030009 20030024</v>
      </c>
      <c r="J27" s="5">
        <v>6.9444444444444441E-3</v>
      </c>
    </row>
    <row r="28" spans="1:10" x14ac:dyDescent="0.25">
      <c r="A28">
        <v>26</v>
      </c>
      <c r="B28">
        <f t="shared" si="0"/>
        <v>2</v>
      </c>
      <c r="C28">
        <f t="shared" si="1"/>
        <v>5</v>
      </c>
      <c r="D28" cm="1">
        <f t="array" ref="D28">INDEX('Linha 05'!$A$4:$A$1000,B28)</f>
        <v>20030009</v>
      </c>
      <c r="E28" t="str" cm="1">
        <f t="array" ref="E28">INDEX('Linha 05'!$B$4:$B$1000,B28)</f>
        <v>Detergente Aquafast Neutro Cx/04 X 5l (Emb Econ)</v>
      </c>
      <c r="F28" cm="1">
        <f t="array" ref="F28">INDEX('Linha 05'!$C$3:$ZZ$3,C28)</f>
        <v>20030083</v>
      </c>
      <c r="G28" t="str" cm="1">
        <f t="array" ref="G28">INDEX('Linha 05'!$C$2:$ZZ$2,C28)</f>
        <v>Detergente Ito Clear Cx/04 X 5l</v>
      </c>
      <c r="H28" s="5" cm="1">
        <f t="array" ref="H28">INDEX('Linha 05'!$C$4:$ZZ$1000,B28,C28)</f>
        <v>6.9444444444444441E-3</v>
      </c>
      <c r="I28" t="str">
        <f t="shared" si="2"/>
        <v>20030009 20030083</v>
      </c>
      <c r="J28" s="5">
        <v>6.9444444444444441E-3</v>
      </c>
    </row>
    <row r="29" spans="1:10" x14ac:dyDescent="0.25">
      <c r="A29">
        <v>27</v>
      </c>
      <c r="B29">
        <f t="shared" si="0"/>
        <v>2</v>
      </c>
      <c r="C29">
        <f t="shared" si="1"/>
        <v>6</v>
      </c>
      <c r="D29" cm="1">
        <f t="array" ref="D29">INDEX('Linha 05'!$A$4:$A$1000,B29)</f>
        <v>20030009</v>
      </c>
      <c r="E29" t="str" cm="1">
        <f t="array" ref="E29">INDEX('Linha 05'!$B$4:$B$1000,B29)</f>
        <v>Detergente Aquafast Neutro Cx/04 X 5l (Emb Econ)</v>
      </c>
      <c r="F29" cm="1">
        <f t="array" ref="F29">INDEX('Linha 05'!$C$3:$ZZ$3,C29)</f>
        <v>20040030</v>
      </c>
      <c r="G29" t="str" cm="1">
        <f t="array" ref="G29">INDEX('Linha 05'!$C$2:$ZZ$2,C29)</f>
        <v>Amaciante Ito Azul Cx/04 X 5l</v>
      </c>
      <c r="H29" s="5" cm="1">
        <f t="array" ref="H29">INDEX('Linha 05'!$C$4:$ZZ$1000,B29,C29)</f>
        <v>1.3888888888888888E-2</v>
      </c>
      <c r="I29" t="str">
        <f t="shared" si="2"/>
        <v>20030009 20040030</v>
      </c>
      <c r="J29" s="5">
        <v>1.3888888888888888E-2</v>
      </c>
    </row>
    <row r="30" spans="1:10" x14ac:dyDescent="0.25">
      <c r="A30">
        <v>28</v>
      </c>
      <c r="B30">
        <f t="shared" si="0"/>
        <v>2</v>
      </c>
      <c r="C30">
        <f t="shared" si="1"/>
        <v>7</v>
      </c>
      <c r="D30" cm="1">
        <f t="array" ref="D30">INDEX('Linha 05'!$A$4:$A$1000,B30)</f>
        <v>20030009</v>
      </c>
      <c r="E30" t="str" cm="1">
        <f t="array" ref="E30">INDEX('Linha 05'!$B$4:$B$1000,B30)</f>
        <v>Detergente Aquafast Neutro Cx/04 X 5l (Emb Econ)</v>
      </c>
      <c r="F30" cm="1">
        <f t="array" ref="F30">INDEX('Linha 05'!$C$3:$ZZ$3,C30)</f>
        <v>20040074</v>
      </c>
      <c r="G30" t="str" cm="1">
        <f t="array" ref="G30">INDEX('Linha 05'!$C$2:$ZZ$2,C30)</f>
        <v>Amaciante Aquafast Azul Cx C/04 X 5l (Fresc Manh) Emb. Econ</v>
      </c>
      <c r="H30" s="5" cm="1">
        <f t="array" ref="H30">INDEX('Linha 05'!$C$4:$ZZ$1000,B30,C30)</f>
        <v>1.3888888888888888E-2</v>
      </c>
      <c r="I30" t="str">
        <f t="shared" si="2"/>
        <v>20030009 20040074</v>
      </c>
      <c r="J30" s="5">
        <v>1.3888888888888888E-2</v>
      </c>
    </row>
    <row r="31" spans="1:10" x14ac:dyDescent="0.25">
      <c r="A31">
        <v>29</v>
      </c>
      <c r="B31">
        <f t="shared" si="0"/>
        <v>2</v>
      </c>
      <c r="C31">
        <f t="shared" si="1"/>
        <v>8</v>
      </c>
      <c r="D31" cm="1">
        <f t="array" ref="D31">INDEX('Linha 05'!$A$4:$A$1000,B31)</f>
        <v>20030009</v>
      </c>
      <c r="E31" t="str" cm="1">
        <f t="array" ref="E31">INDEX('Linha 05'!$B$4:$B$1000,B31)</f>
        <v>Detergente Aquafast Neutro Cx/04 X 5l (Emb Econ)</v>
      </c>
      <c r="F31" cm="1">
        <f t="array" ref="F31">INDEX('Linha 05'!$C$3:$ZZ$3,C31)</f>
        <v>20040075</v>
      </c>
      <c r="G31" t="str" cm="1">
        <f t="array" ref="G31">INDEX('Linha 05'!$C$2:$ZZ$2,C31)</f>
        <v>Amaciante Aquafast Rosa Cx C/04 X 5l (Jard Flor) Emb. Econ</v>
      </c>
      <c r="H31" s="5" cm="1">
        <f t="array" ref="H31">INDEX('Linha 05'!$C$4:$ZZ$1000,B31,C31)</f>
        <v>1.3888888888888888E-2</v>
      </c>
      <c r="I31" t="str">
        <f t="shared" si="2"/>
        <v>20030009 20040075</v>
      </c>
      <c r="J31" s="5">
        <v>1.3888888888888888E-2</v>
      </c>
    </row>
    <row r="32" spans="1:10" x14ac:dyDescent="0.25">
      <c r="A32">
        <v>30</v>
      </c>
      <c r="B32">
        <f t="shared" si="0"/>
        <v>2</v>
      </c>
      <c r="C32">
        <f t="shared" si="1"/>
        <v>9</v>
      </c>
      <c r="D32" cm="1">
        <f t="array" ref="D32">INDEX('Linha 05'!$A$4:$A$1000,B32)</f>
        <v>20030009</v>
      </c>
      <c r="E32" t="str" cm="1">
        <f t="array" ref="E32">INDEX('Linha 05'!$B$4:$B$1000,B32)</f>
        <v>Detergente Aquafast Neutro Cx/04 X 5l (Emb Econ)</v>
      </c>
      <c r="F32" cm="1">
        <f t="array" ref="F32">INDEX('Linha 05'!$C$3:$ZZ$3,C32)</f>
        <v>20040086</v>
      </c>
      <c r="G32" t="str" cm="1">
        <f t="array" ref="G32">INDEX('Linha 05'!$C$2:$ZZ$2,C32)</f>
        <v>Amaciante Aquafast Vermelho Cx/04 X 5l (Seducao) Emb. Econ</v>
      </c>
      <c r="H32" s="5" cm="1">
        <f t="array" ref="H32">INDEX('Linha 05'!$C$4:$ZZ$1000,B32,C32)</f>
        <v>1.3888888888888888E-2</v>
      </c>
      <c r="I32" t="str">
        <f t="shared" si="2"/>
        <v>20030009 20040086</v>
      </c>
      <c r="J32" s="5">
        <v>1.3888888888888888E-2</v>
      </c>
    </row>
    <row r="33" spans="1:10" x14ac:dyDescent="0.25">
      <c r="A33">
        <v>31</v>
      </c>
      <c r="B33">
        <f t="shared" si="0"/>
        <v>2</v>
      </c>
      <c r="C33">
        <f t="shared" si="1"/>
        <v>10</v>
      </c>
      <c r="D33" cm="1">
        <f t="array" ref="D33">INDEX('Linha 05'!$A$4:$A$1000,B33)</f>
        <v>20030009</v>
      </c>
      <c r="E33" t="str" cm="1">
        <f t="array" ref="E33">INDEX('Linha 05'!$B$4:$B$1000,B33)</f>
        <v>Detergente Aquafast Neutro Cx/04 X 5l (Emb Econ)</v>
      </c>
      <c r="F33" cm="1">
        <f t="array" ref="F33">INDEX('Linha 05'!$C$3:$ZZ$3,C33)</f>
        <v>20040091</v>
      </c>
      <c r="G33" t="str" cm="1">
        <f t="array" ref="G33">INDEX('Linha 05'!$C$2:$ZZ$2,C33)</f>
        <v>Amaciante Aquafast Roxo Cx/04 X 5l (Magia) Emb. Econ</v>
      </c>
      <c r="H33" s="5" cm="1">
        <f t="array" ref="H33">INDEX('Linha 05'!$C$4:$ZZ$1000,B33,C33)</f>
        <v>1.3888888888888888E-2</v>
      </c>
      <c r="I33" t="str">
        <f t="shared" si="2"/>
        <v>20030009 20040091</v>
      </c>
      <c r="J33" s="5">
        <v>1.3888888888888888E-2</v>
      </c>
    </row>
    <row r="34" spans="1:10" x14ac:dyDescent="0.25">
      <c r="A34">
        <v>32</v>
      </c>
      <c r="B34">
        <f t="shared" si="0"/>
        <v>2</v>
      </c>
      <c r="C34">
        <f t="shared" si="1"/>
        <v>11</v>
      </c>
      <c r="D34" cm="1">
        <f t="array" ref="D34">INDEX('Linha 05'!$A$4:$A$1000,B34)</f>
        <v>20030009</v>
      </c>
      <c r="E34" t="str" cm="1">
        <f t="array" ref="E34">INDEX('Linha 05'!$B$4:$B$1000,B34)</f>
        <v>Detergente Aquafast Neutro Cx/04 X 5l (Emb Econ)</v>
      </c>
      <c r="F34" cm="1">
        <f t="array" ref="F34">INDEX('Linha 05'!$C$3:$ZZ$3,C34)</f>
        <v>20040095</v>
      </c>
      <c r="G34" t="str" cm="1">
        <f t="array" ref="G34">INDEX('Linha 05'!$C$2:$ZZ$2,C34)</f>
        <v>Amaciante Aquafast Energia Cx/04 X 5l Emb. Econ</v>
      </c>
      <c r="H34" s="5" cm="1">
        <f t="array" ref="H34">INDEX('Linha 05'!$C$4:$ZZ$1000,B34,C34)</f>
        <v>1.3888888888888888E-2</v>
      </c>
      <c r="I34" t="str">
        <f t="shared" si="2"/>
        <v>20030009 20040095</v>
      </c>
      <c r="J34" s="5">
        <v>1.3888888888888888E-2</v>
      </c>
    </row>
    <row r="35" spans="1:10" x14ac:dyDescent="0.25">
      <c r="A35">
        <v>33</v>
      </c>
      <c r="B35">
        <f t="shared" si="0"/>
        <v>2</v>
      </c>
      <c r="C35">
        <f t="shared" si="1"/>
        <v>12</v>
      </c>
      <c r="D35" cm="1">
        <f t="array" ref="D35">INDEX('Linha 05'!$A$4:$A$1000,B35)</f>
        <v>20030009</v>
      </c>
      <c r="E35" t="str" cm="1">
        <f t="array" ref="E35">INDEX('Linha 05'!$B$4:$B$1000,B35)</f>
        <v>Detergente Aquafast Neutro Cx/04 X 5l (Emb Econ)</v>
      </c>
      <c r="F35" cm="1">
        <f t="array" ref="F35">INDEX('Linha 05'!$C$3:$ZZ$3,C35)</f>
        <v>20150028</v>
      </c>
      <c r="G35" t="str" cm="1">
        <f t="array" ref="G35">INDEX('Linha 05'!$C$2:$ZZ$2,C35)</f>
        <v>Amac. Conc. Aquafast Branco Ternura Cx/ 04 X 3l</v>
      </c>
      <c r="H35" s="5" cm="1">
        <f t="array" ref="H35">INDEX('Linha 05'!$C$4:$ZZ$1000,B35,C35)</f>
        <v>3.4722222222222224E-2</v>
      </c>
      <c r="I35" t="str">
        <f t="shared" si="2"/>
        <v>20030009 20150028</v>
      </c>
      <c r="J35" s="5">
        <v>3.4722222222222224E-2</v>
      </c>
    </row>
    <row r="36" spans="1:10" x14ac:dyDescent="0.25">
      <c r="A36">
        <v>34</v>
      </c>
      <c r="B36">
        <f t="shared" si="0"/>
        <v>2</v>
      </c>
      <c r="C36">
        <f t="shared" si="1"/>
        <v>13</v>
      </c>
      <c r="D36" cm="1">
        <f t="array" ref="D36">INDEX('Linha 05'!$A$4:$A$1000,B36)</f>
        <v>20030009</v>
      </c>
      <c r="E36" t="str" cm="1">
        <f t="array" ref="E36">INDEX('Linha 05'!$B$4:$B$1000,B36)</f>
        <v>Detergente Aquafast Neutro Cx/04 X 5l (Emb Econ)</v>
      </c>
      <c r="F36" cm="1">
        <f t="array" ref="F36">INDEX('Linha 05'!$C$3:$ZZ$3,C36)</f>
        <v>20150051</v>
      </c>
      <c r="G36" t="str" cm="1">
        <f t="array" ref="G36">INDEX('Linha 05'!$C$2:$ZZ$2,C36)</f>
        <v>Amac. Conc. Aquafast Azul Harmonia Cx/ 04 X 3l</v>
      </c>
      <c r="H36" s="5" cm="1">
        <f t="array" ref="H36">INDEX('Linha 05'!$C$4:$ZZ$1000,B36,C36)</f>
        <v>3.4722222222222224E-2</v>
      </c>
      <c r="I36" t="str">
        <f t="shared" si="2"/>
        <v>20030009 20150051</v>
      </c>
      <c r="J36" s="5">
        <v>3.4722222222222224E-2</v>
      </c>
    </row>
    <row r="37" spans="1:10" x14ac:dyDescent="0.25">
      <c r="A37">
        <v>35</v>
      </c>
      <c r="B37">
        <f t="shared" si="0"/>
        <v>2</v>
      </c>
      <c r="C37">
        <f t="shared" si="1"/>
        <v>14</v>
      </c>
      <c r="D37" cm="1">
        <f t="array" ref="D37">INDEX('Linha 05'!$A$4:$A$1000,B37)</f>
        <v>20030009</v>
      </c>
      <c r="E37" t="str" cm="1">
        <f t="array" ref="E37">INDEX('Linha 05'!$B$4:$B$1000,B37)</f>
        <v>Detergente Aquafast Neutro Cx/04 X 5l (Emb Econ)</v>
      </c>
      <c r="F37" cm="1">
        <f t="array" ref="F37">INDEX('Linha 05'!$C$3:$ZZ$3,C37)</f>
        <v>20200009</v>
      </c>
      <c r="G37" t="str" cm="1">
        <f t="array" ref="G37">INDEX('Linha 05'!$C$2:$ZZ$2,C37)</f>
        <v>Lava Roupas Aquafast Multi Acao Cx/04 X 5l (Emb Econ)</v>
      </c>
      <c r="H37" s="5" cm="1">
        <f t="array" ref="H37">INDEX('Linha 05'!$C$4:$ZZ$1000,B37,C37)</f>
        <v>1.3888888888888888E-2</v>
      </c>
      <c r="I37" t="str">
        <f t="shared" si="2"/>
        <v>20030009 20200009</v>
      </c>
      <c r="J37" s="5">
        <v>1.3888888888888888E-2</v>
      </c>
    </row>
    <row r="38" spans="1:10" x14ac:dyDescent="0.25">
      <c r="A38">
        <v>36</v>
      </c>
      <c r="B38">
        <f t="shared" si="0"/>
        <v>2</v>
      </c>
      <c r="C38">
        <f t="shared" si="1"/>
        <v>15</v>
      </c>
      <c r="D38" cm="1">
        <f t="array" ref="D38">INDEX('Linha 05'!$A$4:$A$1000,B38)</f>
        <v>20030009</v>
      </c>
      <c r="E38" t="str" cm="1">
        <f t="array" ref="E38">INDEX('Linha 05'!$B$4:$B$1000,B38)</f>
        <v>Detergente Aquafast Neutro Cx/04 X 5l (Emb Econ)</v>
      </c>
      <c r="F38" cm="1">
        <f t="array" ref="F38">INDEX('Linha 05'!$C$3:$ZZ$3,C38)</f>
        <v>20200014</v>
      </c>
      <c r="G38" t="str" cm="1">
        <f t="array" ref="G38">INDEX('Linha 05'!$C$2:$ZZ$2,C38)</f>
        <v>Lava Roupas Aquafast Glicerina Cx/04 X 5l</v>
      </c>
      <c r="H38" s="5" cm="1">
        <f t="array" ref="H38">INDEX('Linha 05'!$C$4:$ZZ$1000,B38,C38)</f>
        <v>1.3888888888888888E-2</v>
      </c>
      <c r="I38" t="str">
        <f t="shared" si="2"/>
        <v>20030009 20200014</v>
      </c>
      <c r="J38" s="5">
        <v>1.3888888888888888E-2</v>
      </c>
    </row>
    <row r="39" spans="1:10" x14ac:dyDescent="0.25">
      <c r="A39">
        <v>37</v>
      </c>
      <c r="B39">
        <f t="shared" si="0"/>
        <v>2</v>
      </c>
      <c r="C39">
        <f t="shared" si="1"/>
        <v>16</v>
      </c>
      <c r="D39" cm="1">
        <f t="array" ref="D39">INDEX('Linha 05'!$A$4:$A$1000,B39)</f>
        <v>20030009</v>
      </c>
      <c r="E39" t="str" cm="1">
        <f t="array" ref="E39">INDEX('Linha 05'!$B$4:$B$1000,B39)</f>
        <v>Detergente Aquafast Neutro Cx/04 X 5l (Emb Econ)</v>
      </c>
      <c r="F39" cm="1">
        <f t="array" ref="F39">INDEX('Linha 05'!$C$3:$ZZ$3,C39)</f>
        <v>20200020</v>
      </c>
      <c r="G39" t="str" cm="1">
        <f t="array" ref="G39">INDEX('Linha 05'!$C$2:$ZZ$2,C39)</f>
        <v>Lava Roupas Aquafast Glicerina Cx/04 X 3l</v>
      </c>
      <c r="H39" s="5" cm="1">
        <f t="array" ref="H39">INDEX('Linha 05'!$C$4:$ZZ$1000,B39,C39)</f>
        <v>3.4722222222222224E-2</v>
      </c>
      <c r="I39" t="str">
        <f t="shared" si="2"/>
        <v>20030009 20200020</v>
      </c>
      <c r="J39" s="5">
        <v>3.4722222222222224E-2</v>
      </c>
    </row>
    <row r="40" spans="1:10" x14ac:dyDescent="0.25">
      <c r="A40">
        <v>38</v>
      </c>
      <c r="B40">
        <f t="shared" si="0"/>
        <v>2</v>
      </c>
      <c r="C40">
        <f t="shared" si="1"/>
        <v>17</v>
      </c>
      <c r="D40" cm="1">
        <f t="array" ref="D40">INDEX('Linha 05'!$A$4:$A$1000,B40)</f>
        <v>20030009</v>
      </c>
      <c r="E40" t="str" cm="1">
        <f t="array" ref="E40">INDEX('Linha 05'!$B$4:$B$1000,B40)</f>
        <v>Detergente Aquafast Neutro Cx/04 X 5l (Emb Econ)</v>
      </c>
      <c r="F40" cm="1">
        <f t="array" ref="F40">INDEX('Linha 05'!$C$3:$ZZ$3,C40)</f>
        <v>20200022</v>
      </c>
      <c r="G40" t="str" cm="1">
        <f t="array" ref="G40">INDEX('Linha 05'!$C$2:$ZZ$2,C40)</f>
        <v>Lava Roupas Aquafast Multiacao Cx/04 X 3l</v>
      </c>
      <c r="H40" s="5" cm="1">
        <f t="array" ref="H40">INDEX('Linha 05'!$C$4:$ZZ$1000,B40,C40)</f>
        <v>3.4722222222222224E-2</v>
      </c>
      <c r="I40" t="str">
        <f t="shared" si="2"/>
        <v>20030009 20200022</v>
      </c>
      <c r="J40" s="5">
        <v>3.4722222222222224E-2</v>
      </c>
    </row>
    <row r="41" spans="1:10" x14ac:dyDescent="0.25">
      <c r="A41">
        <v>39</v>
      </c>
      <c r="B41">
        <f t="shared" si="0"/>
        <v>2</v>
      </c>
      <c r="C41">
        <f t="shared" si="1"/>
        <v>18</v>
      </c>
      <c r="D41" cm="1">
        <f t="array" ref="D41">INDEX('Linha 05'!$A$4:$A$1000,B41)</f>
        <v>20030009</v>
      </c>
      <c r="E41" t="str" cm="1">
        <f t="array" ref="E41">INDEX('Linha 05'!$B$4:$B$1000,B41)</f>
        <v>Detergente Aquafast Neutro Cx/04 X 5l (Emb Econ)</v>
      </c>
      <c r="F41" cm="1">
        <f t="array" ref="F41">INDEX('Linha 05'!$C$3:$ZZ$3,C41)</f>
        <v>20200026</v>
      </c>
      <c r="G41" t="str" cm="1">
        <f t="array" ref="G41">INDEX('Linha 05'!$C$2:$ZZ$2,C41)</f>
        <v>Lava Roupas Aquafast Ternura Cx/04 X 3l</v>
      </c>
      <c r="H41" s="5" cm="1">
        <f t="array" ref="H41">INDEX('Linha 05'!$C$4:$ZZ$1000,B41,C41)</f>
        <v>3.4722222222222224E-2</v>
      </c>
      <c r="I41" t="str">
        <f t="shared" si="2"/>
        <v>20030009 20200026</v>
      </c>
      <c r="J41" s="5">
        <v>3.4722222222222224E-2</v>
      </c>
    </row>
    <row r="42" spans="1:10" x14ac:dyDescent="0.25">
      <c r="A42">
        <v>40</v>
      </c>
      <c r="B42">
        <f t="shared" si="0"/>
        <v>2</v>
      </c>
      <c r="C42">
        <f t="shared" si="1"/>
        <v>19</v>
      </c>
      <c r="D42" cm="1">
        <f t="array" ref="D42">INDEX('Linha 05'!$A$4:$A$1000,B42)</f>
        <v>20030009</v>
      </c>
      <c r="E42" t="str" cm="1">
        <f t="array" ref="E42">INDEX('Linha 05'!$B$4:$B$1000,B42)</f>
        <v>Detergente Aquafast Neutro Cx/04 X 5l (Emb Econ)</v>
      </c>
      <c r="F42" cm="1">
        <f t="array" ref="F42">INDEX('Linha 05'!$C$3:$ZZ$3,C42)</f>
        <v>20200027</v>
      </c>
      <c r="G42" t="str" cm="1">
        <f t="array" ref="G42">INDEX('Linha 05'!$C$2:$ZZ$2,C42)</f>
        <v>Lava Roupas Aquafast Ternura C/04 X 5l (Emb Econ)</v>
      </c>
      <c r="H42" s="5" cm="1">
        <f t="array" ref="H42">INDEX('Linha 05'!$C$4:$ZZ$1000,B42,C42)</f>
        <v>1.3888888888888888E-2</v>
      </c>
      <c r="I42" t="str">
        <f t="shared" si="2"/>
        <v>20030009 20200027</v>
      </c>
      <c r="J42" s="5">
        <v>1.3888888888888888E-2</v>
      </c>
    </row>
    <row r="43" spans="1:10" x14ac:dyDescent="0.25">
      <c r="A43">
        <v>41</v>
      </c>
      <c r="B43">
        <f t="shared" si="0"/>
        <v>2</v>
      </c>
      <c r="C43">
        <f t="shared" si="1"/>
        <v>20</v>
      </c>
      <c r="D43" cm="1">
        <f t="array" ref="D43">INDEX('Linha 05'!$A$4:$A$1000,B43)</f>
        <v>20030009</v>
      </c>
      <c r="E43" t="str" cm="1">
        <f t="array" ref="E43">INDEX('Linha 05'!$B$4:$B$1000,B43)</f>
        <v>Detergente Aquafast Neutro Cx/04 X 5l (Emb Econ)</v>
      </c>
      <c r="F43" cm="1">
        <f t="array" ref="F43">INDEX('Linha 05'!$C$3:$ZZ$3,C43)</f>
        <v>20200058</v>
      </c>
      <c r="G43" t="str" cm="1">
        <f t="array" ref="G43">INDEX('Linha 05'!$C$2:$ZZ$2,C43)</f>
        <v>Lava Roupas Aquafast Flores Brancas E Baunilha Cx/4 X 3l</v>
      </c>
      <c r="H43" s="5" cm="1">
        <f t="array" ref="H43">INDEX('Linha 05'!$C$4:$ZZ$1000,B43,C43)</f>
        <v>3.4722222222222224E-2</v>
      </c>
      <c r="I43" t="str">
        <f t="shared" si="2"/>
        <v>20030009 20200058</v>
      </c>
      <c r="J43" s="5">
        <v>3.4722222222222224E-2</v>
      </c>
    </row>
    <row r="44" spans="1:10" x14ac:dyDescent="0.25">
      <c r="A44">
        <v>42</v>
      </c>
      <c r="B44">
        <f t="shared" si="0"/>
        <v>2</v>
      </c>
      <c r="C44">
        <f t="shared" si="1"/>
        <v>21</v>
      </c>
      <c r="D44" cm="1">
        <f t="array" ref="D44">INDEX('Linha 05'!$A$4:$A$1000,B44)</f>
        <v>20030009</v>
      </c>
      <c r="E44" t="str" cm="1">
        <f t="array" ref="E44">INDEX('Linha 05'!$B$4:$B$1000,B44)</f>
        <v>Detergente Aquafast Neutro Cx/04 X 5l (Emb Econ)</v>
      </c>
      <c r="F44" cm="1">
        <f t="array" ref="F44">INDEX('Linha 05'!$C$3:$ZZ$3,C44)</f>
        <v>20200077</v>
      </c>
      <c r="G44" t="str" cm="1">
        <f t="array" ref="G44">INDEX('Linha 05'!$C$2:$ZZ$2,C44)</f>
        <v>Lava Roupas Aquafast Alta Performance 7l</v>
      </c>
      <c r="H44" s="5" cm="1">
        <f t="array" ref="H44">INDEX('Linha 05'!$C$4:$ZZ$1000,B44,C44)</f>
        <v>3.4722222222222224E-2</v>
      </c>
      <c r="I44" t="str">
        <f t="shared" si="2"/>
        <v>20030009 20200077</v>
      </c>
      <c r="J44" s="5">
        <v>3.4722222222222224E-2</v>
      </c>
    </row>
    <row r="45" spans="1:10" x14ac:dyDescent="0.25">
      <c r="A45">
        <v>43</v>
      </c>
      <c r="B45">
        <f t="shared" si="0"/>
        <v>3</v>
      </c>
      <c r="C45">
        <f t="shared" si="1"/>
        <v>1</v>
      </c>
      <c r="D45" cm="1">
        <f t="array" ref="D45">INDEX('Linha 05'!$A$4:$A$1000,B45)</f>
        <v>20030010</v>
      </c>
      <c r="E45" t="str" cm="1">
        <f t="array" ref="E45">INDEX('Linha 05'!$B$4:$B$1000,B45)</f>
        <v>Detergente Aquafast Clear Cx/04 X 5l (Emb Econ)</v>
      </c>
      <c r="F45" cm="1">
        <f t="array" ref="F45">INDEX('Linha 05'!$C$3:$ZZ$3,C45)</f>
        <v>20030008</v>
      </c>
      <c r="G45" t="str" cm="1">
        <f t="array" ref="G45">INDEX('Linha 05'!$C$2:$ZZ$2,C45)</f>
        <v>Detergente Aquafast Limao Cx/04 X 5l (Emb Econ)</v>
      </c>
      <c r="H45" s="5" cm="1">
        <f t="array" ref="H45">INDEX('Linha 05'!$C$4:$ZZ$1000,B45,C45)</f>
        <v>6.9444444444444441E-3</v>
      </c>
      <c r="I45" t="str">
        <f t="shared" si="2"/>
        <v>20030010 20030008</v>
      </c>
      <c r="J45" s="5">
        <v>6.9444444444444441E-3</v>
      </c>
    </row>
    <row r="46" spans="1:10" x14ac:dyDescent="0.25">
      <c r="A46">
        <v>44</v>
      </c>
      <c r="B46">
        <f t="shared" si="0"/>
        <v>3</v>
      </c>
      <c r="C46">
        <f t="shared" si="1"/>
        <v>2</v>
      </c>
      <c r="D46" cm="1">
        <f t="array" ref="D46">INDEX('Linha 05'!$A$4:$A$1000,B46)</f>
        <v>20030010</v>
      </c>
      <c r="E46" t="str" cm="1">
        <f t="array" ref="E46">INDEX('Linha 05'!$B$4:$B$1000,B46)</f>
        <v>Detergente Aquafast Clear Cx/04 X 5l (Emb Econ)</v>
      </c>
      <c r="F46" cm="1">
        <f t="array" ref="F46">INDEX('Linha 05'!$C$3:$ZZ$3,C46)</f>
        <v>20030009</v>
      </c>
      <c r="G46" t="str" cm="1">
        <f t="array" ref="G46">INDEX('Linha 05'!$C$2:$ZZ$2,C46)</f>
        <v>Detergente Aquafast Neutro Cx/04 X 5l (Emb Econ)</v>
      </c>
      <c r="H46" s="5" cm="1">
        <f t="array" ref="H46">INDEX('Linha 05'!$C$4:$ZZ$1000,B46,C46)</f>
        <v>6.9444444444444441E-3</v>
      </c>
      <c r="I46" t="str">
        <f t="shared" si="2"/>
        <v>20030010 20030009</v>
      </c>
      <c r="J46" s="5">
        <v>6.9444444444444441E-3</v>
      </c>
    </row>
    <row r="47" spans="1:10" x14ac:dyDescent="0.25">
      <c r="A47">
        <v>45</v>
      </c>
      <c r="B47">
        <f t="shared" si="0"/>
        <v>3</v>
      </c>
      <c r="C47">
        <f t="shared" si="1"/>
        <v>3</v>
      </c>
      <c r="D47" cm="1">
        <f t="array" ref="D47">INDEX('Linha 05'!$A$4:$A$1000,B47)</f>
        <v>20030010</v>
      </c>
      <c r="E47" t="str" cm="1">
        <f t="array" ref="E47">INDEX('Linha 05'!$B$4:$B$1000,B47)</f>
        <v>Detergente Aquafast Clear Cx/04 X 5l (Emb Econ)</v>
      </c>
      <c r="F47" cm="1">
        <f t="array" ref="F47">INDEX('Linha 05'!$C$3:$ZZ$3,C47)</f>
        <v>20030010</v>
      </c>
      <c r="G47" t="str" cm="1">
        <f t="array" ref="G47">INDEX('Linha 05'!$C$2:$ZZ$2,C47)</f>
        <v>Detergente Aquafast Clear Cx/04 X 5l (Emb Econ)</v>
      </c>
      <c r="H47" s="5" cm="1">
        <f t="array" ref="H47">INDEX('Linha 05'!$C$4:$ZZ$1000,B47,C47)</f>
        <v>0</v>
      </c>
      <c r="I47" t="str">
        <f t="shared" si="2"/>
        <v>20030010 20030010</v>
      </c>
      <c r="J47" s="5">
        <v>0</v>
      </c>
    </row>
    <row r="48" spans="1:10" x14ac:dyDescent="0.25">
      <c r="A48">
        <v>46</v>
      </c>
      <c r="B48">
        <f t="shared" si="0"/>
        <v>3</v>
      </c>
      <c r="C48">
        <f t="shared" si="1"/>
        <v>4</v>
      </c>
      <c r="D48" cm="1">
        <f t="array" ref="D48">INDEX('Linha 05'!$A$4:$A$1000,B48)</f>
        <v>20030010</v>
      </c>
      <c r="E48" t="str" cm="1">
        <f t="array" ref="E48">INDEX('Linha 05'!$B$4:$B$1000,B48)</f>
        <v>Detergente Aquafast Clear Cx/04 X 5l (Emb Econ)</v>
      </c>
      <c r="F48" cm="1">
        <f t="array" ref="F48">INDEX('Linha 05'!$C$3:$ZZ$3,C48)</f>
        <v>20030024</v>
      </c>
      <c r="G48" t="str" cm="1">
        <f t="array" ref="G48">INDEX('Linha 05'!$C$2:$ZZ$2,C48)</f>
        <v>Detergente Ito Neutro Cx/04 X 5l</v>
      </c>
      <c r="H48" s="5" cm="1">
        <f t="array" ref="H48">INDEX('Linha 05'!$C$4:$ZZ$1000,B48,C48)</f>
        <v>6.9444444444444441E-3</v>
      </c>
      <c r="I48" t="str">
        <f t="shared" si="2"/>
        <v>20030010 20030024</v>
      </c>
      <c r="J48" s="5">
        <v>6.9444444444444441E-3</v>
      </c>
    </row>
    <row r="49" spans="1:10" x14ac:dyDescent="0.25">
      <c r="A49">
        <v>47</v>
      </c>
      <c r="B49">
        <f t="shared" si="0"/>
        <v>3</v>
      </c>
      <c r="C49">
        <f t="shared" si="1"/>
        <v>5</v>
      </c>
      <c r="D49" cm="1">
        <f t="array" ref="D49">INDEX('Linha 05'!$A$4:$A$1000,B49)</f>
        <v>20030010</v>
      </c>
      <c r="E49" t="str" cm="1">
        <f t="array" ref="E49">INDEX('Linha 05'!$B$4:$B$1000,B49)</f>
        <v>Detergente Aquafast Clear Cx/04 X 5l (Emb Econ)</v>
      </c>
      <c r="F49" cm="1">
        <f t="array" ref="F49">INDEX('Linha 05'!$C$3:$ZZ$3,C49)</f>
        <v>20030083</v>
      </c>
      <c r="G49" t="str" cm="1">
        <f t="array" ref="G49">INDEX('Linha 05'!$C$2:$ZZ$2,C49)</f>
        <v>Detergente Ito Clear Cx/04 X 5l</v>
      </c>
      <c r="H49" s="5" cm="1">
        <f t="array" ref="H49">INDEX('Linha 05'!$C$4:$ZZ$1000,B49,C49)</f>
        <v>6.9444444444444441E-3</v>
      </c>
      <c r="I49" t="str">
        <f t="shared" si="2"/>
        <v>20030010 20030083</v>
      </c>
      <c r="J49" s="5">
        <v>6.9444444444444441E-3</v>
      </c>
    </row>
    <row r="50" spans="1:10" x14ac:dyDescent="0.25">
      <c r="A50">
        <v>48</v>
      </c>
      <c r="B50">
        <f t="shared" si="0"/>
        <v>3</v>
      </c>
      <c r="C50">
        <f t="shared" si="1"/>
        <v>6</v>
      </c>
      <c r="D50" cm="1">
        <f t="array" ref="D50">INDEX('Linha 05'!$A$4:$A$1000,B50)</f>
        <v>20030010</v>
      </c>
      <c r="E50" t="str" cm="1">
        <f t="array" ref="E50">INDEX('Linha 05'!$B$4:$B$1000,B50)</f>
        <v>Detergente Aquafast Clear Cx/04 X 5l (Emb Econ)</v>
      </c>
      <c r="F50" cm="1">
        <f t="array" ref="F50">INDEX('Linha 05'!$C$3:$ZZ$3,C50)</f>
        <v>20040030</v>
      </c>
      <c r="G50" t="str" cm="1">
        <f t="array" ref="G50">INDEX('Linha 05'!$C$2:$ZZ$2,C50)</f>
        <v>Amaciante Ito Azul Cx/04 X 5l</v>
      </c>
      <c r="H50" s="5" cm="1">
        <f t="array" ref="H50">INDEX('Linha 05'!$C$4:$ZZ$1000,B50,C50)</f>
        <v>1.3888888888888888E-2</v>
      </c>
      <c r="I50" t="str">
        <f t="shared" si="2"/>
        <v>20030010 20040030</v>
      </c>
      <c r="J50" s="5">
        <v>1.3888888888888888E-2</v>
      </c>
    </row>
    <row r="51" spans="1:10" x14ac:dyDescent="0.25">
      <c r="A51">
        <v>49</v>
      </c>
      <c r="B51">
        <f t="shared" si="0"/>
        <v>3</v>
      </c>
      <c r="C51">
        <f t="shared" si="1"/>
        <v>7</v>
      </c>
      <c r="D51" cm="1">
        <f t="array" ref="D51">INDEX('Linha 05'!$A$4:$A$1000,B51)</f>
        <v>20030010</v>
      </c>
      <c r="E51" t="str" cm="1">
        <f t="array" ref="E51">INDEX('Linha 05'!$B$4:$B$1000,B51)</f>
        <v>Detergente Aquafast Clear Cx/04 X 5l (Emb Econ)</v>
      </c>
      <c r="F51" cm="1">
        <f t="array" ref="F51">INDEX('Linha 05'!$C$3:$ZZ$3,C51)</f>
        <v>20040074</v>
      </c>
      <c r="G51" t="str" cm="1">
        <f t="array" ref="G51">INDEX('Linha 05'!$C$2:$ZZ$2,C51)</f>
        <v>Amaciante Aquafast Azul Cx C/04 X 5l (Fresc Manh) Emb. Econ</v>
      </c>
      <c r="H51" s="5" cm="1">
        <f t="array" ref="H51">INDEX('Linha 05'!$C$4:$ZZ$1000,B51,C51)</f>
        <v>1.3888888888888888E-2</v>
      </c>
      <c r="I51" t="str">
        <f t="shared" si="2"/>
        <v>20030010 20040074</v>
      </c>
      <c r="J51" s="5">
        <v>1.3888888888888888E-2</v>
      </c>
    </row>
    <row r="52" spans="1:10" x14ac:dyDescent="0.25">
      <c r="A52">
        <v>50</v>
      </c>
      <c r="B52">
        <f t="shared" si="0"/>
        <v>3</v>
      </c>
      <c r="C52">
        <f t="shared" si="1"/>
        <v>8</v>
      </c>
      <c r="D52" cm="1">
        <f t="array" ref="D52">INDEX('Linha 05'!$A$4:$A$1000,B52)</f>
        <v>20030010</v>
      </c>
      <c r="E52" t="str" cm="1">
        <f t="array" ref="E52">INDEX('Linha 05'!$B$4:$B$1000,B52)</f>
        <v>Detergente Aquafast Clear Cx/04 X 5l (Emb Econ)</v>
      </c>
      <c r="F52" cm="1">
        <f t="array" ref="F52">INDEX('Linha 05'!$C$3:$ZZ$3,C52)</f>
        <v>20040075</v>
      </c>
      <c r="G52" t="str" cm="1">
        <f t="array" ref="G52">INDEX('Linha 05'!$C$2:$ZZ$2,C52)</f>
        <v>Amaciante Aquafast Rosa Cx C/04 X 5l (Jard Flor) Emb. Econ</v>
      </c>
      <c r="H52" s="5" cm="1">
        <f t="array" ref="H52">INDEX('Linha 05'!$C$4:$ZZ$1000,B52,C52)</f>
        <v>1.3888888888888888E-2</v>
      </c>
      <c r="I52" t="str">
        <f t="shared" si="2"/>
        <v>20030010 20040075</v>
      </c>
      <c r="J52" s="5">
        <v>1.3888888888888888E-2</v>
      </c>
    </row>
    <row r="53" spans="1:10" x14ac:dyDescent="0.25">
      <c r="A53">
        <v>51</v>
      </c>
      <c r="B53">
        <f t="shared" si="0"/>
        <v>3</v>
      </c>
      <c r="C53">
        <f t="shared" si="1"/>
        <v>9</v>
      </c>
      <c r="D53" cm="1">
        <f t="array" ref="D53">INDEX('Linha 05'!$A$4:$A$1000,B53)</f>
        <v>20030010</v>
      </c>
      <c r="E53" t="str" cm="1">
        <f t="array" ref="E53">INDEX('Linha 05'!$B$4:$B$1000,B53)</f>
        <v>Detergente Aquafast Clear Cx/04 X 5l (Emb Econ)</v>
      </c>
      <c r="F53" cm="1">
        <f t="array" ref="F53">INDEX('Linha 05'!$C$3:$ZZ$3,C53)</f>
        <v>20040086</v>
      </c>
      <c r="G53" t="str" cm="1">
        <f t="array" ref="G53">INDEX('Linha 05'!$C$2:$ZZ$2,C53)</f>
        <v>Amaciante Aquafast Vermelho Cx/04 X 5l (Seducao) Emb. Econ</v>
      </c>
      <c r="H53" s="5" cm="1">
        <f t="array" ref="H53">INDEX('Linha 05'!$C$4:$ZZ$1000,B53,C53)</f>
        <v>1.3888888888888888E-2</v>
      </c>
      <c r="I53" t="str">
        <f t="shared" si="2"/>
        <v>20030010 20040086</v>
      </c>
      <c r="J53" s="5">
        <v>1.3888888888888888E-2</v>
      </c>
    </row>
    <row r="54" spans="1:10" x14ac:dyDescent="0.25">
      <c r="A54">
        <v>52</v>
      </c>
      <c r="B54">
        <f t="shared" si="0"/>
        <v>3</v>
      </c>
      <c r="C54">
        <f t="shared" si="1"/>
        <v>10</v>
      </c>
      <c r="D54" cm="1">
        <f t="array" ref="D54">INDEX('Linha 05'!$A$4:$A$1000,B54)</f>
        <v>20030010</v>
      </c>
      <c r="E54" t="str" cm="1">
        <f t="array" ref="E54">INDEX('Linha 05'!$B$4:$B$1000,B54)</f>
        <v>Detergente Aquafast Clear Cx/04 X 5l (Emb Econ)</v>
      </c>
      <c r="F54" cm="1">
        <f t="array" ref="F54">INDEX('Linha 05'!$C$3:$ZZ$3,C54)</f>
        <v>20040091</v>
      </c>
      <c r="G54" t="str" cm="1">
        <f t="array" ref="G54">INDEX('Linha 05'!$C$2:$ZZ$2,C54)</f>
        <v>Amaciante Aquafast Roxo Cx/04 X 5l (Magia) Emb. Econ</v>
      </c>
      <c r="H54" s="5" cm="1">
        <f t="array" ref="H54">INDEX('Linha 05'!$C$4:$ZZ$1000,B54,C54)</f>
        <v>1.3888888888888888E-2</v>
      </c>
      <c r="I54" t="str">
        <f t="shared" si="2"/>
        <v>20030010 20040091</v>
      </c>
      <c r="J54" s="5">
        <v>1.3888888888888888E-2</v>
      </c>
    </row>
    <row r="55" spans="1:10" x14ac:dyDescent="0.25">
      <c r="A55">
        <v>53</v>
      </c>
      <c r="B55">
        <f t="shared" si="0"/>
        <v>3</v>
      </c>
      <c r="C55">
        <f t="shared" si="1"/>
        <v>11</v>
      </c>
      <c r="D55" cm="1">
        <f t="array" ref="D55">INDEX('Linha 05'!$A$4:$A$1000,B55)</f>
        <v>20030010</v>
      </c>
      <c r="E55" t="str" cm="1">
        <f t="array" ref="E55">INDEX('Linha 05'!$B$4:$B$1000,B55)</f>
        <v>Detergente Aquafast Clear Cx/04 X 5l (Emb Econ)</v>
      </c>
      <c r="F55" cm="1">
        <f t="array" ref="F55">INDEX('Linha 05'!$C$3:$ZZ$3,C55)</f>
        <v>20040095</v>
      </c>
      <c r="G55" t="str" cm="1">
        <f t="array" ref="G55">INDEX('Linha 05'!$C$2:$ZZ$2,C55)</f>
        <v>Amaciante Aquafast Energia Cx/04 X 5l Emb. Econ</v>
      </c>
      <c r="H55" s="5" cm="1">
        <f t="array" ref="H55">INDEX('Linha 05'!$C$4:$ZZ$1000,B55,C55)</f>
        <v>1.3888888888888888E-2</v>
      </c>
      <c r="I55" t="str">
        <f t="shared" si="2"/>
        <v>20030010 20040095</v>
      </c>
      <c r="J55" s="5">
        <v>1.3888888888888888E-2</v>
      </c>
    </row>
    <row r="56" spans="1:10" x14ac:dyDescent="0.25">
      <c r="A56">
        <v>54</v>
      </c>
      <c r="B56">
        <f t="shared" si="0"/>
        <v>3</v>
      </c>
      <c r="C56">
        <f t="shared" si="1"/>
        <v>12</v>
      </c>
      <c r="D56" cm="1">
        <f t="array" ref="D56">INDEX('Linha 05'!$A$4:$A$1000,B56)</f>
        <v>20030010</v>
      </c>
      <c r="E56" t="str" cm="1">
        <f t="array" ref="E56">INDEX('Linha 05'!$B$4:$B$1000,B56)</f>
        <v>Detergente Aquafast Clear Cx/04 X 5l (Emb Econ)</v>
      </c>
      <c r="F56" cm="1">
        <f t="array" ref="F56">INDEX('Linha 05'!$C$3:$ZZ$3,C56)</f>
        <v>20150028</v>
      </c>
      <c r="G56" t="str" cm="1">
        <f t="array" ref="G56">INDEX('Linha 05'!$C$2:$ZZ$2,C56)</f>
        <v>Amac. Conc. Aquafast Branco Ternura Cx/ 04 X 3l</v>
      </c>
      <c r="H56" s="5" cm="1">
        <f t="array" ref="H56">INDEX('Linha 05'!$C$4:$ZZ$1000,B56,C56)</f>
        <v>3.4722222222222224E-2</v>
      </c>
      <c r="I56" t="str">
        <f t="shared" si="2"/>
        <v>20030010 20150028</v>
      </c>
      <c r="J56" s="5">
        <v>3.4722222222222224E-2</v>
      </c>
    </row>
    <row r="57" spans="1:10" x14ac:dyDescent="0.25">
      <c r="A57">
        <v>55</v>
      </c>
      <c r="B57">
        <f t="shared" si="0"/>
        <v>3</v>
      </c>
      <c r="C57">
        <f t="shared" si="1"/>
        <v>13</v>
      </c>
      <c r="D57" cm="1">
        <f t="array" ref="D57">INDEX('Linha 05'!$A$4:$A$1000,B57)</f>
        <v>20030010</v>
      </c>
      <c r="E57" t="str" cm="1">
        <f t="array" ref="E57">INDEX('Linha 05'!$B$4:$B$1000,B57)</f>
        <v>Detergente Aquafast Clear Cx/04 X 5l (Emb Econ)</v>
      </c>
      <c r="F57" cm="1">
        <f t="array" ref="F57">INDEX('Linha 05'!$C$3:$ZZ$3,C57)</f>
        <v>20150051</v>
      </c>
      <c r="G57" t="str" cm="1">
        <f t="array" ref="G57">INDEX('Linha 05'!$C$2:$ZZ$2,C57)</f>
        <v>Amac. Conc. Aquafast Azul Harmonia Cx/ 04 X 3l</v>
      </c>
      <c r="H57" s="5" cm="1">
        <f t="array" ref="H57">INDEX('Linha 05'!$C$4:$ZZ$1000,B57,C57)</f>
        <v>3.4722222222222224E-2</v>
      </c>
      <c r="I57" t="str">
        <f t="shared" si="2"/>
        <v>20030010 20150051</v>
      </c>
      <c r="J57" s="5">
        <v>3.4722222222222224E-2</v>
      </c>
    </row>
    <row r="58" spans="1:10" x14ac:dyDescent="0.25">
      <c r="A58">
        <v>56</v>
      </c>
      <c r="B58">
        <f t="shared" si="0"/>
        <v>3</v>
      </c>
      <c r="C58">
        <f t="shared" si="1"/>
        <v>14</v>
      </c>
      <c r="D58" cm="1">
        <f t="array" ref="D58">INDEX('Linha 05'!$A$4:$A$1000,B58)</f>
        <v>20030010</v>
      </c>
      <c r="E58" t="str" cm="1">
        <f t="array" ref="E58">INDEX('Linha 05'!$B$4:$B$1000,B58)</f>
        <v>Detergente Aquafast Clear Cx/04 X 5l (Emb Econ)</v>
      </c>
      <c r="F58" cm="1">
        <f t="array" ref="F58">INDEX('Linha 05'!$C$3:$ZZ$3,C58)</f>
        <v>20200009</v>
      </c>
      <c r="G58" t="str" cm="1">
        <f t="array" ref="G58">INDEX('Linha 05'!$C$2:$ZZ$2,C58)</f>
        <v>Lava Roupas Aquafast Multi Acao Cx/04 X 5l (Emb Econ)</v>
      </c>
      <c r="H58" s="5" cm="1">
        <f t="array" ref="H58">INDEX('Linha 05'!$C$4:$ZZ$1000,B58,C58)</f>
        <v>1.3888888888888888E-2</v>
      </c>
      <c r="I58" t="str">
        <f t="shared" si="2"/>
        <v>20030010 20200009</v>
      </c>
      <c r="J58" s="5">
        <v>1.3888888888888888E-2</v>
      </c>
    </row>
    <row r="59" spans="1:10" x14ac:dyDescent="0.25">
      <c r="A59">
        <v>57</v>
      </c>
      <c r="B59">
        <f t="shared" si="0"/>
        <v>3</v>
      </c>
      <c r="C59">
        <f t="shared" si="1"/>
        <v>15</v>
      </c>
      <c r="D59" cm="1">
        <f t="array" ref="D59">INDEX('Linha 05'!$A$4:$A$1000,B59)</f>
        <v>20030010</v>
      </c>
      <c r="E59" t="str" cm="1">
        <f t="array" ref="E59">INDEX('Linha 05'!$B$4:$B$1000,B59)</f>
        <v>Detergente Aquafast Clear Cx/04 X 5l (Emb Econ)</v>
      </c>
      <c r="F59" cm="1">
        <f t="array" ref="F59">INDEX('Linha 05'!$C$3:$ZZ$3,C59)</f>
        <v>20200014</v>
      </c>
      <c r="G59" t="str" cm="1">
        <f t="array" ref="G59">INDEX('Linha 05'!$C$2:$ZZ$2,C59)</f>
        <v>Lava Roupas Aquafast Glicerina Cx/04 X 5l</v>
      </c>
      <c r="H59" s="5" cm="1">
        <f t="array" ref="H59">INDEX('Linha 05'!$C$4:$ZZ$1000,B59,C59)</f>
        <v>1.3888888888888888E-2</v>
      </c>
      <c r="I59" t="str">
        <f t="shared" si="2"/>
        <v>20030010 20200014</v>
      </c>
      <c r="J59" s="5">
        <v>1.3888888888888888E-2</v>
      </c>
    </row>
    <row r="60" spans="1:10" x14ac:dyDescent="0.25">
      <c r="A60">
        <v>58</v>
      </c>
      <c r="B60">
        <f t="shared" si="0"/>
        <v>3</v>
      </c>
      <c r="C60">
        <f t="shared" si="1"/>
        <v>16</v>
      </c>
      <c r="D60" cm="1">
        <f t="array" ref="D60">INDEX('Linha 05'!$A$4:$A$1000,B60)</f>
        <v>20030010</v>
      </c>
      <c r="E60" t="str" cm="1">
        <f t="array" ref="E60">INDEX('Linha 05'!$B$4:$B$1000,B60)</f>
        <v>Detergente Aquafast Clear Cx/04 X 5l (Emb Econ)</v>
      </c>
      <c r="F60" cm="1">
        <f t="array" ref="F60">INDEX('Linha 05'!$C$3:$ZZ$3,C60)</f>
        <v>20200020</v>
      </c>
      <c r="G60" t="str" cm="1">
        <f t="array" ref="G60">INDEX('Linha 05'!$C$2:$ZZ$2,C60)</f>
        <v>Lava Roupas Aquafast Glicerina Cx/04 X 3l</v>
      </c>
      <c r="H60" s="5" cm="1">
        <f t="array" ref="H60">INDEX('Linha 05'!$C$4:$ZZ$1000,B60,C60)</f>
        <v>3.4722222222222224E-2</v>
      </c>
      <c r="I60" t="str">
        <f t="shared" si="2"/>
        <v>20030010 20200020</v>
      </c>
      <c r="J60" s="5">
        <v>3.4722222222222224E-2</v>
      </c>
    </row>
    <row r="61" spans="1:10" x14ac:dyDescent="0.25">
      <c r="A61">
        <v>59</v>
      </c>
      <c r="B61">
        <f t="shared" si="0"/>
        <v>3</v>
      </c>
      <c r="C61">
        <f t="shared" si="1"/>
        <v>17</v>
      </c>
      <c r="D61" cm="1">
        <f t="array" ref="D61">INDEX('Linha 05'!$A$4:$A$1000,B61)</f>
        <v>20030010</v>
      </c>
      <c r="E61" t="str" cm="1">
        <f t="array" ref="E61">INDEX('Linha 05'!$B$4:$B$1000,B61)</f>
        <v>Detergente Aquafast Clear Cx/04 X 5l (Emb Econ)</v>
      </c>
      <c r="F61" cm="1">
        <f t="array" ref="F61">INDEX('Linha 05'!$C$3:$ZZ$3,C61)</f>
        <v>20200022</v>
      </c>
      <c r="G61" t="str" cm="1">
        <f t="array" ref="G61">INDEX('Linha 05'!$C$2:$ZZ$2,C61)</f>
        <v>Lava Roupas Aquafast Multiacao Cx/04 X 3l</v>
      </c>
      <c r="H61" s="5" cm="1">
        <f t="array" ref="H61">INDEX('Linha 05'!$C$4:$ZZ$1000,B61,C61)</f>
        <v>3.4722222222222224E-2</v>
      </c>
      <c r="I61" t="str">
        <f t="shared" si="2"/>
        <v>20030010 20200022</v>
      </c>
      <c r="J61" s="5">
        <v>3.4722222222222224E-2</v>
      </c>
    </row>
    <row r="62" spans="1:10" x14ac:dyDescent="0.25">
      <c r="A62">
        <v>60</v>
      </c>
      <c r="B62">
        <f t="shared" si="0"/>
        <v>3</v>
      </c>
      <c r="C62">
        <f t="shared" si="1"/>
        <v>18</v>
      </c>
      <c r="D62" cm="1">
        <f t="array" ref="D62">INDEX('Linha 05'!$A$4:$A$1000,B62)</f>
        <v>20030010</v>
      </c>
      <c r="E62" t="str" cm="1">
        <f t="array" ref="E62">INDEX('Linha 05'!$B$4:$B$1000,B62)</f>
        <v>Detergente Aquafast Clear Cx/04 X 5l (Emb Econ)</v>
      </c>
      <c r="F62" cm="1">
        <f t="array" ref="F62">INDEX('Linha 05'!$C$3:$ZZ$3,C62)</f>
        <v>20200026</v>
      </c>
      <c r="G62" t="str" cm="1">
        <f t="array" ref="G62">INDEX('Linha 05'!$C$2:$ZZ$2,C62)</f>
        <v>Lava Roupas Aquafast Ternura Cx/04 X 3l</v>
      </c>
      <c r="H62" s="5" cm="1">
        <f t="array" ref="H62">INDEX('Linha 05'!$C$4:$ZZ$1000,B62,C62)</f>
        <v>3.4722222222222224E-2</v>
      </c>
      <c r="I62" t="str">
        <f t="shared" si="2"/>
        <v>20030010 20200026</v>
      </c>
      <c r="J62" s="5">
        <v>3.4722222222222224E-2</v>
      </c>
    </row>
    <row r="63" spans="1:10" x14ac:dyDescent="0.25">
      <c r="A63">
        <v>61</v>
      </c>
      <c r="B63">
        <f t="shared" si="0"/>
        <v>3</v>
      </c>
      <c r="C63">
        <f t="shared" si="1"/>
        <v>19</v>
      </c>
      <c r="D63" cm="1">
        <f t="array" ref="D63">INDEX('Linha 05'!$A$4:$A$1000,B63)</f>
        <v>20030010</v>
      </c>
      <c r="E63" t="str" cm="1">
        <f t="array" ref="E63">INDEX('Linha 05'!$B$4:$B$1000,B63)</f>
        <v>Detergente Aquafast Clear Cx/04 X 5l (Emb Econ)</v>
      </c>
      <c r="F63" cm="1">
        <f t="array" ref="F63">INDEX('Linha 05'!$C$3:$ZZ$3,C63)</f>
        <v>20200027</v>
      </c>
      <c r="G63" t="str" cm="1">
        <f t="array" ref="G63">INDEX('Linha 05'!$C$2:$ZZ$2,C63)</f>
        <v>Lava Roupas Aquafast Ternura C/04 X 5l (Emb Econ)</v>
      </c>
      <c r="H63" s="5" cm="1">
        <f t="array" ref="H63">INDEX('Linha 05'!$C$4:$ZZ$1000,B63,C63)</f>
        <v>1.3888888888888888E-2</v>
      </c>
      <c r="I63" t="str">
        <f t="shared" si="2"/>
        <v>20030010 20200027</v>
      </c>
      <c r="J63" s="5">
        <v>1.3888888888888888E-2</v>
      </c>
    </row>
    <row r="64" spans="1:10" x14ac:dyDescent="0.25">
      <c r="A64">
        <v>62</v>
      </c>
      <c r="B64">
        <f t="shared" si="0"/>
        <v>3</v>
      </c>
      <c r="C64">
        <f t="shared" si="1"/>
        <v>20</v>
      </c>
      <c r="D64" cm="1">
        <f t="array" ref="D64">INDEX('Linha 05'!$A$4:$A$1000,B64)</f>
        <v>20030010</v>
      </c>
      <c r="E64" t="str" cm="1">
        <f t="array" ref="E64">INDEX('Linha 05'!$B$4:$B$1000,B64)</f>
        <v>Detergente Aquafast Clear Cx/04 X 5l (Emb Econ)</v>
      </c>
      <c r="F64" cm="1">
        <f t="array" ref="F64">INDEX('Linha 05'!$C$3:$ZZ$3,C64)</f>
        <v>20200058</v>
      </c>
      <c r="G64" t="str" cm="1">
        <f t="array" ref="G64">INDEX('Linha 05'!$C$2:$ZZ$2,C64)</f>
        <v>Lava Roupas Aquafast Flores Brancas E Baunilha Cx/4 X 3l</v>
      </c>
      <c r="H64" s="5" cm="1">
        <f t="array" ref="H64">INDEX('Linha 05'!$C$4:$ZZ$1000,B64,C64)</f>
        <v>3.4722222222222224E-2</v>
      </c>
      <c r="I64" t="str">
        <f t="shared" si="2"/>
        <v>20030010 20200058</v>
      </c>
      <c r="J64" s="5">
        <v>3.4722222222222224E-2</v>
      </c>
    </row>
    <row r="65" spans="1:10" x14ac:dyDescent="0.25">
      <c r="A65">
        <v>63</v>
      </c>
      <c r="B65">
        <f t="shared" si="0"/>
        <v>3</v>
      </c>
      <c r="C65">
        <f t="shared" si="1"/>
        <v>21</v>
      </c>
      <c r="D65" cm="1">
        <f t="array" ref="D65">INDEX('Linha 05'!$A$4:$A$1000,B65)</f>
        <v>20030010</v>
      </c>
      <c r="E65" t="str" cm="1">
        <f t="array" ref="E65">INDEX('Linha 05'!$B$4:$B$1000,B65)</f>
        <v>Detergente Aquafast Clear Cx/04 X 5l (Emb Econ)</v>
      </c>
      <c r="F65" cm="1">
        <f t="array" ref="F65">INDEX('Linha 05'!$C$3:$ZZ$3,C65)</f>
        <v>20200077</v>
      </c>
      <c r="G65" t="str" cm="1">
        <f t="array" ref="G65">INDEX('Linha 05'!$C$2:$ZZ$2,C65)</f>
        <v>Lava Roupas Aquafast Alta Performance 7l</v>
      </c>
      <c r="H65" s="5" cm="1">
        <f t="array" ref="H65">INDEX('Linha 05'!$C$4:$ZZ$1000,B65,C65)</f>
        <v>3.4722222222222224E-2</v>
      </c>
      <c r="I65" t="str">
        <f t="shared" si="2"/>
        <v>20030010 20200077</v>
      </c>
      <c r="J65" s="5">
        <v>3.4722222222222224E-2</v>
      </c>
    </row>
    <row r="66" spans="1:10" x14ac:dyDescent="0.25">
      <c r="A66">
        <v>64</v>
      </c>
      <c r="B66">
        <f t="shared" si="0"/>
        <v>4</v>
      </c>
      <c r="C66">
        <f t="shared" si="1"/>
        <v>1</v>
      </c>
      <c r="D66" cm="1">
        <f t="array" ref="D66">INDEX('Linha 05'!$A$4:$A$1000,B66)</f>
        <v>20030024</v>
      </c>
      <c r="E66" t="str" cm="1">
        <f t="array" ref="E66">INDEX('Linha 05'!$B$4:$B$1000,B66)</f>
        <v>Detergente Ito Neutro Cx/04 X 5l</v>
      </c>
      <c r="F66" cm="1">
        <f t="array" ref="F66">INDEX('Linha 05'!$C$3:$ZZ$3,C66)</f>
        <v>20030008</v>
      </c>
      <c r="G66" t="str" cm="1">
        <f t="array" ref="G66">INDEX('Linha 05'!$C$2:$ZZ$2,C66)</f>
        <v>Detergente Aquafast Limao Cx/04 X 5l (Emb Econ)</v>
      </c>
      <c r="H66" s="5" cm="1">
        <f t="array" ref="H66">INDEX('Linha 05'!$C$4:$ZZ$1000,B66,C66)</f>
        <v>6.9444444444444441E-3</v>
      </c>
      <c r="I66" t="str">
        <f t="shared" si="2"/>
        <v>20030024 20030008</v>
      </c>
      <c r="J66" s="5">
        <v>6.9444444444444441E-3</v>
      </c>
    </row>
    <row r="67" spans="1:10" x14ac:dyDescent="0.25">
      <c r="A67">
        <v>65</v>
      </c>
      <c r="B67">
        <f t="shared" si="0"/>
        <v>4</v>
      </c>
      <c r="C67">
        <f t="shared" si="1"/>
        <v>2</v>
      </c>
      <c r="D67" cm="1">
        <f t="array" ref="D67">INDEX('Linha 05'!$A$4:$A$1000,B67)</f>
        <v>20030024</v>
      </c>
      <c r="E67" t="str" cm="1">
        <f t="array" ref="E67">INDEX('Linha 05'!$B$4:$B$1000,B67)</f>
        <v>Detergente Ito Neutro Cx/04 X 5l</v>
      </c>
      <c r="F67" cm="1">
        <f t="array" ref="F67">INDEX('Linha 05'!$C$3:$ZZ$3,C67)</f>
        <v>20030009</v>
      </c>
      <c r="G67" t="str" cm="1">
        <f t="array" ref="G67">INDEX('Linha 05'!$C$2:$ZZ$2,C67)</f>
        <v>Detergente Aquafast Neutro Cx/04 X 5l (Emb Econ)</v>
      </c>
      <c r="H67" s="5" cm="1">
        <f t="array" ref="H67">INDEX('Linha 05'!$C$4:$ZZ$1000,B67,C67)</f>
        <v>6.9444444444444441E-3</v>
      </c>
      <c r="I67" t="str">
        <f t="shared" si="2"/>
        <v>20030024 20030009</v>
      </c>
      <c r="J67" s="5">
        <v>6.9444444444444441E-3</v>
      </c>
    </row>
    <row r="68" spans="1:10" x14ac:dyDescent="0.25">
      <c r="A68">
        <v>66</v>
      </c>
      <c r="B68">
        <f t="shared" ref="B68:B131" si="3">INT((A68-1)/$B$1)+1</f>
        <v>4</v>
      </c>
      <c r="C68">
        <f t="shared" ref="C68:C131" si="4">MOD(A68-1,$B$1)+1</f>
        <v>3</v>
      </c>
      <c r="D68" cm="1">
        <f t="array" ref="D68">INDEX('Linha 05'!$A$4:$A$1000,B68)</f>
        <v>20030024</v>
      </c>
      <c r="E68" t="str" cm="1">
        <f t="array" ref="E68">INDEX('Linha 05'!$B$4:$B$1000,B68)</f>
        <v>Detergente Ito Neutro Cx/04 X 5l</v>
      </c>
      <c r="F68" cm="1">
        <f t="array" ref="F68">INDEX('Linha 05'!$C$3:$ZZ$3,C68)</f>
        <v>20030010</v>
      </c>
      <c r="G68" t="str" cm="1">
        <f t="array" ref="G68">INDEX('Linha 05'!$C$2:$ZZ$2,C68)</f>
        <v>Detergente Aquafast Clear Cx/04 X 5l (Emb Econ)</v>
      </c>
      <c r="H68" s="5" cm="1">
        <f t="array" ref="H68">INDEX('Linha 05'!$C$4:$ZZ$1000,B68,C68)</f>
        <v>6.9444444444444441E-3</v>
      </c>
      <c r="I68" t="str">
        <f t="shared" ref="I68:I131" si="5">CONCATENATE(D68," ",F68)</f>
        <v>20030024 20030010</v>
      </c>
      <c r="J68" s="5">
        <v>6.9444444444444441E-3</v>
      </c>
    </row>
    <row r="69" spans="1:10" x14ac:dyDescent="0.25">
      <c r="A69">
        <v>67</v>
      </c>
      <c r="B69">
        <f t="shared" si="3"/>
        <v>4</v>
      </c>
      <c r="C69">
        <f t="shared" si="4"/>
        <v>4</v>
      </c>
      <c r="D69" cm="1">
        <f t="array" ref="D69">INDEX('Linha 05'!$A$4:$A$1000,B69)</f>
        <v>20030024</v>
      </c>
      <c r="E69" t="str" cm="1">
        <f t="array" ref="E69">INDEX('Linha 05'!$B$4:$B$1000,B69)</f>
        <v>Detergente Ito Neutro Cx/04 X 5l</v>
      </c>
      <c r="F69" cm="1">
        <f t="array" ref="F69">INDEX('Linha 05'!$C$3:$ZZ$3,C69)</f>
        <v>20030024</v>
      </c>
      <c r="G69" t="str" cm="1">
        <f t="array" ref="G69">INDEX('Linha 05'!$C$2:$ZZ$2,C69)</f>
        <v>Detergente Ito Neutro Cx/04 X 5l</v>
      </c>
      <c r="H69" s="5" cm="1">
        <f t="array" ref="H69">INDEX('Linha 05'!$C$4:$ZZ$1000,B69,C69)</f>
        <v>0</v>
      </c>
      <c r="I69" t="str">
        <f t="shared" si="5"/>
        <v>20030024 20030024</v>
      </c>
      <c r="J69" s="5">
        <v>0</v>
      </c>
    </row>
    <row r="70" spans="1:10" x14ac:dyDescent="0.25">
      <c r="A70">
        <v>68</v>
      </c>
      <c r="B70">
        <f t="shared" si="3"/>
        <v>4</v>
      </c>
      <c r="C70">
        <f t="shared" si="4"/>
        <v>5</v>
      </c>
      <c r="D70" cm="1">
        <f t="array" ref="D70">INDEX('Linha 05'!$A$4:$A$1000,B70)</f>
        <v>20030024</v>
      </c>
      <c r="E70" t="str" cm="1">
        <f t="array" ref="E70">INDEX('Linha 05'!$B$4:$B$1000,B70)</f>
        <v>Detergente Ito Neutro Cx/04 X 5l</v>
      </c>
      <c r="F70" cm="1">
        <f t="array" ref="F70">INDEX('Linha 05'!$C$3:$ZZ$3,C70)</f>
        <v>20030083</v>
      </c>
      <c r="G70" t="str" cm="1">
        <f t="array" ref="G70">INDEX('Linha 05'!$C$2:$ZZ$2,C70)</f>
        <v>Detergente Ito Clear Cx/04 X 5l</v>
      </c>
      <c r="H70" s="5" cm="1">
        <f t="array" ref="H70">INDEX('Linha 05'!$C$4:$ZZ$1000,B70,C70)</f>
        <v>6.9444444444444441E-3</v>
      </c>
      <c r="I70" t="str">
        <f t="shared" si="5"/>
        <v>20030024 20030083</v>
      </c>
      <c r="J70" s="5">
        <v>6.9444444444444441E-3</v>
      </c>
    </row>
    <row r="71" spans="1:10" x14ac:dyDescent="0.25">
      <c r="A71">
        <v>69</v>
      </c>
      <c r="B71">
        <f t="shared" si="3"/>
        <v>4</v>
      </c>
      <c r="C71">
        <f t="shared" si="4"/>
        <v>6</v>
      </c>
      <c r="D71" cm="1">
        <f t="array" ref="D71">INDEX('Linha 05'!$A$4:$A$1000,B71)</f>
        <v>20030024</v>
      </c>
      <c r="E71" t="str" cm="1">
        <f t="array" ref="E71">INDEX('Linha 05'!$B$4:$B$1000,B71)</f>
        <v>Detergente Ito Neutro Cx/04 X 5l</v>
      </c>
      <c r="F71" cm="1">
        <f t="array" ref="F71">INDEX('Linha 05'!$C$3:$ZZ$3,C71)</f>
        <v>20040030</v>
      </c>
      <c r="G71" t="str" cm="1">
        <f t="array" ref="G71">INDEX('Linha 05'!$C$2:$ZZ$2,C71)</f>
        <v>Amaciante Ito Azul Cx/04 X 5l</v>
      </c>
      <c r="H71" s="5" cm="1">
        <f t="array" ref="H71">INDEX('Linha 05'!$C$4:$ZZ$1000,B71,C71)</f>
        <v>1.3888888888888888E-2</v>
      </c>
      <c r="I71" t="str">
        <f t="shared" si="5"/>
        <v>20030024 20040030</v>
      </c>
      <c r="J71" s="5">
        <v>1.3888888888888888E-2</v>
      </c>
    </row>
    <row r="72" spans="1:10" x14ac:dyDescent="0.25">
      <c r="A72">
        <v>70</v>
      </c>
      <c r="B72">
        <f t="shared" si="3"/>
        <v>4</v>
      </c>
      <c r="C72">
        <f t="shared" si="4"/>
        <v>7</v>
      </c>
      <c r="D72" cm="1">
        <f t="array" ref="D72">INDEX('Linha 05'!$A$4:$A$1000,B72)</f>
        <v>20030024</v>
      </c>
      <c r="E72" t="str" cm="1">
        <f t="array" ref="E72">INDEX('Linha 05'!$B$4:$B$1000,B72)</f>
        <v>Detergente Ito Neutro Cx/04 X 5l</v>
      </c>
      <c r="F72" cm="1">
        <f t="array" ref="F72">INDEX('Linha 05'!$C$3:$ZZ$3,C72)</f>
        <v>20040074</v>
      </c>
      <c r="G72" t="str" cm="1">
        <f t="array" ref="G72">INDEX('Linha 05'!$C$2:$ZZ$2,C72)</f>
        <v>Amaciante Aquafast Azul Cx C/04 X 5l (Fresc Manh) Emb. Econ</v>
      </c>
      <c r="H72" s="5" cm="1">
        <f t="array" ref="H72">INDEX('Linha 05'!$C$4:$ZZ$1000,B72,C72)</f>
        <v>1.3888888888888888E-2</v>
      </c>
      <c r="I72" t="str">
        <f t="shared" si="5"/>
        <v>20030024 20040074</v>
      </c>
      <c r="J72" s="5">
        <v>1.3888888888888888E-2</v>
      </c>
    </row>
    <row r="73" spans="1:10" x14ac:dyDescent="0.25">
      <c r="A73">
        <v>71</v>
      </c>
      <c r="B73">
        <f t="shared" si="3"/>
        <v>4</v>
      </c>
      <c r="C73">
        <f t="shared" si="4"/>
        <v>8</v>
      </c>
      <c r="D73" cm="1">
        <f t="array" ref="D73">INDEX('Linha 05'!$A$4:$A$1000,B73)</f>
        <v>20030024</v>
      </c>
      <c r="E73" t="str" cm="1">
        <f t="array" ref="E73">INDEX('Linha 05'!$B$4:$B$1000,B73)</f>
        <v>Detergente Ito Neutro Cx/04 X 5l</v>
      </c>
      <c r="F73" cm="1">
        <f t="array" ref="F73">INDEX('Linha 05'!$C$3:$ZZ$3,C73)</f>
        <v>20040075</v>
      </c>
      <c r="G73" t="str" cm="1">
        <f t="array" ref="G73">INDEX('Linha 05'!$C$2:$ZZ$2,C73)</f>
        <v>Amaciante Aquafast Rosa Cx C/04 X 5l (Jard Flor) Emb. Econ</v>
      </c>
      <c r="H73" s="5" cm="1">
        <f t="array" ref="H73">INDEX('Linha 05'!$C$4:$ZZ$1000,B73,C73)</f>
        <v>1.3888888888888888E-2</v>
      </c>
      <c r="I73" t="str">
        <f t="shared" si="5"/>
        <v>20030024 20040075</v>
      </c>
      <c r="J73" s="5">
        <v>1.3888888888888888E-2</v>
      </c>
    </row>
    <row r="74" spans="1:10" x14ac:dyDescent="0.25">
      <c r="A74">
        <v>72</v>
      </c>
      <c r="B74">
        <f t="shared" si="3"/>
        <v>4</v>
      </c>
      <c r="C74">
        <f t="shared" si="4"/>
        <v>9</v>
      </c>
      <c r="D74" cm="1">
        <f t="array" ref="D74">INDEX('Linha 05'!$A$4:$A$1000,B74)</f>
        <v>20030024</v>
      </c>
      <c r="E74" t="str" cm="1">
        <f t="array" ref="E74">INDEX('Linha 05'!$B$4:$B$1000,B74)</f>
        <v>Detergente Ito Neutro Cx/04 X 5l</v>
      </c>
      <c r="F74" cm="1">
        <f t="array" ref="F74">INDEX('Linha 05'!$C$3:$ZZ$3,C74)</f>
        <v>20040086</v>
      </c>
      <c r="G74" t="str" cm="1">
        <f t="array" ref="G74">INDEX('Linha 05'!$C$2:$ZZ$2,C74)</f>
        <v>Amaciante Aquafast Vermelho Cx/04 X 5l (Seducao) Emb. Econ</v>
      </c>
      <c r="H74" s="5" cm="1">
        <f t="array" ref="H74">INDEX('Linha 05'!$C$4:$ZZ$1000,B74,C74)</f>
        <v>1.3888888888888888E-2</v>
      </c>
      <c r="I74" t="str">
        <f t="shared" si="5"/>
        <v>20030024 20040086</v>
      </c>
      <c r="J74" s="5">
        <v>1.3888888888888888E-2</v>
      </c>
    </row>
    <row r="75" spans="1:10" x14ac:dyDescent="0.25">
      <c r="A75">
        <v>73</v>
      </c>
      <c r="B75">
        <f t="shared" si="3"/>
        <v>4</v>
      </c>
      <c r="C75">
        <f t="shared" si="4"/>
        <v>10</v>
      </c>
      <c r="D75" cm="1">
        <f t="array" ref="D75">INDEX('Linha 05'!$A$4:$A$1000,B75)</f>
        <v>20030024</v>
      </c>
      <c r="E75" t="str" cm="1">
        <f t="array" ref="E75">INDEX('Linha 05'!$B$4:$B$1000,B75)</f>
        <v>Detergente Ito Neutro Cx/04 X 5l</v>
      </c>
      <c r="F75" cm="1">
        <f t="array" ref="F75">INDEX('Linha 05'!$C$3:$ZZ$3,C75)</f>
        <v>20040091</v>
      </c>
      <c r="G75" t="str" cm="1">
        <f t="array" ref="G75">INDEX('Linha 05'!$C$2:$ZZ$2,C75)</f>
        <v>Amaciante Aquafast Roxo Cx/04 X 5l (Magia) Emb. Econ</v>
      </c>
      <c r="H75" s="5" cm="1">
        <f t="array" ref="H75">INDEX('Linha 05'!$C$4:$ZZ$1000,B75,C75)</f>
        <v>1.3888888888888888E-2</v>
      </c>
      <c r="I75" t="str">
        <f t="shared" si="5"/>
        <v>20030024 20040091</v>
      </c>
      <c r="J75" s="5">
        <v>1.3888888888888888E-2</v>
      </c>
    </row>
    <row r="76" spans="1:10" x14ac:dyDescent="0.25">
      <c r="A76">
        <v>74</v>
      </c>
      <c r="B76">
        <f t="shared" si="3"/>
        <v>4</v>
      </c>
      <c r="C76">
        <f t="shared" si="4"/>
        <v>11</v>
      </c>
      <c r="D76" cm="1">
        <f t="array" ref="D76">INDEX('Linha 05'!$A$4:$A$1000,B76)</f>
        <v>20030024</v>
      </c>
      <c r="E76" t="str" cm="1">
        <f t="array" ref="E76">INDEX('Linha 05'!$B$4:$B$1000,B76)</f>
        <v>Detergente Ito Neutro Cx/04 X 5l</v>
      </c>
      <c r="F76" cm="1">
        <f t="array" ref="F76">INDEX('Linha 05'!$C$3:$ZZ$3,C76)</f>
        <v>20040095</v>
      </c>
      <c r="G76" t="str" cm="1">
        <f t="array" ref="G76">INDEX('Linha 05'!$C$2:$ZZ$2,C76)</f>
        <v>Amaciante Aquafast Energia Cx/04 X 5l Emb. Econ</v>
      </c>
      <c r="H76" s="5" cm="1">
        <f t="array" ref="H76">INDEX('Linha 05'!$C$4:$ZZ$1000,B76,C76)</f>
        <v>1.3888888888888888E-2</v>
      </c>
      <c r="I76" t="str">
        <f t="shared" si="5"/>
        <v>20030024 20040095</v>
      </c>
      <c r="J76" s="5">
        <v>1.3888888888888888E-2</v>
      </c>
    </row>
    <row r="77" spans="1:10" x14ac:dyDescent="0.25">
      <c r="A77">
        <v>75</v>
      </c>
      <c r="B77">
        <f t="shared" si="3"/>
        <v>4</v>
      </c>
      <c r="C77">
        <f t="shared" si="4"/>
        <v>12</v>
      </c>
      <c r="D77" cm="1">
        <f t="array" ref="D77">INDEX('Linha 05'!$A$4:$A$1000,B77)</f>
        <v>20030024</v>
      </c>
      <c r="E77" t="str" cm="1">
        <f t="array" ref="E77">INDEX('Linha 05'!$B$4:$B$1000,B77)</f>
        <v>Detergente Ito Neutro Cx/04 X 5l</v>
      </c>
      <c r="F77" cm="1">
        <f t="array" ref="F77">INDEX('Linha 05'!$C$3:$ZZ$3,C77)</f>
        <v>20150028</v>
      </c>
      <c r="G77" t="str" cm="1">
        <f t="array" ref="G77">INDEX('Linha 05'!$C$2:$ZZ$2,C77)</f>
        <v>Amac. Conc. Aquafast Branco Ternura Cx/ 04 X 3l</v>
      </c>
      <c r="H77" s="5" cm="1">
        <f t="array" ref="H77">INDEX('Linha 05'!$C$4:$ZZ$1000,B77,C77)</f>
        <v>3.4722222222222224E-2</v>
      </c>
      <c r="I77" t="str">
        <f t="shared" si="5"/>
        <v>20030024 20150028</v>
      </c>
      <c r="J77" s="5">
        <v>3.4722222222222224E-2</v>
      </c>
    </row>
    <row r="78" spans="1:10" x14ac:dyDescent="0.25">
      <c r="A78">
        <v>76</v>
      </c>
      <c r="B78">
        <f t="shared" si="3"/>
        <v>4</v>
      </c>
      <c r="C78">
        <f t="shared" si="4"/>
        <v>13</v>
      </c>
      <c r="D78" cm="1">
        <f t="array" ref="D78">INDEX('Linha 05'!$A$4:$A$1000,B78)</f>
        <v>20030024</v>
      </c>
      <c r="E78" t="str" cm="1">
        <f t="array" ref="E78">INDEX('Linha 05'!$B$4:$B$1000,B78)</f>
        <v>Detergente Ito Neutro Cx/04 X 5l</v>
      </c>
      <c r="F78" cm="1">
        <f t="array" ref="F78">INDEX('Linha 05'!$C$3:$ZZ$3,C78)</f>
        <v>20150051</v>
      </c>
      <c r="G78" t="str" cm="1">
        <f t="array" ref="G78">INDEX('Linha 05'!$C$2:$ZZ$2,C78)</f>
        <v>Amac. Conc. Aquafast Azul Harmonia Cx/ 04 X 3l</v>
      </c>
      <c r="H78" s="5" cm="1">
        <f t="array" ref="H78">INDEX('Linha 05'!$C$4:$ZZ$1000,B78,C78)</f>
        <v>3.4722222222222224E-2</v>
      </c>
      <c r="I78" t="str">
        <f t="shared" si="5"/>
        <v>20030024 20150051</v>
      </c>
      <c r="J78" s="5">
        <v>3.4722222222222224E-2</v>
      </c>
    </row>
    <row r="79" spans="1:10" x14ac:dyDescent="0.25">
      <c r="A79">
        <v>77</v>
      </c>
      <c r="B79">
        <f t="shared" si="3"/>
        <v>4</v>
      </c>
      <c r="C79">
        <f t="shared" si="4"/>
        <v>14</v>
      </c>
      <c r="D79" cm="1">
        <f t="array" ref="D79">INDEX('Linha 05'!$A$4:$A$1000,B79)</f>
        <v>20030024</v>
      </c>
      <c r="E79" t="str" cm="1">
        <f t="array" ref="E79">INDEX('Linha 05'!$B$4:$B$1000,B79)</f>
        <v>Detergente Ito Neutro Cx/04 X 5l</v>
      </c>
      <c r="F79" cm="1">
        <f t="array" ref="F79">INDEX('Linha 05'!$C$3:$ZZ$3,C79)</f>
        <v>20200009</v>
      </c>
      <c r="G79" t="str" cm="1">
        <f t="array" ref="G79">INDEX('Linha 05'!$C$2:$ZZ$2,C79)</f>
        <v>Lava Roupas Aquafast Multi Acao Cx/04 X 5l (Emb Econ)</v>
      </c>
      <c r="H79" s="5" cm="1">
        <f t="array" ref="H79">INDEX('Linha 05'!$C$4:$ZZ$1000,B79,C79)</f>
        <v>1.3888888888888888E-2</v>
      </c>
      <c r="I79" t="str">
        <f t="shared" si="5"/>
        <v>20030024 20200009</v>
      </c>
      <c r="J79" s="5">
        <v>1.3888888888888888E-2</v>
      </c>
    </row>
    <row r="80" spans="1:10" x14ac:dyDescent="0.25">
      <c r="A80">
        <v>78</v>
      </c>
      <c r="B80">
        <f t="shared" si="3"/>
        <v>4</v>
      </c>
      <c r="C80">
        <f t="shared" si="4"/>
        <v>15</v>
      </c>
      <c r="D80" cm="1">
        <f t="array" ref="D80">INDEX('Linha 05'!$A$4:$A$1000,B80)</f>
        <v>20030024</v>
      </c>
      <c r="E80" t="str" cm="1">
        <f t="array" ref="E80">INDEX('Linha 05'!$B$4:$B$1000,B80)</f>
        <v>Detergente Ito Neutro Cx/04 X 5l</v>
      </c>
      <c r="F80" cm="1">
        <f t="array" ref="F80">INDEX('Linha 05'!$C$3:$ZZ$3,C80)</f>
        <v>20200014</v>
      </c>
      <c r="G80" t="str" cm="1">
        <f t="array" ref="G80">INDEX('Linha 05'!$C$2:$ZZ$2,C80)</f>
        <v>Lava Roupas Aquafast Glicerina Cx/04 X 5l</v>
      </c>
      <c r="H80" s="5" cm="1">
        <f t="array" ref="H80">INDEX('Linha 05'!$C$4:$ZZ$1000,B80,C80)</f>
        <v>1.3888888888888888E-2</v>
      </c>
      <c r="I80" t="str">
        <f t="shared" si="5"/>
        <v>20030024 20200014</v>
      </c>
      <c r="J80" s="5">
        <v>1.3888888888888888E-2</v>
      </c>
    </row>
    <row r="81" spans="1:10" x14ac:dyDescent="0.25">
      <c r="A81">
        <v>79</v>
      </c>
      <c r="B81">
        <f t="shared" si="3"/>
        <v>4</v>
      </c>
      <c r="C81">
        <f t="shared" si="4"/>
        <v>16</v>
      </c>
      <c r="D81" cm="1">
        <f t="array" ref="D81">INDEX('Linha 05'!$A$4:$A$1000,B81)</f>
        <v>20030024</v>
      </c>
      <c r="E81" t="str" cm="1">
        <f t="array" ref="E81">INDEX('Linha 05'!$B$4:$B$1000,B81)</f>
        <v>Detergente Ito Neutro Cx/04 X 5l</v>
      </c>
      <c r="F81" cm="1">
        <f t="array" ref="F81">INDEX('Linha 05'!$C$3:$ZZ$3,C81)</f>
        <v>20200020</v>
      </c>
      <c r="G81" t="str" cm="1">
        <f t="array" ref="G81">INDEX('Linha 05'!$C$2:$ZZ$2,C81)</f>
        <v>Lava Roupas Aquafast Glicerina Cx/04 X 3l</v>
      </c>
      <c r="H81" s="5" cm="1">
        <f t="array" ref="H81">INDEX('Linha 05'!$C$4:$ZZ$1000,B81,C81)</f>
        <v>3.4722222222222224E-2</v>
      </c>
      <c r="I81" t="str">
        <f t="shared" si="5"/>
        <v>20030024 20200020</v>
      </c>
      <c r="J81" s="5">
        <v>3.4722222222222224E-2</v>
      </c>
    </row>
    <row r="82" spans="1:10" x14ac:dyDescent="0.25">
      <c r="A82">
        <v>80</v>
      </c>
      <c r="B82">
        <f t="shared" si="3"/>
        <v>4</v>
      </c>
      <c r="C82">
        <f t="shared" si="4"/>
        <v>17</v>
      </c>
      <c r="D82" cm="1">
        <f t="array" ref="D82">INDEX('Linha 05'!$A$4:$A$1000,B82)</f>
        <v>20030024</v>
      </c>
      <c r="E82" t="str" cm="1">
        <f t="array" ref="E82">INDEX('Linha 05'!$B$4:$B$1000,B82)</f>
        <v>Detergente Ito Neutro Cx/04 X 5l</v>
      </c>
      <c r="F82" cm="1">
        <f t="array" ref="F82">INDEX('Linha 05'!$C$3:$ZZ$3,C82)</f>
        <v>20200022</v>
      </c>
      <c r="G82" t="str" cm="1">
        <f t="array" ref="G82">INDEX('Linha 05'!$C$2:$ZZ$2,C82)</f>
        <v>Lava Roupas Aquafast Multiacao Cx/04 X 3l</v>
      </c>
      <c r="H82" s="5" cm="1">
        <f t="array" ref="H82">INDEX('Linha 05'!$C$4:$ZZ$1000,B82,C82)</f>
        <v>3.4722222222222224E-2</v>
      </c>
      <c r="I82" t="str">
        <f t="shared" si="5"/>
        <v>20030024 20200022</v>
      </c>
      <c r="J82" s="5">
        <v>3.4722222222222224E-2</v>
      </c>
    </row>
    <row r="83" spans="1:10" x14ac:dyDescent="0.25">
      <c r="A83">
        <v>81</v>
      </c>
      <c r="B83">
        <f t="shared" si="3"/>
        <v>4</v>
      </c>
      <c r="C83">
        <f t="shared" si="4"/>
        <v>18</v>
      </c>
      <c r="D83" cm="1">
        <f t="array" ref="D83">INDEX('Linha 05'!$A$4:$A$1000,B83)</f>
        <v>20030024</v>
      </c>
      <c r="E83" t="str" cm="1">
        <f t="array" ref="E83">INDEX('Linha 05'!$B$4:$B$1000,B83)</f>
        <v>Detergente Ito Neutro Cx/04 X 5l</v>
      </c>
      <c r="F83" cm="1">
        <f t="array" ref="F83">INDEX('Linha 05'!$C$3:$ZZ$3,C83)</f>
        <v>20200026</v>
      </c>
      <c r="G83" t="str" cm="1">
        <f t="array" ref="G83">INDEX('Linha 05'!$C$2:$ZZ$2,C83)</f>
        <v>Lava Roupas Aquafast Ternura Cx/04 X 3l</v>
      </c>
      <c r="H83" s="5" cm="1">
        <f t="array" ref="H83">INDEX('Linha 05'!$C$4:$ZZ$1000,B83,C83)</f>
        <v>3.4722222222222224E-2</v>
      </c>
      <c r="I83" t="str">
        <f t="shared" si="5"/>
        <v>20030024 20200026</v>
      </c>
      <c r="J83" s="5">
        <v>3.4722222222222224E-2</v>
      </c>
    </row>
    <row r="84" spans="1:10" x14ac:dyDescent="0.25">
      <c r="A84">
        <v>82</v>
      </c>
      <c r="B84">
        <f t="shared" si="3"/>
        <v>4</v>
      </c>
      <c r="C84">
        <f t="shared" si="4"/>
        <v>19</v>
      </c>
      <c r="D84" cm="1">
        <f t="array" ref="D84">INDEX('Linha 05'!$A$4:$A$1000,B84)</f>
        <v>20030024</v>
      </c>
      <c r="E84" t="str" cm="1">
        <f t="array" ref="E84">INDEX('Linha 05'!$B$4:$B$1000,B84)</f>
        <v>Detergente Ito Neutro Cx/04 X 5l</v>
      </c>
      <c r="F84" cm="1">
        <f t="array" ref="F84">INDEX('Linha 05'!$C$3:$ZZ$3,C84)</f>
        <v>20200027</v>
      </c>
      <c r="G84" t="str" cm="1">
        <f t="array" ref="G84">INDEX('Linha 05'!$C$2:$ZZ$2,C84)</f>
        <v>Lava Roupas Aquafast Ternura C/04 X 5l (Emb Econ)</v>
      </c>
      <c r="H84" s="5" cm="1">
        <f t="array" ref="H84">INDEX('Linha 05'!$C$4:$ZZ$1000,B84,C84)</f>
        <v>1.3888888888888888E-2</v>
      </c>
      <c r="I84" t="str">
        <f t="shared" si="5"/>
        <v>20030024 20200027</v>
      </c>
      <c r="J84" s="5">
        <v>1.3888888888888888E-2</v>
      </c>
    </row>
    <row r="85" spans="1:10" x14ac:dyDescent="0.25">
      <c r="A85">
        <v>83</v>
      </c>
      <c r="B85">
        <f t="shared" si="3"/>
        <v>4</v>
      </c>
      <c r="C85">
        <f t="shared" si="4"/>
        <v>20</v>
      </c>
      <c r="D85" cm="1">
        <f t="array" ref="D85">INDEX('Linha 05'!$A$4:$A$1000,B85)</f>
        <v>20030024</v>
      </c>
      <c r="E85" t="str" cm="1">
        <f t="array" ref="E85">INDEX('Linha 05'!$B$4:$B$1000,B85)</f>
        <v>Detergente Ito Neutro Cx/04 X 5l</v>
      </c>
      <c r="F85" cm="1">
        <f t="array" ref="F85">INDEX('Linha 05'!$C$3:$ZZ$3,C85)</f>
        <v>20200058</v>
      </c>
      <c r="G85" t="str" cm="1">
        <f t="array" ref="G85">INDEX('Linha 05'!$C$2:$ZZ$2,C85)</f>
        <v>Lava Roupas Aquafast Flores Brancas E Baunilha Cx/4 X 3l</v>
      </c>
      <c r="H85" s="5" cm="1">
        <f t="array" ref="H85">INDEX('Linha 05'!$C$4:$ZZ$1000,B85,C85)</f>
        <v>3.4722222222222224E-2</v>
      </c>
      <c r="I85" t="str">
        <f t="shared" si="5"/>
        <v>20030024 20200058</v>
      </c>
      <c r="J85" s="5">
        <v>3.4722222222222224E-2</v>
      </c>
    </row>
    <row r="86" spans="1:10" x14ac:dyDescent="0.25">
      <c r="A86">
        <v>84</v>
      </c>
      <c r="B86">
        <f t="shared" si="3"/>
        <v>4</v>
      </c>
      <c r="C86">
        <f t="shared" si="4"/>
        <v>21</v>
      </c>
      <c r="D86" cm="1">
        <f t="array" ref="D86">INDEX('Linha 05'!$A$4:$A$1000,B86)</f>
        <v>20030024</v>
      </c>
      <c r="E86" t="str" cm="1">
        <f t="array" ref="E86">INDEX('Linha 05'!$B$4:$B$1000,B86)</f>
        <v>Detergente Ito Neutro Cx/04 X 5l</v>
      </c>
      <c r="F86" cm="1">
        <f t="array" ref="F86">INDEX('Linha 05'!$C$3:$ZZ$3,C86)</f>
        <v>20200077</v>
      </c>
      <c r="G86" t="str" cm="1">
        <f t="array" ref="G86">INDEX('Linha 05'!$C$2:$ZZ$2,C86)</f>
        <v>Lava Roupas Aquafast Alta Performance 7l</v>
      </c>
      <c r="H86" s="5" cm="1">
        <f t="array" ref="H86">INDEX('Linha 05'!$C$4:$ZZ$1000,B86,C86)</f>
        <v>3.4722222222222224E-2</v>
      </c>
      <c r="I86" t="str">
        <f t="shared" si="5"/>
        <v>20030024 20200077</v>
      </c>
      <c r="J86" s="5">
        <v>3.4722222222222224E-2</v>
      </c>
    </row>
    <row r="87" spans="1:10" x14ac:dyDescent="0.25">
      <c r="A87">
        <v>85</v>
      </c>
      <c r="B87">
        <f t="shared" si="3"/>
        <v>5</v>
      </c>
      <c r="C87">
        <f t="shared" si="4"/>
        <v>1</v>
      </c>
      <c r="D87" cm="1">
        <f t="array" ref="D87">INDEX('Linha 05'!$A$4:$A$1000,B87)</f>
        <v>20030083</v>
      </c>
      <c r="E87" t="str" cm="1">
        <f t="array" ref="E87">INDEX('Linha 05'!$B$4:$B$1000,B87)</f>
        <v>Detergente Ito Clear Cx/04 X 5l</v>
      </c>
      <c r="F87" cm="1">
        <f t="array" ref="F87">INDEX('Linha 05'!$C$3:$ZZ$3,C87)</f>
        <v>20030008</v>
      </c>
      <c r="G87" t="str" cm="1">
        <f t="array" ref="G87">INDEX('Linha 05'!$C$2:$ZZ$2,C87)</f>
        <v>Detergente Aquafast Limao Cx/04 X 5l (Emb Econ)</v>
      </c>
      <c r="H87" s="5" cm="1">
        <f t="array" ref="H87">INDEX('Linha 05'!$C$4:$ZZ$1000,B87,C87)</f>
        <v>6.9444444444444441E-3</v>
      </c>
      <c r="I87" t="str">
        <f t="shared" si="5"/>
        <v>20030083 20030008</v>
      </c>
      <c r="J87" s="5">
        <v>6.9444444444444441E-3</v>
      </c>
    </row>
    <row r="88" spans="1:10" x14ac:dyDescent="0.25">
      <c r="A88">
        <v>86</v>
      </c>
      <c r="B88">
        <f t="shared" si="3"/>
        <v>5</v>
      </c>
      <c r="C88">
        <f t="shared" si="4"/>
        <v>2</v>
      </c>
      <c r="D88" cm="1">
        <f t="array" ref="D88">INDEX('Linha 05'!$A$4:$A$1000,B88)</f>
        <v>20030083</v>
      </c>
      <c r="E88" t="str" cm="1">
        <f t="array" ref="E88">INDEX('Linha 05'!$B$4:$B$1000,B88)</f>
        <v>Detergente Ito Clear Cx/04 X 5l</v>
      </c>
      <c r="F88" cm="1">
        <f t="array" ref="F88">INDEX('Linha 05'!$C$3:$ZZ$3,C88)</f>
        <v>20030009</v>
      </c>
      <c r="G88" t="str" cm="1">
        <f t="array" ref="G88">INDEX('Linha 05'!$C$2:$ZZ$2,C88)</f>
        <v>Detergente Aquafast Neutro Cx/04 X 5l (Emb Econ)</v>
      </c>
      <c r="H88" s="5" cm="1">
        <f t="array" ref="H88">INDEX('Linha 05'!$C$4:$ZZ$1000,B88,C88)</f>
        <v>6.9444444444444441E-3</v>
      </c>
      <c r="I88" t="str">
        <f t="shared" si="5"/>
        <v>20030083 20030009</v>
      </c>
      <c r="J88" s="5">
        <v>6.9444444444444441E-3</v>
      </c>
    </row>
    <row r="89" spans="1:10" x14ac:dyDescent="0.25">
      <c r="A89">
        <v>87</v>
      </c>
      <c r="B89">
        <f t="shared" si="3"/>
        <v>5</v>
      </c>
      <c r="C89">
        <f t="shared" si="4"/>
        <v>3</v>
      </c>
      <c r="D89" cm="1">
        <f t="array" ref="D89">INDEX('Linha 05'!$A$4:$A$1000,B89)</f>
        <v>20030083</v>
      </c>
      <c r="E89" t="str" cm="1">
        <f t="array" ref="E89">INDEX('Linha 05'!$B$4:$B$1000,B89)</f>
        <v>Detergente Ito Clear Cx/04 X 5l</v>
      </c>
      <c r="F89" cm="1">
        <f t="array" ref="F89">INDEX('Linha 05'!$C$3:$ZZ$3,C89)</f>
        <v>20030010</v>
      </c>
      <c r="G89" t="str" cm="1">
        <f t="array" ref="G89">INDEX('Linha 05'!$C$2:$ZZ$2,C89)</f>
        <v>Detergente Aquafast Clear Cx/04 X 5l (Emb Econ)</v>
      </c>
      <c r="H89" s="5" cm="1">
        <f t="array" ref="H89">INDEX('Linha 05'!$C$4:$ZZ$1000,B89,C89)</f>
        <v>6.9444444444444441E-3</v>
      </c>
      <c r="I89" t="str">
        <f t="shared" si="5"/>
        <v>20030083 20030010</v>
      </c>
      <c r="J89" s="5">
        <v>6.9444444444444441E-3</v>
      </c>
    </row>
    <row r="90" spans="1:10" x14ac:dyDescent="0.25">
      <c r="A90">
        <v>88</v>
      </c>
      <c r="B90">
        <f t="shared" si="3"/>
        <v>5</v>
      </c>
      <c r="C90">
        <f t="shared" si="4"/>
        <v>4</v>
      </c>
      <c r="D90" cm="1">
        <f t="array" ref="D90">INDEX('Linha 05'!$A$4:$A$1000,B90)</f>
        <v>20030083</v>
      </c>
      <c r="E90" t="str" cm="1">
        <f t="array" ref="E90">INDEX('Linha 05'!$B$4:$B$1000,B90)</f>
        <v>Detergente Ito Clear Cx/04 X 5l</v>
      </c>
      <c r="F90" cm="1">
        <f t="array" ref="F90">INDEX('Linha 05'!$C$3:$ZZ$3,C90)</f>
        <v>20030024</v>
      </c>
      <c r="G90" t="str" cm="1">
        <f t="array" ref="G90">INDEX('Linha 05'!$C$2:$ZZ$2,C90)</f>
        <v>Detergente Ito Neutro Cx/04 X 5l</v>
      </c>
      <c r="H90" s="5" cm="1">
        <f t="array" ref="H90">INDEX('Linha 05'!$C$4:$ZZ$1000,B90,C90)</f>
        <v>6.9444444444444441E-3</v>
      </c>
      <c r="I90" t="str">
        <f t="shared" si="5"/>
        <v>20030083 20030024</v>
      </c>
      <c r="J90" s="5">
        <v>6.9444444444444441E-3</v>
      </c>
    </row>
    <row r="91" spans="1:10" x14ac:dyDescent="0.25">
      <c r="A91">
        <v>89</v>
      </c>
      <c r="B91">
        <f t="shared" si="3"/>
        <v>5</v>
      </c>
      <c r="C91">
        <f t="shared" si="4"/>
        <v>5</v>
      </c>
      <c r="D91" cm="1">
        <f t="array" ref="D91">INDEX('Linha 05'!$A$4:$A$1000,B91)</f>
        <v>20030083</v>
      </c>
      <c r="E91" t="str" cm="1">
        <f t="array" ref="E91">INDEX('Linha 05'!$B$4:$B$1000,B91)</f>
        <v>Detergente Ito Clear Cx/04 X 5l</v>
      </c>
      <c r="F91" cm="1">
        <f t="array" ref="F91">INDEX('Linha 05'!$C$3:$ZZ$3,C91)</f>
        <v>20030083</v>
      </c>
      <c r="G91" t="str" cm="1">
        <f t="array" ref="G91">INDEX('Linha 05'!$C$2:$ZZ$2,C91)</f>
        <v>Detergente Ito Clear Cx/04 X 5l</v>
      </c>
      <c r="H91" s="5" cm="1">
        <f t="array" ref="H91">INDEX('Linha 05'!$C$4:$ZZ$1000,B91,C91)</f>
        <v>0</v>
      </c>
      <c r="I91" t="str">
        <f t="shared" si="5"/>
        <v>20030083 20030083</v>
      </c>
      <c r="J91" s="5">
        <v>0</v>
      </c>
    </row>
    <row r="92" spans="1:10" x14ac:dyDescent="0.25">
      <c r="A92">
        <v>90</v>
      </c>
      <c r="B92">
        <f t="shared" si="3"/>
        <v>5</v>
      </c>
      <c r="C92">
        <f t="shared" si="4"/>
        <v>6</v>
      </c>
      <c r="D92" cm="1">
        <f t="array" ref="D92">INDEX('Linha 05'!$A$4:$A$1000,B92)</f>
        <v>20030083</v>
      </c>
      <c r="E92" t="str" cm="1">
        <f t="array" ref="E92">INDEX('Linha 05'!$B$4:$B$1000,B92)</f>
        <v>Detergente Ito Clear Cx/04 X 5l</v>
      </c>
      <c r="F92" cm="1">
        <f t="array" ref="F92">INDEX('Linha 05'!$C$3:$ZZ$3,C92)</f>
        <v>20040030</v>
      </c>
      <c r="G92" t="str" cm="1">
        <f t="array" ref="G92">INDEX('Linha 05'!$C$2:$ZZ$2,C92)</f>
        <v>Amaciante Ito Azul Cx/04 X 5l</v>
      </c>
      <c r="H92" s="5" cm="1">
        <f t="array" ref="H92">INDEX('Linha 05'!$C$4:$ZZ$1000,B92,C92)</f>
        <v>1.3888888888888888E-2</v>
      </c>
      <c r="I92" t="str">
        <f t="shared" si="5"/>
        <v>20030083 20040030</v>
      </c>
      <c r="J92" s="5">
        <v>1.3888888888888888E-2</v>
      </c>
    </row>
    <row r="93" spans="1:10" x14ac:dyDescent="0.25">
      <c r="A93">
        <v>91</v>
      </c>
      <c r="B93">
        <f t="shared" si="3"/>
        <v>5</v>
      </c>
      <c r="C93">
        <f t="shared" si="4"/>
        <v>7</v>
      </c>
      <c r="D93" cm="1">
        <f t="array" ref="D93">INDEX('Linha 05'!$A$4:$A$1000,B93)</f>
        <v>20030083</v>
      </c>
      <c r="E93" t="str" cm="1">
        <f t="array" ref="E93">INDEX('Linha 05'!$B$4:$B$1000,B93)</f>
        <v>Detergente Ito Clear Cx/04 X 5l</v>
      </c>
      <c r="F93" cm="1">
        <f t="array" ref="F93">INDEX('Linha 05'!$C$3:$ZZ$3,C93)</f>
        <v>20040074</v>
      </c>
      <c r="G93" t="str" cm="1">
        <f t="array" ref="G93">INDEX('Linha 05'!$C$2:$ZZ$2,C93)</f>
        <v>Amaciante Aquafast Azul Cx C/04 X 5l (Fresc Manh) Emb. Econ</v>
      </c>
      <c r="H93" s="5" cm="1">
        <f t="array" ref="H93">INDEX('Linha 05'!$C$4:$ZZ$1000,B93,C93)</f>
        <v>1.3888888888888888E-2</v>
      </c>
      <c r="I93" t="str">
        <f t="shared" si="5"/>
        <v>20030083 20040074</v>
      </c>
      <c r="J93" s="5">
        <v>1.3888888888888888E-2</v>
      </c>
    </row>
    <row r="94" spans="1:10" x14ac:dyDescent="0.25">
      <c r="A94">
        <v>92</v>
      </c>
      <c r="B94">
        <f t="shared" si="3"/>
        <v>5</v>
      </c>
      <c r="C94">
        <f t="shared" si="4"/>
        <v>8</v>
      </c>
      <c r="D94" cm="1">
        <f t="array" ref="D94">INDEX('Linha 05'!$A$4:$A$1000,B94)</f>
        <v>20030083</v>
      </c>
      <c r="E94" t="str" cm="1">
        <f t="array" ref="E94">INDEX('Linha 05'!$B$4:$B$1000,B94)</f>
        <v>Detergente Ito Clear Cx/04 X 5l</v>
      </c>
      <c r="F94" cm="1">
        <f t="array" ref="F94">INDEX('Linha 05'!$C$3:$ZZ$3,C94)</f>
        <v>20040075</v>
      </c>
      <c r="G94" t="str" cm="1">
        <f t="array" ref="G94">INDEX('Linha 05'!$C$2:$ZZ$2,C94)</f>
        <v>Amaciante Aquafast Rosa Cx C/04 X 5l (Jard Flor) Emb. Econ</v>
      </c>
      <c r="H94" s="5" cm="1">
        <f t="array" ref="H94">INDEX('Linha 05'!$C$4:$ZZ$1000,B94,C94)</f>
        <v>1.3888888888888888E-2</v>
      </c>
      <c r="I94" t="str">
        <f t="shared" si="5"/>
        <v>20030083 20040075</v>
      </c>
      <c r="J94" s="5">
        <v>1.3888888888888888E-2</v>
      </c>
    </row>
    <row r="95" spans="1:10" x14ac:dyDescent="0.25">
      <c r="A95">
        <v>93</v>
      </c>
      <c r="B95">
        <f t="shared" si="3"/>
        <v>5</v>
      </c>
      <c r="C95">
        <f t="shared" si="4"/>
        <v>9</v>
      </c>
      <c r="D95" cm="1">
        <f t="array" ref="D95">INDEX('Linha 05'!$A$4:$A$1000,B95)</f>
        <v>20030083</v>
      </c>
      <c r="E95" t="str" cm="1">
        <f t="array" ref="E95">INDEX('Linha 05'!$B$4:$B$1000,B95)</f>
        <v>Detergente Ito Clear Cx/04 X 5l</v>
      </c>
      <c r="F95" cm="1">
        <f t="array" ref="F95">INDEX('Linha 05'!$C$3:$ZZ$3,C95)</f>
        <v>20040086</v>
      </c>
      <c r="G95" t="str" cm="1">
        <f t="array" ref="G95">INDEX('Linha 05'!$C$2:$ZZ$2,C95)</f>
        <v>Amaciante Aquafast Vermelho Cx/04 X 5l (Seducao) Emb. Econ</v>
      </c>
      <c r="H95" s="5" cm="1">
        <f t="array" ref="H95">INDEX('Linha 05'!$C$4:$ZZ$1000,B95,C95)</f>
        <v>1.3888888888888888E-2</v>
      </c>
      <c r="I95" t="str">
        <f t="shared" si="5"/>
        <v>20030083 20040086</v>
      </c>
      <c r="J95" s="5">
        <v>1.3888888888888888E-2</v>
      </c>
    </row>
    <row r="96" spans="1:10" x14ac:dyDescent="0.25">
      <c r="A96">
        <v>94</v>
      </c>
      <c r="B96">
        <f t="shared" si="3"/>
        <v>5</v>
      </c>
      <c r="C96">
        <f t="shared" si="4"/>
        <v>10</v>
      </c>
      <c r="D96" cm="1">
        <f t="array" ref="D96">INDEX('Linha 05'!$A$4:$A$1000,B96)</f>
        <v>20030083</v>
      </c>
      <c r="E96" t="str" cm="1">
        <f t="array" ref="E96">INDEX('Linha 05'!$B$4:$B$1000,B96)</f>
        <v>Detergente Ito Clear Cx/04 X 5l</v>
      </c>
      <c r="F96" cm="1">
        <f t="array" ref="F96">INDEX('Linha 05'!$C$3:$ZZ$3,C96)</f>
        <v>20040091</v>
      </c>
      <c r="G96" t="str" cm="1">
        <f t="array" ref="G96">INDEX('Linha 05'!$C$2:$ZZ$2,C96)</f>
        <v>Amaciante Aquafast Roxo Cx/04 X 5l (Magia) Emb. Econ</v>
      </c>
      <c r="H96" s="5" cm="1">
        <f t="array" ref="H96">INDEX('Linha 05'!$C$4:$ZZ$1000,B96,C96)</f>
        <v>1.3888888888888888E-2</v>
      </c>
      <c r="I96" t="str">
        <f t="shared" si="5"/>
        <v>20030083 20040091</v>
      </c>
      <c r="J96" s="5">
        <v>1.3888888888888888E-2</v>
      </c>
    </row>
    <row r="97" spans="1:10" x14ac:dyDescent="0.25">
      <c r="A97">
        <v>95</v>
      </c>
      <c r="B97">
        <f t="shared" si="3"/>
        <v>5</v>
      </c>
      <c r="C97">
        <f t="shared" si="4"/>
        <v>11</v>
      </c>
      <c r="D97" cm="1">
        <f t="array" ref="D97">INDEX('Linha 05'!$A$4:$A$1000,B97)</f>
        <v>20030083</v>
      </c>
      <c r="E97" t="str" cm="1">
        <f t="array" ref="E97">INDEX('Linha 05'!$B$4:$B$1000,B97)</f>
        <v>Detergente Ito Clear Cx/04 X 5l</v>
      </c>
      <c r="F97" cm="1">
        <f t="array" ref="F97">INDEX('Linha 05'!$C$3:$ZZ$3,C97)</f>
        <v>20040095</v>
      </c>
      <c r="G97" t="str" cm="1">
        <f t="array" ref="G97">INDEX('Linha 05'!$C$2:$ZZ$2,C97)</f>
        <v>Amaciante Aquafast Energia Cx/04 X 5l Emb. Econ</v>
      </c>
      <c r="H97" s="5" cm="1">
        <f t="array" ref="H97">INDEX('Linha 05'!$C$4:$ZZ$1000,B97,C97)</f>
        <v>1.3888888888888888E-2</v>
      </c>
      <c r="I97" t="str">
        <f t="shared" si="5"/>
        <v>20030083 20040095</v>
      </c>
      <c r="J97" s="5">
        <v>1.3888888888888888E-2</v>
      </c>
    </row>
    <row r="98" spans="1:10" x14ac:dyDescent="0.25">
      <c r="A98">
        <v>96</v>
      </c>
      <c r="B98">
        <f t="shared" si="3"/>
        <v>5</v>
      </c>
      <c r="C98">
        <f t="shared" si="4"/>
        <v>12</v>
      </c>
      <c r="D98" cm="1">
        <f t="array" ref="D98">INDEX('Linha 05'!$A$4:$A$1000,B98)</f>
        <v>20030083</v>
      </c>
      <c r="E98" t="str" cm="1">
        <f t="array" ref="E98">INDEX('Linha 05'!$B$4:$B$1000,B98)</f>
        <v>Detergente Ito Clear Cx/04 X 5l</v>
      </c>
      <c r="F98" cm="1">
        <f t="array" ref="F98">INDEX('Linha 05'!$C$3:$ZZ$3,C98)</f>
        <v>20150028</v>
      </c>
      <c r="G98" t="str" cm="1">
        <f t="array" ref="G98">INDEX('Linha 05'!$C$2:$ZZ$2,C98)</f>
        <v>Amac. Conc. Aquafast Branco Ternura Cx/ 04 X 3l</v>
      </c>
      <c r="H98" s="5" cm="1">
        <f t="array" ref="H98">INDEX('Linha 05'!$C$4:$ZZ$1000,B98,C98)</f>
        <v>3.4722222222222224E-2</v>
      </c>
      <c r="I98" t="str">
        <f t="shared" si="5"/>
        <v>20030083 20150028</v>
      </c>
      <c r="J98" s="5">
        <v>3.4722222222222224E-2</v>
      </c>
    </row>
    <row r="99" spans="1:10" x14ac:dyDescent="0.25">
      <c r="A99">
        <v>97</v>
      </c>
      <c r="B99">
        <f t="shared" si="3"/>
        <v>5</v>
      </c>
      <c r="C99">
        <f t="shared" si="4"/>
        <v>13</v>
      </c>
      <c r="D99" cm="1">
        <f t="array" ref="D99">INDEX('Linha 05'!$A$4:$A$1000,B99)</f>
        <v>20030083</v>
      </c>
      <c r="E99" t="str" cm="1">
        <f t="array" ref="E99">INDEX('Linha 05'!$B$4:$B$1000,B99)</f>
        <v>Detergente Ito Clear Cx/04 X 5l</v>
      </c>
      <c r="F99" cm="1">
        <f t="array" ref="F99">INDEX('Linha 05'!$C$3:$ZZ$3,C99)</f>
        <v>20150051</v>
      </c>
      <c r="G99" t="str" cm="1">
        <f t="array" ref="G99">INDEX('Linha 05'!$C$2:$ZZ$2,C99)</f>
        <v>Amac. Conc. Aquafast Azul Harmonia Cx/ 04 X 3l</v>
      </c>
      <c r="H99" s="5" cm="1">
        <f t="array" ref="H99">INDEX('Linha 05'!$C$4:$ZZ$1000,B99,C99)</f>
        <v>3.4722222222222224E-2</v>
      </c>
      <c r="I99" t="str">
        <f t="shared" si="5"/>
        <v>20030083 20150051</v>
      </c>
      <c r="J99" s="5">
        <v>3.4722222222222224E-2</v>
      </c>
    </row>
    <row r="100" spans="1:10" x14ac:dyDescent="0.25">
      <c r="A100">
        <v>98</v>
      </c>
      <c r="B100">
        <f t="shared" si="3"/>
        <v>5</v>
      </c>
      <c r="C100">
        <f t="shared" si="4"/>
        <v>14</v>
      </c>
      <c r="D100" cm="1">
        <f t="array" ref="D100">INDEX('Linha 05'!$A$4:$A$1000,B100)</f>
        <v>20030083</v>
      </c>
      <c r="E100" t="str" cm="1">
        <f t="array" ref="E100">INDEX('Linha 05'!$B$4:$B$1000,B100)</f>
        <v>Detergente Ito Clear Cx/04 X 5l</v>
      </c>
      <c r="F100" cm="1">
        <f t="array" ref="F100">INDEX('Linha 05'!$C$3:$ZZ$3,C100)</f>
        <v>20200009</v>
      </c>
      <c r="G100" t="str" cm="1">
        <f t="array" ref="G100">INDEX('Linha 05'!$C$2:$ZZ$2,C100)</f>
        <v>Lava Roupas Aquafast Multi Acao Cx/04 X 5l (Emb Econ)</v>
      </c>
      <c r="H100" s="5" cm="1">
        <f t="array" ref="H100">INDEX('Linha 05'!$C$4:$ZZ$1000,B100,C100)</f>
        <v>1.3888888888888888E-2</v>
      </c>
      <c r="I100" t="str">
        <f t="shared" si="5"/>
        <v>20030083 20200009</v>
      </c>
      <c r="J100" s="5">
        <v>1.3888888888888888E-2</v>
      </c>
    </row>
    <row r="101" spans="1:10" x14ac:dyDescent="0.25">
      <c r="A101">
        <v>99</v>
      </c>
      <c r="B101">
        <f t="shared" si="3"/>
        <v>5</v>
      </c>
      <c r="C101">
        <f t="shared" si="4"/>
        <v>15</v>
      </c>
      <c r="D101" cm="1">
        <f t="array" ref="D101">INDEX('Linha 05'!$A$4:$A$1000,B101)</f>
        <v>20030083</v>
      </c>
      <c r="E101" t="str" cm="1">
        <f t="array" ref="E101">INDEX('Linha 05'!$B$4:$B$1000,B101)</f>
        <v>Detergente Ito Clear Cx/04 X 5l</v>
      </c>
      <c r="F101" cm="1">
        <f t="array" ref="F101">INDEX('Linha 05'!$C$3:$ZZ$3,C101)</f>
        <v>20200014</v>
      </c>
      <c r="G101" t="str" cm="1">
        <f t="array" ref="G101">INDEX('Linha 05'!$C$2:$ZZ$2,C101)</f>
        <v>Lava Roupas Aquafast Glicerina Cx/04 X 5l</v>
      </c>
      <c r="H101" s="5" cm="1">
        <f t="array" ref="H101">INDEX('Linha 05'!$C$4:$ZZ$1000,B101,C101)</f>
        <v>1.3888888888888888E-2</v>
      </c>
      <c r="I101" t="str">
        <f t="shared" si="5"/>
        <v>20030083 20200014</v>
      </c>
      <c r="J101" s="5">
        <v>1.3888888888888888E-2</v>
      </c>
    </row>
    <row r="102" spans="1:10" x14ac:dyDescent="0.25">
      <c r="A102">
        <v>100</v>
      </c>
      <c r="B102">
        <f t="shared" si="3"/>
        <v>5</v>
      </c>
      <c r="C102">
        <f t="shared" si="4"/>
        <v>16</v>
      </c>
      <c r="D102" cm="1">
        <f t="array" ref="D102">INDEX('Linha 05'!$A$4:$A$1000,B102)</f>
        <v>20030083</v>
      </c>
      <c r="E102" t="str" cm="1">
        <f t="array" ref="E102">INDEX('Linha 05'!$B$4:$B$1000,B102)</f>
        <v>Detergente Ito Clear Cx/04 X 5l</v>
      </c>
      <c r="F102" cm="1">
        <f t="array" ref="F102">INDEX('Linha 05'!$C$3:$ZZ$3,C102)</f>
        <v>20200020</v>
      </c>
      <c r="G102" t="str" cm="1">
        <f t="array" ref="G102">INDEX('Linha 05'!$C$2:$ZZ$2,C102)</f>
        <v>Lava Roupas Aquafast Glicerina Cx/04 X 3l</v>
      </c>
      <c r="H102" s="5" cm="1">
        <f t="array" ref="H102">INDEX('Linha 05'!$C$4:$ZZ$1000,B102,C102)</f>
        <v>3.4722222222222224E-2</v>
      </c>
      <c r="I102" t="str">
        <f t="shared" si="5"/>
        <v>20030083 20200020</v>
      </c>
      <c r="J102" s="5">
        <v>3.4722222222222224E-2</v>
      </c>
    </row>
    <row r="103" spans="1:10" x14ac:dyDescent="0.25">
      <c r="A103">
        <v>101</v>
      </c>
      <c r="B103">
        <f t="shared" si="3"/>
        <v>5</v>
      </c>
      <c r="C103">
        <f t="shared" si="4"/>
        <v>17</v>
      </c>
      <c r="D103" cm="1">
        <f t="array" ref="D103">INDEX('Linha 05'!$A$4:$A$1000,B103)</f>
        <v>20030083</v>
      </c>
      <c r="E103" t="str" cm="1">
        <f t="array" ref="E103">INDEX('Linha 05'!$B$4:$B$1000,B103)</f>
        <v>Detergente Ito Clear Cx/04 X 5l</v>
      </c>
      <c r="F103" cm="1">
        <f t="array" ref="F103">INDEX('Linha 05'!$C$3:$ZZ$3,C103)</f>
        <v>20200022</v>
      </c>
      <c r="G103" t="str" cm="1">
        <f t="array" ref="G103">INDEX('Linha 05'!$C$2:$ZZ$2,C103)</f>
        <v>Lava Roupas Aquafast Multiacao Cx/04 X 3l</v>
      </c>
      <c r="H103" s="5" cm="1">
        <f t="array" ref="H103">INDEX('Linha 05'!$C$4:$ZZ$1000,B103,C103)</f>
        <v>3.4722222222222224E-2</v>
      </c>
      <c r="I103" t="str">
        <f t="shared" si="5"/>
        <v>20030083 20200022</v>
      </c>
      <c r="J103" s="5">
        <v>3.4722222222222224E-2</v>
      </c>
    </row>
    <row r="104" spans="1:10" x14ac:dyDescent="0.25">
      <c r="A104">
        <v>102</v>
      </c>
      <c r="B104">
        <f t="shared" si="3"/>
        <v>5</v>
      </c>
      <c r="C104">
        <f t="shared" si="4"/>
        <v>18</v>
      </c>
      <c r="D104" cm="1">
        <f t="array" ref="D104">INDEX('Linha 05'!$A$4:$A$1000,B104)</f>
        <v>20030083</v>
      </c>
      <c r="E104" t="str" cm="1">
        <f t="array" ref="E104">INDEX('Linha 05'!$B$4:$B$1000,B104)</f>
        <v>Detergente Ito Clear Cx/04 X 5l</v>
      </c>
      <c r="F104" cm="1">
        <f t="array" ref="F104">INDEX('Linha 05'!$C$3:$ZZ$3,C104)</f>
        <v>20200026</v>
      </c>
      <c r="G104" t="str" cm="1">
        <f t="array" ref="G104">INDEX('Linha 05'!$C$2:$ZZ$2,C104)</f>
        <v>Lava Roupas Aquafast Ternura Cx/04 X 3l</v>
      </c>
      <c r="H104" s="5" cm="1">
        <f t="array" ref="H104">INDEX('Linha 05'!$C$4:$ZZ$1000,B104,C104)</f>
        <v>3.4722222222222224E-2</v>
      </c>
      <c r="I104" t="str">
        <f t="shared" si="5"/>
        <v>20030083 20200026</v>
      </c>
      <c r="J104" s="5">
        <v>3.4722222222222224E-2</v>
      </c>
    </row>
    <row r="105" spans="1:10" x14ac:dyDescent="0.25">
      <c r="A105">
        <v>103</v>
      </c>
      <c r="B105">
        <f t="shared" si="3"/>
        <v>5</v>
      </c>
      <c r="C105">
        <f t="shared" si="4"/>
        <v>19</v>
      </c>
      <c r="D105" cm="1">
        <f t="array" ref="D105">INDEX('Linha 05'!$A$4:$A$1000,B105)</f>
        <v>20030083</v>
      </c>
      <c r="E105" t="str" cm="1">
        <f t="array" ref="E105">INDEX('Linha 05'!$B$4:$B$1000,B105)</f>
        <v>Detergente Ito Clear Cx/04 X 5l</v>
      </c>
      <c r="F105" cm="1">
        <f t="array" ref="F105">INDEX('Linha 05'!$C$3:$ZZ$3,C105)</f>
        <v>20200027</v>
      </c>
      <c r="G105" t="str" cm="1">
        <f t="array" ref="G105">INDEX('Linha 05'!$C$2:$ZZ$2,C105)</f>
        <v>Lava Roupas Aquafast Ternura C/04 X 5l (Emb Econ)</v>
      </c>
      <c r="H105" s="5" cm="1">
        <f t="array" ref="H105">INDEX('Linha 05'!$C$4:$ZZ$1000,B105,C105)</f>
        <v>1.3888888888888888E-2</v>
      </c>
      <c r="I105" t="str">
        <f t="shared" si="5"/>
        <v>20030083 20200027</v>
      </c>
      <c r="J105" s="5">
        <v>1.3888888888888888E-2</v>
      </c>
    </row>
    <row r="106" spans="1:10" x14ac:dyDescent="0.25">
      <c r="A106">
        <v>104</v>
      </c>
      <c r="B106">
        <f t="shared" si="3"/>
        <v>5</v>
      </c>
      <c r="C106">
        <f t="shared" si="4"/>
        <v>20</v>
      </c>
      <c r="D106" cm="1">
        <f t="array" ref="D106">INDEX('Linha 05'!$A$4:$A$1000,B106)</f>
        <v>20030083</v>
      </c>
      <c r="E106" t="str" cm="1">
        <f t="array" ref="E106">INDEX('Linha 05'!$B$4:$B$1000,B106)</f>
        <v>Detergente Ito Clear Cx/04 X 5l</v>
      </c>
      <c r="F106" cm="1">
        <f t="array" ref="F106">INDEX('Linha 05'!$C$3:$ZZ$3,C106)</f>
        <v>20200058</v>
      </c>
      <c r="G106" t="str" cm="1">
        <f t="array" ref="G106">INDEX('Linha 05'!$C$2:$ZZ$2,C106)</f>
        <v>Lava Roupas Aquafast Flores Brancas E Baunilha Cx/4 X 3l</v>
      </c>
      <c r="H106" s="5" cm="1">
        <f t="array" ref="H106">INDEX('Linha 05'!$C$4:$ZZ$1000,B106,C106)</f>
        <v>3.4722222222222224E-2</v>
      </c>
      <c r="I106" t="str">
        <f t="shared" si="5"/>
        <v>20030083 20200058</v>
      </c>
      <c r="J106" s="5">
        <v>3.4722222222222224E-2</v>
      </c>
    </row>
    <row r="107" spans="1:10" x14ac:dyDescent="0.25">
      <c r="A107">
        <v>105</v>
      </c>
      <c r="B107">
        <f t="shared" si="3"/>
        <v>5</v>
      </c>
      <c r="C107">
        <f t="shared" si="4"/>
        <v>21</v>
      </c>
      <c r="D107" cm="1">
        <f t="array" ref="D107">INDEX('Linha 05'!$A$4:$A$1000,B107)</f>
        <v>20030083</v>
      </c>
      <c r="E107" t="str" cm="1">
        <f t="array" ref="E107">INDEX('Linha 05'!$B$4:$B$1000,B107)</f>
        <v>Detergente Ito Clear Cx/04 X 5l</v>
      </c>
      <c r="F107" cm="1">
        <f t="array" ref="F107">INDEX('Linha 05'!$C$3:$ZZ$3,C107)</f>
        <v>20200077</v>
      </c>
      <c r="G107" t="str" cm="1">
        <f t="array" ref="G107">INDEX('Linha 05'!$C$2:$ZZ$2,C107)</f>
        <v>Lava Roupas Aquafast Alta Performance 7l</v>
      </c>
      <c r="H107" s="5" cm="1">
        <f t="array" ref="H107">INDEX('Linha 05'!$C$4:$ZZ$1000,B107,C107)</f>
        <v>3.4722222222222224E-2</v>
      </c>
      <c r="I107" t="str">
        <f t="shared" si="5"/>
        <v>20030083 20200077</v>
      </c>
      <c r="J107" s="5">
        <v>3.4722222222222224E-2</v>
      </c>
    </row>
    <row r="108" spans="1:10" x14ac:dyDescent="0.25">
      <c r="A108">
        <v>106</v>
      </c>
      <c r="B108">
        <f t="shared" si="3"/>
        <v>6</v>
      </c>
      <c r="C108">
        <f t="shared" si="4"/>
        <v>1</v>
      </c>
      <c r="D108" cm="1">
        <f t="array" ref="D108">INDEX('Linha 05'!$A$4:$A$1000,B108)</f>
        <v>20040030</v>
      </c>
      <c r="E108" t="str" cm="1">
        <f t="array" ref="E108">INDEX('Linha 05'!$B$4:$B$1000,B108)</f>
        <v>Amaciante Ito Azul Cx/04 X 5l</v>
      </c>
      <c r="F108" cm="1">
        <f t="array" ref="F108">INDEX('Linha 05'!$C$3:$ZZ$3,C108)</f>
        <v>20030008</v>
      </c>
      <c r="G108" t="str" cm="1">
        <f t="array" ref="G108">INDEX('Linha 05'!$C$2:$ZZ$2,C108)</f>
        <v>Detergente Aquafast Limao Cx/04 X 5l (Emb Econ)</v>
      </c>
      <c r="H108" s="5" cm="1">
        <f t="array" ref="H108">INDEX('Linha 05'!$C$4:$ZZ$1000,B108,C108)</f>
        <v>1.3888888888888888E-2</v>
      </c>
      <c r="I108" t="str">
        <f t="shared" si="5"/>
        <v>20040030 20030008</v>
      </c>
      <c r="J108" s="5">
        <v>1.3888888888888888E-2</v>
      </c>
    </row>
    <row r="109" spans="1:10" x14ac:dyDescent="0.25">
      <c r="A109">
        <v>107</v>
      </c>
      <c r="B109">
        <f t="shared" si="3"/>
        <v>6</v>
      </c>
      <c r="C109">
        <f t="shared" si="4"/>
        <v>2</v>
      </c>
      <c r="D109" cm="1">
        <f t="array" ref="D109">INDEX('Linha 05'!$A$4:$A$1000,B109)</f>
        <v>20040030</v>
      </c>
      <c r="E109" t="str" cm="1">
        <f t="array" ref="E109">INDEX('Linha 05'!$B$4:$B$1000,B109)</f>
        <v>Amaciante Ito Azul Cx/04 X 5l</v>
      </c>
      <c r="F109" cm="1">
        <f t="array" ref="F109">INDEX('Linha 05'!$C$3:$ZZ$3,C109)</f>
        <v>20030009</v>
      </c>
      <c r="G109" t="str" cm="1">
        <f t="array" ref="G109">INDEX('Linha 05'!$C$2:$ZZ$2,C109)</f>
        <v>Detergente Aquafast Neutro Cx/04 X 5l (Emb Econ)</v>
      </c>
      <c r="H109" s="5" cm="1">
        <f t="array" ref="H109">INDEX('Linha 05'!$C$4:$ZZ$1000,B109,C109)</f>
        <v>1.3888888888888888E-2</v>
      </c>
      <c r="I109" t="str">
        <f t="shared" si="5"/>
        <v>20040030 20030009</v>
      </c>
      <c r="J109" s="5">
        <v>1.3888888888888888E-2</v>
      </c>
    </row>
    <row r="110" spans="1:10" x14ac:dyDescent="0.25">
      <c r="A110">
        <v>108</v>
      </c>
      <c r="B110">
        <f t="shared" si="3"/>
        <v>6</v>
      </c>
      <c r="C110">
        <f t="shared" si="4"/>
        <v>3</v>
      </c>
      <c r="D110" cm="1">
        <f t="array" ref="D110">INDEX('Linha 05'!$A$4:$A$1000,B110)</f>
        <v>20040030</v>
      </c>
      <c r="E110" t="str" cm="1">
        <f t="array" ref="E110">INDEX('Linha 05'!$B$4:$B$1000,B110)</f>
        <v>Amaciante Ito Azul Cx/04 X 5l</v>
      </c>
      <c r="F110" cm="1">
        <f t="array" ref="F110">INDEX('Linha 05'!$C$3:$ZZ$3,C110)</f>
        <v>20030010</v>
      </c>
      <c r="G110" t="str" cm="1">
        <f t="array" ref="G110">INDEX('Linha 05'!$C$2:$ZZ$2,C110)</f>
        <v>Detergente Aquafast Clear Cx/04 X 5l (Emb Econ)</v>
      </c>
      <c r="H110" s="5" cm="1">
        <f t="array" ref="H110">INDEX('Linha 05'!$C$4:$ZZ$1000,B110,C110)</f>
        <v>1.3888888888888888E-2</v>
      </c>
      <c r="I110" t="str">
        <f t="shared" si="5"/>
        <v>20040030 20030010</v>
      </c>
      <c r="J110" s="5">
        <v>1.3888888888888888E-2</v>
      </c>
    </row>
    <row r="111" spans="1:10" x14ac:dyDescent="0.25">
      <c r="A111">
        <v>109</v>
      </c>
      <c r="B111">
        <f t="shared" si="3"/>
        <v>6</v>
      </c>
      <c r="C111">
        <f t="shared" si="4"/>
        <v>4</v>
      </c>
      <c r="D111" cm="1">
        <f t="array" ref="D111">INDEX('Linha 05'!$A$4:$A$1000,B111)</f>
        <v>20040030</v>
      </c>
      <c r="E111" t="str" cm="1">
        <f t="array" ref="E111">INDEX('Linha 05'!$B$4:$B$1000,B111)</f>
        <v>Amaciante Ito Azul Cx/04 X 5l</v>
      </c>
      <c r="F111" cm="1">
        <f t="array" ref="F111">INDEX('Linha 05'!$C$3:$ZZ$3,C111)</f>
        <v>20030024</v>
      </c>
      <c r="G111" t="str" cm="1">
        <f t="array" ref="G111">INDEX('Linha 05'!$C$2:$ZZ$2,C111)</f>
        <v>Detergente Ito Neutro Cx/04 X 5l</v>
      </c>
      <c r="H111" s="5" cm="1">
        <f t="array" ref="H111">INDEX('Linha 05'!$C$4:$ZZ$1000,B111,C111)</f>
        <v>1.3888888888888888E-2</v>
      </c>
      <c r="I111" t="str">
        <f t="shared" si="5"/>
        <v>20040030 20030024</v>
      </c>
      <c r="J111" s="5">
        <v>1.3888888888888888E-2</v>
      </c>
    </row>
    <row r="112" spans="1:10" x14ac:dyDescent="0.25">
      <c r="A112">
        <v>110</v>
      </c>
      <c r="B112">
        <f t="shared" si="3"/>
        <v>6</v>
      </c>
      <c r="C112">
        <f t="shared" si="4"/>
        <v>5</v>
      </c>
      <c r="D112" cm="1">
        <f t="array" ref="D112">INDEX('Linha 05'!$A$4:$A$1000,B112)</f>
        <v>20040030</v>
      </c>
      <c r="E112" t="str" cm="1">
        <f t="array" ref="E112">INDEX('Linha 05'!$B$4:$B$1000,B112)</f>
        <v>Amaciante Ito Azul Cx/04 X 5l</v>
      </c>
      <c r="F112" cm="1">
        <f t="array" ref="F112">INDEX('Linha 05'!$C$3:$ZZ$3,C112)</f>
        <v>20030083</v>
      </c>
      <c r="G112" t="str" cm="1">
        <f t="array" ref="G112">INDEX('Linha 05'!$C$2:$ZZ$2,C112)</f>
        <v>Detergente Ito Clear Cx/04 X 5l</v>
      </c>
      <c r="H112" s="5" cm="1">
        <f t="array" ref="H112">INDEX('Linha 05'!$C$4:$ZZ$1000,B112,C112)</f>
        <v>1.3888888888888888E-2</v>
      </c>
      <c r="I112" t="str">
        <f t="shared" si="5"/>
        <v>20040030 20030083</v>
      </c>
      <c r="J112" s="5">
        <v>1.3888888888888888E-2</v>
      </c>
    </row>
    <row r="113" spans="1:10" x14ac:dyDescent="0.25">
      <c r="A113">
        <v>111</v>
      </c>
      <c r="B113">
        <f t="shared" si="3"/>
        <v>6</v>
      </c>
      <c r="C113">
        <f t="shared" si="4"/>
        <v>6</v>
      </c>
      <c r="D113" cm="1">
        <f t="array" ref="D113">INDEX('Linha 05'!$A$4:$A$1000,B113)</f>
        <v>20040030</v>
      </c>
      <c r="E113" t="str" cm="1">
        <f t="array" ref="E113">INDEX('Linha 05'!$B$4:$B$1000,B113)</f>
        <v>Amaciante Ito Azul Cx/04 X 5l</v>
      </c>
      <c r="F113" cm="1">
        <f t="array" ref="F113">INDEX('Linha 05'!$C$3:$ZZ$3,C113)</f>
        <v>20040030</v>
      </c>
      <c r="G113" t="str" cm="1">
        <f t="array" ref="G113">INDEX('Linha 05'!$C$2:$ZZ$2,C113)</f>
        <v>Amaciante Ito Azul Cx/04 X 5l</v>
      </c>
      <c r="H113" s="5" cm="1">
        <f t="array" ref="H113">INDEX('Linha 05'!$C$4:$ZZ$1000,B113,C113)</f>
        <v>0</v>
      </c>
      <c r="I113" t="str">
        <f t="shared" si="5"/>
        <v>20040030 20040030</v>
      </c>
      <c r="J113" s="5">
        <v>0</v>
      </c>
    </row>
    <row r="114" spans="1:10" x14ac:dyDescent="0.25">
      <c r="A114">
        <v>112</v>
      </c>
      <c r="B114">
        <f t="shared" si="3"/>
        <v>6</v>
      </c>
      <c r="C114">
        <f t="shared" si="4"/>
        <v>7</v>
      </c>
      <c r="D114" cm="1">
        <f t="array" ref="D114">INDEX('Linha 05'!$A$4:$A$1000,B114)</f>
        <v>20040030</v>
      </c>
      <c r="E114" t="str" cm="1">
        <f t="array" ref="E114">INDEX('Linha 05'!$B$4:$B$1000,B114)</f>
        <v>Amaciante Ito Azul Cx/04 X 5l</v>
      </c>
      <c r="F114" cm="1">
        <f t="array" ref="F114">INDEX('Linha 05'!$C$3:$ZZ$3,C114)</f>
        <v>20040074</v>
      </c>
      <c r="G114" t="str" cm="1">
        <f t="array" ref="G114">INDEX('Linha 05'!$C$2:$ZZ$2,C114)</f>
        <v>Amaciante Aquafast Azul Cx C/04 X 5l (Fresc Manh) Emb. Econ</v>
      </c>
      <c r="H114" s="5" cm="1">
        <f t="array" ref="H114">INDEX('Linha 05'!$C$4:$ZZ$1000,B114,C114)</f>
        <v>6.9444444444444441E-3</v>
      </c>
      <c r="I114" t="str">
        <f t="shared" si="5"/>
        <v>20040030 20040074</v>
      </c>
      <c r="J114" s="5">
        <v>6.9444444444444441E-3</v>
      </c>
    </row>
    <row r="115" spans="1:10" x14ac:dyDescent="0.25">
      <c r="A115">
        <v>113</v>
      </c>
      <c r="B115">
        <f t="shared" si="3"/>
        <v>6</v>
      </c>
      <c r="C115">
        <f t="shared" si="4"/>
        <v>8</v>
      </c>
      <c r="D115" cm="1">
        <f t="array" ref="D115">INDEX('Linha 05'!$A$4:$A$1000,B115)</f>
        <v>20040030</v>
      </c>
      <c r="E115" t="str" cm="1">
        <f t="array" ref="E115">INDEX('Linha 05'!$B$4:$B$1000,B115)</f>
        <v>Amaciante Ito Azul Cx/04 X 5l</v>
      </c>
      <c r="F115" cm="1">
        <f t="array" ref="F115">INDEX('Linha 05'!$C$3:$ZZ$3,C115)</f>
        <v>20040075</v>
      </c>
      <c r="G115" t="str" cm="1">
        <f t="array" ref="G115">INDEX('Linha 05'!$C$2:$ZZ$2,C115)</f>
        <v>Amaciante Aquafast Rosa Cx C/04 X 5l (Jard Flor) Emb. Econ</v>
      </c>
      <c r="H115" s="5" cm="1">
        <f t="array" ref="H115">INDEX('Linha 05'!$C$4:$ZZ$1000,B115,C115)</f>
        <v>6.9444444444444441E-3</v>
      </c>
      <c r="I115" t="str">
        <f t="shared" si="5"/>
        <v>20040030 20040075</v>
      </c>
      <c r="J115" s="5">
        <v>6.9444444444444441E-3</v>
      </c>
    </row>
    <row r="116" spans="1:10" x14ac:dyDescent="0.25">
      <c r="A116">
        <v>114</v>
      </c>
      <c r="B116">
        <f t="shared" si="3"/>
        <v>6</v>
      </c>
      <c r="C116">
        <f t="shared" si="4"/>
        <v>9</v>
      </c>
      <c r="D116" cm="1">
        <f t="array" ref="D116">INDEX('Linha 05'!$A$4:$A$1000,B116)</f>
        <v>20040030</v>
      </c>
      <c r="E116" t="str" cm="1">
        <f t="array" ref="E116">INDEX('Linha 05'!$B$4:$B$1000,B116)</f>
        <v>Amaciante Ito Azul Cx/04 X 5l</v>
      </c>
      <c r="F116" cm="1">
        <f t="array" ref="F116">INDEX('Linha 05'!$C$3:$ZZ$3,C116)</f>
        <v>20040086</v>
      </c>
      <c r="G116" t="str" cm="1">
        <f t="array" ref="G116">INDEX('Linha 05'!$C$2:$ZZ$2,C116)</f>
        <v>Amaciante Aquafast Vermelho Cx/04 X 5l (Seducao) Emb. Econ</v>
      </c>
      <c r="H116" s="5" cm="1">
        <f t="array" ref="H116">INDEX('Linha 05'!$C$4:$ZZ$1000,B116,C116)</f>
        <v>6.9444444444444441E-3</v>
      </c>
      <c r="I116" t="str">
        <f t="shared" si="5"/>
        <v>20040030 20040086</v>
      </c>
      <c r="J116" s="5">
        <v>6.9444444444444441E-3</v>
      </c>
    </row>
    <row r="117" spans="1:10" x14ac:dyDescent="0.25">
      <c r="A117">
        <v>115</v>
      </c>
      <c r="B117">
        <f t="shared" si="3"/>
        <v>6</v>
      </c>
      <c r="C117">
        <f t="shared" si="4"/>
        <v>10</v>
      </c>
      <c r="D117" cm="1">
        <f t="array" ref="D117">INDEX('Linha 05'!$A$4:$A$1000,B117)</f>
        <v>20040030</v>
      </c>
      <c r="E117" t="str" cm="1">
        <f t="array" ref="E117">INDEX('Linha 05'!$B$4:$B$1000,B117)</f>
        <v>Amaciante Ito Azul Cx/04 X 5l</v>
      </c>
      <c r="F117" cm="1">
        <f t="array" ref="F117">INDEX('Linha 05'!$C$3:$ZZ$3,C117)</f>
        <v>20040091</v>
      </c>
      <c r="G117" t="str" cm="1">
        <f t="array" ref="G117">INDEX('Linha 05'!$C$2:$ZZ$2,C117)</f>
        <v>Amaciante Aquafast Roxo Cx/04 X 5l (Magia) Emb. Econ</v>
      </c>
      <c r="H117" s="5" cm="1">
        <f t="array" ref="H117">INDEX('Linha 05'!$C$4:$ZZ$1000,B117,C117)</f>
        <v>6.9444444444444441E-3</v>
      </c>
      <c r="I117" t="str">
        <f t="shared" si="5"/>
        <v>20040030 20040091</v>
      </c>
      <c r="J117" s="5">
        <v>6.9444444444444441E-3</v>
      </c>
    </row>
    <row r="118" spans="1:10" x14ac:dyDescent="0.25">
      <c r="A118">
        <v>116</v>
      </c>
      <c r="B118">
        <f t="shared" si="3"/>
        <v>6</v>
      </c>
      <c r="C118">
        <f t="shared" si="4"/>
        <v>11</v>
      </c>
      <c r="D118" cm="1">
        <f t="array" ref="D118">INDEX('Linha 05'!$A$4:$A$1000,B118)</f>
        <v>20040030</v>
      </c>
      <c r="E118" t="str" cm="1">
        <f t="array" ref="E118">INDEX('Linha 05'!$B$4:$B$1000,B118)</f>
        <v>Amaciante Ito Azul Cx/04 X 5l</v>
      </c>
      <c r="F118" cm="1">
        <f t="array" ref="F118">INDEX('Linha 05'!$C$3:$ZZ$3,C118)</f>
        <v>20040095</v>
      </c>
      <c r="G118" t="str" cm="1">
        <f t="array" ref="G118">INDEX('Linha 05'!$C$2:$ZZ$2,C118)</f>
        <v>Amaciante Aquafast Energia Cx/04 X 5l Emb. Econ</v>
      </c>
      <c r="H118" s="5" cm="1">
        <f t="array" ref="H118">INDEX('Linha 05'!$C$4:$ZZ$1000,B118,C118)</f>
        <v>6.9444444444444441E-3</v>
      </c>
      <c r="I118" t="str">
        <f t="shared" si="5"/>
        <v>20040030 20040095</v>
      </c>
      <c r="J118" s="5">
        <v>6.9444444444444441E-3</v>
      </c>
    </row>
    <row r="119" spans="1:10" x14ac:dyDescent="0.25">
      <c r="A119">
        <v>117</v>
      </c>
      <c r="B119">
        <f t="shared" si="3"/>
        <v>6</v>
      </c>
      <c r="C119">
        <f t="shared" si="4"/>
        <v>12</v>
      </c>
      <c r="D119" cm="1">
        <f t="array" ref="D119">INDEX('Linha 05'!$A$4:$A$1000,B119)</f>
        <v>20040030</v>
      </c>
      <c r="E119" t="str" cm="1">
        <f t="array" ref="E119">INDEX('Linha 05'!$B$4:$B$1000,B119)</f>
        <v>Amaciante Ito Azul Cx/04 X 5l</v>
      </c>
      <c r="F119" cm="1">
        <f t="array" ref="F119">INDEX('Linha 05'!$C$3:$ZZ$3,C119)</f>
        <v>20150028</v>
      </c>
      <c r="G119" t="str" cm="1">
        <f t="array" ref="G119">INDEX('Linha 05'!$C$2:$ZZ$2,C119)</f>
        <v>Amac. Conc. Aquafast Branco Ternura Cx/ 04 X 3l</v>
      </c>
      <c r="H119" s="5" cm="1">
        <f t="array" ref="H119">INDEX('Linha 05'!$C$4:$ZZ$1000,B119,C119)</f>
        <v>3.4722222222222224E-2</v>
      </c>
      <c r="I119" t="str">
        <f t="shared" si="5"/>
        <v>20040030 20150028</v>
      </c>
      <c r="J119" s="5">
        <v>3.4722222222222224E-2</v>
      </c>
    </row>
    <row r="120" spans="1:10" x14ac:dyDescent="0.25">
      <c r="A120">
        <v>118</v>
      </c>
      <c r="B120">
        <f t="shared" si="3"/>
        <v>6</v>
      </c>
      <c r="C120">
        <f t="shared" si="4"/>
        <v>13</v>
      </c>
      <c r="D120" cm="1">
        <f t="array" ref="D120">INDEX('Linha 05'!$A$4:$A$1000,B120)</f>
        <v>20040030</v>
      </c>
      <c r="E120" t="str" cm="1">
        <f t="array" ref="E120">INDEX('Linha 05'!$B$4:$B$1000,B120)</f>
        <v>Amaciante Ito Azul Cx/04 X 5l</v>
      </c>
      <c r="F120" cm="1">
        <f t="array" ref="F120">INDEX('Linha 05'!$C$3:$ZZ$3,C120)</f>
        <v>20150051</v>
      </c>
      <c r="G120" t="str" cm="1">
        <f t="array" ref="G120">INDEX('Linha 05'!$C$2:$ZZ$2,C120)</f>
        <v>Amac. Conc. Aquafast Azul Harmonia Cx/ 04 X 3l</v>
      </c>
      <c r="H120" s="5" cm="1">
        <f t="array" ref="H120">INDEX('Linha 05'!$C$4:$ZZ$1000,B120,C120)</f>
        <v>3.4722222222222224E-2</v>
      </c>
      <c r="I120" t="str">
        <f t="shared" si="5"/>
        <v>20040030 20150051</v>
      </c>
      <c r="J120" s="5">
        <v>3.4722222222222224E-2</v>
      </c>
    </row>
    <row r="121" spans="1:10" x14ac:dyDescent="0.25">
      <c r="A121">
        <v>119</v>
      </c>
      <c r="B121">
        <f t="shared" si="3"/>
        <v>6</v>
      </c>
      <c r="C121">
        <f t="shared" si="4"/>
        <v>14</v>
      </c>
      <c r="D121" cm="1">
        <f t="array" ref="D121">INDEX('Linha 05'!$A$4:$A$1000,B121)</f>
        <v>20040030</v>
      </c>
      <c r="E121" t="str" cm="1">
        <f t="array" ref="E121">INDEX('Linha 05'!$B$4:$B$1000,B121)</f>
        <v>Amaciante Ito Azul Cx/04 X 5l</v>
      </c>
      <c r="F121" cm="1">
        <f t="array" ref="F121">INDEX('Linha 05'!$C$3:$ZZ$3,C121)</f>
        <v>20200009</v>
      </c>
      <c r="G121" t="str" cm="1">
        <f t="array" ref="G121">INDEX('Linha 05'!$C$2:$ZZ$2,C121)</f>
        <v>Lava Roupas Aquafast Multi Acao Cx/04 X 5l (Emb Econ)</v>
      </c>
      <c r="H121" s="5" cm="1">
        <f t="array" ref="H121">INDEX('Linha 05'!$C$4:$ZZ$1000,B121,C121)</f>
        <v>1.3888888888888888E-2</v>
      </c>
      <c r="I121" t="str">
        <f t="shared" si="5"/>
        <v>20040030 20200009</v>
      </c>
      <c r="J121" s="5">
        <v>1.3888888888888888E-2</v>
      </c>
    </row>
    <row r="122" spans="1:10" x14ac:dyDescent="0.25">
      <c r="A122">
        <v>120</v>
      </c>
      <c r="B122">
        <f t="shared" si="3"/>
        <v>6</v>
      </c>
      <c r="C122">
        <f t="shared" si="4"/>
        <v>15</v>
      </c>
      <c r="D122" cm="1">
        <f t="array" ref="D122">INDEX('Linha 05'!$A$4:$A$1000,B122)</f>
        <v>20040030</v>
      </c>
      <c r="E122" t="str" cm="1">
        <f t="array" ref="E122">INDEX('Linha 05'!$B$4:$B$1000,B122)</f>
        <v>Amaciante Ito Azul Cx/04 X 5l</v>
      </c>
      <c r="F122" cm="1">
        <f t="array" ref="F122">INDEX('Linha 05'!$C$3:$ZZ$3,C122)</f>
        <v>20200014</v>
      </c>
      <c r="G122" t="str" cm="1">
        <f t="array" ref="G122">INDEX('Linha 05'!$C$2:$ZZ$2,C122)</f>
        <v>Lava Roupas Aquafast Glicerina Cx/04 X 5l</v>
      </c>
      <c r="H122" s="5" cm="1">
        <f t="array" ref="H122">INDEX('Linha 05'!$C$4:$ZZ$1000,B122,C122)</f>
        <v>1.3888888888888888E-2</v>
      </c>
      <c r="I122" t="str">
        <f t="shared" si="5"/>
        <v>20040030 20200014</v>
      </c>
      <c r="J122" s="5">
        <v>1.3888888888888888E-2</v>
      </c>
    </row>
    <row r="123" spans="1:10" x14ac:dyDescent="0.25">
      <c r="A123">
        <v>121</v>
      </c>
      <c r="B123">
        <f t="shared" si="3"/>
        <v>6</v>
      </c>
      <c r="C123">
        <f t="shared" si="4"/>
        <v>16</v>
      </c>
      <c r="D123" cm="1">
        <f t="array" ref="D123">INDEX('Linha 05'!$A$4:$A$1000,B123)</f>
        <v>20040030</v>
      </c>
      <c r="E123" t="str" cm="1">
        <f t="array" ref="E123">INDEX('Linha 05'!$B$4:$B$1000,B123)</f>
        <v>Amaciante Ito Azul Cx/04 X 5l</v>
      </c>
      <c r="F123" cm="1">
        <f t="array" ref="F123">INDEX('Linha 05'!$C$3:$ZZ$3,C123)</f>
        <v>20200020</v>
      </c>
      <c r="G123" t="str" cm="1">
        <f t="array" ref="G123">INDEX('Linha 05'!$C$2:$ZZ$2,C123)</f>
        <v>Lava Roupas Aquafast Glicerina Cx/04 X 3l</v>
      </c>
      <c r="H123" s="5" cm="1">
        <f t="array" ref="H123">INDEX('Linha 05'!$C$4:$ZZ$1000,B123,C123)</f>
        <v>3.4722222222222224E-2</v>
      </c>
      <c r="I123" t="str">
        <f t="shared" si="5"/>
        <v>20040030 20200020</v>
      </c>
      <c r="J123" s="5">
        <v>3.4722222222222224E-2</v>
      </c>
    </row>
    <row r="124" spans="1:10" x14ac:dyDescent="0.25">
      <c r="A124">
        <v>122</v>
      </c>
      <c r="B124">
        <f t="shared" si="3"/>
        <v>6</v>
      </c>
      <c r="C124">
        <f t="shared" si="4"/>
        <v>17</v>
      </c>
      <c r="D124" cm="1">
        <f t="array" ref="D124">INDEX('Linha 05'!$A$4:$A$1000,B124)</f>
        <v>20040030</v>
      </c>
      <c r="E124" t="str" cm="1">
        <f t="array" ref="E124">INDEX('Linha 05'!$B$4:$B$1000,B124)</f>
        <v>Amaciante Ito Azul Cx/04 X 5l</v>
      </c>
      <c r="F124" cm="1">
        <f t="array" ref="F124">INDEX('Linha 05'!$C$3:$ZZ$3,C124)</f>
        <v>20200022</v>
      </c>
      <c r="G124" t="str" cm="1">
        <f t="array" ref="G124">INDEX('Linha 05'!$C$2:$ZZ$2,C124)</f>
        <v>Lava Roupas Aquafast Multiacao Cx/04 X 3l</v>
      </c>
      <c r="H124" s="5" cm="1">
        <f t="array" ref="H124">INDEX('Linha 05'!$C$4:$ZZ$1000,B124,C124)</f>
        <v>3.4722222222222224E-2</v>
      </c>
      <c r="I124" t="str">
        <f t="shared" si="5"/>
        <v>20040030 20200022</v>
      </c>
      <c r="J124" s="5">
        <v>3.4722222222222224E-2</v>
      </c>
    </row>
    <row r="125" spans="1:10" x14ac:dyDescent="0.25">
      <c r="A125">
        <v>123</v>
      </c>
      <c r="B125">
        <f t="shared" si="3"/>
        <v>6</v>
      </c>
      <c r="C125">
        <f t="shared" si="4"/>
        <v>18</v>
      </c>
      <c r="D125" cm="1">
        <f t="array" ref="D125">INDEX('Linha 05'!$A$4:$A$1000,B125)</f>
        <v>20040030</v>
      </c>
      <c r="E125" t="str" cm="1">
        <f t="array" ref="E125">INDEX('Linha 05'!$B$4:$B$1000,B125)</f>
        <v>Amaciante Ito Azul Cx/04 X 5l</v>
      </c>
      <c r="F125" cm="1">
        <f t="array" ref="F125">INDEX('Linha 05'!$C$3:$ZZ$3,C125)</f>
        <v>20200026</v>
      </c>
      <c r="G125" t="str" cm="1">
        <f t="array" ref="G125">INDEX('Linha 05'!$C$2:$ZZ$2,C125)</f>
        <v>Lava Roupas Aquafast Ternura Cx/04 X 3l</v>
      </c>
      <c r="H125" s="5" cm="1">
        <f t="array" ref="H125">INDEX('Linha 05'!$C$4:$ZZ$1000,B125,C125)</f>
        <v>3.4722222222222224E-2</v>
      </c>
      <c r="I125" t="str">
        <f t="shared" si="5"/>
        <v>20040030 20200026</v>
      </c>
      <c r="J125" s="5">
        <v>3.4722222222222224E-2</v>
      </c>
    </row>
    <row r="126" spans="1:10" x14ac:dyDescent="0.25">
      <c r="A126">
        <v>124</v>
      </c>
      <c r="B126">
        <f t="shared" si="3"/>
        <v>6</v>
      </c>
      <c r="C126">
        <f t="shared" si="4"/>
        <v>19</v>
      </c>
      <c r="D126" cm="1">
        <f t="array" ref="D126">INDEX('Linha 05'!$A$4:$A$1000,B126)</f>
        <v>20040030</v>
      </c>
      <c r="E126" t="str" cm="1">
        <f t="array" ref="E126">INDEX('Linha 05'!$B$4:$B$1000,B126)</f>
        <v>Amaciante Ito Azul Cx/04 X 5l</v>
      </c>
      <c r="F126" cm="1">
        <f t="array" ref="F126">INDEX('Linha 05'!$C$3:$ZZ$3,C126)</f>
        <v>20200027</v>
      </c>
      <c r="G126" t="str" cm="1">
        <f t="array" ref="G126">INDEX('Linha 05'!$C$2:$ZZ$2,C126)</f>
        <v>Lava Roupas Aquafast Ternura C/04 X 5l (Emb Econ)</v>
      </c>
      <c r="H126" s="5" cm="1">
        <f t="array" ref="H126">INDEX('Linha 05'!$C$4:$ZZ$1000,B126,C126)</f>
        <v>1.3888888888888888E-2</v>
      </c>
      <c r="I126" t="str">
        <f t="shared" si="5"/>
        <v>20040030 20200027</v>
      </c>
      <c r="J126" s="5">
        <v>1.3888888888888888E-2</v>
      </c>
    </row>
    <row r="127" spans="1:10" x14ac:dyDescent="0.25">
      <c r="A127">
        <v>125</v>
      </c>
      <c r="B127">
        <f t="shared" si="3"/>
        <v>6</v>
      </c>
      <c r="C127">
        <f t="shared" si="4"/>
        <v>20</v>
      </c>
      <c r="D127" cm="1">
        <f t="array" ref="D127">INDEX('Linha 05'!$A$4:$A$1000,B127)</f>
        <v>20040030</v>
      </c>
      <c r="E127" t="str" cm="1">
        <f t="array" ref="E127">INDEX('Linha 05'!$B$4:$B$1000,B127)</f>
        <v>Amaciante Ito Azul Cx/04 X 5l</v>
      </c>
      <c r="F127" cm="1">
        <f t="array" ref="F127">INDEX('Linha 05'!$C$3:$ZZ$3,C127)</f>
        <v>20200058</v>
      </c>
      <c r="G127" t="str" cm="1">
        <f t="array" ref="G127">INDEX('Linha 05'!$C$2:$ZZ$2,C127)</f>
        <v>Lava Roupas Aquafast Flores Brancas E Baunilha Cx/4 X 3l</v>
      </c>
      <c r="H127" s="5" cm="1">
        <f t="array" ref="H127">INDEX('Linha 05'!$C$4:$ZZ$1000,B127,C127)</f>
        <v>3.4722222222222224E-2</v>
      </c>
      <c r="I127" t="str">
        <f t="shared" si="5"/>
        <v>20040030 20200058</v>
      </c>
      <c r="J127" s="5">
        <v>3.4722222222222224E-2</v>
      </c>
    </row>
    <row r="128" spans="1:10" x14ac:dyDescent="0.25">
      <c r="A128">
        <v>126</v>
      </c>
      <c r="B128">
        <f t="shared" si="3"/>
        <v>6</v>
      </c>
      <c r="C128">
        <f t="shared" si="4"/>
        <v>21</v>
      </c>
      <c r="D128" cm="1">
        <f t="array" ref="D128">INDEX('Linha 05'!$A$4:$A$1000,B128)</f>
        <v>20040030</v>
      </c>
      <c r="E128" t="str" cm="1">
        <f t="array" ref="E128">INDEX('Linha 05'!$B$4:$B$1000,B128)</f>
        <v>Amaciante Ito Azul Cx/04 X 5l</v>
      </c>
      <c r="F128" cm="1">
        <f t="array" ref="F128">INDEX('Linha 05'!$C$3:$ZZ$3,C128)</f>
        <v>20200077</v>
      </c>
      <c r="G128" t="str" cm="1">
        <f t="array" ref="G128">INDEX('Linha 05'!$C$2:$ZZ$2,C128)</f>
        <v>Lava Roupas Aquafast Alta Performance 7l</v>
      </c>
      <c r="H128" s="5" cm="1">
        <f t="array" ref="H128">INDEX('Linha 05'!$C$4:$ZZ$1000,B128,C128)</f>
        <v>3.4722222222222224E-2</v>
      </c>
      <c r="I128" t="str">
        <f t="shared" si="5"/>
        <v>20040030 20200077</v>
      </c>
      <c r="J128" s="5">
        <v>3.4722222222222224E-2</v>
      </c>
    </row>
    <row r="129" spans="1:10" x14ac:dyDescent="0.25">
      <c r="A129">
        <v>127</v>
      </c>
      <c r="B129">
        <f t="shared" si="3"/>
        <v>7</v>
      </c>
      <c r="C129">
        <f t="shared" si="4"/>
        <v>1</v>
      </c>
      <c r="D129" cm="1">
        <f t="array" ref="D129">INDEX('Linha 05'!$A$4:$A$1000,B129)</f>
        <v>20040074</v>
      </c>
      <c r="E129" t="str" cm="1">
        <f t="array" ref="E129">INDEX('Linha 05'!$B$4:$B$1000,B129)</f>
        <v>Amaciante Aquafast Azul Cx C/04 X 5l (Fresc Manh) Emb. Econ</v>
      </c>
      <c r="F129" cm="1">
        <f t="array" ref="F129">INDEX('Linha 05'!$C$3:$ZZ$3,C129)</f>
        <v>20030008</v>
      </c>
      <c r="G129" t="str" cm="1">
        <f t="array" ref="G129">INDEX('Linha 05'!$C$2:$ZZ$2,C129)</f>
        <v>Detergente Aquafast Limao Cx/04 X 5l (Emb Econ)</v>
      </c>
      <c r="H129" s="5" cm="1">
        <f t="array" ref="H129">INDEX('Linha 05'!$C$4:$ZZ$1000,B129,C129)</f>
        <v>1.3888888888888888E-2</v>
      </c>
      <c r="I129" t="str">
        <f t="shared" si="5"/>
        <v>20040074 20030008</v>
      </c>
      <c r="J129" s="5">
        <v>1.3888888888888888E-2</v>
      </c>
    </row>
    <row r="130" spans="1:10" x14ac:dyDescent="0.25">
      <c r="A130">
        <v>128</v>
      </c>
      <c r="B130">
        <f t="shared" si="3"/>
        <v>7</v>
      </c>
      <c r="C130">
        <f t="shared" si="4"/>
        <v>2</v>
      </c>
      <c r="D130" cm="1">
        <f t="array" ref="D130">INDEX('Linha 05'!$A$4:$A$1000,B130)</f>
        <v>20040074</v>
      </c>
      <c r="E130" t="str" cm="1">
        <f t="array" ref="E130">INDEX('Linha 05'!$B$4:$B$1000,B130)</f>
        <v>Amaciante Aquafast Azul Cx C/04 X 5l (Fresc Manh) Emb. Econ</v>
      </c>
      <c r="F130" cm="1">
        <f t="array" ref="F130">INDEX('Linha 05'!$C$3:$ZZ$3,C130)</f>
        <v>20030009</v>
      </c>
      <c r="G130" t="str" cm="1">
        <f t="array" ref="G130">INDEX('Linha 05'!$C$2:$ZZ$2,C130)</f>
        <v>Detergente Aquafast Neutro Cx/04 X 5l (Emb Econ)</v>
      </c>
      <c r="H130" s="5" cm="1">
        <f t="array" ref="H130">INDEX('Linha 05'!$C$4:$ZZ$1000,B130,C130)</f>
        <v>1.3888888888888888E-2</v>
      </c>
      <c r="I130" t="str">
        <f t="shared" si="5"/>
        <v>20040074 20030009</v>
      </c>
      <c r="J130" s="5">
        <v>1.3888888888888888E-2</v>
      </c>
    </row>
    <row r="131" spans="1:10" x14ac:dyDescent="0.25">
      <c r="A131">
        <v>129</v>
      </c>
      <c r="B131">
        <f t="shared" si="3"/>
        <v>7</v>
      </c>
      <c r="C131">
        <f t="shared" si="4"/>
        <v>3</v>
      </c>
      <c r="D131" cm="1">
        <f t="array" ref="D131">INDEX('Linha 05'!$A$4:$A$1000,B131)</f>
        <v>20040074</v>
      </c>
      <c r="E131" t="str" cm="1">
        <f t="array" ref="E131">INDEX('Linha 05'!$B$4:$B$1000,B131)</f>
        <v>Amaciante Aquafast Azul Cx C/04 X 5l (Fresc Manh) Emb. Econ</v>
      </c>
      <c r="F131" cm="1">
        <f t="array" ref="F131">INDEX('Linha 05'!$C$3:$ZZ$3,C131)</f>
        <v>20030010</v>
      </c>
      <c r="G131" t="str" cm="1">
        <f t="array" ref="G131">INDEX('Linha 05'!$C$2:$ZZ$2,C131)</f>
        <v>Detergente Aquafast Clear Cx/04 X 5l (Emb Econ)</v>
      </c>
      <c r="H131" s="5" cm="1">
        <f t="array" ref="H131">INDEX('Linha 05'!$C$4:$ZZ$1000,B131,C131)</f>
        <v>1.3888888888888888E-2</v>
      </c>
      <c r="I131" t="str">
        <f t="shared" si="5"/>
        <v>20040074 20030010</v>
      </c>
      <c r="J131" s="5">
        <v>1.3888888888888888E-2</v>
      </c>
    </row>
    <row r="132" spans="1:10" x14ac:dyDescent="0.25">
      <c r="A132">
        <v>130</v>
      </c>
      <c r="B132">
        <f t="shared" ref="B132:B195" si="6">INT((A132-1)/$B$1)+1</f>
        <v>7</v>
      </c>
      <c r="C132">
        <f t="shared" ref="C132:C195" si="7">MOD(A132-1,$B$1)+1</f>
        <v>4</v>
      </c>
      <c r="D132" cm="1">
        <f t="array" ref="D132">INDEX('Linha 05'!$A$4:$A$1000,B132)</f>
        <v>20040074</v>
      </c>
      <c r="E132" t="str" cm="1">
        <f t="array" ref="E132">INDEX('Linha 05'!$B$4:$B$1000,B132)</f>
        <v>Amaciante Aquafast Azul Cx C/04 X 5l (Fresc Manh) Emb. Econ</v>
      </c>
      <c r="F132" cm="1">
        <f t="array" ref="F132">INDEX('Linha 05'!$C$3:$ZZ$3,C132)</f>
        <v>20030024</v>
      </c>
      <c r="G132" t="str" cm="1">
        <f t="array" ref="G132">INDEX('Linha 05'!$C$2:$ZZ$2,C132)</f>
        <v>Detergente Ito Neutro Cx/04 X 5l</v>
      </c>
      <c r="H132" s="5" cm="1">
        <f t="array" ref="H132">INDEX('Linha 05'!$C$4:$ZZ$1000,B132,C132)</f>
        <v>1.3888888888888888E-2</v>
      </c>
      <c r="I132" t="str">
        <f t="shared" ref="I132:I195" si="8">CONCATENATE(D132," ",F132)</f>
        <v>20040074 20030024</v>
      </c>
      <c r="J132" s="5">
        <v>1.3888888888888888E-2</v>
      </c>
    </row>
    <row r="133" spans="1:10" x14ac:dyDescent="0.25">
      <c r="A133">
        <v>131</v>
      </c>
      <c r="B133">
        <f t="shared" si="6"/>
        <v>7</v>
      </c>
      <c r="C133">
        <f t="shared" si="7"/>
        <v>5</v>
      </c>
      <c r="D133" cm="1">
        <f t="array" ref="D133">INDEX('Linha 05'!$A$4:$A$1000,B133)</f>
        <v>20040074</v>
      </c>
      <c r="E133" t="str" cm="1">
        <f t="array" ref="E133">INDEX('Linha 05'!$B$4:$B$1000,B133)</f>
        <v>Amaciante Aquafast Azul Cx C/04 X 5l (Fresc Manh) Emb. Econ</v>
      </c>
      <c r="F133" cm="1">
        <f t="array" ref="F133">INDEX('Linha 05'!$C$3:$ZZ$3,C133)</f>
        <v>20030083</v>
      </c>
      <c r="G133" t="str" cm="1">
        <f t="array" ref="G133">INDEX('Linha 05'!$C$2:$ZZ$2,C133)</f>
        <v>Detergente Ito Clear Cx/04 X 5l</v>
      </c>
      <c r="H133" s="5" cm="1">
        <f t="array" ref="H133">INDEX('Linha 05'!$C$4:$ZZ$1000,B133,C133)</f>
        <v>1.3888888888888888E-2</v>
      </c>
      <c r="I133" t="str">
        <f t="shared" si="8"/>
        <v>20040074 20030083</v>
      </c>
      <c r="J133" s="5">
        <v>1.3888888888888888E-2</v>
      </c>
    </row>
    <row r="134" spans="1:10" x14ac:dyDescent="0.25">
      <c r="A134">
        <v>132</v>
      </c>
      <c r="B134">
        <f t="shared" si="6"/>
        <v>7</v>
      </c>
      <c r="C134">
        <f t="shared" si="7"/>
        <v>6</v>
      </c>
      <c r="D134" cm="1">
        <f t="array" ref="D134">INDEX('Linha 05'!$A$4:$A$1000,B134)</f>
        <v>20040074</v>
      </c>
      <c r="E134" t="str" cm="1">
        <f t="array" ref="E134">INDEX('Linha 05'!$B$4:$B$1000,B134)</f>
        <v>Amaciante Aquafast Azul Cx C/04 X 5l (Fresc Manh) Emb. Econ</v>
      </c>
      <c r="F134" cm="1">
        <f t="array" ref="F134">INDEX('Linha 05'!$C$3:$ZZ$3,C134)</f>
        <v>20040030</v>
      </c>
      <c r="G134" t="str" cm="1">
        <f t="array" ref="G134">INDEX('Linha 05'!$C$2:$ZZ$2,C134)</f>
        <v>Amaciante Ito Azul Cx/04 X 5l</v>
      </c>
      <c r="H134" s="5" cm="1">
        <f t="array" ref="H134">INDEX('Linha 05'!$C$4:$ZZ$1000,B134,C134)</f>
        <v>6.9444444444444441E-3</v>
      </c>
      <c r="I134" t="str">
        <f t="shared" si="8"/>
        <v>20040074 20040030</v>
      </c>
      <c r="J134" s="5">
        <v>6.9444444444444441E-3</v>
      </c>
    </row>
    <row r="135" spans="1:10" x14ac:dyDescent="0.25">
      <c r="A135">
        <v>133</v>
      </c>
      <c r="B135">
        <f t="shared" si="6"/>
        <v>7</v>
      </c>
      <c r="C135">
        <f t="shared" si="7"/>
        <v>7</v>
      </c>
      <c r="D135" cm="1">
        <f t="array" ref="D135">INDEX('Linha 05'!$A$4:$A$1000,B135)</f>
        <v>20040074</v>
      </c>
      <c r="E135" t="str" cm="1">
        <f t="array" ref="E135">INDEX('Linha 05'!$B$4:$B$1000,B135)</f>
        <v>Amaciante Aquafast Azul Cx C/04 X 5l (Fresc Manh) Emb. Econ</v>
      </c>
      <c r="F135" cm="1">
        <f t="array" ref="F135">INDEX('Linha 05'!$C$3:$ZZ$3,C135)</f>
        <v>20040074</v>
      </c>
      <c r="G135" t="str" cm="1">
        <f t="array" ref="G135">INDEX('Linha 05'!$C$2:$ZZ$2,C135)</f>
        <v>Amaciante Aquafast Azul Cx C/04 X 5l (Fresc Manh) Emb. Econ</v>
      </c>
      <c r="H135" s="5" cm="1">
        <f t="array" ref="H135">INDEX('Linha 05'!$C$4:$ZZ$1000,B135,C135)</f>
        <v>0</v>
      </c>
      <c r="I135" t="str">
        <f t="shared" si="8"/>
        <v>20040074 20040074</v>
      </c>
      <c r="J135" s="5">
        <v>0</v>
      </c>
    </row>
    <row r="136" spans="1:10" x14ac:dyDescent="0.25">
      <c r="A136">
        <v>134</v>
      </c>
      <c r="B136">
        <f t="shared" si="6"/>
        <v>7</v>
      </c>
      <c r="C136">
        <f t="shared" si="7"/>
        <v>8</v>
      </c>
      <c r="D136" cm="1">
        <f t="array" ref="D136">INDEX('Linha 05'!$A$4:$A$1000,B136)</f>
        <v>20040074</v>
      </c>
      <c r="E136" t="str" cm="1">
        <f t="array" ref="E136">INDEX('Linha 05'!$B$4:$B$1000,B136)</f>
        <v>Amaciante Aquafast Azul Cx C/04 X 5l (Fresc Manh) Emb. Econ</v>
      </c>
      <c r="F136" cm="1">
        <f t="array" ref="F136">INDEX('Linha 05'!$C$3:$ZZ$3,C136)</f>
        <v>20040075</v>
      </c>
      <c r="G136" t="str" cm="1">
        <f t="array" ref="G136">INDEX('Linha 05'!$C$2:$ZZ$2,C136)</f>
        <v>Amaciante Aquafast Rosa Cx C/04 X 5l (Jard Flor) Emb. Econ</v>
      </c>
      <c r="H136" s="5" cm="1">
        <f t="array" ref="H136">INDEX('Linha 05'!$C$4:$ZZ$1000,B136,C136)</f>
        <v>6.9444444444444441E-3</v>
      </c>
      <c r="I136" t="str">
        <f t="shared" si="8"/>
        <v>20040074 20040075</v>
      </c>
      <c r="J136" s="5">
        <v>6.9444444444444441E-3</v>
      </c>
    </row>
    <row r="137" spans="1:10" x14ac:dyDescent="0.25">
      <c r="A137">
        <v>135</v>
      </c>
      <c r="B137">
        <f t="shared" si="6"/>
        <v>7</v>
      </c>
      <c r="C137">
        <f t="shared" si="7"/>
        <v>9</v>
      </c>
      <c r="D137" cm="1">
        <f t="array" ref="D137">INDEX('Linha 05'!$A$4:$A$1000,B137)</f>
        <v>20040074</v>
      </c>
      <c r="E137" t="str" cm="1">
        <f t="array" ref="E137">INDEX('Linha 05'!$B$4:$B$1000,B137)</f>
        <v>Amaciante Aquafast Azul Cx C/04 X 5l (Fresc Manh) Emb. Econ</v>
      </c>
      <c r="F137" cm="1">
        <f t="array" ref="F137">INDEX('Linha 05'!$C$3:$ZZ$3,C137)</f>
        <v>20040086</v>
      </c>
      <c r="G137" t="str" cm="1">
        <f t="array" ref="G137">INDEX('Linha 05'!$C$2:$ZZ$2,C137)</f>
        <v>Amaciante Aquafast Vermelho Cx/04 X 5l (Seducao) Emb. Econ</v>
      </c>
      <c r="H137" s="5" cm="1">
        <f t="array" ref="H137">INDEX('Linha 05'!$C$4:$ZZ$1000,B137,C137)</f>
        <v>6.9444444444444441E-3</v>
      </c>
      <c r="I137" t="str">
        <f t="shared" si="8"/>
        <v>20040074 20040086</v>
      </c>
      <c r="J137" s="5">
        <v>6.9444444444444441E-3</v>
      </c>
    </row>
    <row r="138" spans="1:10" x14ac:dyDescent="0.25">
      <c r="A138">
        <v>136</v>
      </c>
      <c r="B138">
        <f t="shared" si="6"/>
        <v>7</v>
      </c>
      <c r="C138">
        <f t="shared" si="7"/>
        <v>10</v>
      </c>
      <c r="D138" cm="1">
        <f t="array" ref="D138">INDEX('Linha 05'!$A$4:$A$1000,B138)</f>
        <v>20040074</v>
      </c>
      <c r="E138" t="str" cm="1">
        <f t="array" ref="E138">INDEX('Linha 05'!$B$4:$B$1000,B138)</f>
        <v>Amaciante Aquafast Azul Cx C/04 X 5l (Fresc Manh) Emb. Econ</v>
      </c>
      <c r="F138" cm="1">
        <f t="array" ref="F138">INDEX('Linha 05'!$C$3:$ZZ$3,C138)</f>
        <v>20040091</v>
      </c>
      <c r="G138" t="str" cm="1">
        <f t="array" ref="G138">INDEX('Linha 05'!$C$2:$ZZ$2,C138)</f>
        <v>Amaciante Aquafast Roxo Cx/04 X 5l (Magia) Emb. Econ</v>
      </c>
      <c r="H138" s="5" cm="1">
        <f t="array" ref="H138">INDEX('Linha 05'!$C$4:$ZZ$1000,B138,C138)</f>
        <v>6.9444444444444441E-3</v>
      </c>
      <c r="I138" t="str">
        <f t="shared" si="8"/>
        <v>20040074 20040091</v>
      </c>
      <c r="J138" s="5">
        <v>6.9444444444444441E-3</v>
      </c>
    </row>
    <row r="139" spans="1:10" x14ac:dyDescent="0.25">
      <c r="A139">
        <v>137</v>
      </c>
      <c r="B139">
        <f t="shared" si="6"/>
        <v>7</v>
      </c>
      <c r="C139">
        <f t="shared" si="7"/>
        <v>11</v>
      </c>
      <c r="D139" cm="1">
        <f t="array" ref="D139">INDEX('Linha 05'!$A$4:$A$1000,B139)</f>
        <v>20040074</v>
      </c>
      <c r="E139" t="str" cm="1">
        <f t="array" ref="E139">INDEX('Linha 05'!$B$4:$B$1000,B139)</f>
        <v>Amaciante Aquafast Azul Cx C/04 X 5l (Fresc Manh) Emb. Econ</v>
      </c>
      <c r="F139" cm="1">
        <f t="array" ref="F139">INDEX('Linha 05'!$C$3:$ZZ$3,C139)</f>
        <v>20040095</v>
      </c>
      <c r="G139" t="str" cm="1">
        <f t="array" ref="G139">INDEX('Linha 05'!$C$2:$ZZ$2,C139)</f>
        <v>Amaciante Aquafast Energia Cx/04 X 5l Emb. Econ</v>
      </c>
      <c r="H139" s="5" cm="1">
        <f t="array" ref="H139">INDEX('Linha 05'!$C$4:$ZZ$1000,B139,C139)</f>
        <v>6.9444444444444441E-3</v>
      </c>
      <c r="I139" t="str">
        <f t="shared" si="8"/>
        <v>20040074 20040095</v>
      </c>
      <c r="J139" s="5">
        <v>6.9444444444444441E-3</v>
      </c>
    </row>
    <row r="140" spans="1:10" x14ac:dyDescent="0.25">
      <c r="A140">
        <v>138</v>
      </c>
      <c r="B140">
        <f t="shared" si="6"/>
        <v>7</v>
      </c>
      <c r="C140">
        <f t="shared" si="7"/>
        <v>12</v>
      </c>
      <c r="D140" cm="1">
        <f t="array" ref="D140">INDEX('Linha 05'!$A$4:$A$1000,B140)</f>
        <v>20040074</v>
      </c>
      <c r="E140" t="str" cm="1">
        <f t="array" ref="E140">INDEX('Linha 05'!$B$4:$B$1000,B140)</f>
        <v>Amaciante Aquafast Azul Cx C/04 X 5l (Fresc Manh) Emb. Econ</v>
      </c>
      <c r="F140" cm="1">
        <f t="array" ref="F140">INDEX('Linha 05'!$C$3:$ZZ$3,C140)</f>
        <v>20150028</v>
      </c>
      <c r="G140" t="str" cm="1">
        <f t="array" ref="G140">INDEX('Linha 05'!$C$2:$ZZ$2,C140)</f>
        <v>Amac. Conc. Aquafast Branco Ternura Cx/ 04 X 3l</v>
      </c>
      <c r="H140" s="5" cm="1">
        <f t="array" ref="H140">INDEX('Linha 05'!$C$4:$ZZ$1000,B140,C140)</f>
        <v>3.4722222222222224E-2</v>
      </c>
      <c r="I140" t="str">
        <f t="shared" si="8"/>
        <v>20040074 20150028</v>
      </c>
      <c r="J140" s="5">
        <v>3.4722222222222224E-2</v>
      </c>
    </row>
    <row r="141" spans="1:10" x14ac:dyDescent="0.25">
      <c r="A141">
        <v>139</v>
      </c>
      <c r="B141">
        <f t="shared" si="6"/>
        <v>7</v>
      </c>
      <c r="C141">
        <f t="shared" si="7"/>
        <v>13</v>
      </c>
      <c r="D141" cm="1">
        <f t="array" ref="D141">INDEX('Linha 05'!$A$4:$A$1000,B141)</f>
        <v>20040074</v>
      </c>
      <c r="E141" t="str" cm="1">
        <f t="array" ref="E141">INDEX('Linha 05'!$B$4:$B$1000,B141)</f>
        <v>Amaciante Aquafast Azul Cx C/04 X 5l (Fresc Manh) Emb. Econ</v>
      </c>
      <c r="F141" cm="1">
        <f t="array" ref="F141">INDEX('Linha 05'!$C$3:$ZZ$3,C141)</f>
        <v>20150051</v>
      </c>
      <c r="G141" t="str" cm="1">
        <f t="array" ref="G141">INDEX('Linha 05'!$C$2:$ZZ$2,C141)</f>
        <v>Amac. Conc. Aquafast Azul Harmonia Cx/ 04 X 3l</v>
      </c>
      <c r="H141" s="5" cm="1">
        <f t="array" ref="H141">INDEX('Linha 05'!$C$4:$ZZ$1000,B141,C141)</f>
        <v>3.4722222222222224E-2</v>
      </c>
      <c r="I141" t="str">
        <f t="shared" si="8"/>
        <v>20040074 20150051</v>
      </c>
      <c r="J141" s="5">
        <v>3.4722222222222224E-2</v>
      </c>
    </row>
    <row r="142" spans="1:10" x14ac:dyDescent="0.25">
      <c r="A142">
        <v>140</v>
      </c>
      <c r="B142">
        <f t="shared" si="6"/>
        <v>7</v>
      </c>
      <c r="C142">
        <f t="shared" si="7"/>
        <v>14</v>
      </c>
      <c r="D142" cm="1">
        <f t="array" ref="D142">INDEX('Linha 05'!$A$4:$A$1000,B142)</f>
        <v>20040074</v>
      </c>
      <c r="E142" t="str" cm="1">
        <f t="array" ref="E142">INDEX('Linha 05'!$B$4:$B$1000,B142)</f>
        <v>Amaciante Aquafast Azul Cx C/04 X 5l (Fresc Manh) Emb. Econ</v>
      </c>
      <c r="F142" cm="1">
        <f t="array" ref="F142">INDEX('Linha 05'!$C$3:$ZZ$3,C142)</f>
        <v>20200009</v>
      </c>
      <c r="G142" t="str" cm="1">
        <f t="array" ref="G142">INDEX('Linha 05'!$C$2:$ZZ$2,C142)</f>
        <v>Lava Roupas Aquafast Multi Acao Cx/04 X 5l (Emb Econ)</v>
      </c>
      <c r="H142" s="5" cm="1">
        <f t="array" ref="H142">INDEX('Linha 05'!$C$4:$ZZ$1000,B142,C142)</f>
        <v>1.3888888888888888E-2</v>
      </c>
      <c r="I142" t="str">
        <f t="shared" si="8"/>
        <v>20040074 20200009</v>
      </c>
      <c r="J142" s="5">
        <v>1.3888888888888888E-2</v>
      </c>
    </row>
    <row r="143" spans="1:10" x14ac:dyDescent="0.25">
      <c r="A143">
        <v>141</v>
      </c>
      <c r="B143">
        <f t="shared" si="6"/>
        <v>7</v>
      </c>
      <c r="C143">
        <f t="shared" si="7"/>
        <v>15</v>
      </c>
      <c r="D143" cm="1">
        <f t="array" ref="D143">INDEX('Linha 05'!$A$4:$A$1000,B143)</f>
        <v>20040074</v>
      </c>
      <c r="E143" t="str" cm="1">
        <f t="array" ref="E143">INDEX('Linha 05'!$B$4:$B$1000,B143)</f>
        <v>Amaciante Aquafast Azul Cx C/04 X 5l (Fresc Manh) Emb. Econ</v>
      </c>
      <c r="F143" cm="1">
        <f t="array" ref="F143">INDEX('Linha 05'!$C$3:$ZZ$3,C143)</f>
        <v>20200014</v>
      </c>
      <c r="G143" t="str" cm="1">
        <f t="array" ref="G143">INDEX('Linha 05'!$C$2:$ZZ$2,C143)</f>
        <v>Lava Roupas Aquafast Glicerina Cx/04 X 5l</v>
      </c>
      <c r="H143" s="5" cm="1">
        <f t="array" ref="H143">INDEX('Linha 05'!$C$4:$ZZ$1000,B143,C143)</f>
        <v>1.3888888888888888E-2</v>
      </c>
      <c r="I143" t="str">
        <f t="shared" si="8"/>
        <v>20040074 20200014</v>
      </c>
      <c r="J143" s="5">
        <v>1.3888888888888888E-2</v>
      </c>
    </row>
    <row r="144" spans="1:10" x14ac:dyDescent="0.25">
      <c r="A144">
        <v>142</v>
      </c>
      <c r="B144">
        <f t="shared" si="6"/>
        <v>7</v>
      </c>
      <c r="C144">
        <f t="shared" si="7"/>
        <v>16</v>
      </c>
      <c r="D144" cm="1">
        <f t="array" ref="D144">INDEX('Linha 05'!$A$4:$A$1000,B144)</f>
        <v>20040074</v>
      </c>
      <c r="E144" t="str" cm="1">
        <f t="array" ref="E144">INDEX('Linha 05'!$B$4:$B$1000,B144)</f>
        <v>Amaciante Aquafast Azul Cx C/04 X 5l (Fresc Manh) Emb. Econ</v>
      </c>
      <c r="F144" cm="1">
        <f t="array" ref="F144">INDEX('Linha 05'!$C$3:$ZZ$3,C144)</f>
        <v>20200020</v>
      </c>
      <c r="G144" t="str" cm="1">
        <f t="array" ref="G144">INDEX('Linha 05'!$C$2:$ZZ$2,C144)</f>
        <v>Lava Roupas Aquafast Glicerina Cx/04 X 3l</v>
      </c>
      <c r="H144" s="5" cm="1">
        <f t="array" ref="H144">INDEX('Linha 05'!$C$4:$ZZ$1000,B144,C144)</f>
        <v>3.4722222222222224E-2</v>
      </c>
      <c r="I144" t="str">
        <f t="shared" si="8"/>
        <v>20040074 20200020</v>
      </c>
      <c r="J144" s="5">
        <v>3.4722222222222224E-2</v>
      </c>
    </row>
    <row r="145" spans="1:10" x14ac:dyDescent="0.25">
      <c r="A145">
        <v>143</v>
      </c>
      <c r="B145">
        <f t="shared" si="6"/>
        <v>7</v>
      </c>
      <c r="C145">
        <f t="shared" si="7"/>
        <v>17</v>
      </c>
      <c r="D145" cm="1">
        <f t="array" ref="D145">INDEX('Linha 05'!$A$4:$A$1000,B145)</f>
        <v>20040074</v>
      </c>
      <c r="E145" t="str" cm="1">
        <f t="array" ref="E145">INDEX('Linha 05'!$B$4:$B$1000,B145)</f>
        <v>Amaciante Aquafast Azul Cx C/04 X 5l (Fresc Manh) Emb. Econ</v>
      </c>
      <c r="F145" cm="1">
        <f t="array" ref="F145">INDEX('Linha 05'!$C$3:$ZZ$3,C145)</f>
        <v>20200022</v>
      </c>
      <c r="G145" t="str" cm="1">
        <f t="array" ref="G145">INDEX('Linha 05'!$C$2:$ZZ$2,C145)</f>
        <v>Lava Roupas Aquafast Multiacao Cx/04 X 3l</v>
      </c>
      <c r="H145" s="5" cm="1">
        <f t="array" ref="H145">INDEX('Linha 05'!$C$4:$ZZ$1000,B145,C145)</f>
        <v>3.4722222222222224E-2</v>
      </c>
      <c r="I145" t="str">
        <f t="shared" si="8"/>
        <v>20040074 20200022</v>
      </c>
      <c r="J145" s="5">
        <v>3.4722222222222224E-2</v>
      </c>
    </row>
    <row r="146" spans="1:10" x14ac:dyDescent="0.25">
      <c r="A146">
        <v>144</v>
      </c>
      <c r="B146">
        <f t="shared" si="6"/>
        <v>7</v>
      </c>
      <c r="C146">
        <f t="shared" si="7"/>
        <v>18</v>
      </c>
      <c r="D146" cm="1">
        <f t="array" ref="D146">INDEX('Linha 05'!$A$4:$A$1000,B146)</f>
        <v>20040074</v>
      </c>
      <c r="E146" t="str" cm="1">
        <f t="array" ref="E146">INDEX('Linha 05'!$B$4:$B$1000,B146)</f>
        <v>Amaciante Aquafast Azul Cx C/04 X 5l (Fresc Manh) Emb. Econ</v>
      </c>
      <c r="F146" cm="1">
        <f t="array" ref="F146">INDEX('Linha 05'!$C$3:$ZZ$3,C146)</f>
        <v>20200026</v>
      </c>
      <c r="G146" t="str" cm="1">
        <f t="array" ref="G146">INDEX('Linha 05'!$C$2:$ZZ$2,C146)</f>
        <v>Lava Roupas Aquafast Ternura Cx/04 X 3l</v>
      </c>
      <c r="H146" s="5" cm="1">
        <f t="array" ref="H146">INDEX('Linha 05'!$C$4:$ZZ$1000,B146,C146)</f>
        <v>3.4722222222222224E-2</v>
      </c>
      <c r="I146" t="str">
        <f t="shared" si="8"/>
        <v>20040074 20200026</v>
      </c>
      <c r="J146" s="5">
        <v>3.4722222222222224E-2</v>
      </c>
    </row>
    <row r="147" spans="1:10" x14ac:dyDescent="0.25">
      <c r="A147">
        <v>145</v>
      </c>
      <c r="B147">
        <f t="shared" si="6"/>
        <v>7</v>
      </c>
      <c r="C147">
        <f t="shared" si="7"/>
        <v>19</v>
      </c>
      <c r="D147" cm="1">
        <f t="array" ref="D147">INDEX('Linha 05'!$A$4:$A$1000,B147)</f>
        <v>20040074</v>
      </c>
      <c r="E147" t="str" cm="1">
        <f t="array" ref="E147">INDEX('Linha 05'!$B$4:$B$1000,B147)</f>
        <v>Amaciante Aquafast Azul Cx C/04 X 5l (Fresc Manh) Emb. Econ</v>
      </c>
      <c r="F147" cm="1">
        <f t="array" ref="F147">INDEX('Linha 05'!$C$3:$ZZ$3,C147)</f>
        <v>20200027</v>
      </c>
      <c r="G147" t="str" cm="1">
        <f t="array" ref="G147">INDEX('Linha 05'!$C$2:$ZZ$2,C147)</f>
        <v>Lava Roupas Aquafast Ternura C/04 X 5l (Emb Econ)</v>
      </c>
      <c r="H147" s="5" cm="1">
        <f t="array" ref="H147">INDEX('Linha 05'!$C$4:$ZZ$1000,B147,C147)</f>
        <v>1.3888888888888888E-2</v>
      </c>
      <c r="I147" t="str">
        <f t="shared" si="8"/>
        <v>20040074 20200027</v>
      </c>
      <c r="J147" s="5">
        <v>1.3888888888888888E-2</v>
      </c>
    </row>
    <row r="148" spans="1:10" x14ac:dyDescent="0.25">
      <c r="A148">
        <v>146</v>
      </c>
      <c r="B148">
        <f t="shared" si="6"/>
        <v>7</v>
      </c>
      <c r="C148">
        <f t="shared" si="7"/>
        <v>20</v>
      </c>
      <c r="D148" cm="1">
        <f t="array" ref="D148">INDEX('Linha 05'!$A$4:$A$1000,B148)</f>
        <v>20040074</v>
      </c>
      <c r="E148" t="str" cm="1">
        <f t="array" ref="E148">INDEX('Linha 05'!$B$4:$B$1000,B148)</f>
        <v>Amaciante Aquafast Azul Cx C/04 X 5l (Fresc Manh) Emb. Econ</v>
      </c>
      <c r="F148" cm="1">
        <f t="array" ref="F148">INDEX('Linha 05'!$C$3:$ZZ$3,C148)</f>
        <v>20200058</v>
      </c>
      <c r="G148" t="str" cm="1">
        <f t="array" ref="G148">INDEX('Linha 05'!$C$2:$ZZ$2,C148)</f>
        <v>Lava Roupas Aquafast Flores Brancas E Baunilha Cx/4 X 3l</v>
      </c>
      <c r="H148" s="5" cm="1">
        <f t="array" ref="H148">INDEX('Linha 05'!$C$4:$ZZ$1000,B148,C148)</f>
        <v>3.4722222222222224E-2</v>
      </c>
      <c r="I148" t="str">
        <f t="shared" si="8"/>
        <v>20040074 20200058</v>
      </c>
      <c r="J148" s="5">
        <v>3.4722222222222224E-2</v>
      </c>
    </row>
    <row r="149" spans="1:10" x14ac:dyDescent="0.25">
      <c r="A149">
        <v>147</v>
      </c>
      <c r="B149">
        <f t="shared" si="6"/>
        <v>7</v>
      </c>
      <c r="C149">
        <f t="shared" si="7"/>
        <v>21</v>
      </c>
      <c r="D149" cm="1">
        <f t="array" ref="D149">INDEX('Linha 05'!$A$4:$A$1000,B149)</f>
        <v>20040074</v>
      </c>
      <c r="E149" t="str" cm="1">
        <f t="array" ref="E149">INDEX('Linha 05'!$B$4:$B$1000,B149)</f>
        <v>Amaciante Aquafast Azul Cx C/04 X 5l (Fresc Manh) Emb. Econ</v>
      </c>
      <c r="F149" cm="1">
        <f t="array" ref="F149">INDEX('Linha 05'!$C$3:$ZZ$3,C149)</f>
        <v>20200077</v>
      </c>
      <c r="G149" t="str" cm="1">
        <f t="array" ref="G149">INDEX('Linha 05'!$C$2:$ZZ$2,C149)</f>
        <v>Lava Roupas Aquafast Alta Performance 7l</v>
      </c>
      <c r="H149" s="5" cm="1">
        <f t="array" ref="H149">INDEX('Linha 05'!$C$4:$ZZ$1000,B149,C149)</f>
        <v>3.4722222222222224E-2</v>
      </c>
      <c r="I149" t="str">
        <f t="shared" si="8"/>
        <v>20040074 20200077</v>
      </c>
      <c r="J149" s="5">
        <v>3.4722222222222224E-2</v>
      </c>
    </row>
    <row r="150" spans="1:10" x14ac:dyDescent="0.25">
      <c r="A150">
        <v>148</v>
      </c>
      <c r="B150">
        <f t="shared" si="6"/>
        <v>8</v>
      </c>
      <c r="C150">
        <f t="shared" si="7"/>
        <v>1</v>
      </c>
      <c r="D150" cm="1">
        <f t="array" ref="D150">INDEX('Linha 05'!$A$4:$A$1000,B150)</f>
        <v>20040075</v>
      </c>
      <c r="E150" t="str" cm="1">
        <f t="array" ref="E150">INDEX('Linha 05'!$B$4:$B$1000,B150)</f>
        <v>Amaciante Aquafast Rosa Cx C/04 X 5l (Jard Flor) Emb. Econ</v>
      </c>
      <c r="F150" cm="1">
        <f t="array" ref="F150">INDEX('Linha 05'!$C$3:$ZZ$3,C150)</f>
        <v>20030008</v>
      </c>
      <c r="G150" t="str" cm="1">
        <f t="array" ref="G150">INDEX('Linha 05'!$C$2:$ZZ$2,C150)</f>
        <v>Detergente Aquafast Limao Cx/04 X 5l (Emb Econ)</v>
      </c>
      <c r="H150" s="5" cm="1">
        <f t="array" ref="H150">INDEX('Linha 05'!$C$4:$ZZ$1000,B150,C150)</f>
        <v>1.3888888888888888E-2</v>
      </c>
      <c r="I150" t="str">
        <f t="shared" si="8"/>
        <v>20040075 20030008</v>
      </c>
      <c r="J150" s="5">
        <v>1.3888888888888888E-2</v>
      </c>
    </row>
    <row r="151" spans="1:10" x14ac:dyDescent="0.25">
      <c r="A151">
        <v>149</v>
      </c>
      <c r="B151">
        <f t="shared" si="6"/>
        <v>8</v>
      </c>
      <c r="C151">
        <f t="shared" si="7"/>
        <v>2</v>
      </c>
      <c r="D151" cm="1">
        <f t="array" ref="D151">INDEX('Linha 05'!$A$4:$A$1000,B151)</f>
        <v>20040075</v>
      </c>
      <c r="E151" t="str" cm="1">
        <f t="array" ref="E151">INDEX('Linha 05'!$B$4:$B$1000,B151)</f>
        <v>Amaciante Aquafast Rosa Cx C/04 X 5l (Jard Flor) Emb. Econ</v>
      </c>
      <c r="F151" cm="1">
        <f t="array" ref="F151">INDEX('Linha 05'!$C$3:$ZZ$3,C151)</f>
        <v>20030009</v>
      </c>
      <c r="G151" t="str" cm="1">
        <f t="array" ref="G151">INDEX('Linha 05'!$C$2:$ZZ$2,C151)</f>
        <v>Detergente Aquafast Neutro Cx/04 X 5l (Emb Econ)</v>
      </c>
      <c r="H151" s="5" cm="1">
        <f t="array" ref="H151">INDEX('Linha 05'!$C$4:$ZZ$1000,B151,C151)</f>
        <v>1.3888888888888888E-2</v>
      </c>
      <c r="I151" t="str">
        <f t="shared" si="8"/>
        <v>20040075 20030009</v>
      </c>
      <c r="J151" s="5">
        <v>1.3888888888888888E-2</v>
      </c>
    </row>
    <row r="152" spans="1:10" x14ac:dyDescent="0.25">
      <c r="A152">
        <v>150</v>
      </c>
      <c r="B152">
        <f t="shared" si="6"/>
        <v>8</v>
      </c>
      <c r="C152">
        <f t="shared" si="7"/>
        <v>3</v>
      </c>
      <c r="D152" cm="1">
        <f t="array" ref="D152">INDEX('Linha 05'!$A$4:$A$1000,B152)</f>
        <v>20040075</v>
      </c>
      <c r="E152" t="str" cm="1">
        <f t="array" ref="E152">INDEX('Linha 05'!$B$4:$B$1000,B152)</f>
        <v>Amaciante Aquafast Rosa Cx C/04 X 5l (Jard Flor) Emb. Econ</v>
      </c>
      <c r="F152" cm="1">
        <f t="array" ref="F152">INDEX('Linha 05'!$C$3:$ZZ$3,C152)</f>
        <v>20030010</v>
      </c>
      <c r="G152" t="str" cm="1">
        <f t="array" ref="G152">INDEX('Linha 05'!$C$2:$ZZ$2,C152)</f>
        <v>Detergente Aquafast Clear Cx/04 X 5l (Emb Econ)</v>
      </c>
      <c r="H152" s="5" cm="1">
        <f t="array" ref="H152">INDEX('Linha 05'!$C$4:$ZZ$1000,B152,C152)</f>
        <v>1.3888888888888888E-2</v>
      </c>
      <c r="I152" t="str">
        <f t="shared" si="8"/>
        <v>20040075 20030010</v>
      </c>
      <c r="J152" s="5">
        <v>1.3888888888888888E-2</v>
      </c>
    </row>
    <row r="153" spans="1:10" x14ac:dyDescent="0.25">
      <c r="A153">
        <v>151</v>
      </c>
      <c r="B153">
        <f t="shared" si="6"/>
        <v>8</v>
      </c>
      <c r="C153">
        <f t="shared" si="7"/>
        <v>4</v>
      </c>
      <c r="D153" cm="1">
        <f t="array" ref="D153">INDEX('Linha 05'!$A$4:$A$1000,B153)</f>
        <v>20040075</v>
      </c>
      <c r="E153" t="str" cm="1">
        <f t="array" ref="E153">INDEX('Linha 05'!$B$4:$B$1000,B153)</f>
        <v>Amaciante Aquafast Rosa Cx C/04 X 5l (Jard Flor) Emb. Econ</v>
      </c>
      <c r="F153" cm="1">
        <f t="array" ref="F153">INDEX('Linha 05'!$C$3:$ZZ$3,C153)</f>
        <v>20030024</v>
      </c>
      <c r="G153" t="str" cm="1">
        <f t="array" ref="G153">INDEX('Linha 05'!$C$2:$ZZ$2,C153)</f>
        <v>Detergente Ito Neutro Cx/04 X 5l</v>
      </c>
      <c r="H153" s="5" cm="1">
        <f t="array" ref="H153">INDEX('Linha 05'!$C$4:$ZZ$1000,B153,C153)</f>
        <v>1.3888888888888888E-2</v>
      </c>
      <c r="I153" t="str">
        <f t="shared" si="8"/>
        <v>20040075 20030024</v>
      </c>
      <c r="J153" s="5">
        <v>1.3888888888888888E-2</v>
      </c>
    </row>
    <row r="154" spans="1:10" x14ac:dyDescent="0.25">
      <c r="A154">
        <v>152</v>
      </c>
      <c r="B154">
        <f t="shared" si="6"/>
        <v>8</v>
      </c>
      <c r="C154">
        <f t="shared" si="7"/>
        <v>5</v>
      </c>
      <c r="D154" cm="1">
        <f t="array" ref="D154">INDEX('Linha 05'!$A$4:$A$1000,B154)</f>
        <v>20040075</v>
      </c>
      <c r="E154" t="str" cm="1">
        <f t="array" ref="E154">INDEX('Linha 05'!$B$4:$B$1000,B154)</f>
        <v>Amaciante Aquafast Rosa Cx C/04 X 5l (Jard Flor) Emb. Econ</v>
      </c>
      <c r="F154" cm="1">
        <f t="array" ref="F154">INDEX('Linha 05'!$C$3:$ZZ$3,C154)</f>
        <v>20030083</v>
      </c>
      <c r="G154" t="str" cm="1">
        <f t="array" ref="G154">INDEX('Linha 05'!$C$2:$ZZ$2,C154)</f>
        <v>Detergente Ito Clear Cx/04 X 5l</v>
      </c>
      <c r="H154" s="5" cm="1">
        <f t="array" ref="H154">INDEX('Linha 05'!$C$4:$ZZ$1000,B154,C154)</f>
        <v>1.3888888888888888E-2</v>
      </c>
      <c r="I154" t="str">
        <f t="shared" si="8"/>
        <v>20040075 20030083</v>
      </c>
      <c r="J154" s="5">
        <v>1.3888888888888888E-2</v>
      </c>
    </row>
    <row r="155" spans="1:10" x14ac:dyDescent="0.25">
      <c r="A155">
        <v>153</v>
      </c>
      <c r="B155">
        <f t="shared" si="6"/>
        <v>8</v>
      </c>
      <c r="C155">
        <f t="shared" si="7"/>
        <v>6</v>
      </c>
      <c r="D155" cm="1">
        <f t="array" ref="D155">INDEX('Linha 05'!$A$4:$A$1000,B155)</f>
        <v>20040075</v>
      </c>
      <c r="E155" t="str" cm="1">
        <f t="array" ref="E155">INDEX('Linha 05'!$B$4:$B$1000,B155)</f>
        <v>Amaciante Aquafast Rosa Cx C/04 X 5l (Jard Flor) Emb. Econ</v>
      </c>
      <c r="F155" cm="1">
        <f t="array" ref="F155">INDEX('Linha 05'!$C$3:$ZZ$3,C155)</f>
        <v>20040030</v>
      </c>
      <c r="G155" t="str" cm="1">
        <f t="array" ref="G155">INDEX('Linha 05'!$C$2:$ZZ$2,C155)</f>
        <v>Amaciante Ito Azul Cx/04 X 5l</v>
      </c>
      <c r="H155" s="5" cm="1">
        <f t="array" ref="H155">INDEX('Linha 05'!$C$4:$ZZ$1000,B155,C155)</f>
        <v>6.9444444444444441E-3</v>
      </c>
      <c r="I155" t="str">
        <f t="shared" si="8"/>
        <v>20040075 20040030</v>
      </c>
      <c r="J155" s="5">
        <v>6.9444444444444441E-3</v>
      </c>
    </row>
    <row r="156" spans="1:10" x14ac:dyDescent="0.25">
      <c r="A156">
        <v>154</v>
      </c>
      <c r="B156">
        <f t="shared" si="6"/>
        <v>8</v>
      </c>
      <c r="C156">
        <f t="shared" si="7"/>
        <v>7</v>
      </c>
      <c r="D156" cm="1">
        <f t="array" ref="D156">INDEX('Linha 05'!$A$4:$A$1000,B156)</f>
        <v>20040075</v>
      </c>
      <c r="E156" t="str" cm="1">
        <f t="array" ref="E156">INDEX('Linha 05'!$B$4:$B$1000,B156)</f>
        <v>Amaciante Aquafast Rosa Cx C/04 X 5l (Jard Flor) Emb. Econ</v>
      </c>
      <c r="F156" cm="1">
        <f t="array" ref="F156">INDEX('Linha 05'!$C$3:$ZZ$3,C156)</f>
        <v>20040074</v>
      </c>
      <c r="G156" t="str" cm="1">
        <f t="array" ref="G156">INDEX('Linha 05'!$C$2:$ZZ$2,C156)</f>
        <v>Amaciante Aquafast Azul Cx C/04 X 5l (Fresc Manh) Emb. Econ</v>
      </c>
      <c r="H156" s="5" cm="1">
        <f t="array" ref="H156">INDEX('Linha 05'!$C$4:$ZZ$1000,B156,C156)</f>
        <v>6.9444444444444441E-3</v>
      </c>
      <c r="I156" t="str">
        <f t="shared" si="8"/>
        <v>20040075 20040074</v>
      </c>
      <c r="J156" s="5">
        <v>6.9444444444444441E-3</v>
      </c>
    </row>
    <row r="157" spans="1:10" x14ac:dyDescent="0.25">
      <c r="A157">
        <v>155</v>
      </c>
      <c r="B157">
        <f t="shared" si="6"/>
        <v>8</v>
      </c>
      <c r="C157">
        <f t="shared" si="7"/>
        <v>8</v>
      </c>
      <c r="D157" cm="1">
        <f t="array" ref="D157">INDEX('Linha 05'!$A$4:$A$1000,B157)</f>
        <v>20040075</v>
      </c>
      <c r="E157" t="str" cm="1">
        <f t="array" ref="E157">INDEX('Linha 05'!$B$4:$B$1000,B157)</f>
        <v>Amaciante Aquafast Rosa Cx C/04 X 5l (Jard Flor) Emb. Econ</v>
      </c>
      <c r="F157" cm="1">
        <f t="array" ref="F157">INDEX('Linha 05'!$C$3:$ZZ$3,C157)</f>
        <v>20040075</v>
      </c>
      <c r="G157" t="str" cm="1">
        <f t="array" ref="G157">INDEX('Linha 05'!$C$2:$ZZ$2,C157)</f>
        <v>Amaciante Aquafast Rosa Cx C/04 X 5l (Jard Flor) Emb. Econ</v>
      </c>
      <c r="H157" s="5" cm="1">
        <f t="array" ref="H157">INDEX('Linha 05'!$C$4:$ZZ$1000,B157,C157)</f>
        <v>0</v>
      </c>
      <c r="I157" t="str">
        <f t="shared" si="8"/>
        <v>20040075 20040075</v>
      </c>
      <c r="J157" s="5">
        <v>0</v>
      </c>
    </row>
    <row r="158" spans="1:10" x14ac:dyDescent="0.25">
      <c r="A158">
        <v>156</v>
      </c>
      <c r="B158">
        <f t="shared" si="6"/>
        <v>8</v>
      </c>
      <c r="C158">
        <f t="shared" si="7"/>
        <v>9</v>
      </c>
      <c r="D158" cm="1">
        <f t="array" ref="D158">INDEX('Linha 05'!$A$4:$A$1000,B158)</f>
        <v>20040075</v>
      </c>
      <c r="E158" t="str" cm="1">
        <f t="array" ref="E158">INDEX('Linha 05'!$B$4:$B$1000,B158)</f>
        <v>Amaciante Aquafast Rosa Cx C/04 X 5l (Jard Flor) Emb. Econ</v>
      </c>
      <c r="F158" cm="1">
        <f t="array" ref="F158">INDEX('Linha 05'!$C$3:$ZZ$3,C158)</f>
        <v>20040086</v>
      </c>
      <c r="G158" t="str" cm="1">
        <f t="array" ref="G158">INDEX('Linha 05'!$C$2:$ZZ$2,C158)</f>
        <v>Amaciante Aquafast Vermelho Cx/04 X 5l (Seducao) Emb. Econ</v>
      </c>
      <c r="H158" s="5" cm="1">
        <f t="array" ref="H158">INDEX('Linha 05'!$C$4:$ZZ$1000,B158,C158)</f>
        <v>6.9444444444444441E-3</v>
      </c>
      <c r="I158" t="str">
        <f t="shared" si="8"/>
        <v>20040075 20040086</v>
      </c>
      <c r="J158" s="5">
        <v>6.9444444444444441E-3</v>
      </c>
    </row>
    <row r="159" spans="1:10" x14ac:dyDescent="0.25">
      <c r="A159">
        <v>157</v>
      </c>
      <c r="B159">
        <f t="shared" si="6"/>
        <v>8</v>
      </c>
      <c r="C159">
        <f t="shared" si="7"/>
        <v>10</v>
      </c>
      <c r="D159" cm="1">
        <f t="array" ref="D159">INDEX('Linha 05'!$A$4:$A$1000,B159)</f>
        <v>20040075</v>
      </c>
      <c r="E159" t="str" cm="1">
        <f t="array" ref="E159">INDEX('Linha 05'!$B$4:$B$1000,B159)</f>
        <v>Amaciante Aquafast Rosa Cx C/04 X 5l (Jard Flor) Emb. Econ</v>
      </c>
      <c r="F159" cm="1">
        <f t="array" ref="F159">INDEX('Linha 05'!$C$3:$ZZ$3,C159)</f>
        <v>20040091</v>
      </c>
      <c r="G159" t="str" cm="1">
        <f t="array" ref="G159">INDEX('Linha 05'!$C$2:$ZZ$2,C159)</f>
        <v>Amaciante Aquafast Roxo Cx/04 X 5l (Magia) Emb. Econ</v>
      </c>
      <c r="H159" s="5" cm="1">
        <f t="array" ref="H159">INDEX('Linha 05'!$C$4:$ZZ$1000,B159,C159)</f>
        <v>6.9444444444444441E-3</v>
      </c>
      <c r="I159" t="str">
        <f t="shared" si="8"/>
        <v>20040075 20040091</v>
      </c>
      <c r="J159" s="5">
        <v>6.9444444444444441E-3</v>
      </c>
    </row>
    <row r="160" spans="1:10" x14ac:dyDescent="0.25">
      <c r="A160">
        <v>158</v>
      </c>
      <c r="B160">
        <f t="shared" si="6"/>
        <v>8</v>
      </c>
      <c r="C160">
        <f t="shared" si="7"/>
        <v>11</v>
      </c>
      <c r="D160" cm="1">
        <f t="array" ref="D160">INDEX('Linha 05'!$A$4:$A$1000,B160)</f>
        <v>20040075</v>
      </c>
      <c r="E160" t="str" cm="1">
        <f t="array" ref="E160">INDEX('Linha 05'!$B$4:$B$1000,B160)</f>
        <v>Amaciante Aquafast Rosa Cx C/04 X 5l (Jard Flor) Emb. Econ</v>
      </c>
      <c r="F160" cm="1">
        <f t="array" ref="F160">INDEX('Linha 05'!$C$3:$ZZ$3,C160)</f>
        <v>20040095</v>
      </c>
      <c r="G160" t="str" cm="1">
        <f t="array" ref="G160">INDEX('Linha 05'!$C$2:$ZZ$2,C160)</f>
        <v>Amaciante Aquafast Energia Cx/04 X 5l Emb. Econ</v>
      </c>
      <c r="H160" s="5" cm="1">
        <f t="array" ref="H160">INDEX('Linha 05'!$C$4:$ZZ$1000,B160,C160)</f>
        <v>6.9444444444444441E-3</v>
      </c>
      <c r="I160" t="str">
        <f t="shared" si="8"/>
        <v>20040075 20040095</v>
      </c>
      <c r="J160" s="5">
        <v>6.9444444444444441E-3</v>
      </c>
    </row>
    <row r="161" spans="1:10" x14ac:dyDescent="0.25">
      <c r="A161">
        <v>159</v>
      </c>
      <c r="B161">
        <f t="shared" si="6"/>
        <v>8</v>
      </c>
      <c r="C161">
        <f t="shared" si="7"/>
        <v>12</v>
      </c>
      <c r="D161" cm="1">
        <f t="array" ref="D161">INDEX('Linha 05'!$A$4:$A$1000,B161)</f>
        <v>20040075</v>
      </c>
      <c r="E161" t="str" cm="1">
        <f t="array" ref="E161">INDEX('Linha 05'!$B$4:$B$1000,B161)</f>
        <v>Amaciante Aquafast Rosa Cx C/04 X 5l (Jard Flor) Emb. Econ</v>
      </c>
      <c r="F161" cm="1">
        <f t="array" ref="F161">INDEX('Linha 05'!$C$3:$ZZ$3,C161)</f>
        <v>20150028</v>
      </c>
      <c r="G161" t="str" cm="1">
        <f t="array" ref="G161">INDEX('Linha 05'!$C$2:$ZZ$2,C161)</f>
        <v>Amac. Conc. Aquafast Branco Ternura Cx/ 04 X 3l</v>
      </c>
      <c r="H161" s="5" cm="1">
        <f t="array" ref="H161">INDEX('Linha 05'!$C$4:$ZZ$1000,B161,C161)</f>
        <v>3.4722222222222224E-2</v>
      </c>
      <c r="I161" t="str">
        <f t="shared" si="8"/>
        <v>20040075 20150028</v>
      </c>
      <c r="J161" s="5">
        <v>3.4722222222222224E-2</v>
      </c>
    </row>
    <row r="162" spans="1:10" x14ac:dyDescent="0.25">
      <c r="A162">
        <v>160</v>
      </c>
      <c r="B162">
        <f t="shared" si="6"/>
        <v>8</v>
      </c>
      <c r="C162">
        <f t="shared" si="7"/>
        <v>13</v>
      </c>
      <c r="D162" cm="1">
        <f t="array" ref="D162">INDEX('Linha 05'!$A$4:$A$1000,B162)</f>
        <v>20040075</v>
      </c>
      <c r="E162" t="str" cm="1">
        <f t="array" ref="E162">INDEX('Linha 05'!$B$4:$B$1000,B162)</f>
        <v>Amaciante Aquafast Rosa Cx C/04 X 5l (Jard Flor) Emb. Econ</v>
      </c>
      <c r="F162" cm="1">
        <f t="array" ref="F162">INDEX('Linha 05'!$C$3:$ZZ$3,C162)</f>
        <v>20150051</v>
      </c>
      <c r="G162" t="str" cm="1">
        <f t="array" ref="G162">INDEX('Linha 05'!$C$2:$ZZ$2,C162)</f>
        <v>Amac. Conc. Aquafast Azul Harmonia Cx/ 04 X 3l</v>
      </c>
      <c r="H162" s="5" cm="1">
        <f t="array" ref="H162">INDEX('Linha 05'!$C$4:$ZZ$1000,B162,C162)</f>
        <v>3.4722222222222224E-2</v>
      </c>
      <c r="I162" t="str">
        <f t="shared" si="8"/>
        <v>20040075 20150051</v>
      </c>
      <c r="J162" s="5">
        <v>3.4722222222222224E-2</v>
      </c>
    </row>
    <row r="163" spans="1:10" x14ac:dyDescent="0.25">
      <c r="A163">
        <v>161</v>
      </c>
      <c r="B163">
        <f t="shared" si="6"/>
        <v>8</v>
      </c>
      <c r="C163">
        <f t="shared" si="7"/>
        <v>14</v>
      </c>
      <c r="D163" cm="1">
        <f t="array" ref="D163">INDEX('Linha 05'!$A$4:$A$1000,B163)</f>
        <v>20040075</v>
      </c>
      <c r="E163" t="str" cm="1">
        <f t="array" ref="E163">INDEX('Linha 05'!$B$4:$B$1000,B163)</f>
        <v>Amaciante Aquafast Rosa Cx C/04 X 5l (Jard Flor) Emb. Econ</v>
      </c>
      <c r="F163" cm="1">
        <f t="array" ref="F163">INDEX('Linha 05'!$C$3:$ZZ$3,C163)</f>
        <v>20200009</v>
      </c>
      <c r="G163" t="str" cm="1">
        <f t="array" ref="G163">INDEX('Linha 05'!$C$2:$ZZ$2,C163)</f>
        <v>Lava Roupas Aquafast Multi Acao Cx/04 X 5l (Emb Econ)</v>
      </c>
      <c r="H163" s="5" cm="1">
        <f t="array" ref="H163">INDEX('Linha 05'!$C$4:$ZZ$1000,B163,C163)</f>
        <v>1.3888888888888888E-2</v>
      </c>
      <c r="I163" t="str">
        <f t="shared" si="8"/>
        <v>20040075 20200009</v>
      </c>
      <c r="J163" s="5">
        <v>1.3888888888888888E-2</v>
      </c>
    </row>
    <row r="164" spans="1:10" x14ac:dyDescent="0.25">
      <c r="A164">
        <v>162</v>
      </c>
      <c r="B164">
        <f t="shared" si="6"/>
        <v>8</v>
      </c>
      <c r="C164">
        <f t="shared" si="7"/>
        <v>15</v>
      </c>
      <c r="D164" cm="1">
        <f t="array" ref="D164">INDEX('Linha 05'!$A$4:$A$1000,B164)</f>
        <v>20040075</v>
      </c>
      <c r="E164" t="str" cm="1">
        <f t="array" ref="E164">INDEX('Linha 05'!$B$4:$B$1000,B164)</f>
        <v>Amaciante Aquafast Rosa Cx C/04 X 5l (Jard Flor) Emb. Econ</v>
      </c>
      <c r="F164" cm="1">
        <f t="array" ref="F164">INDEX('Linha 05'!$C$3:$ZZ$3,C164)</f>
        <v>20200014</v>
      </c>
      <c r="G164" t="str" cm="1">
        <f t="array" ref="G164">INDEX('Linha 05'!$C$2:$ZZ$2,C164)</f>
        <v>Lava Roupas Aquafast Glicerina Cx/04 X 5l</v>
      </c>
      <c r="H164" s="5" cm="1">
        <f t="array" ref="H164">INDEX('Linha 05'!$C$4:$ZZ$1000,B164,C164)</f>
        <v>1.3888888888888888E-2</v>
      </c>
      <c r="I164" t="str">
        <f t="shared" si="8"/>
        <v>20040075 20200014</v>
      </c>
      <c r="J164" s="5">
        <v>1.3888888888888888E-2</v>
      </c>
    </row>
    <row r="165" spans="1:10" x14ac:dyDescent="0.25">
      <c r="A165">
        <v>163</v>
      </c>
      <c r="B165">
        <f t="shared" si="6"/>
        <v>8</v>
      </c>
      <c r="C165">
        <f t="shared" si="7"/>
        <v>16</v>
      </c>
      <c r="D165" cm="1">
        <f t="array" ref="D165">INDEX('Linha 05'!$A$4:$A$1000,B165)</f>
        <v>20040075</v>
      </c>
      <c r="E165" t="str" cm="1">
        <f t="array" ref="E165">INDEX('Linha 05'!$B$4:$B$1000,B165)</f>
        <v>Amaciante Aquafast Rosa Cx C/04 X 5l (Jard Flor) Emb. Econ</v>
      </c>
      <c r="F165" cm="1">
        <f t="array" ref="F165">INDEX('Linha 05'!$C$3:$ZZ$3,C165)</f>
        <v>20200020</v>
      </c>
      <c r="G165" t="str" cm="1">
        <f t="array" ref="G165">INDEX('Linha 05'!$C$2:$ZZ$2,C165)</f>
        <v>Lava Roupas Aquafast Glicerina Cx/04 X 3l</v>
      </c>
      <c r="H165" s="5" cm="1">
        <f t="array" ref="H165">INDEX('Linha 05'!$C$4:$ZZ$1000,B165,C165)</f>
        <v>3.4722222222222224E-2</v>
      </c>
      <c r="I165" t="str">
        <f t="shared" si="8"/>
        <v>20040075 20200020</v>
      </c>
      <c r="J165" s="5">
        <v>3.4722222222222224E-2</v>
      </c>
    </row>
    <row r="166" spans="1:10" x14ac:dyDescent="0.25">
      <c r="A166">
        <v>164</v>
      </c>
      <c r="B166">
        <f t="shared" si="6"/>
        <v>8</v>
      </c>
      <c r="C166">
        <f t="shared" si="7"/>
        <v>17</v>
      </c>
      <c r="D166" cm="1">
        <f t="array" ref="D166">INDEX('Linha 05'!$A$4:$A$1000,B166)</f>
        <v>20040075</v>
      </c>
      <c r="E166" t="str" cm="1">
        <f t="array" ref="E166">INDEX('Linha 05'!$B$4:$B$1000,B166)</f>
        <v>Amaciante Aquafast Rosa Cx C/04 X 5l (Jard Flor) Emb. Econ</v>
      </c>
      <c r="F166" cm="1">
        <f t="array" ref="F166">INDEX('Linha 05'!$C$3:$ZZ$3,C166)</f>
        <v>20200022</v>
      </c>
      <c r="G166" t="str" cm="1">
        <f t="array" ref="G166">INDEX('Linha 05'!$C$2:$ZZ$2,C166)</f>
        <v>Lava Roupas Aquafast Multiacao Cx/04 X 3l</v>
      </c>
      <c r="H166" s="5" cm="1">
        <f t="array" ref="H166">INDEX('Linha 05'!$C$4:$ZZ$1000,B166,C166)</f>
        <v>3.4722222222222224E-2</v>
      </c>
      <c r="I166" t="str">
        <f t="shared" si="8"/>
        <v>20040075 20200022</v>
      </c>
      <c r="J166" s="5">
        <v>3.4722222222222224E-2</v>
      </c>
    </row>
    <row r="167" spans="1:10" x14ac:dyDescent="0.25">
      <c r="A167">
        <v>165</v>
      </c>
      <c r="B167">
        <f t="shared" si="6"/>
        <v>8</v>
      </c>
      <c r="C167">
        <f t="shared" si="7"/>
        <v>18</v>
      </c>
      <c r="D167" cm="1">
        <f t="array" ref="D167">INDEX('Linha 05'!$A$4:$A$1000,B167)</f>
        <v>20040075</v>
      </c>
      <c r="E167" t="str" cm="1">
        <f t="array" ref="E167">INDEX('Linha 05'!$B$4:$B$1000,B167)</f>
        <v>Amaciante Aquafast Rosa Cx C/04 X 5l (Jard Flor) Emb. Econ</v>
      </c>
      <c r="F167" cm="1">
        <f t="array" ref="F167">INDEX('Linha 05'!$C$3:$ZZ$3,C167)</f>
        <v>20200026</v>
      </c>
      <c r="G167" t="str" cm="1">
        <f t="array" ref="G167">INDEX('Linha 05'!$C$2:$ZZ$2,C167)</f>
        <v>Lava Roupas Aquafast Ternura Cx/04 X 3l</v>
      </c>
      <c r="H167" s="5" cm="1">
        <f t="array" ref="H167">INDEX('Linha 05'!$C$4:$ZZ$1000,B167,C167)</f>
        <v>3.4722222222222224E-2</v>
      </c>
      <c r="I167" t="str">
        <f t="shared" si="8"/>
        <v>20040075 20200026</v>
      </c>
      <c r="J167" s="5">
        <v>3.4722222222222224E-2</v>
      </c>
    </row>
    <row r="168" spans="1:10" x14ac:dyDescent="0.25">
      <c r="A168">
        <v>166</v>
      </c>
      <c r="B168">
        <f t="shared" si="6"/>
        <v>8</v>
      </c>
      <c r="C168">
        <f t="shared" si="7"/>
        <v>19</v>
      </c>
      <c r="D168" cm="1">
        <f t="array" ref="D168">INDEX('Linha 05'!$A$4:$A$1000,B168)</f>
        <v>20040075</v>
      </c>
      <c r="E168" t="str" cm="1">
        <f t="array" ref="E168">INDEX('Linha 05'!$B$4:$B$1000,B168)</f>
        <v>Amaciante Aquafast Rosa Cx C/04 X 5l (Jard Flor) Emb. Econ</v>
      </c>
      <c r="F168" cm="1">
        <f t="array" ref="F168">INDEX('Linha 05'!$C$3:$ZZ$3,C168)</f>
        <v>20200027</v>
      </c>
      <c r="G168" t="str" cm="1">
        <f t="array" ref="G168">INDEX('Linha 05'!$C$2:$ZZ$2,C168)</f>
        <v>Lava Roupas Aquafast Ternura C/04 X 5l (Emb Econ)</v>
      </c>
      <c r="H168" s="5" cm="1">
        <f t="array" ref="H168">INDEX('Linha 05'!$C$4:$ZZ$1000,B168,C168)</f>
        <v>1.3888888888888888E-2</v>
      </c>
      <c r="I168" t="str">
        <f t="shared" si="8"/>
        <v>20040075 20200027</v>
      </c>
      <c r="J168" s="5">
        <v>1.3888888888888888E-2</v>
      </c>
    </row>
    <row r="169" spans="1:10" x14ac:dyDescent="0.25">
      <c r="A169">
        <v>167</v>
      </c>
      <c r="B169">
        <f t="shared" si="6"/>
        <v>8</v>
      </c>
      <c r="C169">
        <f t="shared" si="7"/>
        <v>20</v>
      </c>
      <c r="D169" cm="1">
        <f t="array" ref="D169">INDEX('Linha 05'!$A$4:$A$1000,B169)</f>
        <v>20040075</v>
      </c>
      <c r="E169" t="str" cm="1">
        <f t="array" ref="E169">INDEX('Linha 05'!$B$4:$B$1000,B169)</f>
        <v>Amaciante Aquafast Rosa Cx C/04 X 5l (Jard Flor) Emb. Econ</v>
      </c>
      <c r="F169" cm="1">
        <f t="array" ref="F169">INDEX('Linha 05'!$C$3:$ZZ$3,C169)</f>
        <v>20200058</v>
      </c>
      <c r="G169" t="str" cm="1">
        <f t="array" ref="G169">INDEX('Linha 05'!$C$2:$ZZ$2,C169)</f>
        <v>Lava Roupas Aquafast Flores Brancas E Baunilha Cx/4 X 3l</v>
      </c>
      <c r="H169" s="5" cm="1">
        <f t="array" ref="H169">INDEX('Linha 05'!$C$4:$ZZ$1000,B169,C169)</f>
        <v>3.4722222222222224E-2</v>
      </c>
      <c r="I169" t="str">
        <f t="shared" si="8"/>
        <v>20040075 20200058</v>
      </c>
      <c r="J169" s="5">
        <v>3.4722222222222224E-2</v>
      </c>
    </row>
    <row r="170" spans="1:10" x14ac:dyDescent="0.25">
      <c r="A170">
        <v>168</v>
      </c>
      <c r="B170">
        <f t="shared" si="6"/>
        <v>8</v>
      </c>
      <c r="C170">
        <f t="shared" si="7"/>
        <v>21</v>
      </c>
      <c r="D170" cm="1">
        <f t="array" ref="D170">INDEX('Linha 05'!$A$4:$A$1000,B170)</f>
        <v>20040075</v>
      </c>
      <c r="E170" t="str" cm="1">
        <f t="array" ref="E170">INDEX('Linha 05'!$B$4:$B$1000,B170)</f>
        <v>Amaciante Aquafast Rosa Cx C/04 X 5l (Jard Flor) Emb. Econ</v>
      </c>
      <c r="F170" cm="1">
        <f t="array" ref="F170">INDEX('Linha 05'!$C$3:$ZZ$3,C170)</f>
        <v>20200077</v>
      </c>
      <c r="G170" t="str" cm="1">
        <f t="array" ref="G170">INDEX('Linha 05'!$C$2:$ZZ$2,C170)</f>
        <v>Lava Roupas Aquafast Alta Performance 7l</v>
      </c>
      <c r="H170" s="5" cm="1">
        <f t="array" ref="H170">INDEX('Linha 05'!$C$4:$ZZ$1000,B170,C170)</f>
        <v>3.4722222222222224E-2</v>
      </c>
      <c r="I170" t="str">
        <f t="shared" si="8"/>
        <v>20040075 20200077</v>
      </c>
      <c r="J170" s="5">
        <v>3.4722222222222224E-2</v>
      </c>
    </row>
    <row r="171" spans="1:10" x14ac:dyDescent="0.25">
      <c r="A171">
        <v>169</v>
      </c>
      <c r="B171">
        <f t="shared" si="6"/>
        <v>9</v>
      </c>
      <c r="C171">
        <f t="shared" si="7"/>
        <v>1</v>
      </c>
      <c r="D171" cm="1">
        <f t="array" ref="D171">INDEX('Linha 05'!$A$4:$A$1000,B171)</f>
        <v>20040086</v>
      </c>
      <c r="E171" t="str" cm="1">
        <f t="array" ref="E171">INDEX('Linha 05'!$B$4:$B$1000,B171)</f>
        <v>Amaciante Aquafast Vermelho Cx/04 X 5l (Seducao) Emb. Econ</v>
      </c>
      <c r="F171" cm="1">
        <f t="array" ref="F171">INDEX('Linha 05'!$C$3:$ZZ$3,C171)</f>
        <v>20030008</v>
      </c>
      <c r="G171" t="str" cm="1">
        <f t="array" ref="G171">INDEX('Linha 05'!$C$2:$ZZ$2,C171)</f>
        <v>Detergente Aquafast Limao Cx/04 X 5l (Emb Econ)</v>
      </c>
      <c r="H171" s="5" cm="1">
        <f t="array" ref="H171">INDEX('Linha 05'!$C$4:$ZZ$1000,B171,C171)</f>
        <v>1.3888888888888888E-2</v>
      </c>
      <c r="I171" t="str">
        <f t="shared" si="8"/>
        <v>20040086 20030008</v>
      </c>
      <c r="J171" s="5">
        <v>1.3888888888888888E-2</v>
      </c>
    </row>
    <row r="172" spans="1:10" x14ac:dyDescent="0.25">
      <c r="A172">
        <v>170</v>
      </c>
      <c r="B172">
        <f t="shared" si="6"/>
        <v>9</v>
      </c>
      <c r="C172">
        <f t="shared" si="7"/>
        <v>2</v>
      </c>
      <c r="D172" cm="1">
        <f t="array" ref="D172">INDEX('Linha 05'!$A$4:$A$1000,B172)</f>
        <v>20040086</v>
      </c>
      <c r="E172" t="str" cm="1">
        <f t="array" ref="E172">INDEX('Linha 05'!$B$4:$B$1000,B172)</f>
        <v>Amaciante Aquafast Vermelho Cx/04 X 5l (Seducao) Emb. Econ</v>
      </c>
      <c r="F172" cm="1">
        <f t="array" ref="F172">INDEX('Linha 05'!$C$3:$ZZ$3,C172)</f>
        <v>20030009</v>
      </c>
      <c r="G172" t="str" cm="1">
        <f t="array" ref="G172">INDEX('Linha 05'!$C$2:$ZZ$2,C172)</f>
        <v>Detergente Aquafast Neutro Cx/04 X 5l (Emb Econ)</v>
      </c>
      <c r="H172" s="5" cm="1">
        <f t="array" ref="H172">INDEX('Linha 05'!$C$4:$ZZ$1000,B172,C172)</f>
        <v>1.3888888888888888E-2</v>
      </c>
      <c r="I172" t="str">
        <f t="shared" si="8"/>
        <v>20040086 20030009</v>
      </c>
      <c r="J172" s="5">
        <v>1.3888888888888888E-2</v>
      </c>
    </row>
    <row r="173" spans="1:10" x14ac:dyDescent="0.25">
      <c r="A173">
        <v>171</v>
      </c>
      <c r="B173">
        <f t="shared" si="6"/>
        <v>9</v>
      </c>
      <c r="C173">
        <f t="shared" si="7"/>
        <v>3</v>
      </c>
      <c r="D173" cm="1">
        <f t="array" ref="D173">INDEX('Linha 05'!$A$4:$A$1000,B173)</f>
        <v>20040086</v>
      </c>
      <c r="E173" t="str" cm="1">
        <f t="array" ref="E173">INDEX('Linha 05'!$B$4:$B$1000,B173)</f>
        <v>Amaciante Aquafast Vermelho Cx/04 X 5l (Seducao) Emb. Econ</v>
      </c>
      <c r="F173" cm="1">
        <f t="array" ref="F173">INDEX('Linha 05'!$C$3:$ZZ$3,C173)</f>
        <v>20030010</v>
      </c>
      <c r="G173" t="str" cm="1">
        <f t="array" ref="G173">INDEX('Linha 05'!$C$2:$ZZ$2,C173)</f>
        <v>Detergente Aquafast Clear Cx/04 X 5l (Emb Econ)</v>
      </c>
      <c r="H173" s="5" cm="1">
        <f t="array" ref="H173">INDEX('Linha 05'!$C$4:$ZZ$1000,B173,C173)</f>
        <v>1.3888888888888888E-2</v>
      </c>
      <c r="I173" t="str">
        <f t="shared" si="8"/>
        <v>20040086 20030010</v>
      </c>
      <c r="J173" s="5">
        <v>1.3888888888888888E-2</v>
      </c>
    </row>
    <row r="174" spans="1:10" x14ac:dyDescent="0.25">
      <c r="A174">
        <v>172</v>
      </c>
      <c r="B174">
        <f t="shared" si="6"/>
        <v>9</v>
      </c>
      <c r="C174">
        <f t="shared" si="7"/>
        <v>4</v>
      </c>
      <c r="D174" cm="1">
        <f t="array" ref="D174">INDEX('Linha 05'!$A$4:$A$1000,B174)</f>
        <v>20040086</v>
      </c>
      <c r="E174" t="str" cm="1">
        <f t="array" ref="E174">INDEX('Linha 05'!$B$4:$B$1000,B174)</f>
        <v>Amaciante Aquafast Vermelho Cx/04 X 5l (Seducao) Emb. Econ</v>
      </c>
      <c r="F174" cm="1">
        <f t="array" ref="F174">INDEX('Linha 05'!$C$3:$ZZ$3,C174)</f>
        <v>20030024</v>
      </c>
      <c r="G174" t="str" cm="1">
        <f t="array" ref="G174">INDEX('Linha 05'!$C$2:$ZZ$2,C174)</f>
        <v>Detergente Ito Neutro Cx/04 X 5l</v>
      </c>
      <c r="H174" s="5" cm="1">
        <f t="array" ref="H174">INDEX('Linha 05'!$C$4:$ZZ$1000,B174,C174)</f>
        <v>1.3888888888888888E-2</v>
      </c>
      <c r="I174" t="str">
        <f t="shared" si="8"/>
        <v>20040086 20030024</v>
      </c>
      <c r="J174" s="5">
        <v>1.3888888888888888E-2</v>
      </c>
    </row>
    <row r="175" spans="1:10" x14ac:dyDescent="0.25">
      <c r="A175">
        <v>173</v>
      </c>
      <c r="B175">
        <f t="shared" si="6"/>
        <v>9</v>
      </c>
      <c r="C175">
        <f t="shared" si="7"/>
        <v>5</v>
      </c>
      <c r="D175" cm="1">
        <f t="array" ref="D175">INDEX('Linha 05'!$A$4:$A$1000,B175)</f>
        <v>20040086</v>
      </c>
      <c r="E175" t="str" cm="1">
        <f t="array" ref="E175">INDEX('Linha 05'!$B$4:$B$1000,B175)</f>
        <v>Amaciante Aquafast Vermelho Cx/04 X 5l (Seducao) Emb. Econ</v>
      </c>
      <c r="F175" cm="1">
        <f t="array" ref="F175">INDEX('Linha 05'!$C$3:$ZZ$3,C175)</f>
        <v>20030083</v>
      </c>
      <c r="G175" t="str" cm="1">
        <f t="array" ref="G175">INDEX('Linha 05'!$C$2:$ZZ$2,C175)</f>
        <v>Detergente Ito Clear Cx/04 X 5l</v>
      </c>
      <c r="H175" s="5" cm="1">
        <f t="array" ref="H175">INDEX('Linha 05'!$C$4:$ZZ$1000,B175,C175)</f>
        <v>1.3888888888888888E-2</v>
      </c>
      <c r="I175" t="str">
        <f t="shared" si="8"/>
        <v>20040086 20030083</v>
      </c>
      <c r="J175" s="5">
        <v>1.3888888888888888E-2</v>
      </c>
    </row>
    <row r="176" spans="1:10" x14ac:dyDescent="0.25">
      <c r="A176">
        <v>174</v>
      </c>
      <c r="B176">
        <f t="shared" si="6"/>
        <v>9</v>
      </c>
      <c r="C176">
        <f t="shared" si="7"/>
        <v>6</v>
      </c>
      <c r="D176" cm="1">
        <f t="array" ref="D176">INDEX('Linha 05'!$A$4:$A$1000,B176)</f>
        <v>20040086</v>
      </c>
      <c r="E176" t="str" cm="1">
        <f t="array" ref="E176">INDEX('Linha 05'!$B$4:$B$1000,B176)</f>
        <v>Amaciante Aquafast Vermelho Cx/04 X 5l (Seducao) Emb. Econ</v>
      </c>
      <c r="F176" cm="1">
        <f t="array" ref="F176">INDEX('Linha 05'!$C$3:$ZZ$3,C176)</f>
        <v>20040030</v>
      </c>
      <c r="G176" t="str" cm="1">
        <f t="array" ref="G176">INDEX('Linha 05'!$C$2:$ZZ$2,C176)</f>
        <v>Amaciante Ito Azul Cx/04 X 5l</v>
      </c>
      <c r="H176" s="5" cm="1">
        <f t="array" ref="H176">INDEX('Linha 05'!$C$4:$ZZ$1000,B176,C176)</f>
        <v>6.9444444444444441E-3</v>
      </c>
      <c r="I176" t="str">
        <f t="shared" si="8"/>
        <v>20040086 20040030</v>
      </c>
      <c r="J176" s="5">
        <v>6.9444444444444441E-3</v>
      </c>
    </row>
    <row r="177" spans="1:10" x14ac:dyDescent="0.25">
      <c r="A177">
        <v>175</v>
      </c>
      <c r="B177">
        <f t="shared" si="6"/>
        <v>9</v>
      </c>
      <c r="C177">
        <f t="shared" si="7"/>
        <v>7</v>
      </c>
      <c r="D177" cm="1">
        <f t="array" ref="D177">INDEX('Linha 05'!$A$4:$A$1000,B177)</f>
        <v>20040086</v>
      </c>
      <c r="E177" t="str" cm="1">
        <f t="array" ref="E177">INDEX('Linha 05'!$B$4:$B$1000,B177)</f>
        <v>Amaciante Aquafast Vermelho Cx/04 X 5l (Seducao) Emb. Econ</v>
      </c>
      <c r="F177" cm="1">
        <f t="array" ref="F177">INDEX('Linha 05'!$C$3:$ZZ$3,C177)</f>
        <v>20040074</v>
      </c>
      <c r="G177" t="str" cm="1">
        <f t="array" ref="G177">INDEX('Linha 05'!$C$2:$ZZ$2,C177)</f>
        <v>Amaciante Aquafast Azul Cx C/04 X 5l (Fresc Manh) Emb. Econ</v>
      </c>
      <c r="H177" s="5" cm="1">
        <f t="array" ref="H177">INDEX('Linha 05'!$C$4:$ZZ$1000,B177,C177)</f>
        <v>6.9444444444444441E-3</v>
      </c>
      <c r="I177" t="str">
        <f t="shared" si="8"/>
        <v>20040086 20040074</v>
      </c>
      <c r="J177" s="5">
        <v>6.9444444444444441E-3</v>
      </c>
    </row>
    <row r="178" spans="1:10" x14ac:dyDescent="0.25">
      <c r="A178">
        <v>176</v>
      </c>
      <c r="B178">
        <f t="shared" si="6"/>
        <v>9</v>
      </c>
      <c r="C178">
        <f t="shared" si="7"/>
        <v>8</v>
      </c>
      <c r="D178" cm="1">
        <f t="array" ref="D178">INDEX('Linha 05'!$A$4:$A$1000,B178)</f>
        <v>20040086</v>
      </c>
      <c r="E178" t="str" cm="1">
        <f t="array" ref="E178">INDEX('Linha 05'!$B$4:$B$1000,B178)</f>
        <v>Amaciante Aquafast Vermelho Cx/04 X 5l (Seducao) Emb. Econ</v>
      </c>
      <c r="F178" cm="1">
        <f t="array" ref="F178">INDEX('Linha 05'!$C$3:$ZZ$3,C178)</f>
        <v>20040075</v>
      </c>
      <c r="G178" t="str" cm="1">
        <f t="array" ref="G178">INDEX('Linha 05'!$C$2:$ZZ$2,C178)</f>
        <v>Amaciante Aquafast Rosa Cx C/04 X 5l (Jard Flor) Emb. Econ</v>
      </c>
      <c r="H178" s="5" cm="1">
        <f t="array" ref="H178">INDEX('Linha 05'!$C$4:$ZZ$1000,B178,C178)</f>
        <v>6.9444444444444441E-3</v>
      </c>
      <c r="I178" t="str">
        <f t="shared" si="8"/>
        <v>20040086 20040075</v>
      </c>
      <c r="J178" s="5">
        <v>6.9444444444444441E-3</v>
      </c>
    </row>
    <row r="179" spans="1:10" x14ac:dyDescent="0.25">
      <c r="A179">
        <v>177</v>
      </c>
      <c r="B179">
        <f t="shared" si="6"/>
        <v>9</v>
      </c>
      <c r="C179">
        <f t="shared" si="7"/>
        <v>9</v>
      </c>
      <c r="D179" cm="1">
        <f t="array" ref="D179">INDEX('Linha 05'!$A$4:$A$1000,B179)</f>
        <v>20040086</v>
      </c>
      <c r="E179" t="str" cm="1">
        <f t="array" ref="E179">INDEX('Linha 05'!$B$4:$B$1000,B179)</f>
        <v>Amaciante Aquafast Vermelho Cx/04 X 5l (Seducao) Emb. Econ</v>
      </c>
      <c r="F179" cm="1">
        <f t="array" ref="F179">INDEX('Linha 05'!$C$3:$ZZ$3,C179)</f>
        <v>20040086</v>
      </c>
      <c r="G179" t="str" cm="1">
        <f t="array" ref="G179">INDEX('Linha 05'!$C$2:$ZZ$2,C179)</f>
        <v>Amaciante Aquafast Vermelho Cx/04 X 5l (Seducao) Emb. Econ</v>
      </c>
      <c r="H179" s="5" cm="1">
        <f t="array" ref="H179">INDEX('Linha 05'!$C$4:$ZZ$1000,B179,C179)</f>
        <v>0</v>
      </c>
      <c r="I179" t="str">
        <f t="shared" si="8"/>
        <v>20040086 20040086</v>
      </c>
      <c r="J179" s="5">
        <v>0</v>
      </c>
    </row>
    <row r="180" spans="1:10" x14ac:dyDescent="0.25">
      <c r="A180">
        <v>178</v>
      </c>
      <c r="B180">
        <f t="shared" si="6"/>
        <v>9</v>
      </c>
      <c r="C180">
        <f t="shared" si="7"/>
        <v>10</v>
      </c>
      <c r="D180" cm="1">
        <f t="array" ref="D180">INDEX('Linha 05'!$A$4:$A$1000,B180)</f>
        <v>20040086</v>
      </c>
      <c r="E180" t="str" cm="1">
        <f t="array" ref="E180">INDEX('Linha 05'!$B$4:$B$1000,B180)</f>
        <v>Amaciante Aquafast Vermelho Cx/04 X 5l (Seducao) Emb. Econ</v>
      </c>
      <c r="F180" cm="1">
        <f t="array" ref="F180">INDEX('Linha 05'!$C$3:$ZZ$3,C180)</f>
        <v>20040091</v>
      </c>
      <c r="G180" t="str" cm="1">
        <f t="array" ref="G180">INDEX('Linha 05'!$C$2:$ZZ$2,C180)</f>
        <v>Amaciante Aquafast Roxo Cx/04 X 5l (Magia) Emb. Econ</v>
      </c>
      <c r="H180" s="5" cm="1">
        <f t="array" ref="H180">INDEX('Linha 05'!$C$4:$ZZ$1000,B180,C180)</f>
        <v>6.9444444444444441E-3</v>
      </c>
      <c r="I180" t="str">
        <f t="shared" si="8"/>
        <v>20040086 20040091</v>
      </c>
      <c r="J180" s="5">
        <v>6.9444444444444441E-3</v>
      </c>
    </row>
    <row r="181" spans="1:10" x14ac:dyDescent="0.25">
      <c r="A181">
        <v>179</v>
      </c>
      <c r="B181">
        <f t="shared" si="6"/>
        <v>9</v>
      </c>
      <c r="C181">
        <f t="shared" si="7"/>
        <v>11</v>
      </c>
      <c r="D181" cm="1">
        <f t="array" ref="D181">INDEX('Linha 05'!$A$4:$A$1000,B181)</f>
        <v>20040086</v>
      </c>
      <c r="E181" t="str" cm="1">
        <f t="array" ref="E181">INDEX('Linha 05'!$B$4:$B$1000,B181)</f>
        <v>Amaciante Aquafast Vermelho Cx/04 X 5l (Seducao) Emb. Econ</v>
      </c>
      <c r="F181" cm="1">
        <f t="array" ref="F181">INDEX('Linha 05'!$C$3:$ZZ$3,C181)</f>
        <v>20040095</v>
      </c>
      <c r="G181" t="str" cm="1">
        <f t="array" ref="G181">INDEX('Linha 05'!$C$2:$ZZ$2,C181)</f>
        <v>Amaciante Aquafast Energia Cx/04 X 5l Emb. Econ</v>
      </c>
      <c r="H181" s="5" cm="1">
        <f t="array" ref="H181">INDEX('Linha 05'!$C$4:$ZZ$1000,B181,C181)</f>
        <v>6.9444444444444441E-3</v>
      </c>
      <c r="I181" t="str">
        <f t="shared" si="8"/>
        <v>20040086 20040095</v>
      </c>
      <c r="J181" s="5">
        <v>6.9444444444444441E-3</v>
      </c>
    </row>
    <row r="182" spans="1:10" x14ac:dyDescent="0.25">
      <c r="A182">
        <v>180</v>
      </c>
      <c r="B182">
        <f t="shared" si="6"/>
        <v>9</v>
      </c>
      <c r="C182">
        <f t="shared" si="7"/>
        <v>12</v>
      </c>
      <c r="D182" cm="1">
        <f t="array" ref="D182">INDEX('Linha 05'!$A$4:$A$1000,B182)</f>
        <v>20040086</v>
      </c>
      <c r="E182" t="str" cm="1">
        <f t="array" ref="E182">INDEX('Linha 05'!$B$4:$B$1000,B182)</f>
        <v>Amaciante Aquafast Vermelho Cx/04 X 5l (Seducao) Emb. Econ</v>
      </c>
      <c r="F182" cm="1">
        <f t="array" ref="F182">INDEX('Linha 05'!$C$3:$ZZ$3,C182)</f>
        <v>20150028</v>
      </c>
      <c r="G182" t="str" cm="1">
        <f t="array" ref="G182">INDEX('Linha 05'!$C$2:$ZZ$2,C182)</f>
        <v>Amac. Conc. Aquafast Branco Ternura Cx/ 04 X 3l</v>
      </c>
      <c r="H182" s="5" cm="1">
        <f t="array" ref="H182">INDEX('Linha 05'!$C$4:$ZZ$1000,B182,C182)</f>
        <v>3.4722222222222224E-2</v>
      </c>
      <c r="I182" t="str">
        <f t="shared" si="8"/>
        <v>20040086 20150028</v>
      </c>
      <c r="J182" s="5">
        <v>3.4722222222222224E-2</v>
      </c>
    </row>
    <row r="183" spans="1:10" x14ac:dyDescent="0.25">
      <c r="A183">
        <v>181</v>
      </c>
      <c r="B183">
        <f t="shared" si="6"/>
        <v>9</v>
      </c>
      <c r="C183">
        <f t="shared" si="7"/>
        <v>13</v>
      </c>
      <c r="D183" cm="1">
        <f t="array" ref="D183">INDEX('Linha 05'!$A$4:$A$1000,B183)</f>
        <v>20040086</v>
      </c>
      <c r="E183" t="str" cm="1">
        <f t="array" ref="E183">INDEX('Linha 05'!$B$4:$B$1000,B183)</f>
        <v>Amaciante Aquafast Vermelho Cx/04 X 5l (Seducao) Emb. Econ</v>
      </c>
      <c r="F183" cm="1">
        <f t="array" ref="F183">INDEX('Linha 05'!$C$3:$ZZ$3,C183)</f>
        <v>20150051</v>
      </c>
      <c r="G183" t="str" cm="1">
        <f t="array" ref="G183">INDEX('Linha 05'!$C$2:$ZZ$2,C183)</f>
        <v>Amac. Conc. Aquafast Azul Harmonia Cx/ 04 X 3l</v>
      </c>
      <c r="H183" s="5" cm="1">
        <f t="array" ref="H183">INDEX('Linha 05'!$C$4:$ZZ$1000,B183,C183)</f>
        <v>3.4722222222222224E-2</v>
      </c>
      <c r="I183" t="str">
        <f t="shared" si="8"/>
        <v>20040086 20150051</v>
      </c>
      <c r="J183" s="5">
        <v>3.4722222222222224E-2</v>
      </c>
    </row>
    <row r="184" spans="1:10" x14ac:dyDescent="0.25">
      <c r="A184">
        <v>182</v>
      </c>
      <c r="B184">
        <f t="shared" si="6"/>
        <v>9</v>
      </c>
      <c r="C184">
        <f t="shared" si="7"/>
        <v>14</v>
      </c>
      <c r="D184" cm="1">
        <f t="array" ref="D184">INDEX('Linha 05'!$A$4:$A$1000,B184)</f>
        <v>20040086</v>
      </c>
      <c r="E184" t="str" cm="1">
        <f t="array" ref="E184">INDEX('Linha 05'!$B$4:$B$1000,B184)</f>
        <v>Amaciante Aquafast Vermelho Cx/04 X 5l (Seducao) Emb. Econ</v>
      </c>
      <c r="F184" cm="1">
        <f t="array" ref="F184">INDEX('Linha 05'!$C$3:$ZZ$3,C184)</f>
        <v>20200009</v>
      </c>
      <c r="G184" t="str" cm="1">
        <f t="array" ref="G184">INDEX('Linha 05'!$C$2:$ZZ$2,C184)</f>
        <v>Lava Roupas Aquafast Multi Acao Cx/04 X 5l (Emb Econ)</v>
      </c>
      <c r="H184" s="5" cm="1">
        <f t="array" ref="H184">INDEX('Linha 05'!$C$4:$ZZ$1000,B184,C184)</f>
        <v>1.3888888888888888E-2</v>
      </c>
      <c r="I184" t="str">
        <f t="shared" si="8"/>
        <v>20040086 20200009</v>
      </c>
      <c r="J184" s="5">
        <v>1.3888888888888888E-2</v>
      </c>
    </row>
    <row r="185" spans="1:10" x14ac:dyDescent="0.25">
      <c r="A185">
        <v>183</v>
      </c>
      <c r="B185">
        <f t="shared" si="6"/>
        <v>9</v>
      </c>
      <c r="C185">
        <f t="shared" si="7"/>
        <v>15</v>
      </c>
      <c r="D185" cm="1">
        <f t="array" ref="D185">INDEX('Linha 05'!$A$4:$A$1000,B185)</f>
        <v>20040086</v>
      </c>
      <c r="E185" t="str" cm="1">
        <f t="array" ref="E185">INDEX('Linha 05'!$B$4:$B$1000,B185)</f>
        <v>Amaciante Aquafast Vermelho Cx/04 X 5l (Seducao) Emb. Econ</v>
      </c>
      <c r="F185" cm="1">
        <f t="array" ref="F185">INDEX('Linha 05'!$C$3:$ZZ$3,C185)</f>
        <v>20200014</v>
      </c>
      <c r="G185" t="str" cm="1">
        <f t="array" ref="G185">INDEX('Linha 05'!$C$2:$ZZ$2,C185)</f>
        <v>Lava Roupas Aquafast Glicerina Cx/04 X 5l</v>
      </c>
      <c r="H185" s="5" cm="1">
        <f t="array" ref="H185">INDEX('Linha 05'!$C$4:$ZZ$1000,B185,C185)</f>
        <v>1.3888888888888888E-2</v>
      </c>
      <c r="I185" t="str">
        <f t="shared" si="8"/>
        <v>20040086 20200014</v>
      </c>
      <c r="J185" s="5">
        <v>1.3888888888888888E-2</v>
      </c>
    </row>
    <row r="186" spans="1:10" x14ac:dyDescent="0.25">
      <c r="A186">
        <v>184</v>
      </c>
      <c r="B186">
        <f t="shared" si="6"/>
        <v>9</v>
      </c>
      <c r="C186">
        <f t="shared" si="7"/>
        <v>16</v>
      </c>
      <c r="D186" cm="1">
        <f t="array" ref="D186">INDEX('Linha 05'!$A$4:$A$1000,B186)</f>
        <v>20040086</v>
      </c>
      <c r="E186" t="str" cm="1">
        <f t="array" ref="E186">INDEX('Linha 05'!$B$4:$B$1000,B186)</f>
        <v>Amaciante Aquafast Vermelho Cx/04 X 5l (Seducao) Emb. Econ</v>
      </c>
      <c r="F186" cm="1">
        <f t="array" ref="F186">INDEX('Linha 05'!$C$3:$ZZ$3,C186)</f>
        <v>20200020</v>
      </c>
      <c r="G186" t="str" cm="1">
        <f t="array" ref="G186">INDEX('Linha 05'!$C$2:$ZZ$2,C186)</f>
        <v>Lava Roupas Aquafast Glicerina Cx/04 X 3l</v>
      </c>
      <c r="H186" s="5" cm="1">
        <f t="array" ref="H186">INDEX('Linha 05'!$C$4:$ZZ$1000,B186,C186)</f>
        <v>3.4722222222222224E-2</v>
      </c>
      <c r="I186" t="str">
        <f t="shared" si="8"/>
        <v>20040086 20200020</v>
      </c>
      <c r="J186" s="5">
        <v>3.4722222222222224E-2</v>
      </c>
    </row>
    <row r="187" spans="1:10" x14ac:dyDescent="0.25">
      <c r="A187">
        <v>185</v>
      </c>
      <c r="B187">
        <f t="shared" si="6"/>
        <v>9</v>
      </c>
      <c r="C187">
        <f t="shared" si="7"/>
        <v>17</v>
      </c>
      <c r="D187" cm="1">
        <f t="array" ref="D187">INDEX('Linha 05'!$A$4:$A$1000,B187)</f>
        <v>20040086</v>
      </c>
      <c r="E187" t="str" cm="1">
        <f t="array" ref="E187">INDEX('Linha 05'!$B$4:$B$1000,B187)</f>
        <v>Amaciante Aquafast Vermelho Cx/04 X 5l (Seducao) Emb. Econ</v>
      </c>
      <c r="F187" cm="1">
        <f t="array" ref="F187">INDEX('Linha 05'!$C$3:$ZZ$3,C187)</f>
        <v>20200022</v>
      </c>
      <c r="G187" t="str" cm="1">
        <f t="array" ref="G187">INDEX('Linha 05'!$C$2:$ZZ$2,C187)</f>
        <v>Lava Roupas Aquafast Multiacao Cx/04 X 3l</v>
      </c>
      <c r="H187" s="5" cm="1">
        <f t="array" ref="H187">INDEX('Linha 05'!$C$4:$ZZ$1000,B187,C187)</f>
        <v>3.4722222222222224E-2</v>
      </c>
      <c r="I187" t="str">
        <f t="shared" si="8"/>
        <v>20040086 20200022</v>
      </c>
      <c r="J187" s="5">
        <v>3.4722222222222224E-2</v>
      </c>
    </row>
    <row r="188" spans="1:10" x14ac:dyDescent="0.25">
      <c r="A188">
        <v>186</v>
      </c>
      <c r="B188">
        <f t="shared" si="6"/>
        <v>9</v>
      </c>
      <c r="C188">
        <f t="shared" si="7"/>
        <v>18</v>
      </c>
      <c r="D188" cm="1">
        <f t="array" ref="D188">INDEX('Linha 05'!$A$4:$A$1000,B188)</f>
        <v>20040086</v>
      </c>
      <c r="E188" t="str" cm="1">
        <f t="array" ref="E188">INDEX('Linha 05'!$B$4:$B$1000,B188)</f>
        <v>Amaciante Aquafast Vermelho Cx/04 X 5l (Seducao) Emb. Econ</v>
      </c>
      <c r="F188" cm="1">
        <f t="array" ref="F188">INDEX('Linha 05'!$C$3:$ZZ$3,C188)</f>
        <v>20200026</v>
      </c>
      <c r="G188" t="str" cm="1">
        <f t="array" ref="G188">INDEX('Linha 05'!$C$2:$ZZ$2,C188)</f>
        <v>Lava Roupas Aquafast Ternura Cx/04 X 3l</v>
      </c>
      <c r="H188" s="5" cm="1">
        <f t="array" ref="H188">INDEX('Linha 05'!$C$4:$ZZ$1000,B188,C188)</f>
        <v>3.4722222222222224E-2</v>
      </c>
      <c r="I188" t="str">
        <f t="shared" si="8"/>
        <v>20040086 20200026</v>
      </c>
      <c r="J188" s="5">
        <v>3.4722222222222224E-2</v>
      </c>
    </row>
    <row r="189" spans="1:10" x14ac:dyDescent="0.25">
      <c r="A189">
        <v>187</v>
      </c>
      <c r="B189">
        <f t="shared" si="6"/>
        <v>9</v>
      </c>
      <c r="C189">
        <f t="shared" si="7"/>
        <v>19</v>
      </c>
      <c r="D189" cm="1">
        <f t="array" ref="D189">INDEX('Linha 05'!$A$4:$A$1000,B189)</f>
        <v>20040086</v>
      </c>
      <c r="E189" t="str" cm="1">
        <f t="array" ref="E189">INDEX('Linha 05'!$B$4:$B$1000,B189)</f>
        <v>Amaciante Aquafast Vermelho Cx/04 X 5l (Seducao) Emb. Econ</v>
      </c>
      <c r="F189" cm="1">
        <f t="array" ref="F189">INDEX('Linha 05'!$C$3:$ZZ$3,C189)</f>
        <v>20200027</v>
      </c>
      <c r="G189" t="str" cm="1">
        <f t="array" ref="G189">INDEX('Linha 05'!$C$2:$ZZ$2,C189)</f>
        <v>Lava Roupas Aquafast Ternura C/04 X 5l (Emb Econ)</v>
      </c>
      <c r="H189" s="5" cm="1">
        <f t="array" ref="H189">INDEX('Linha 05'!$C$4:$ZZ$1000,B189,C189)</f>
        <v>1.3888888888888888E-2</v>
      </c>
      <c r="I189" t="str">
        <f t="shared" si="8"/>
        <v>20040086 20200027</v>
      </c>
      <c r="J189" s="5">
        <v>1.3888888888888888E-2</v>
      </c>
    </row>
    <row r="190" spans="1:10" x14ac:dyDescent="0.25">
      <c r="A190">
        <v>188</v>
      </c>
      <c r="B190">
        <f t="shared" si="6"/>
        <v>9</v>
      </c>
      <c r="C190">
        <f t="shared" si="7"/>
        <v>20</v>
      </c>
      <c r="D190" cm="1">
        <f t="array" ref="D190">INDEX('Linha 05'!$A$4:$A$1000,B190)</f>
        <v>20040086</v>
      </c>
      <c r="E190" t="str" cm="1">
        <f t="array" ref="E190">INDEX('Linha 05'!$B$4:$B$1000,B190)</f>
        <v>Amaciante Aquafast Vermelho Cx/04 X 5l (Seducao) Emb. Econ</v>
      </c>
      <c r="F190" cm="1">
        <f t="array" ref="F190">INDEX('Linha 05'!$C$3:$ZZ$3,C190)</f>
        <v>20200058</v>
      </c>
      <c r="G190" t="str" cm="1">
        <f t="array" ref="G190">INDEX('Linha 05'!$C$2:$ZZ$2,C190)</f>
        <v>Lava Roupas Aquafast Flores Brancas E Baunilha Cx/4 X 3l</v>
      </c>
      <c r="H190" s="5" cm="1">
        <f t="array" ref="H190">INDEX('Linha 05'!$C$4:$ZZ$1000,B190,C190)</f>
        <v>3.4722222222222224E-2</v>
      </c>
      <c r="I190" t="str">
        <f t="shared" si="8"/>
        <v>20040086 20200058</v>
      </c>
      <c r="J190" s="5">
        <v>3.4722222222222224E-2</v>
      </c>
    </row>
    <row r="191" spans="1:10" x14ac:dyDescent="0.25">
      <c r="A191">
        <v>189</v>
      </c>
      <c r="B191">
        <f t="shared" si="6"/>
        <v>9</v>
      </c>
      <c r="C191">
        <f t="shared" si="7"/>
        <v>21</v>
      </c>
      <c r="D191" cm="1">
        <f t="array" ref="D191">INDEX('Linha 05'!$A$4:$A$1000,B191)</f>
        <v>20040086</v>
      </c>
      <c r="E191" t="str" cm="1">
        <f t="array" ref="E191">INDEX('Linha 05'!$B$4:$B$1000,B191)</f>
        <v>Amaciante Aquafast Vermelho Cx/04 X 5l (Seducao) Emb. Econ</v>
      </c>
      <c r="F191" cm="1">
        <f t="array" ref="F191">INDEX('Linha 05'!$C$3:$ZZ$3,C191)</f>
        <v>20200077</v>
      </c>
      <c r="G191" t="str" cm="1">
        <f t="array" ref="G191">INDEX('Linha 05'!$C$2:$ZZ$2,C191)</f>
        <v>Lava Roupas Aquafast Alta Performance 7l</v>
      </c>
      <c r="H191" s="5" cm="1">
        <f t="array" ref="H191">INDEX('Linha 05'!$C$4:$ZZ$1000,B191,C191)</f>
        <v>3.4722222222222224E-2</v>
      </c>
      <c r="I191" t="str">
        <f t="shared" si="8"/>
        <v>20040086 20200077</v>
      </c>
      <c r="J191" s="5">
        <v>3.4722222222222224E-2</v>
      </c>
    </row>
    <row r="192" spans="1:10" x14ac:dyDescent="0.25">
      <c r="A192">
        <v>190</v>
      </c>
      <c r="B192">
        <f t="shared" si="6"/>
        <v>10</v>
      </c>
      <c r="C192">
        <f t="shared" si="7"/>
        <v>1</v>
      </c>
      <c r="D192" cm="1">
        <f t="array" ref="D192">INDEX('Linha 05'!$A$4:$A$1000,B192)</f>
        <v>20040091</v>
      </c>
      <c r="E192" t="str" cm="1">
        <f t="array" ref="E192">INDEX('Linha 05'!$B$4:$B$1000,B192)</f>
        <v>Amaciante Aquafast Roxo Cx/04 X 5l (Magia) Emb. Econ</v>
      </c>
      <c r="F192" cm="1">
        <f t="array" ref="F192">INDEX('Linha 05'!$C$3:$ZZ$3,C192)</f>
        <v>20030008</v>
      </c>
      <c r="G192" t="str" cm="1">
        <f t="array" ref="G192">INDEX('Linha 05'!$C$2:$ZZ$2,C192)</f>
        <v>Detergente Aquafast Limao Cx/04 X 5l (Emb Econ)</v>
      </c>
      <c r="H192" s="5" cm="1">
        <f t="array" ref="H192">INDEX('Linha 05'!$C$4:$ZZ$1000,B192,C192)</f>
        <v>1.3888888888888888E-2</v>
      </c>
      <c r="I192" t="str">
        <f t="shared" si="8"/>
        <v>20040091 20030008</v>
      </c>
      <c r="J192" s="5">
        <v>1.3888888888888888E-2</v>
      </c>
    </row>
    <row r="193" spans="1:10" x14ac:dyDescent="0.25">
      <c r="A193">
        <v>191</v>
      </c>
      <c r="B193">
        <f t="shared" si="6"/>
        <v>10</v>
      </c>
      <c r="C193">
        <f t="shared" si="7"/>
        <v>2</v>
      </c>
      <c r="D193" cm="1">
        <f t="array" ref="D193">INDEX('Linha 05'!$A$4:$A$1000,B193)</f>
        <v>20040091</v>
      </c>
      <c r="E193" t="str" cm="1">
        <f t="array" ref="E193">INDEX('Linha 05'!$B$4:$B$1000,B193)</f>
        <v>Amaciante Aquafast Roxo Cx/04 X 5l (Magia) Emb. Econ</v>
      </c>
      <c r="F193" cm="1">
        <f t="array" ref="F193">INDEX('Linha 05'!$C$3:$ZZ$3,C193)</f>
        <v>20030009</v>
      </c>
      <c r="G193" t="str" cm="1">
        <f t="array" ref="G193">INDEX('Linha 05'!$C$2:$ZZ$2,C193)</f>
        <v>Detergente Aquafast Neutro Cx/04 X 5l (Emb Econ)</v>
      </c>
      <c r="H193" s="5" cm="1">
        <f t="array" ref="H193">INDEX('Linha 05'!$C$4:$ZZ$1000,B193,C193)</f>
        <v>1.3888888888888888E-2</v>
      </c>
      <c r="I193" t="str">
        <f t="shared" si="8"/>
        <v>20040091 20030009</v>
      </c>
      <c r="J193" s="5">
        <v>1.3888888888888888E-2</v>
      </c>
    </row>
    <row r="194" spans="1:10" x14ac:dyDescent="0.25">
      <c r="A194">
        <v>192</v>
      </c>
      <c r="B194">
        <f t="shared" si="6"/>
        <v>10</v>
      </c>
      <c r="C194">
        <f t="shared" si="7"/>
        <v>3</v>
      </c>
      <c r="D194" cm="1">
        <f t="array" ref="D194">INDEX('Linha 05'!$A$4:$A$1000,B194)</f>
        <v>20040091</v>
      </c>
      <c r="E194" t="str" cm="1">
        <f t="array" ref="E194">INDEX('Linha 05'!$B$4:$B$1000,B194)</f>
        <v>Amaciante Aquafast Roxo Cx/04 X 5l (Magia) Emb. Econ</v>
      </c>
      <c r="F194" cm="1">
        <f t="array" ref="F194">INDEX('Linha 05'!$C$3:$ZZ$3,C194)</f>
        <v>20030010</v>
      </c>
      <c r="G194" t="str" cm="1">
        <f t="array" ref="G194">INDEX('Linha 05'!$C$2:$ZZ$2,C194)</f>
        <v>Detergente Aquafast Clear Cx/04 X 5l (Emb Econ)</v>
      </c>
      <c r="H194" s="5" cm="1">
        <f t="array" ref="H194">INDEX('Linha 05'!$C$4:$ZZ$1000,B194,C194)</f>
        <v>1.3888888888888888E-2</v>
      </c>
      <c r="I194" t="str">
        <f t="shared" si="8"/>
        <v>20040091 20030010</v>
      </c>
      <c r="J194" s="5">
        <v>1.3888888888888888E-2</v>
      </c>
    </row>
    <row r="195" spans="1:10" x14ac:dyDescent="0.25">
      <c r="A195">
        <v>193</v>
      </c>
      <c r="B195">
        <f t="shared" si="6"/>
        <v>10</v>
      </c>
      <c r="C195">
        <f t="shared" si="7"/>
        <v>4</v>
      </c>
      <c r="D195" cm="1">
        <f t="array" ref="D195">INDEX('Linha 05'!$A$4:$A$1000,B195)</f>
        <v>20040091</v>
      </c>
      <c r="E195" t="str" cm="1">
        <f t="array" ref="E195">INDEX('Linha 05'!$B$4:$B$1000,B195)</f>
        <v>Amaciante Aquafast Roxo Cx/04 X 5l (Magia) Emb. Econ</v>
      </c>
      <c r="F195" cm="1">
        <f t="array" ref="F195">INDEX('Linha 05'!$C$3:$ZZ$3,C195)</f>
        <v>20030024</v>
      </c>
      <c r="G195" t="str" cm="1">
        <f t="array" ref="G195">INDEX('Linha 05'!$C$2:$ZZ$2,C195)</f>
        <v>Detergente Ito Neutro Cx/04 X 5l</v>
      </c>
      <c r="H195" s="5" cm="1">
        <f t="array" ref="H195">INDEX('Linha 05'!$C$4:$ZZ$1000,B195,C195)</f>
        <v>1.3888888888888888E-2</v>
      </c>
      <c r="I195" t="str">
        <f t="shared" si="8"/>
        <v>20040091 20030024</v>
      </c>
      <c r="J195" s="5">
        <v>1.3888888888888888E-2</v>
      </c>
    </row>
    <row r="196" spans="1:10" x14ac:dyDescent="0.25">
      <c r="A196">
        <v>194</v>
      </c>
      <c r="B196">
        <f t="shared" ref="B196:B259" si="9">INT((A196-1)/$B$1)+1</f>
        <v>10</v>
      </c>
      <c r="C196">
        <f t="shared" ref="C196:C259" si="10">MOD(A196-1,$B$1)+1</f>
        <v>5</v>
      </c>
      <c r="D196" cm="1">
        <f t="array" ref="D196">INDEX('Linha 05'!$A$4:$A$1000,B196)</f>
        <v>20040091</v>
      </c>
      <c r="E196" t="str" cm="1">
        <f t="array" ref="E196">INDEX('Linha 05'!$B$4:$B$1000,B196)</f>
        <v>Amaciante Aquafast Roxo Cx/04 X 5l (Magia) Emb. Econ</v>
      </c>
      <c r="F196" cm="1">
        <f t="array" ref="F196">INDEX('Linha 05'!$C$3:$ZZ$3,C196)</f>
        <v>20030083</v>
      </c>
      <c r="G196" t="str" cm="1">
        <f t="array" ref="G196">INDEX('Linha 05'!$C$2:$ZZ$2,C196)</f>
        <v>Detergente Ito Clear Cx/04 X 5l</v>
      </c>
      <c r="H196" s="5" cm="1">
        <f t="array" ref="H196">INDEX('Linha 05'!$C$4:$ZZ$1000,B196,C196)</f>
        <v>1.3888888888888888E-2</v>
      </c>
      <c r="I196" t="str">
        <f t="shared" ref="I196:I259" si="11">CONCATENATE(D196," ",F196)</f>
        <v>20040091 20030083</v>
      </c>
      <c r="J196" s="5">
        <v>1.3888888888888888E-2</v>
      </c>
    </row>
    <row r="197" spans="1:10" x14ac:dyDescent="0.25">
      <c r="A197">
        <v>195</v>
      </c>
      <c r="B197">
        <f t="shared" si="9"/>
        <v>10</v>
      </c>
      <c r="C197">
        <f t="shared" si="10"/>
        <v>6</v>
      </c>
      <c r="D197" cm="1">
        <f t="array" ref="D197">INDEX('Linha 05'!$A$4:$A$1000,B197)</f>
        <v>20040091</v>
      </c>
      <c r="E197" t="str" cm="1">
        <f t="array" ref="E197">INDEX('Linha 05'!$B$4:$B$1000,B197)</f>
        <v>Amaciante Aquafast Roxo Cx/04 X 5l (Magia) Emb. Econ</v>
      </c>
      <c r="F197" cm="1">
        <f t="array" ref="F197">INDEX('Linha 05'!$C$3:$ZZ$3,C197)</f>
        <v>20040030</v>
      </c>
      <c r="G197" t="str" cm="1">
        <f t="array" ref="G197">INDEX('Linha 05'!$C$2:$ZZ$2,C197)</f>
        <v>Amaciante Ito Azul Cx/04 X 5l</v>
      </c>
      <c r="H197" s="5" cm="1">
        <f t="array" ref="H197">INDEX('Linha 05'!$C$4:$ZZ$1000,B197,C197)</f>
        <v>6.9444444444444441E-3</v>
      </c>
      <c r="I197" t="str">
        <f t="shared" si="11"/>
        <v>20040091 20040030</v>
      </c>
      <c r="J197" s="5">
        <v>6.9444444444444441E-3</v>
      </c>
    </row>
    <row r="198" spans="1:10" x14ac:dyDescent="0.25">
      <c r="A198">
        <v>196</v>
      </c>
      <c r="B198">
        <f t="shared" si="9"/>
        <v>10</v>
      </c>
      <c r="C198">
        <f t="shared" si="10"/>
        <v>7</v>
      </c>
      <c r="D198" cm="1">
        <f t="array" ref="D198">INDEX('Linha 05'!$A$4:$A$1000,B198)</f>
        <v>20040091</v>
      </c>
      <c r="E198" t="str" cm="1">
        <f t="array" ref="E198">INDEX('Linha 05'!$B$4:$B$1000,B198)</f>
        <v>Amaciante Aquafast Roxo Cx/04 X 5l (Magia) Emb. Econ</v>
      </c>
      <c r="F198" cm="1">
        <f t="array" ref="F198">INDEX('Linha 05'!$C$3:$ZZ$3,C198)</f>
        <v>20040074</v>
      </c>
      <c r="G198" t="str" cm="1">
        <f t="array" ref="G198">INDEX('Linha 05'!$C$2:$ZZ$2,C198)</f>
        <v>Amaciante Aquafast Azul Cx C/04 X 5l (Fresc Manh) Emb. Econ</v>
      </c>
      <c r="H198" s="5" cm="1">
        <f t="array" ref="H198">INDEX('Linha 05'!$C$4:$ZZ$1000,B198,C198)</f>
        <v>6.9444444444444441E-3</v>
      </c>
      <c r="I198" t="str">
        <f t="shared" si="11"/>
        <v>20040091 20040074</v>
      </c>
      <c r="J198" s="5">
        <v>6.9444444444444441E-3</v>
      </c>
    </row>
    <row r="199" spans="1:10" x14ac:dyDescent="0.25">
      <c r="A199">
        <v>197</v>
      </c>
      <c r="B199">
        <f t="shared" si="9"/>
        <v>10</v>
      </c>
      <c r="C199">
        <f t="shared" si="10"/>
        <v>8</v>
      </c>
      <c r="D199" cm="1">
        <f t="array" ref="D199">INDEX('Linha 05'!$A$4:$A$1000,B199)</f>
        <v>20040091</v>
      </c>
      <c r="E199" t="str" cm="1">
        <f t="array" ref="E199">INDEX('Linha 05'!$B$4:$B$1000,B199)</f>
        <v>Amaciante Aquafast Roxo Cx/04 X 5l (Magia) Emb. Econ</v>
      </c>
      <c r="F199" cm="1">
        <f t="array" ref="F199">INDEX('Linha 05'!$C$3:$ZZ$3,C199)</f>
        <v>20040075</v>
      </c>
      <c r="G199" t="str" cm="1">
        <f t="array" ref="G199">INDEX('Linha 05'!$C$2:$ZZ$2,C199)</f>
        <v>Amaciante Aquafast Rosa Cx C/04 X 5l (Jard Flor) Emb. Econ</v>
      </c>
      <c r="H199" s="5" cm="1">
        <f t="array" ref="H199">INDEX('Linha 05'!$C$4:$ZZ$1000,B199,C199)</f>
        <v>6.9444444444444441E-3</v>
      </c>
      <c r="I199" t="str">
        <f t="shared" si="11"/>
        <v>20040091 20040075</v>
      </c>
      <c r="J199" s="5">
        <v>6.9444444444444441E-3</v>
      </c>
    </row>
    <row r="200" spans="1:10" x14ac:dyDescent="0.25">
      <c r="A200">
        <v>198</v>
      </c>
      <c r="B200">
        <f t="shared" si="9"/>
        <v>10</v>
      </c>
      <c r="C200">
        <f t="shared" si="10"/>
        <v>9</v>
      </c>
      <c r="D200" cm="1">
        <f t="array" ref="D200">INDEX('Linha 05'!$A$4:$A$1000,B200)</f>
        <v>20040091</v>
      </c>
      <c r="E200" t="str" cm="1">
        <f t="array" ref="E200">INDEX('Linha 05'!$B$4:$B$1000,B200)</f>
        <v>Amaciante Aquafast Roxo Cx/04 X 5l (Magia) Emb. Econ</v>
      </c>
      <c r="F200" cm="1">
        <f t="array" ref="F200">INDEX('Linha 05'!$C$3:$ZZ$3,C200)</f>
        <v>20040086</v>
      </c>
      <c r="G200" t="str" cm="1">
        <f t="array" ref="G200">INDEX('Linha 05'!$C$2:$ZZ$2,C200)</f>
        <v>Amaciante Aquafast Vermelho Cx/04 X 5l (Seducao) Emb. Econ</v>
      </c>
      <c r="H200" s="5" cm="1">
        <f t="array" ref="H200">INDEX('Linha 05'!$C$4:$ZZ$1000,B200,C200)</f>
        <v>6.9444444444444441E-3</v>
      </c>
      <c r="I200" t="str">
        <f t="shared" si="11"/>
        <v>20040091 20040086</v>
      </c>
      <c r="J200" s="5">
        <v>6.9444444444444441E-3</v>
      </c>
    </row>
    <row r="201" spans="1:10" x14ac:dyDescent="0.25">
      <c r="A201">
        <v>199</v>
      </c>
      <c r="B201">
        <f t="shared" si="9"/>
        <v>10</v>
      </c>
      <c r="C201">
        <f t="shared" si="10"/>
        <v>10</v>
      </c>
      <c r="D201" cm="1">
        <f t="array" ref="D201">INDEX('Linha 05'!$A$4:$A$1000,B201)</f>
        <v>20040091</v>
      </c>
      <c r="E201" t="str" cm="1">
        <f t="array" ref="E201">INDEX('Linha 05'!$B$4:$B$1000,B201)</f>
        <v>Amaciante Aquafast Roxo Cx/04 X 5l (Magia) Emb. Econ</v>
      </c>
      <c r="F201" cm="1">
        <f t="array" ref="F201">INDEX('Linha 05'!$C$3:$ZZ$3,C201)</f>
        <v>20040091</v>
      </c>
      <c r="G201" t="str" cm="1">
        <f t="array" ref="G201">INDEX('Linha 05'!$C$2:$ZZ$2,C201)</f>
        <v>Amaciante Aquafast Roxo Cx/04 X 5l (Magia) Emb. Econ</v>
      </c>
      <c r="H201" s="5" cm="1">
        <f t="array" ref="H201">INDEX('Linha 05'!$C$4:$ZZ$1000,B201,C201)</f>
        <v>0</v>
      </c>
      <c r="I201" t="str">
        <f t="shared" si="11"/>
        <v>20040091 20040091</v>
      </c>
      <c r="J201" s="5">
        <v>0</v>
      </c>
    </row>
    <row r="202" spans="1:10" x14ac:dyDescent="0.25">
      <c r="A202">
        <v>200</v>
      </c>
      <c r="B202">
        <f t="shared" si="9"/>
        <v>10</v>
      </c>
      <c r="C202">
        <f t="shared" si="10"/>
        <v>11</v>
      </c>
      <c r="D202" cm="1">
        <f t="array" ref="D202">INDEX('Linha 05'!$A$4:$A$1000,B202)</f>
        <v>20040091</v>
      </c>
      <c r="E202" t="str" cm="1">
        <f t="array" ref="E202">INDEX('Linha 05'!$B$4:$B$1000,B202)</f>
        <v>Amaciante Aquafast Roxo Cx/04 X 5l (Magia) Emb. Econ</v>
      </c>
      <c r="F202" cm="1">
        <f t="array" ref="F202">INDEX('Linha 05'!$C$3:$ZZ$3,C202)</f>
        <v>20040095</v>
      </c>
      <c r="G202" t="str" cm="1">
        <f t="array" ref="G202">INDEX('Linha 05'!$C$2:$ZZ$2,C202)</f>
        <v>Amaciante Aquafast Energia Cx/04 X 5l Emb. Econ</v>
      </c>
      <c r="H202" s="5" cm="1">
        <f t="array" ref="H202">INDEX('Linha 05'!$C$4:$ZZ$1000,B202,C202)</f>
        <v>6.9444444444444441E-3</v>
      </c>
      <c r="I202" t="str">
        <f t="shared" si="11"/>
        <v>20040091 20040095</v>
      </c>
      <c r="J202" s="5">
        <v>6.9444444444444441E-3</v>
      </c>
    </row>
    <row r="203" spans="1:10" x14ac:dyDescent="0.25">
      <c r="A203">
        <v>201</v>
      </c>
      <c r="B203">
        <f t="shared" si="9"/>
        <v>10</v>
      </c>
      <c r="C203">
        <f t="shared" si="10"/>
        <v>12</v>
      </c>
      <c r="D203" cm="1">
        <f t="array" ref="D203">INDEX('Linha 05'!$A$4:$A$1000,B203)</f>
        <v>20040091</v>
      </c>
      <c r="E203" t="str" cm="1">
        <f t="array" ref="E203">INDEX('Linha 05'!$B$4:$B$1000,B203)</f>
        <v>Amaciante Aquafast Roxo Cx/04 X 5l (Magia) Emb. Econ</v>
      </c>
      <c r="F203" cm="1">
        <f t="array" ref="F203">INDEX('Linha 05'!$C$3:$ZZ$3,C203)</f>
        <v>20150028</v>
      </c>
      <c r="G203" t="str" cm="1">
        <f t="array" ref="G203">INDEX('Linha 05'!$C$2:$ZZ$2,C203)</f>
        <v>Amac. Conc. Aquafast Branco Ternura Cx/ 04 X 3l</v>
      </c>
      <c r="H203" s="5" cm="1">
        <f t="array" ref="H203">INDEX('Linha 05'!$C$4:$ZZ$1000,B203,C203)</f>
        <v>3.4722222222222224E-2</v>
      </c>
      <c r="I203" t="str">
        <f t="shared" si="11"/>
        <v>20040091 20150028</v>
      </c>
      <c r="J203" s="5">
        <v>3.4722222222222224E-2</v>
      </c>
    </row>
    <row r="204" spans="1:10" x14ac:dyDescent="0.25">
      <c r="A204">
        <v>202</v>
      </c>
      <c r="B204">
        <f t="shared" si="9"/>
        <v>10</v>
      </c>
      <c r="C204">
        <f t="shared" si="10"/>
        <v>13</v>
      </c>
      <c r="D204" cm="1">
        <f t="array" ref="D204">INDEX('Linha 05'!$A$4:$A$1000,B204)</f>
        <v>20040091</v>
      </c>
      <c r="E204" t="str" cm="1">
        <f t="array" ref="E204">INDEX('Linha 05'!$B$4:$B$1000,B204)</f>
        <v>Amaciante Aquafast Roxo Cx/04 X 5l (Magia) Emb. Econ</v>
      </c>
      <c r="F204" cm="1">
        <f t="array" ref="F204">INDEX('Linha 05'!$C$3:$ZZ$3,C204)</f>
        <v>20150051</v>
      </c>
      <c r="G204" t="str" cm="1">
        <f t="array" ref="G204">INDEX('Linha 05'!$C$2:$ZZ$2,C204)</f>
        <v>Amac. Conc. Aquafast Azul Harmonia Cx/ 04 X 3l</v>
      </c>
      <c r="H204" s="5" cm="1">
        <f t="array" ref="H204">INDEX('Linha 05'!$C$4:$ZZ$1000,B204,C204)</f>
        <v>3.4722222222222224E-2</v>
      </c>
      <c r="I204" t="str">
        <f t="shared" si="11"/>
        <v>20040091 20150051</v>
      </c>
      <c r="J204" s="5">
        <v>3.4722222222222224E-2</v>
      </c>
    </row>
    <row r="205" spans="1:10" x14ac:dyDescent="0.25">
      <c r="A205">
        <v>203</v>
      </c>
      <c r="B205">
        <f t="shared" si="9"/>
        <v>10</v>
      </c>
      <c r="C205">
        <f t="shared" si="10"/>
        <v>14</v>
      </c>
      <c r="D205" cm="1">
        <f t="array" ref="D205">INDEX('Linha 05'!$A$4:$A$1000,B205)</f>
        <v>20040091</v>
      </c>
      <c r="E205" t="str" cm="1">
        <f t="array" ref="E205">INDEX('Linha 05'!$B$4:$B$1000,B205)</f>
        <v>Amaciante Aquafast Roxo Cx/04 X 5l (Magia) Emb. Econ</v>
      </c>
      <c r="F205" cm="1">
        <f t="array" ref="F205">INDEX('Linha 05'!$C$3:$ZZ$3,C205)</f>
        <v>20200009</v>
      </c>
      <c r="G205" t="str" cm="1">
        <f t="array" ref="G205">INDEX('Linha 05'!$C$2:$ZZ$2,C205)</f>
        <v>Lava Roupas Aquafast Multi Acao Cx/04 X 5l (Emb Econ)</v>
      </c>
      <c r="H205" s="5" cm="1">
        <f t="array" ref="H205">INDEX('Linha 05'!$C$4:$ZZ$1000,B205,C205)</f>
        <v>1.3888888888888888E-2</v>
      </c>
      <c r="I205" t="str">
        <f t="shared" si="11"/>
        <v>20040091 20200009</v>
      </c>
      <c r="J205" s="5">
        <v>1.3888888888888888E-2</v>
      </c>
    </row>
    <row r="206" spans="1:10" x14ac:dyDescent="0.25">
      <c r="A206">
        <v>204</v>
      </c>
      <c r="B206">
        <f t="shared" si="9"/>
        <v>10</v>
      </c>
      <c r="C206">
        <f t="shared" si="10"/>
        <v>15</v>
      </c>
      <c r="D206" cm="1">
        <f t="array" ref="D206">INDEX('Linha 05'!$A$4:$A$1000,B206)</f>
        <v>20040091</v>
      </c>
      <c r="E206" t="str" cm="1">
        <f t="array" ref="E206">INDEX('Linha 05'!$B$4:$B$1000,B206)</f>
        <v>Amaciante Aquafast Roxo Cx/04 X 5l (Magia) Emb. Econ</v>
      </c>
      <c r="F206" cm="1">
        <f t="array" ref="F206">INDEX('Linha 05'!$C$3:$ZZ$3,C206)</f>
        <v>20200014</v>
      </c>
      <c r="G206" t="str" cm="1">
        <f t="array" ref="G206">INDEX('Linha 05'!$C$2:$ZZ$2,C206)</f>
        <v>Lava Roupas Aquafast Glicerina Cx/04 X 5l</v>
      </c>
      <c r="H206" s="5" cm="1">
        <f t="array" ref="H206">INDEX('Linha 05'!$C$4:$ZZ$1000,B206,C206)</f>
        <v>1.3888888888888888E-2</v>
      </c>
      <c r="I206" t="str">
        <f t="shared" si="11"/>
        <v>20040091 20200014</v>
      </c>
      <c r="J206" s="5">
        <v>1.3888888888888888E-2</v>
      </c>
    </row>
    <row r="207" spans="1:10" x14ac:dyDescent="0.25">
      <c r="A207">
        <v>205</v>
      </c>
      <c r="B207">
        <f t="shared" si="9"/>
        <v>10</v>
      </c>
      <c r="C207">
        <f t="shared" si="10"/>
        <v>16</v>
      </c>
      <c r="D207" cm="1">
        <f t="array" ref="D207">INDEX('Linha 05'!$A$4:$A$1000,B207)</f>
        <v>20040091</v>
      </c>
      <c r="E207" t="str" cm="1">
        <f t="array" ref="E207">INDEX('Linha 05'!$B$4:$B$1000,B207)</f>
        <v>Amaciante Aquafast Roxo Cx/04 X 5l (Magia) Emb. Econ</v>
      </c>
      <c r="F207" cm="1">
        <f t="array" ref="F207">INDEX('Linha 05'!$C$3:$ZZ$3,C207)</f>
        <v>20200020</v>
      </c>
      <c r="G207" t="str" cm="1">
        <f t="array" ref="G207">INDEX('Linha 05'!$C$2:$ZZ$2,C207)</f>
        <v>Lava Roupas Aquafast Glicerina Cx/04 X 3l</v>
      </c>
      <c r="H207" s="5" cm="1">
        <f t="array" ref="H207">INDEX('Linha 05'!$C$4:$ZZ$1000,B207,C207)</f>
        <v>3.4722222222222224E-2</v>
      </c>
      <c r="I207" t="str">
        <f t="shared" si="11"/>
        <v>20040091 20200020</v>
      </c>
      <c r="J207" s="5">
        <v>3.4722222222222224E-2</v>
      </c>
    </row>
    <row r="208" spans="1:10" x14ac:dyDescent="0.25">
      <c r="A208">
        <v>206</v>
      </c>
      <c r="B208">
        <f t="shared" si="9"/>
        <v>10</v>
      </c>
      <c r="C208">
        <f t="shared" si="10"/>
        <v>17</v>
      </c>
      <c r="D208" cm="1">
        <f t="array" ref="D208">INDEX('Linha 05'!$A$4:$A$1000,B208)</f>
        <v>20040091</v>
      </c>
      <c r="E208" t="str" cm="1">
        <f t="array" ref="E208">INDEX('Linha 05'!$B$4:$B$1000,B208)</f>
        <v>Amaciante Aquafast Roxo Cx/04 X 5l (Magia) Emb. Econ</v>
      </c>
      <c r="F208" cm="1">
        <f t="array" ref="F208">INDEX('Linha 05'!$C$3:$ZZ$3,C208)</f>
        <v>20200022</v>
      </c>
      <c r="G208" t="str" cm="1">
        <f t="array" ref="G208">INDEX('Linha 05'!$C$2:$ZZ$2,C208)</f>
        <v>Lava Roupas Aquafast Multiacao Cx/04 X 3l</v>
      </c>
      <c r="H208" s="5" cm="1">
        <f t="array" ref="H208">INDEX('Linha 05'!$C$4:$ZZ$1000,B208,C208)</f>
        <v>3.4722222222222224E-2</v>
      </c>
      <c r="I208" t="str">
        <f t="shared" si="11"/>
        <v>20040091 20200022</v>
      </c>
      <c r="J208" s="5">
        <v>3.4722222222222224E-2</v>
      </c>
    </row>
    <row r="209" spans="1:10" x14ac:dyDescent="0.25">
      <c r="A209">
        <v>207</v>
      </c>
      <c r="B209">
        <f t="shared" si="9"/>
        <v>10</v>
      </c>
      <c r="C209">
        <f t="shared" si="10"/>
        <v>18</v>
      </c>
      <c r="D209" cm="1">
        <f t="array" ref="D209">INDEX('Linha 05'!$A$4:$A$1000,B209)</f>
        <v>20040091</v>
      </c>
      <c r="E209" t="str" cm="1">
        <f t="array" ref="E209">INDEX('Linha 05'!$B$4:$B$1000,B209)</f>
        <v>Amaciante Aquafast Roxo Cx/04 X 5l (Magia) Emb. Econ</v>
      </c>
      <c r="F209" cm="1">
        <f t="array" ref="F209">INDEX('Linha 05'!$C$3:$ZZ$3,C209)</f>
        <v>20200026</v>
      </c>
      <c r="G209" t="str" cm="1">
        <f t="array" ref="G209">INDEX('Linha 05'!$C$2:$ZZ$2,C209)</f>
        <v>Lava Roupas Aquafast Ternura Cx/04 X 3l</v>
      </c>
      <c r="H209" s="5" cm="1">
        <f t="array" ref="H209">INDEX('Linha 05'!$C$4:$ZZ$1000,B209,C209)</f>
        <v>3.4722222222222224E-2</v>
      </c>
      <c r="I209" t="str">
        <f t="shared" si="11"/>
        <v>20040091 20200026</v>
      </c>
      <c r="J209" s="5">
        <v>3.4722222222222224E-2</v>
      </c>
    </row>
    <row r="210" spans="1:10" x14ac:dyDescent="0.25">
      <c r="A210">
        <v>208</v>
      </c>
      <c r="B210">
        <f t="shared" si="9"/>
        <v>10</v>
      </c>
      <c r="C210">
        <f t="shared" si="10"/>
        <v>19</v>
      </c>
      <c r="D210" cm="1">
        <f t="array" ref="D210">INDEX('Linha 05'!$A$4:$A$1000,B210)</f>
        <v>20040091</v>
      </c>
      <c r="E210" t="str" cm="1">
        <f t="array" ref="E210">INDEX('Linha 05'!$B$4:$B$1000,B210)</f>
        <v>Amaciante Aquafast Roxo Cx/04 X 5l (Magia) Emb. Econ</v>
      </c>
      <c r="F210" cm="1">
        <f t="array" ref="F210">INDEX('Linha 05'!$C$3:$ZZ$3,C210)</f>
        <v>20200027</v>
      </c>
      <c r="G210" t="str" cm="1">
        <f t="array" ref="G210">INDEX('Linha 05'!$C$2:$ZZ$2,C210)</f>
        <v>Lava Roupas Aquafast Ternura C/04 X 5l (Emb Econ)</v>
      </c>
      <c r="H210" s="5" cm="1">
        <f t="array" ref="H210">INDEX('Linha 05'!$C$4:$ZZ$1000,B210,C210)</f>
        <v>1.3888888888888888E-2</v>
      </c>
      <c r="I210" t="str">
        <f t="shared" si="11"/>
        <v>20040091 20200027</v>
      </c>
      <c r="J210" s="5">
        <v>1.3888888888888888E-2</v>
      </c>
    </row>
    <row r="211" spans="1:10" x14ac:dyDescent="0.25">
      <c r="A211">
        <v>209</v>
      </c>
      <c r="B211">
        <f t="shared" si="9"/>
        <v>10</v>
      </c>
      <c r="C211">
        <f t="shared" si="10"/>
        <v>20</v>
      </c>
      <c r="D211" cm="1">
        <f t="array" ref="D211">INDEX('Linha 05'!$A$4:$A$1000,B211)</f>
        <v>20040091</v>
      </c>
      <c r="E211" t="str" cm="1">
        <f t="array" ref="E211">INDEX('Linha 05'!$B$4:$B$1000,B211)</f>
        <v>Amaciante Aquafast Roxo Cx/04 X 5l (Magia) Emb. Econ</v>
      </c>
      <c r="F211" cm="1">
        <f t="array" ref="F211">INDEX('Linha 05'!$C$3:$ZZ$3,C211)</f>
        <v>20200058</v>
      </c>
      <c r="G211" t="str" cm="1">
        <f t="array" ref="G211">INDEX('Linha 05'!$C$2:$ZZ$2,C211)</f>
        <v>Lava Roupas Aquafast Flores Brancas E Baunilha Cx/4 X 3l</v>
      </c>
      <c r="H211" s="5" cm="1">
        <f t="array" ref="H211">INDEX('Linha 05'!$C$4:$ZZ$1000,B211,C211)</f>
        <v>3.4722222222222224E-2</v>
      </c>
      <c r="I211" t="str">
        <f t="shared" si="11"/>
        <v>20040091 20200058</v>
      </c>
      <c r="J211" s="5">
        <v>3.4722222222222224E-2</v>
      </c>
    </row>
    <row r="212" spans="1:10" x14ac:dyDescent="0.25">
      <c r="A212">
        <v>210</v>
      </c>
      <c r="B212">
        <f t="shared" si="9"/>
        <v>10</v>
      </c>
      <c r="C212">
        <f t="shared" si="10"/>
        <v>21</v>
      </c>
      <c r="D212" cm="1">
        <f t="array" ref="D212">INDEX('Linha 05'!$A$4:$A$1000,B212)</f>
        <v>20040091</v>
      </c>
      <c r="E212" t="str" cm="1">
        <f t="array" ref="E212">INDEX('Linha 05'!$B$4:$B$1000,B212)</f>
        <v>Amaciante Aquafast Roxo Cx/04 X 5l (Magia) Emb. Econ</v>
      </c>
      <c r="F212" cm="1">
        <f t="array" ref="F212">INDEX('Linha 05'!$C$3:$ZZ$3,C212)</f>
        <v>20200077</v>
      </c>
      <c r="G212" t="str" cm="1">
        <f t="array" ref="G212">INDEX('Linha 05'!$C$2:$ZZ$2,C212)</f>
        <v>Lava Roupas Aquafast Alta Performance 7l</v>
      </c>
      <c r="H212" s="5" cm="1">
        <f t="array" ref="H212">INDEX('Linha 05'!$C$4:$ZZ$1000,B212,C212)</f>
        <v>3.4722222222222224E-2</v>
      </c>
      <c r="I212" t="str">
        <f t="shared" si="11"/>
        <v>20040091 20200077</v>
      </c>
      <c r="J212" s="5">
        <v>3.4722222222222224E-2</v>
      </c>
    </row>
    <row r="213" spans="1:10" x14ac:dyDescent="0.25">
      <c r="A213">
        <v>211</v>
      </c>
      <c r="B213">
        <f t="shared" si="9"/>
        <v>11</v>
      </c>
      <c r="C213">
        <f t="shared" si="10"/>
        <v>1</v>
      </c>
      <c r="D213" cm="1">
        <f t="array" ref="D213">INDEX('Linha 05'!$A$4:$A$1000,B213)</f>
        <v>20040095</v>
      </c>
      <c r="E213" t="str" cm="1">
        <f t="array" ref="E213">INDEX('Linha 05'!$B$4:$B$1000,B213)</f>
        <v>Amaciante Aquafast Energia Cx/04 X 5l Emb. Econ</v>
      </c>
      <c r="F213" cm="1">
        <f t="array" ref="F213">INDEX('Linha 05'!$C$3:$ZZ$3,C213)</f>
        <v>20030008</v>
      </c>
      <c r="G213" t="str" cm="1">
        <f t="array" ref="G213">INDEX('Linha 05'!$C$2:$ZZ$2,C213)</f>
        <v>Detergente Aquafast Limao Cx/04 X 5l (Emb Econ)</v>
      </c>
      <c r="H213" s="5" cm="1">
        <f t="array" ref="H213">INDEX('Linha 05'!$C$4:$ZZ$1000,B213,C213)</f>
        <v>1.3888888888888888E-2</v>
      </c>
      <c r="I213" t="str">
        <f t="shared" si="11"/>
        <v>20040095 20030008</v>
      </c>
      <c r="J213" s="5">
        <v>1.3888888888888888E-2</v>
      </c>
    </row>
    <row r="214" spans="1:10" x14ac:dyDescent="0.25">
      <c r="A214">
        <v>212</v>
      </c>
      <c r="B214">
        <f t="shared" si="9"/>
        <v>11</v>
      </c>
      <c r="C214">
        <f t="shared" si="10"/>
        <v>2</v>
      </c>
      <c r="D214" cm="1">
        <f t="array" ref="D214">INDEX('Linha 05'!$A$4:$A$1000,B214)</f>
        <v>20040095</v>
      </c>
      <c r="E214" t="str" cm="1">
        <f t="array" ref="E214">INDEX('Linha 05'!$B$4:$B$1000,B214)</f>
        <v>Amaciante Aquafast Energia Cx/04 X 5l Emb. Econ</v>
      </c>
      <c r="F214" cm="1">
        <f t="array" ref="F214">INDEX('Linha 05'!$C$3:$ZZ$3,C214)</f>
        <v>20030009</v>
      </c>
      <c r="G214" t="str" cm="1">
        <f t="array" ref="G214">INDEX('Linha 05'!$C$2:$ZZ$2,C214)</f>
        <v>Detergente Aquafast Neutro Cx/04 X 5l (Emb Econ)</v>
      </c>
      <c r="H214" s="5" cm="1">
        <f t="array" ref="H214">INDEX('Linha 05'!$C$4:$ZZ$1000,B214,C214)</f>
        <v>1.3888888888888888E-2</v>
      </c>
      <c r="I214" t="str">
        <f t="shared" si="11"/>
        <v>20040095 20030009</v>
      </c>
      <c r="J214" s="5">
        <v>1.3888888888888888E-2</v>
      </c>
    </row>
    <row r="215" spans="1:10" x14ac:dyDescent="0.25">
      <c r="A215">
        <v>213</v>
      </c>
      <c r="B215">
        <f t="shared" si="9"/>
        <v>11</v>
      </c>
      <c r="C215">
        <f t="shared" si="10"/>
        <v>3</v>
      </c>
      <c r="D215" cm="1">
        <f t="array" ref="D215">INDEX('Linha 05'!$A$4:$A$1000,B215)</f>
        <v>20040095</v>
      </c>
      <c r="E215" t="str" cm="1">
        <f t="array" ref="E215">INDEX('Linha 05'!$B$4:$B$1000,B215)</f>
        <v>Amaciante Aquafast Energia Cx/04 X 5l Emb. Econ</v>
      </c>
      <c r="F215" cm="1">
        <f t="array" ref="F215">INDEX('Linha 05'!$C$3:$ZZ$3,C215)</f>
        <v>20030010</v>
      </c>
      <c r="G215" t="str" cm="1">
        <f t="array" ref="G215">INDEX('Linha 05'!$C$2:$ZZ$2,C215)</f>
        <v>Detergente Aquafast Clear Cx/04 X 5l (Emb Econ)</v>
      </c>
      <c r="H215" s="5" cm="1">
        <f t="array" ref="H215">INDEX('Linha 05'!$C$4:$ZZ$1000,B215,C215)</f>
        <v>1.3888888888888888E-2</v>
      </c>
      <c r="I215" t="str">
        <f t="shared" si="11"/>
        <v>20040095 20030010</v>
      </c>
      <c r="J215" s="5">
        <v>1.3888888888888888E-2</v>
      </c>
    </row>
    <row r="216" spans="1:10" x14ac:dyDescent="0.25">
      <c r="A216">
        <v>214</v>
      </c>
      <c r="B216">
        <f t="shared" si="9"/>
        <v>11</v>
      </c>
      <c r="C216">
        <f t="shared" si="10"/>
        <v>4</v>
      </c>
      <c r="D216" cm="1">
        <f t="array" ref="D216">INDEX('Linha 05'!$A$4:$A$1000,B216)</f>
        <v>20040095</v>
      </c>
      <c r="E216" t="str" cm="1">
        <f t="array" ref="E216">INDEX('Linha 05'!$B$4:$B$1000,B216)</f>
        <v>Amaciante Aquafast Energia Cx/04 X 5l Emb. Econ</v>
      </c>
      <c r="F216" cm="1">
        <f t="array" ref="F216">INDEX('Linha 05'!$C$3:$ZZ$3,C216)</f>
        <v>20030024</v>
      </c>
      <c r="G216" t="str" cm="1">
        <f t="array" ref="G216">INDEX('Linha 05'!$C$2:$ZZ$2,C216)</f>
        <v>Detergente Ito Neutro Cx/04 X 5l</v>
      </c>
      <c r="H216" s="5" cm="1">
        <f t="array" ref="H216">INDEX('Linha 05'!$C$4:$ZZ$1000,B216,C216)</f>
        <v>1.3888888888888888E-2</v>
      </c>
      <c r="I216" t="str">
        <f t="shared" si="11"/>
        <v>20040095 20030024</v>
      </c>
      <c r="J216" s="5">
        <v>1.3888888888888888E-2</v>
      </c>
    </row>
    <row r="217" spans="1:10" x14ac:dyDescent="0.25">
      <c r="A217">
        <v>215</v>
      </c>
      <c r="B217">
        <f t="shared" si="9"/>
        <v>11</v>
      </c>
      <c r="C217">
        <f t="shared" si="10"/>
        <v>5</v>
      </c>
      <c r="D217" cm="1">
        <f t="array" ref="D217">INDEX('Linha 05'!$A$4:$A$1000,B217)</f>
        <v>20040095</v>
      </c>
      <c r="E217" t="str" cm="1">
        <f t="array" ref="E217">INDEX('Linha 05'!$B$4:$B$1000,B217)</f>
        <v>Amaciante Aquafast Energia Cx/04 X 5l Emb. Econ</v>
      </c>
      <c r="F217" cm="1">
        <f t="array" ref="F217">INDEX('Linha 05'!$C$3:$ZZ$3,C217)</f>
        <v>20030083</v>
      </c>
      <c r="G217" t="str" cm="1">
        <f t="array" ref="G217">INDEX('Linha 05'!$C$2:$ZZ$2,C217)</f>
        <v>Detergente Ito Clear Cx/04 X 5l</v>
      </c>
      <c r="H217" s="5" cm="1">
        <f t="array" ref="H217">INDEX('Linha 05'!$C$4:$ZZ$1000,B217,C217)</f>
        <v>1.3888888888888888E-2</v>
      </c>
      <c r="I217" t="str">
        <f t="shared" si="11"/>
        <v>20040095 20030083</v>
      </c>
      <c r="J217" s="5">
        <v>1.3888888888888888E-2</v>
      </c>
    </row>
    <row r="218" spans="1:10" x14ac:dyDescent="0.25">
      <c r="A218">
        <v>216</v>
      </c>
      <c r="B218">
        <f t="shared" si="9"/>
        <v>11</v>
      </c>
      <c r="C218">
        <f t="shared" si="10"/>
        <v>6</v>
      </c>
      <c r="D218" cm="1">
        <f t="array" ref="D218">INDEX('Linha 05'!$A$4:$A$1000,B218)</f>
        <v>20040095</v>
      </c>
      <c r="E218" t="str" cm="1">
        <f t="array" ref="E218">INDEX('Linha 05'!$B$4:$B$1000,B218)</f>
        <v>Amaciante Aquafast Energia Cx/04 X 5l Emb. Econ</v>
      </c>
      <c r="F218" cm="1">
        <f t="array" ref="F218">INDEX('Linha 05'!$C$3:$ZZ$3,C218)</f>
        <v>20040030</v>
      </c>
      <c r="G218" t="str" cm="1">
        <f t="array" ref="G218">INDEX('Linha 05'!$C$2:$ZZ$2,C218)</f>
        <v>Amaciante Ito Azul Cx/04 X 5l</v>
      </c>
      <c r="H218" s="5" cm="1">
        <f t="array" ref="H218">INDEX('Linha 05'!$C$4:$ZZ$1000,B218,C218)</f>
        <v>6.9444444444444441E-3</v>
      </c>
      <c r="I218" t="str">
        <f t="shared" si="11"/>
        <v>20040095 20040030</v>
      </c>
      <c r="J218" s="5">
        <v>6.9444444444444441E-3</v>
      </c>
    </row>
    <row r="219" spans="1:10" x14ac:dyDescent="0.25">
      <c r="A219">
        <v>217</v>
      </c>
      <c r="B219">
        <f t="shared" si="9"/>
        <v>11</v>
      </c>
      <c r="C219">
        <f t="shared" si="10"/>
        <v>7</v>
      </c>
      <c r="D219" cm="1">
        <f t="array" ref="D219">INDEX('Linha 05'!$A$4:$A$1000,B219)</f>
        <v>20040095</v>
      </c>
      <c r="E219" t="str" cm="1">
        <f t="array" ref="E219">INDEX('Linha 05'!$B$4:$B$1000,B219)</f>
        <v>Amaciante Aquafast Energia Cx/04 X 5l Emb. Econ</v>
      </c>
      <c r="F219" cm="1">
        <f t="array" ref="F219">INDEX('Linha 05'!$C$3:$ZZ$3,C219)</f>
        <v>20040074</v>
      </c>
      <c r="G219" t="str" cm="1">
        <f t="array" ref="G219">INDEX('Linha 05'!$C$2:$ZZ$2,C219)</f>
        <v>Amaciante Aquafast Azul Cx C/04 X 5l (Fresc Manh) Emb. Econ</v>
      </c>
      <c r="H219" s="5" cm="1">
        <f t="array" ref="H219">INDEX('Linha 05'!$C$4:$ZZ$1000,B219,C219)</f>
        <v>6.9444444444444441E-3</v>
      </c>
      <c r="I219" t="str">
        <f t="shared" si="11"/>
        <v>20040095 20040074</v>
      </c>
      <c r="J219" s="5">
        <v>6.9444444444444441E-3</v>
      </c>
    </row>
    <row r="220" spans="1:10" x14ac:dyDescent="0.25">
      <c r="A220">
        <v>218</v>
      </c>
      <c r="B220">
        <f t="shared" si="9"/>
        <v>11</v>
      </c>
      <c r="C220">
        <f t="shared" si="10"/>
        <v>8</v>
      </c>
      <c r="D220" cm="1">
        <f t="array" ref="D220">INDEX('Linha 05'!$A$4:$A$1000,B220)</f>
        <v>20040095</v>
      </c>
      <c r="E220" t="str" cm="1">
        <f t="array" ref="E220">INDEX('Linha 05'!$B$4:$B$1000,B220)</f>
        <v>Amaciante Aquafast Energia Cx/04 X 5l Emb. Econ</v>
      </c>
      <c r="F220" cm="1">
        <f t="array" ref="F220">INDEX('Linha 05'!$C$3:$ZZ$3,C220)</f>
        <v>20040075</v>
      </c>
      <c r="G220" t="str" cm="1">
        <f t="array" ref="G220">INDEX('Linha 05'!$C$2:$ZZ$2,C220)</f>
        <v>Amaciante Aquafast Rosa Cx C/04 X 5l (Jard Flor) Emb. Econ</v>
      </c>
      <c r="H220" s="5" cm="1">
        <f t="array" ref="H220">INDEX('Linha 05'!$C$4:$ZZ$1000,B220,C220)</f>
        <v>6.9444444444444441E-3</v>
      </c>
      <c r="I220" t="str">
        <f t="shared" si="11"/>
        <v>20040095 20040075</v>
      </c>
      <c r="J220" s="5">
        <v>6.9444444444444441E-3</v>
      </c>
    </row>
    <row r="221" spans="1:10" x14ac:dyDescent="0.25">
      <c r="A221">
        <v>219</v>
      </c>
      <c r="B221">
        <f t="shared" si="9"/>
        <v>11</v>
      </c>
      <c r="C221">
        <f t="shared" si="10"/>
        <v>9</v>
      </c>
      <c r="D221" cm="1">
        <f t="array" ref="D221">INDEX('Linha 05'!$A$4:$A$1000,B221)</f>
        <v>20040095</v>
      </c>
      <c r="E221" t="str" cm="1">
        <f t="array" ref="E221">INDEX('Linha 05'!$B$4:$B$1000,B221)</f>
        <v>Amaciante Aquafast Energia Cx/04 X 5l Emb. Econ</v>
      </c>
      <c r="F221" cm="1">
        <f t="array" ref="F221">INDEX('Linha 05'!$C$3:$ZZ$3,C221)</f>
        <v>20040086</v>
      </c>
      <c r="G221" t="str" cm="1">
        <f t="array" ref="G221">INDEX('Linha 05'!$C$2:$ZZ$2,C221)</f>
        <v>Amaciante Aquafast Vermelho Cx/04 X 5l (Seducao) Emb. Econ</v>
      </c>
      <c r="H221" s="5" cm="1">
        <f t="array" ref="H221">INDEX('Linha 05'!$C$4:$ZZ$1000,B221,C221)</f>
        <v>6.9444444444444441E-3</v>
      </c>
      <c r="I221" t="str">
        <f t="shared" si="11"/>
        <v>20040095 20040086</v>
      </c>
      <c r="J221" s="5">
        <v>6.9444444444444441E-3</v>
      </c>
    </row>
    <row r="222" spans="1:10" x14ac:dyDescent="0.25">
      <c r="A222">
        <v>220</v>
      </c>
      <c r="B222">
        <f t="shared" si="9"/>
        <v>11</v>
      </c>
      <c r="C222">
        <f t="shared" si="10"/>
        <v>10</v>
      </c>
      <c r="D222" cm="1">
        <f t="array" ref="D222">INDEX('Linha 05'!$A$4:$A$1000,B222)</f>
        <v>20040095</v>
      </c>
      <c r="E222" t="str" cm="1">
        <f t="array" ref="E222">INDEX('Linha 05'!$B$4:$B$1000,B222)</f>
        <v>Amaciante Aquafast Energia Cx/04 X 5l Emb. Econ</v>
      </c>
      <c r="F222" cm="1">
        <f t="array" ref="F222">INDEX('Linha 05'!$C$3:$ZZ$3,C222)</f>
        <v>20040091</v>
      </c>
      <c r="G222" t="str" cm="1">
        <f t="array" ref="G222">INDEX('Linha 05'!$C$2:$ZZ$2,C222)</f>
        <v>Amaciante Aquafast Roxo Cx/04 X 5l (Magia) Emb. Econ</v>
      </c>
      <c r="H222" s="5" cm="1">
        <f t="array" ref="H222">INDEX('Linha 05'!$C$4:$ZZ$1000,B222,C222)</f>
        <v>6.9444444444444441E-3</v>
      </c>
      <c r="I222" t="str">
        <f t="shared" si="11"/>
        <v>20040095 20040091</v>
      </c>
      <c r="J222" s="5">
        <v>6.9444444444444441E-3</v>
      </c>
    </row>
    <row r="223" spans="1:10" x14ac:dyDescent="0.25">
      <c r="A223">
        <v>221</v>
      </c>
      <c r="B223">
        <f t="shared" si="9"/>
        <v>11</v>
      </c>
      <c r="C223">
        <f t="shared" si="10"/>
        <v>11</v>
      </c>
      <c r="D223" cm="1">
        <f t="array" ref="D223">INDEX('Linha 05'!$A$4:$A$1000,B223)</f>
        <v>20040095</v>
      </c>
      <c r="E223" t="str" cm="1">
        <f t="array" ref="E223">INDEX('Linha 05'!$B$4:$B$1000,B223)</f>
        <v>Amaciante Aquafast Energia Cx/04 X 5l Emb. Econ</v>
      </c>
      <c r="F223" cm="1">
        <f t="array" ref="F223">INDEX('Linha 05'!$C$3:$ZZ$3,C223)</f>
        <v>20040095</v>
      </c>
      <c r="G223" t="str" cm="1">
        <f t="array" ref="G223">INDEX('Linha 05'!$C$2:$ZZ$2,C223)</f>
        <v>Amaciante Aquafast Energia Cx/04 X 5l Emb. Econ</v>
      </c>
      <c r="H223" s="5" cm="1">
        <f t="array" ref="H223">INDEX('Linha 05'!$C$4:$ZZ$1000,B223,C223)</f>
        <v>0</v>
      </c>
      <c r="I223" t="str">
        <f t="shared" si="11"/>
        <v>20040095 20040095</v>
      </c>
      <c r="J223" s="5">
        <v>0</v>
      </c>
    </row>
    <row r="224" spans="1:10" x14ac:dyDescent="0.25">
      <c r="A224">
        <v>222</v>
      </c>
      <c r="B224">
        <f t="shared" si="9"/>
        <v>11</v>
      </c>
      <c r="C224">
        <f t="shared" si="10"/>
        <v>12</v>
      </c>
      <c r="D224" cm="1">
        <f t="array" ref="D224">INDEX('Linha 05'!$A$4:$A$1000,B224)</f>
        <v>20040095</v>
      </c>
      <c r="E224" t="str" cm="1">
        <f t="array" ref="E224">INDEX('Linha 05'!$B$4:$B$1000,B224)</f>
        <v>Amaciante Aquafast Energia Cx/04 X 5l Emb. Econ</v>
      </c>
      <c r="F224" cm="1">
        <f t="array" ref="F224">INDEX('Linha 05'!$C$3:$ZZ$3,C224)</f>
        <v>20150028</v>
      </c>
      <c r="G224" t="str" cm="1">
        <f t="array" ref="G224">INDEX('Linha 05'!$C$2:$ZZ$2,C224)</f>
        <v>Amac. Conc. Aquafast Branco Ternura Cx/ 04 X 3l</v>
      </c>
      <c r="H224" s="5" cm="1">
        <f t="array" ref="H224">INDEX('Linha 05'!$C$4:$ZZ$1000,B224,C224)</f>
        <v>3.4722222222222224E-2</v>
      </c>
      <c r="I224" t="str">
        <f t="shared" si="11"/>
        <v>20040095 20150028</v>
      </c>
      <c r="J224" s="5">
        <v>3.4722222222222224E-2</v>
      </c>
    </row>
    <row r="225" spans="1:10" x14ac:dyDescent="0.25">
      <c r="A225">
        <v>223</v>
      </c>
      <c r="B225">
        <f t="shared" si="9"/>
        <v>11</v>
      </c>
      <c r="C225">
        <f t="shared" si="10"/>
        <v>13</v>
      </c>
      <c r="D225" cm="1">
        <f t="array" ref="D225">INDEX('Linha 05'!$A$4:$A$1000,B225)</f>
        <v>20040095</v>
      </c>
      <c r="E225" t="str" cm="1">
        <f t="array" ref="E225">INDEX('Linha 05'!$B$4:$B$1000,B225)</f>
        <v>Amaciante Aquafast Energia Cx/04 X 5l Emb. Econ</v>
      </c>
      <c r="F225" cm="1">
        <f t="array" ref="F225">INDEX('Linha 05'!$C$3:$ZZ$3,C225)</f>
        <v>20150051</v>
      </c>
      <c r="G225" t="str" cm="1">
        <f t="array" ref="G225">INDEX('Linha 05'!$C$2:$ZZ$2,C225)</f>
        <v>Amac. Conc. Aquafast Azul Harmonia Cx/ 04 X 3l</v>
      </c>
      <c r="H225" s="5" cm="1">
        <f t="array" ref="H225">INDEX('Linha 05'!$C$4:$ZZ$1000,B225,C225)</f>
        <v>3.4722222222222224E-2</v>
      </c>
      <c r="I225" t="str">
        <f t="shared" si="11"/>
        <v>20040095 20150051</v>
      </c>
      <c r="J225" s="5">
        <v>3.4722222222222224E-2</v>
      </c>
    </row>
    <row r="226" spans="1:10" x14ac:dyDescent="0.25">
      <c r="A226">
        <v>224</v>
      </c>
      <c r="B226">
        <f t="shared" si="9"/>
        <v>11</v>
      </c>
      <c r="C226">
        <f t="shared" si="10"/>
        <v>14</v>
      </c>
      <c r="D226" cm="1">
        <f t="array" ref="D226">INDEX('Linha 05'!$A$4:$A$1000,B226)</f>
        <v>20040095</v>
      </c>
      <c r="E226" t="str" cm="1">
        <f t="array" ref="E226">INDEX('Linha 05'!$B$4:$B$1000,B226)</f>
        <v>Amaciante Aquafast Energia Cx/04 X 5l Emb. Econ</v>
      </c>
      <c r="F226" cm="1">
        <f t="array" ref="F226">INDEX('Linha 05'!$C$3:$ZZ$3,C226)</f>
        <v>20200009</v>
      </c>
      <c r="G226" t="str" cm="1">
        <f t="array" ref="G226">INDEX('Linha 05'!$C$2:$ZZ$2,C226)</f>
        <v>Lava Roupas Aquafast Multi Acao Cx/04 X 5l (Emb Econ)</v>
      </c>
      <c r="H226" s="5" cm="1">
        <f t="array" ref="H226">INDEX('Linha 05'!$C$4:$ZZ$1000,B226,C226)</f>
        <v>1.3888888888888888E-2</v>
      </c>
      <c r="I226" t="str">
        <f t="shared" si="11"/>
        <v>20040095 20200009</v>
      </c>
      <c r="J226" s="5">
        <v>1.3888888888888888E-2</v>
      </c>
    </row>
    <row r="227" spans="1:10" x14ac:dyDescent="0.25">
      <c r="A227">
        <v>225</v>
      </c>
      <c r="B227">
        <f t="shared" si="9"/>
        <v>11</v>
      </c>
      <c r="C227">
        <f t="shared" si="10"/>
        <v>15</v>
      </c>
      <c r="D227" cm="1">
        <f t="array" ref="D227">INDEX('Linha 05'!$A$4:$A$1000,B227)</f>
        <v>20040095</v>
      </c>
      <c r="E227" t="str" cm="1">
        <f t="array" ref="E227">INDEX('Linha 05'!$B$4:$B$1000,B227)</f>
        <v>Amaciante Aquafast Energia Cx/04 X 5l Emb. Econ</v>
      </c>
      <c r="F227" cm="1">
        <f t="array" ref="F227">INDEX('Linha 05'!$C$3:$ZZ$3,C227)</f>
        <v>20200014</v>
      </c>
      <c r="G227" t="str" cm="1">
        <f t="array" ref="G227">INDEX('Linha 05'!$C$2:$ZZ$2,C227)</f>
        <v>Lava Roupas Aquafast Glicerina Cx/04 X 5l</v>
      </c>
      <c r="H227" s="5" cm="1">
        <f t="array" ref="H227">INDEX('Linha 05'!$C$4:$ZZ$1000,B227,C227)</f>
        <v>1.3888888888888888E-2</v>
      </c>
      <c r="I227" t="str">
        <f t="shared" si="11"/>
        <v>20040095 20200014</v>
      </c>
      <c r="J227" s="5">
        <v>1.3888888888888888E-2</v>
      </c>
    </row>
    <row r="228" spans="1:10" x14ac:dyDescent="0.25">
      <c r="A228">
        <v>226</v>
      </c>
      <c r="B228">
        <f t="shared" si="9"/>
        <v>11</v>
      </c>
      <c r="C228">
        <f t="shared" si="10"/>
        <v>16</v>
      </c>
      <c r="D228" cm="1">
        <f t="array" ref="D228">INDEX('Linha 05'!$A$4:$A$1000,B228)</f>
        <v>20040095</v>
      </c>
      <c r="E228" t="str" cm="1">
        <f t="array" ref="E228">INDEX('Linha 05'!$B$4:$B$1000,B228)</f>
        <v>Amaciante Aquafast Energia Cx/04 X 5l Emb. Econ</v>
      </c>
      <c r="F228" cm="1">
        <f t="array" ref="F228">INDEX('Linha 05'!$C$3:$ZZ$3,C228)</f>
        <v>20200020</v>
      </c>
      <c r="G228" t="str" cm="1">
        <f t="array" ref="G228">INDEX('Linha 05'!$C$2:$ZZ$2,C228)</f>
        <v>Lava Roupas Aquafast Glicerina Cx/04 X 3l</v>
      </c>
      <c r="H228" s="5" cm="1">
        <f t="array" ref="H228">INDEX('Linha 05'!$C$4:$ZZ$1000,B228,C228)</f>
        <v>3.4722222222222224E-2</v>
      </c>
      <c r="I228" t="str">
        <f t="shared" si="11"/>
        <v>20040095 20200020</v>
      </c>
      <c r="J228" s="5">
        <v>3.4722222222222224E-2</v>
      </c>
    </row>
    <row r="229" spans="1:10" x14ac:dyDescent="0.25">
      <c r="A229">
        <v>227</v>
      </c>
      <c r="B229">
        <f t="shared" si="9"/>
        <v>11</v>
      </c>
      <c r="C229">
        <f t="shared" si="10"/>
        <v>17</v>
      </c>
      <c r="D229" cm="1">
        <f t="array" ref="D229">INDEX('Linha 05'!$A$4:$A$1000,B229)</f>
        <v>20040095</v>
      </c>
      <c r="E229" t="str" cm="1">
        <f t="array" ref="E229">INDEX('Linha 05'!$B$4:$B$1000,B229)</f>
        <v>Amaciante Aquafast Energia Cx/04 X 5l Emb. Econ</v>
      </c>
      <c r="F229" cm="1">
        <f t="array" ref="F229">INDEX('Linha 05'!$C$3:$ZZ$3,C229)</f>
        <v>20200022</v>
      </c>
      <c r="G229" t="str" cm="1">
        <f t="array" ref="G229">INDEX('Linha 05'!$C$2:$ZZ$2,C229)</f>
        <v>Lava Roupas Aquafast Multiacao Cx/04 X 3l</v>
      </c>
      <c r="H229" s="5" cm="1">
        <f t="array" ref="H229">INDEX('Linha 05'!$C$4:$ZZ$1000,B229,C229)</f>
        <v>3.4722222222222224E-2</v>
      </c>
      <c r="I229" t="str">
        <f t="shared" si="11"/>
        <v>20040095 20200022</v>
      </c>
      <c r="J229" s="5">
        <v>3.4722222222222224E-2</v>
      </c>
    </row>
    <row r="230" spans="1:10" x14ac:dyDescent="0.25">
      <c r="A230">
        <v>228</v>
      </c>
      <c r="B230">
        <f t="shared" si="9"/>
        <v>11</v>
      </c>
      <c r="C230">
        <f t="shared" si="10"/>
        <v>18</v>
      </c>
      <c r="D230" cm="1">
        <f t="array" ref="D230">INDEX('Linha 05'!$A$4:$A$1000,B230)</f>
        <v>20040095</v>
      </c>
      <c r="E230" t="str" cm="1">
        <f t="array" ref="E230">INDEX('Linha 05'!$B$4:$B$1000,B230)</f>
        <v>Amaciante Aquafast Energia Cx/04 X 5l Emb. Econ</v>
      </c>
      <c r="F230" cm="1">
        <f t="array" ref="F230">INDEX('Linha 05'!$C$3:$ZZ$3,C230)</f>
        <v>20200026</v>
      </c>
      <c r="G230" t="str" cm="1">
        <f t="array" ref="G230">INDEX('Linha 05'!$C$2:$ZZ$2,C230)</f>
        <v>Lava Roupas Aquafast Ternura Cx/04 X 3l</v>
      </c>
      <c r="H230" s="5" cm="1">
        <f t="array" ref="H230">INDEX('Linha 05'!$C$4:$ZZ$1000,B230,C230)</f>
        <v>3.4722222222222224E-2</v>
      </c>
      <c r="I230" t="str">
        <f t="shared" si="11"/>
        <v>20040095 20200026</v>
      </c>
      <c r="J230" s="5">
        <v>3.4722222222222224E-2</v>
      </c>
    </row>
    <row r="231" spans="1:10" x14ac:dyDescent="0.25">
      <c r="A231">
        <v>229</v>
      </c>
      <c r="B231">
        <f t="shared" si="9"/>
        <v>11</v>
      </c>
      <c r="C231">
        <f t="shared" si="10"/>
        <v>19</v>
      </c>
      <c r="D231" cm="1">
        <f t="array" ref="D231">INDEX('Linha 05'!$A$4:$A$1000,B231)</f>
        <v>20040095</v>
      </c>
      <c r="E231" t="str" cm="1">
        <f t="array" ref="E231">INDEX('Linha 05'!$B$4:$B$1000,B231)</f>
        <v>Amaciante Aquafast Energia Cx/04 X 5l Emb. Econ</v>
      </c>
      <c r="F231" cm="1">
        <f t="array" ref="F231">INDEX('Linha 05'!$C$3:$ZZ$3,C231)</f>
        <v>20200027</v>
      </c>
      <c r="G231" t="str" cm="1">
        <f t="array" ref="G231">INDEX('Linha 05'!$C$2:$ZZ$2,C231)</f>
        <v>Lava Roupas Aquafast Ternura C/04 X 5l (Emb Econ)</v>
      </c>
      <c r="H231" s="5" cm="1">
        <f t="array" ref="H231">INDEX('Linha 05'!$C$4:$ZZ$1000,B231,C231)</f>
        <v>1.3888888888888888E-2</v>
      </c>
      <c r="I231" t="str">
        <f t="shared" si="11"/>
        <v>20040095 20200027</v>
      </c>
      <c r="J231" s="5">
        <v>1.3888888888888888E-2</v>
      </c>
    </row>
    <row r="232" spans="1:10" x14ac:dyDescent="0.25">
      <c r="A232">
        <v>230</v>
      </c>
      <c r="B232">
        <f t="shared" si="9"/>
        <v>11</v>
      </c>
      <c r="C232">
        <f t="shared" si="10"/>
        <v>20</v>
      </c>
      <c r="D232" cm="1">
        <f t="array" ref="D232">INDEX('Linha 05'!$A$4:$A$1000,B232)</f>
        <v>20040095</v>
      </c>
      <c r="E232" t="str" cm="1">
        <f t="array" ref="E232">INDEX('Linha 05'!$B$4:$B$1000,B232)</f>
        <v>Amaciante Aquafast Energia Cx/04 X 5l Emb. Econ</v>
      </c>
      <c r="F232" cm="1">
        <f t="array" ref="F232">INDEX('Linha 05'!$C$3:$ZZ$3,C232)</f>
        <v>20200058</v>
      </c>
      <c r="G232" t="str" cm="1">
        <f t="array" ref="G232">INDEX('Linha 05'!$C$2:$ZZ$2,C232)</f>
        <v>Lava Roupas Aquafast Flores Brancas E Baunilha Cx/4 X 3l</v>
      </c>
      <c r="H232" s="5" cm="1">
        <f t="array" ref="H232">INDEX('Linha 05'!$C$4:$ZZ$1000,B232,C232)</f>
        <v>3.4722222222222224E-2</v>
      </c>
      <c r="I232" t="str">
        <f t="shared" si="11"/>
        <v>20040095 20200058</v>
      </c>
      <c r="J232" s="5">
        <v>3.4722222222222224E-2</v>
      </c>
    </row>
    <row r="233" spans="1:10" x14ac:dyDescent="0.25">
      <c r="A233">
        <v>231</v>
      </c>
      <c r="B233">
        <f t="shared" si="9"/>
        <v>11</v>
      </c>
      <c r="C233">
        <f t="shared" si="10"/>
        <v>21</v>
      </c>
      <c r="D233" cm="1">
        <f t="array" ref="D233">INDEX('Linha 05'!$A$4:$A$1000,B233)</f>
        <v>20040095</v>
      </c>
      <c r="E233" t="str" cm="1">
        <f t="array" ref="E233">INDEX('Linha 05'!$B$4:$B$1000,B233)</f>
        <v>Amaciante Aquafast Energia Cx/04 X 5l Emb. Econ</v>
      </c>
      <c r="F233" cm="1">
        <f t="array" ref="F233">INDEX('Linha 05'!$C$3:$ZZ$3,C233)</f>
        <v>20200077</v>
      </c>
      <c r="G233" t="str" cm="1">
        <f t="array" ref="G233">INDEX('Linha 05'!$C$2:$ZZ$2,C233)</f>
        <v>Lava Roupas Aquafast Alta Performance 7l</v>
      </c>
      <c r="H233" s="5" cm="1">
        <f t="array" ref="H233">INDEX('Linha 05'!$C$4:$ZZ$1000,B233,C233)</f>
        <v>3.4722222222222224E-2</v>
      </c>
      <c r="I233" t="str">
        <f t="shared" si="11"/>
        <v>20040095 20200077</v>
      </c>
      <c r="J233" s="5">
        <v>3.4722222222222224E-2</v>
      </c>
    </row>
    <row r="234" spans="1:10" x14ac:dyDescent="0.25">
      <c r="A234">
        <v>232</v>
      </c>
      <c r="B234">
        <f t="shared" si="9"/>
        <v>12</v>
      </c>
      <c r="C234">
        <f t="shared" si="10"/>
        <v>1</v>
      </c>
      <c r="D234" cm="1">
        <f t="array" ref="D234">INDEX('Linha 05'!$A$4:$A$1000,B234)</f>
        <v>20150028</v>
      </c>
      <c r="E234" t="str" cm="1">
        <f t="array" ref="E234">INDEX('Linha 05'!$B$4:$B$1000,B234)</f>
        <v>Amac. Conc. Aquafast Branco Ternura Cx/ 04 X 3l</v>
      </c>
      <c r="F234" cm="1">
        <f t="array" ref="F234">INDEX('Linha 05'!$C$3:$ZZ$3,C234)</f>
        <v>20030008</v>
      </c>
      <c r="G234" t="str" cm="1">
        <f t="array" ref="G234">INDEX('Linha 05'!$C$2:$ZZ$2,C234)</f>
        <v>Detergente Aquafast Limao Cx/04 X 5l (Emb Econ)</v>
      </c>
      <c r="H234" s="5" cm="1">
        <f t="array" ref="H234">INDEX('Linha 05'!$C$4:$ZZ$1000,B234,C234)</f>
        <v>3.4722222222222224E-2</v>
      </c>
      <c r="I234" t="str">
        <f t="shared" si="11"/>
        <v>20150028 20030008</v>
      </c>
      <c r="J234" s="5">
        <v>3.4722222222222224E-2</v>
      </c>
    </row>
    <row r="235" spans="1:10" x14ac:dyDescent="0.25">
      <c r="A235">
        <v>233</v>
      </c>
      <c r="B235">
        <f t="shared" si="9"/>
        <v>12</v>
      </c>
      <c r="C235">
        <f t="shared" si="10"/>
        <v>2</v>
      </c>
      <c r="D235" cm="1">
        <f t="array" ref="D235">INDEX('Linha 05'!$A$4:$A$1000,B235)</f>
        <v>20150028</v>
      </c>
      <c r="E235" t="str" cm="1">
        <f t="array" ref="E235">INDEX('Linha 05'!$B$4:$B$1000,B235)</f>
        <v>Amac. Conc. Aquafast Branco Ternura Cx/ 04 X 3l</v>
      </c>
      <c r="F235" cm="1">
        <f t="array" ref="F235">INDEX('Linha 05'!$C$3:$ZZ$3,C235)</f>
        <v>20030009</v>
      </c>
      <c r="G235" t="str" cm="1">
        <f t="array" ref="G235">INDEX('Linha 05'!$C$2:$ZZ$2,C235)</f>
        <v>Detergente Aquafast Neutro Cx/04 X 5l (Emb Econ)</v>
      </c>
      <c r="H235" s="5" cm="1">
        <f t="array" ref="H235">INDEX('Linha 05'!$C$4:$ZZ$1000,B235,C235)</f>
        <v>3.4722222222222224E-2</v>
      </c>
      <c r="I235" t="str">
        <f t="shared" si="11"/>
        <v>20150028 20030009</v>
      </c>
      <c r="J235" s="5">
        <v>3.4722222222222224E-2</v>
      </c>
    </row>
    <row r="236" spans="1:10" x14ac:dyDescent="0.25">
      <c r="A236">
        <v>234</v>
      </c>
      <c r="B236">
        <f t="shared" si="9"/>
        <v>12</v>
      </c>
      <c r="C236">
        <f t="shared" si="10"/>
        <v>3</v>
      </c>
      <c r="D236" cm="1">
        <f t="array" ref="D236">INDEX('Linha 05'!$A$4:$A$1000,B236)</f>
        <v>20150028</v>
      </c>
      <c r="E236" t="str" cm="1">
        <f t="array" ref="E236">INDEX('Linha 05'!$B$4:$B$1000,B236)</f>
        <v>Amac. Conc. Aquafast Branco Ternura Cx/ 04 X 3l</v>
      </c>
      <c r="F236" cm="1">
        <f t="array" ref="F236">INDEX('Linha 05'!$C$3:$ZZ$3,C236)</f>
        <v>20030010</v>
      </c>
      <c r="G236" t="str" cm="1">
        <f t="array" ref="G236">INDEX('Linha 05'!$C$2:$ZZ$2,C236)</f>
        <v>Detergente Aquafast Clear Cx/04 X 5l (Emb Econ)</v>
      </c>
      <c r="H236" s="5" cm="1">
        <f t="array" ref="H236">INDEX('Linha 05'!$C$4:$ZZ$1000,B236,C236)</f>
        <v>3.4722222222222203E-2</v>
      </c>
      <c r="I236" t="str">
        <f t="shared" si="11"/>
        <v>20150028 20030010</v>
      </c>
      <c r="J236" s="5">
        <v>3.4722222222222203E-2</v>
      </c>
    </row>
    <row r="237" spans="1:10" x14ac:dyDescent="0.25">
      <c r="A237">
        <v>235</v>
      </c>
      <c r="B237">
        <f t="shared" si="9"/>
        <v>12</v>
      </c>
      <c r="C237">
        <f t="shared" si="10"/>
        <v>4</v>
      </c>
      <c r="D237" cm="1">
        <f t="array" ref="D237">INDEX('Linha 05'!$A$4:$A$1000,B237)</f>
        <v>20150028</v>
      </c>
      <c r="E237" t="str" cm="1">
        <f t="array" ref="E237">INDEX('Linha 05'!$B$4:$B$1000,B237)</f>
        <v>Amac. Conc. Aquafast Branco Ternura Cx/ 04 X 3l</v>
      </c>
      <c r="F237" cm="1">
        <f t="array" ref="F237">INDEX('Linha 05'!$C$3:$ZZ$3,C237)</f>
        <v>20030024</v>
      </c>
      <c r="G237" t="str" cm="1">
        <f t="array" ref="G237">INDEX('Linha 05'!$C$2:$ZZ$2,C237)</f>
        <v>Detergente Ito Neutro Cx/04 X 5l</v>
      </c>
      <c r="H237" s="5" cm="1">
        <f t="array" ref="H237">INDEX('Linha 05'!$C$4:$ZZ$1000,B237,C237)</f>
        <v>3.4722222222222203E-2</v>
      </c>
      <c r="I237" t="str">
        <f t="shared" si="11"/>
        <v>20150028 20030024</v>
      </c>
      <c r="J237" s="5">
        <v>3.4722222222222203E-2</v>
      </c>
    </row>
    <row r="238" spans="1:10" x14ac:dyDescent="0.25">
      <c r="A238">
        <v>236</v>
      </c>
      <c r="B238">
        <f t="shared" si="9"/>
        <v>12</v>
      </c>
      <c r="C238">
        <f t="shared" si="10"/>
        <v>5</v>
      </c>
      <c r="D238" cm="1">
        <f t="array" ref="D238">INDEX('Linha 05'!$A$4:$A$1000,B238)</f>
        <v>20150028</v>
      </c>
      <c r="E238" t="str" cm="1">
        <f t="array" ref="E238">INDEX('Linha 05'!$B$4:$B$1000,B238)</f>
        <v>Amac. Conc. Aquafast Branco Ternura Cx/ 04 X 3l</v>
      </c>
      <c r="F238" cm="1">
        <f t="array" ref="F238">INDEX('Linha 05'!$C$3:$ZZ$3,C238)</f>
        <v>20030083</v>
      </c>
      <c r="G238" t="str" cm="1">
        <f t="array" ref="G238">INDEX('Linha 05'!$C$2:$ZZ$2,C238)</f>
        <v>Detergente Ito Clear Cx/04 X 5l</v>
      </c>
      <c r="H238" s="5" cm="1">
        <f t="array" ref="H238">INDEX('Linha 05'!$C$4:$ZZ$1000,B238,C238)</f>
        <v>3.4722222222222203E-2</v>
      </c>
      <c r="I238" t="str">
        <f t="shared" si="11"/>
        <v>20150028 20030083</v>
      </c>
      <c r="J238" s="5">
        <v>3.4722222222222203E-2</v>
      </c>
    </row>
    <row r="239" spans="1:10" x14ac:dyDescent="0.25">
      <c r="A239">
        <v>237</v>
      </c>
      <c r="B239">
        <f t="shared" si="9"/>
        <v>12</v>
      </c>
      <c r="C239">
        <f t="shared" si="10"/>
        <v>6</v>
      </c>
      <c r="D239" cm="1">
        <f t="array" ref="D239">INDEX('Linha 05'!$A$4:$A$1000,B239)</f>
        <v>20150028</v>
      </c>
      <c r="E239" t="str" cm="1">
        <f t="array" ref="E239">INDEX('Linha 05'!$B$4:$B$1000,B239)</f>
        <v>Amac. Conc. Aquafast Branco Ternura Cx/ 04 X 3l</v>
      </c>
      <c r="F239" cm="1">
        <f t="array" ref="F239">INDEX('Linha 05'!$C$3:$ZZ$3,C239)</f>
        <v>20040030</v>
      </c>
      <c r="G239" t="str" cm="1">
        <f t="array" ref="G239">INDEX('Linha 05'!$C$2:$ZZ$2,C239)</f>
        <v>Amaciante Ito Azul Cx/04 X 5l</v>
      </c>
      <c r="H239" s="5" cm="1">
        <f t="array" ref="H239">INDEX('Linha 05'!$C$4:$ZZ$1000,B239,C239)</f>
        <v>3.4722222222222203E-2</v>
      </c>
      <c r="I239" t="str">
        <f t="shared" si="11"/>
        <v>20150028 20040030</v>
      </c>
      <c r="J239" s="5">
        <v>3.4722222222222203E-2</v>
      </c>
    </row>
    <row r="240" spans="1:10" x14ac:dyDescent="0.25">
      <c r="A240">
        <v>238</v>
      </c>
      <c r="B240">
        <f t="shared" si="9"/>
        <v>12</v>
      </c>
      <c r="C240">
        <f t="shared" si="10"/>
        <v>7</v>
      </c>
      <c r="D240" cm="1">
        <f t="array" ref="D240">INDEX('Linha 05'!$A$4:$A$1000,B240)</f>
        <v>20150028</v>
      </c>
      <c r="E240" t="str" cm="1">
        <f t="array" ref="E240">INDEX('Linha 05'!$B$4:$B$1000,B240)</f>
        <v>Amac. Conc. Aquafast Branco Ternura Cx/ 04 X 3l</v>
      </c>
      <c r="F240" cm="1">
        <f t="array" ref="F240">INDEX('Linha 05'!$C$3:$ZZ$3,C240)</f>
        <v>20040074</v>
      </c>
      <c r="G240" t="str" cm="1">
        <f t="array" ref="G240">INDEX('Linha 05'!$C$2:$ZZ$2,C240)</f>
        <v>Amaciante Aquafast Azul Cx C/04 X 5l (Fresc Manh) Emb. Econ</v>
      </c>
      <c r="H240" s="5" cm="1">
        <f t="array" ref="H240">INDEX('Linha 05'!$C$4:$ZZ$1000,B240,C240)</f>
        <v>3.4722222222222203E-2</v>
      </c>
      <c r="I240" t="str">
        <f t="shared" si="11"/>
        <v>20150028 20040074</v>
      </c>
      <c r="J240" s="5">
        <v>3.4722222222222203E-2</v>
      </c>
    </row>
    <row r="241" spans="1:10" x14ac:dyDescent="0.25">
      <c r="A241">
        <v>239</v>
      </c>
      <c r="B241">
        <f t="shared" si="9"/>
        <v>12</v>
      </c>
      <c r="C241">
        <f t="shared" si="10"/>
        <v>8</v>
      </c>
      <c r="D241" cm="1">
        <f t="array" ref="D241">INDEX('Linha 05'!$A$4:$A$1000,B241)</f>
        <v>20150028</v>
      </c>
      <c r="E241" t="str" cm="1">
        <f t="array" ref="E241">INDEX('Linha 05'!$B$4:$B$1000,B241)</f>
        <v>Amac. Conc. Aquafast Branco Ternura Cx/ 04 X 3l</v>
      </c>
      <c r="F241" cm="1">
        <f t="array" ref="F241">INDEX('Linha 05'!$C$3:$ZZ$3,C241)</f>
        <v>20040075</v>
      </c>
      <c r="G241" t="str" cm="1">
        <f t="array" ref="G241">INDEX('Linha 05'!$C$2:$ZZ$2,C241)</f>
        <v>Amaciante Aquafast Rosa Cx C/04 X 5l (Jard Flor) Emb. Econ</v>
      </c>
      <c r="H241" s="5" cm="1">
        <f t="array" ref="H241">INDEX('Linha 05'!$C$4:$ZZ$1000,B241,C241)</f>
        <v>3.4722222222222203E-2</v>
      </c>
      <c r="I241" t="str">
        <f t="shared" si="11"/>
        <v>20150028 20040075</v>
      </c>
      <c r="J241" s="5">
        <v>3.4722222222222203E-2</v>
      </c>
    </row>
    <row r="242" spans="1:10" x14ac:dyDescent="0.25">
      <c r="A242">
        <v>240</v>
      </c>
      <c r="B242">
        <f t="shared" si="9"/>
        <v>12</v>
      </c>
      <c r="C242">
        <f t="shared" si="10"/>
        <v>9</v>
      </c>
      <c r="D242" cm="1">
        <f t="array" ref="D242">INDEX('Linha 05'!$A$4:$A$1000,B242)</f>
        <v>20150028</v>
      </c>
      <c r="E242" t="str" cm="1">
        <f t="array" ref="E242">INDEX('Linha 05'!$B$4:$B$1000,B242)</f>
        <v>Amac. Conc. Aquafast Branco Ternura Cx/ 04 X 3l</v>
      </c>
      <c r="F242" cm="1">
        <f t="array" ref="F242">INDEX('Linha 05'!$C$3:$ZZ$3,C242)</f>
        <v>20040086</v>
      </c>
      <c r="G242" t="str" cm="1">
        <f t="array" ref="G242">INDEX('Linha 05'!$C$2:$ZZ$2,C242)</f>
        <v>Amaciante Aquafast Vermelho Cx/04 X 5l (Seducao) Emb. Econ</v>
      </c>
      <c r="H242" s="5" cm="1">
        <f t="array" ref="H242">INDEX('Linha 05'!$C$4:$ZZ$1000,B242,C242)</f>
        <v>3.4722222222222203E-2</v>
      </c>
      <c r="I242" t="str">
        <f t="shared" si="11"/>
        <v>20150028 20040086</v>
      </c>
      <c r="J242" s="5">
        <v>3.4722222222222203E-2</v>
      </c>
    </row>
    <row r="243" spans="1:10" x14ac:dyDescent="0.25">
      <c r="A243">
        <v>241</v>
      </c>
      <c r="B243">
        <f t="shared" si="9"/>
        <v>12</v>
      </c>
      <c r="C243">
        <f t="shared" si="10"/>
        <v>10</v>
      </c>
      <c r="D243" cm="1">
        <f t="array" ref="D243">INDEX('Linha 05'!$A$4:$A$1000,B243)</f>
        <v>20150028</v>
      </c>
      <c r="E243" t="str" cm="1">
        <f t="array" ref="E243">INDEX('Linha 05'!$B$4:$B$1000,B243)</f>
        <v>Amac. Conc. Aquafast Branco Ternura Cx/ 04 X 3l</v>
      </c>
      <c r="F243" cm="1">
        <f t="array" ref="F243">INDEX('Linha 05'!$C$3:$ZZ$3,C243)</f>
        <v>20040091</v>
      </c>
      <c r="G243" t="str" cm="1">
        <f t="array" ref="G243">INDEX('Linha 05'!$C$2:$ZZ$2,C243)</f>
        <v>Amaciante Aquafast Roxo Cx/04 X 5l (Magia) Emb. Econ</v>
      </c>
      <c r="H243" s="5" cm="1">
        <f t="array" ref="H243">INDEX('Linha 05'!$C$4:$ZZ$1000,B243,C243)</f>
        <v>3.4722222222222224E-2</v>
      </c>
      <c r="I243" t="str">
        <f t="shared" si="11"/>
        <v>20150028 20040091</v>
      </c>
      <c r="J243" s="5">
        <v>3.4722222222222224E-2</v>
      </c>
    </row>
    <row r="244" spans="1:10" x14ac:dyDescent="0.25">
      <c r="A244">
        <v>242</v>
      </c>
      <c r="B244">
        <f t="shared" si="9"/>
        <v>12</v>
      </c>
      <c r="C244">
        <f t="shared" si="10"/>
        <v>11</v>
      </c>
      <c r="D244" cm="1">
        <f t="array" ref="D244">INDEX('Linha 05'!$A$4:$A$1000,B244)</f>
        <v>20150028</v>
      </c>
      <c r="E244" t="str" cm="1">
        <f t="array" ref="E244">INDEX('Linha 05'!$B$4:$B$1000,B244)</f>
        <v>Amac. Conc. Aquafast Branco Ternura Cx/ 04 X 3l</v>
      </c>
      <c r="F244" cm="1">
        <f t="array" ref="F244">INDEX('Linha 05'!$C$3:$ZZ$3,C244)</f>
        <v>20040095</v>
      </c>
      <c r="G244" t="str" cm="1">
        <f t="array" ref="G244">INDEX('Linha 05'!$C$2:$ZZ$2,C244)</f>
        <v>Amaciante Aquafast Energia Cx/04 X 5l Emb. Econ</v>
      </c>
      <c r="H244" s="5" cm="1">
        <f t="array" ref="H244">INDEX('Linha 05'!$C$4:$ZZ$1000,B244,C244)</f>
        <v>3.4722222222222224E-2</v>
      </c>
      <c r="I244" t="str">
        <f t="shared" si="11"/>
        <v>20150028 20040095</v>
      </c>
      <c r="J244" s="5">
        <v>3.4722222222222224E-2</v>
      </c>
    </row>
    <row r="245" spans="1:10" x14ac:dyDescent="0.25">
      <c r="A245">
        <v>243</v>
      </c>
      <c r="B245">
        <f t="shared" si="9"/>
        <v>12</v>
      </c>
      <c r="C245">
        <f t="shared" si="10"/>
        <v>12</v>
      </c>
      <c r="D245" cm="1">
        <f t="array" ref="D245">INDEX('Linha 05'!$A$4:$A$1000,B245)</f>
        <v>20150028</v>
      </c>
      <c r="E245" t="str" cm="1">
        <f t="array" ref="E245">INDEX('Linha 05'!$B$4:$B$1000,B245)</f>
        <v>Amac. Conc. Aquafast Branco Ternura Cx/ 04 X 3l</v>
      </c>
      <c r="F245" cm="1">
        <f t="array" ref="F245">INDEX('Linha 05'!$C$3:$ZZ$3,C245)</f>
        <v>20150028</v>
      </c>
      <c r="G245" t="str" cm="1">
        <f t="array" ref="G245">INDEX('Linha 05'!$C$2:$ZZ$2,C245)</f>
        <v>Amac. Conc. Aquafast Branco Ternura Cx/ 04 X 3l</v>
      </c>
      <c r="H245" s="5" cm="1">
        <f t="array" ref="H245">INDEX('Linha 05'!$C$4:$ZZ$1000,B245,C245)</f>
        <v>0</v>
      </c>
      <c r="I245" t="str">
        <f t="shared" si="11"/>
        <v>20150028 20150028</v>
      </c>
      <c r="J245" s="5">
        <v>0</v>
      </c>
    </row>
    <row r="246" spans="1:10" x14ac:dyDescent="0.25">
      <c r="A246">
        <v>244</v>
      </c>
      <c r="B246">
        <f t="shared" si="9"/>
        <v>12</v>
      </c>
      <c r="C246">
        <f t="shared" si="10"/>
        <v>13</v>
      </c>
      <c r="D246" cm="1">
        <f t="array" ref="D246">INDEX('Linha 05'!$A$4:$A$1000,B246)</f>
        <v>20150028</v>
      </c>
      <c r="E246" t="str" cm="1">
        <f t="array" ref="E246">INDEX('Linha 05'!$B$4:$B$1000,B246)</f>
        <v>Amac. Conc. Aquafast Branco Ternura Cx/ 04 X 3l</v>
      </c>
      <c r="F246" cm="1">
        <f t="array" ref="F246">INDEX('Linha 05'!$C$3:$ZZ$3,C246)</f>
        <v>20150051</v>
      </c>
      <c r="G246" t="str" cm="1">
        <f t="array" ref="G246">INDEX('Linha 05'!$C$2:$ZZ$2,C246)</f>
        <v>Amac. Conc. Aquafast Azul Harmonia Cx/ 04 X 3l</v>
      </c>
      <c r="H246" s="5" cm="1">
        <f t="array" ref="H246">INDEX('Linha 05'!$C$4:$ZZ$1000,B246,C246)</f>
        <v>6.9444444444444441E-3</v>
      </c>
      <c r="I246" t="str">
        <f t="shared" si="11"/>
        <v>20150028 20150051</v>
      </c>
      <c r="J246" s="5">
        <v>6.9444444444444441E-3</v>
      </c>
    </row>
    <row r="247" spans="1:10" x14ac:dyDescent="0.25">
      <c r="A247">
        <v>245</v>
      </c>
      <c r="B247">
        <f t="shared" si="9"/>
        <v>12</v>
      </c>
      <c r="C247">
        <f t="shared" si="10"/>
        <v>14</v>
      </c>
      <c r="D247" cm="1">
        <f t="array" ref="D247">INDEX('Linha 05'!$A$4:$A$1000,B247)</f>
        <v>20150028</v>
      </c>
      <c r="E247" t="str" cm="1">
        <f t="array" ref="E247">INDEX('Linha 05'!$B$4:$B$1000,B247)</f>
        <v>Amac. Conc. Aquafast Branco Ternura Cx/ 04 X 3l</v>
      </c>
      <c r="F247" cm="1">
        <f t="array" ref="F247">INDEX('Linha 05'!$C$3:$ZZ$3,C247)</f>
        <v>20200009</v>
      </c>
      <c r="G247" t="str" cm="1">
        <f t="array" ref="G247">INDEX('Linha 05'!$C$2:$ZZ$2,C247)</f>
        <v>Lava Roupas Aquafast Multi Acao Cx/04 X 5l (Emb Econ)</v>
      </c>
      <c r="H247" s="5" cm="1">
        <f t="array" ref="H247">INDEX('Linha 05'!$C$4:$ZZ$1000,B247,C247)</f>
        <v>3.4722222222222224E-2</v>
      </c>
      <c r="I247" t="str">
        <f t="shared" si="11"/>
        <v>20150028 20200009</v>
      </c>
      <c r="J247" s="5">
        <v>3.4722222222222224E-2</v>
      </c>
    </row>
    <row r="248" spans="1:10" x14ac:dyDescent="0.25">
      <c r="A248">
        <v>246</v>
      </c>
      <c r="B248">
        <f t="shared" si="9"/>
        <v>12</v>
      </c>
      <c r="C248">
        <f t="shared" si="10"/>
        <v>15</v>
      </c>
      <c r="D248" cm="1">
        <f t="array" ref="D248">INDEX('Linha 05'!$A$4:$A$1000,B248)</f>
        <v>20150028</v>
      </c>
      <c r="E248" t="str" cm="1">
        <f t="array" ref="E248">INDEX('Linha 05'!$B$4:$B$1000,B248)</f>
        <v>Amac. Conc. Aquafast Branco Ternura Cx/ 04 X 3l</v>
      </c>
      <c r="F248" cm="1">
        <f t="array" ref="F248">INDEX('Linha 05'!$C$3:$ZZ$3,C248)</f>
        <v>20200014</v>
      </c>
      <c r="G248" t="str" cm="1">
        <f t="array" ref="G248">INDEX('Linha 05'!$C$2:$ZZ$2,C248)</f>
        <v>Lava Roupas Aquafast Glicerina Cx/04 X 5l</v>
      </c>
      <c r="H248" s="5" cm="1">
        <f t="array" ref="H248">INDEX('Linha 05'!$C$4:$ZZ$1000,B248,C248)</f>
        <v>3.4722222222222224E-2</v>
      </c>
      <c r="I248" t="str">
        <f t="shared" si="11"/>
        <v>20150028 20200014</v>
      </c>
      <c r="J248" s="5">
        <v>3.4722222222222224E-2</v>
      </c>
    </row>
    <row r="249" spans="1:10" x14ac:dyDescent="0.25">
      <c r="A249">
        <v>247</v>
      </c>
      <c r="B249">
        <f t="shared" si="9"/>
        <v>12</v>
      </c>
      <c r="C249">
        <f t="shared" si="10"/>
        <v>16</v>
      </c>
      <c r="D249" cm="1">
        <f t="array" ref="D249">INDEX('Linha 05'!$A$4:$A$1000,B249)</f>
        <v>20150028</v>
      </c>
      <c r="E249" t="str" cm="1">
        <f t="array" ref="E249">INDEX('Linha 05'!$B$4:$B$1000,B249)</f>
        <v>Amac. Conc. Aquafast Branco Ternura Cx/ 04 X 3l</v>
      </c>
      <c r="F249" cm="1">
        <f t="array" ref="F249">INDEX('Linha 05'!$C$3:$ZZ$3,C249)</f>
        <v>20200020</v>
      </c>
      <c r="G249" t="str" cm="1">
        <f t="array" ref="G249">INDEX('Linha 05'!$C$2:$ZZ$2,C249)</f>
        <v>Lava Roupas Aquafast Glicerina Cx/04 X 3l</v>
      </c>
      <c r="H249" s="5" cm="1">
        <f t="array" ref="H249">INDEX('Linha 05'!$C$4:$ZZ$1000,B249,C249)</f>
        <v>1.3888888888888888E-2</v>
      </c>
      <c r="I249" t="str">
        <f t="shared" si="11"/>
        <v>20150028 20200020</v>
      </c>
      <c r="J249" s="5">
        <v>1.3888888888888888E-2</v>
      </c>
    </row>
    <row r="250" spans="1:10" x14ac:dyDescent="0.25">
      <c r="A250">
        <v>248</v>
      </c>
      <c r="B250">
        <f t="shared" si="9"/>
        <v>12</v>
      </c>
      <c r="C250">
        <f t="shared" si="10"/>
        <v>17</v>
      </c>
      <c r="D250" cm="1">
        <f t="array" ref="D250">INDEX('Linha 05'!$A$4:$A$1000,B250)</f>
        <v>20150028</v>
      </c>
      <c r="E250" t="str" cm="1">
        <f t="array" ref="E250">INDEX('Linha 05'!$B$4:$B$1000,B250)</f>
        <v>Amac. Conc. Aquafast Branco Ternura Cx/ 04 X 3l</v>
      </c>
      <c r="F250" cm="1">
        <f t="array" ref="F250">INDEX('Linha 05'!$C$3:$ZZ$3,C250)</f>
        <v>20200022</v>
      </c>
      <c r="G250" t="str" cm="1">
        <f t="array" ref="G250">INDEX('Linha 05'!$C$2:$ZZ$2,C250)</f>
        <v>Lava Roupas Aquafast Multiacao Cx/04 X 3l</v>
      </c>
      <c r="H250" s="5" cm="1">
        <f t="array" ref="H250">INDEX('Linha 05'!$C$4:$ZZ$1000,B250,C250)</f>
        <v>1.3888888888888888E-2</v>
      </c>
      <c r="I250" t="str">
        <f t="shared" si="11"/>
        <v>20150028 20200022</v>
      </c>
      <c r="J250" s="5">
        <v>1.3888888888888888E-2</v>
      </c>
    </row>
    <row r="251" spans="1:10" x14ac:dyDescent="0.25">
      <c r="A251">
        <v>249</v>
      </c>
      <c r="B251">
        <f t="shared" si="9"/>
        <v>12</v>
      </c>
      <c r="C251">
        <f t="shared" si="10"/>
        <v>18</v>
      </c>
      <c r="D251" cm="1">
        <f t="array" ref="D251">INDEX('Linha 05'!$A$4:$A$1000,B251)</f>
        <v>20150028</v>
      </c>
      <c r="E251" t="str" cm="1">
        <f t="array" ref="E251">INDEX('Linha 05'!$B$4:$B$1000,B251)</f>
        <v>Amac. Conc. Aquafast Branco Ternura Cx/ 04 X 3l</v>
      </c>
      <c r="F251" cm="1">
        <f t="array" ref="F251">INDEX('Linha 05'!$C$3:$ZZ$3,C251)</f>
        <v>20200026</v>
      </c>
      <c r="G251" t="str" cm="1">
        <f t="array" ref="G251">INDEX('Linha 05'!$C$2:$ZZ$2,C251)</f>
        <v>Lava Roupas Aquafast Ternura Cx/04 X 3l</v>
      </c>
      <c r="H251" s="5" cm="1">
        <f t="array" ref="H251">INDEX('Linha 05'!$C$4:$ZZ$1000,B251,C251)</f>
        <v>1.38888888888889E-2</v>
      </c>
      <c r="I251" t="str">
        <f t="shared" si="11"/>
        <v>20150028 20200026</v>
      </c>
      <c r="J251" s="5">
        <v>1.38888888888889E-2</v>
      </c>
    </row>
    <row r="252" spans="1:10" x14ac:dyDescent="0.25">
      <c r="A252">
        <v>250</v>
      </c>
      <c r="B252">
        <f t="shared" si="9"/>
        <v>12</v>
      </c>
      <c r="C252">
        <f t="shared" si="10"/>
        <v>19</v>
      </c>
      <c r="D252" cm="1">
        <f t="array" ref="D252">INDEX('Linha 05'!$A$4:$A$1000,B252)</f>
        <v>20150028</v>
      </c>
      <c r="E252" t="str" cm="1">
        <f t="array" ref="E252">INDEX('Linha 05'!$B$4:$B$1000,B252)</f>
        <v>Amac. Conc. Aquafast Branco Ternura Cx/ 04 X 3l</v>
      </c>
      <c r="F252" cm="1">
        <f t="array" ref="F252">INDEX('Linha 05'!$C$3:$ZZ$3,C252)</f>
        <v>20200027</v>
      </c>
      <c r="G252" t="str" cm="1">
        <f t="array" ref="G252">INDEX('Linha 05'!$C$2:$ZZ$2,C252)</f>
        <v>Lava Roupas Aquafast Ternura C/04 X 5l (Emb Econ)</v>
      </c>
      <c r="H252" s="5" cm="1">
        <f t="array" ref="H252">INDEX('Linha 05'!$C$4:$ZZ$1000,B252,C252)</f>
        <v>3.4722222222222224E-2</v>
      </c>
      <c r="I252" t="str">
        <f t="shared" si="11"/>
        <v>20150028 20200027</v>
      </c>
      <c r="J252" s="5">
        <v>3.4722222222222224E-2</v>
      </c>
    </row>
    <row r="253" spans="1:10" x14ac:dyDescent="0.25">
      <c r="A253">
        <v>251</v>
      </c>
      <c r="B253">
        <f t="shared" si="9"/>
        <v>12</v>
      </c>
      <c r="C253">
        <f t="shared" si="10"/>
        <v>20</v>
      </c>
      <c r="D253" cm="1">
        <f t="array" ref="D253">INDEX('Linha 05'!$A$4:$A$1000,B253)</f>
        <v>20150028</v>
      </c>
      <c r="E253" t="str" cm="1">
        <f t="array" ref="E253">INDEX('Linha 05'!$B$4:$B$1000,B253)</f>
        <v>Amac. Conc. Aquafast Branco Ternura Cx/ 04 X 3l</v>
      </c>
      <c r="F253" cm="1">
        <f t="array" ref="F253">INDEX('Linha 05'!$C$3:$ZZ$3,C253)</f>
        <v>20200058</v>
      </c>
      <c r="G253" t="str" cm="1">
        <f t="array" ref="G253">INDEX('Linha 05'!$C$2:$ZZ$2,C253)</f>
        <v>Lava Roupas Aquafast Flores Brancas E Baunilha Cx/4 X 3l</v>
      </c>
      <c r="H253" s="5" cm="1">
        <f t="array" ref="H253">INDEX('Linha 05'!$C$4:$ZZ$1000,B253,C253)</f>
        <v>1.3888888888888888E-2</v>
      </c>
      <c r="I253" t="str">
        <f t="shared" si="11"/>
        <v>20150028 20200058</v>
      </c>
      <c r="J253" s="5">
        <v>1.3888888888888888E-2</v>
      </c>
    </row>
    <row r="254" spans="1:10" x14ac:dyDescent="0.25">
      <c r="A254">
        <v>252</v>
      </c>
      <c r="B254">
        <f t="shared" si="9"/>
        <v>12</v>
      </c>
      <c r="C254">
        <f t="shared" si="10"/>
        <v>21</v>
      </c>
      <c r="D254" cm="1">
        <f t="array" ref="D254">INDEX('Linha 05'!$A$4:$A$1000,B254)</f>
        <v>20150028</v>
      </c>
      <c r="E254" t="str" cm="1">
        <f t="array" ref="E254">INDEX('Linha 05'!$B$4:$B$1000,B254)</f>
        <v>Amac. Conc. Aquafast Branco Ternura Cx/ 04 X 3l</v>
      </c>
      <c r="F254" cm="1">
        <f t="array" ref="F254">INDEX('Linha 05'!$C$3:$ZZ$3,C254)</f>
        <v>20200077</v>
      </c>
      <c r="G254" t="str" cm="1">
        <f t="array" ref="G254">INDEX('Linha 05'!$C$2:$ZZ$2,C254)</f>
        <v>Lava Roupas Aquafast Alta Performance 7l</v>
      </c>
      <c r="H254" s="5" cm="1">
        <f t="array" ref="H254">INDEX('Linha 05'!$C$4:$ZZ$1000,B254,C254)</f>
        <v>3.4722222222222224E-2</v>
      </c>
      <c r="I254" t="str">
        <f t="shared" si="11"/>
        <v>20150028 20200077</v>
      </c>
      <c r="J254" s="5">
        <v>3.4722222222222224E-2</v>
      </c>
    </row>
    <row r="255" spans="1:10" x14ac:dyDescent="0.25">
      <c r="A255">
        <v>253</v>
      </c>
      <c r="B255">
        <f t="shared" si="9"/>
        <v>13</v>
      </c>
      <c r="C255">
        <f t="shared" si="10"/>
        <v>1</v>
      </c>
      <c r="D255" cm="1">
        <f t="array" ref="D255">INDEX('Linha 05'!$A$4:$A$1000,B255)</f>
        <v>20150051</v>
      </c>
      <c r="E255" t="str" cm="1">
        <f t="array" ref="E255">INDEX('Linha 05'!$B$4:$B$1000,B255)</f>
        <v>Amac. Conc. Aquafast Azul Harmonia Cx/ 04 X 3l</v>
      </c>
      <c r="F255" cm="1">
        <f t="array" ref="F255">INDEX('Linha 05'!$C$3:$ZZ$3,C255)</f>
        <v>20030008</v>
      </c>
      <c r="G255" t="str" cm="1">
        <f t="array" ref="G255">INDEX('Linha 05'!$C$2:$ZZ$2,C255)</f>
        <v>Detergente Aquafast Limao Cx/04 X 5l (Emb Econ)</v>
      </c>
      <c r="H255" s="5" cm="1">
        <f t="array" ref="H255">INDEX('Linha 05'!$C$4:$ZZ$1000,B255,C255)</f>
        <v>3.4722222222222224E-2</v>
      </c>
      <c r="I255" t="str">
        <f t="shared" si="11"/>
        <v>20150051 20030008</v>
      </c>
      <c r="J255" s="5">
        <v>3.4722222222222224E-2</v>
      </c>
    </row>
    <row r="256" spans="1:10" x14ac:dyDescent="0.25">
      <c r="A256">
        <v>254</v>
      </c>
      <c r="B256">
        <f t="shared" si="9"/>
        <v>13</v>
      </c>
      <c r="C256">
        <f t="shared" si="10"/>
        <v>2</v>
      </c>
      <c r="D256" cm="1">
        <f t="array" ref="D256">INDEX('Linha 05'!$A$4:$A$1000,B256)</f>
        <v>20150051</v>
      </c>
      <c r="E256" t="str" cm="1">
        <f t="array" ref="E256">INDEX('Linha 05'!$B$4:$B$1000,B256)</f>
        <v>Amac. Conc. Aquafast Azul Harmonia Cx/ 04 X 3l</v>
      </c>
      <c r="F256" cm="1">
        <f t="array" ref="F256">INDEX('Linha 05'!$C$3:$ZZ$3,C256)</f>
        <v>20030009</v>
      </c>
      <c r="G256" t="str" cm="1">
        <f t="array" ref="G256">INDEX('Linha 05'!$C$2:$ZZ$2,C256)</f>
        <v>Detergente Aquafast Neutro Cx/04 X 5l (Emb Econ)</v>
      </c>
      <c r="H256" s="5" cm="1">
        <f t="array" ref="H256">INDEX('Linha 05'!$C$4:$ZZ$1000,B256,C256)</f>
        <v>3.4722222222222224E-2</v>
      </c>
      <c r="I256" t="str">
        <f t="shared" si="11"/>
        <v>20150051 20030009</v>
      </c>
      <c r="J256" s="5">
        <v>3.4722222222222224E-2</v>
      </c>
    </row>
    <row r="257" spans="1:10" x14ac:dyDescent="0.25">
      <c r="A257">
        <v>255</v>
      </c>
      <c r="B257">
        <f t="shared" si="9"/>
        <v>13</v>
      </c>
      <c r="C257">
        <f t="shared" si="10"/>
        <v>3</v>
      </c>
      <c r="D257" cm="1">
        <f t="array" ref="D257">INDEX('Linha 05'!$A$4:$A$1000,B257)</f>
        <v>20150051</v>
      </c>
      <c r="E257" t="str" cm="1">
        <f t="array" ref="E257">INDEX('Linha 05'!$B$4:$B$1000,B257)</f>
        <v>Amac. Conc. Aquafast Azul Harmonia Cx/ 04 X 3l</v>
      </c>
      <c r="F257" cm="1">
        <f t="array" ref="F257">INDEX('Linha 05'!$C$3:$ZZ$3,C257)</f>
        <v>20030010</v>
      </c>
      <c r="G257" t="str" cm="1">
        <f t="array" ref="G257">INDEX('Linha 05'!$C$2:$ZZ$2,C257)</f>
        <v>Detergente Aquafast Clear Cx/04 X 5l (Emb Econ)</v>
      </c>
      <c r="H257" s="5" cm="1">
        <f t="array" ref="H257">INDEX('Linha 05'!$C$4:$ZZ$1000,B257,C257)</f>
        <v>3.4722222222222224E-2</v>
      </c>
      <c r="I257" t="str">
        <f t="shared" si="11"/>
        <v>20150051 20030010</v>
      </c>
      <c r="J257" s="5">
        <v>3.4722222222222224E-2</v>
      </c>
    </row>
    <row r="258" spans="1:10" x14ac:dyDescent="0.25">
      <c r="A258">
        <v>256</v>
      </c>
      <c r="B258">
        <f t="shared" si="9"/>
        <v>13</v>
      </c>
      <c r="C258">
        <f t="shared" si="10"/>
        <v>4</v>
      </c>
      <c r="D258" cm="1">
        <f t="array" ref="D258">INDEX('Linha 05'!$A$4:$A$1000,B258)</f>
        <v>20150051</v>
      </c>
      <c r="E258" t="str" cm="1">
        <f t="array" ref="E258">INDEX('Linha 05'!$B$4:$B$1000,B258)</f>
        <v>Amac. Conc. Aquafast Azul Harmonia Cx/ 04 X 3l</v>
      </c>
      <c r="F258" cm="1">
        <f t="array" ref="F258">INDEX('Linha 05'!$C$3:$ZZ$3,C258)</f>
        <v>20030024</v>
      </c>
      <c r="G258" t="str" cm="1">
        <f t="array" ref="G258">INDEX('Linha 05'!$C$2:$ZZ$2,C258)</f>
        <v>Detergente Ito Neutro Cx/04 X 5l</v>
      </c>
      <c r="H258" s="5" cm="1">
        <f t="array" ref="H258">INDEX('Linha 05'!$C$4:$ZZ$1000,B258,C258)</f>
        <v>3.4722222222222224E-2</v>
      </c>
      <c r="I258" t="str">
        <f t="shared" si="11"/>
        <v>20150051 20030024</v>
      </c>
      <c r="J258" s="5">
        <v>3.4722222222222224E-2</v>
      </c>
    </row>
    <row r="259" spans="1:10" x14ac:dyDescent="0.25">
      <c r="A259">
        <v>257</v>
      </c>
      <c r="B259">
        <f t="shared" si="9"/>
        <v>13</v>
      </c>
      <c r="C259">
        <f t="shared" si="10"/>
        <v>5</v>
      </c>
      <c r="D259" cm="1">
        <f t="array" ref="D259">INDEX('Linha 05'!$A$4:$A$1000,B259)</f>
        <v>20150051</v>
      </c>
      <c r="E259" t="str" cm="1">
        <f t="array" ref="E259">INDEX('Linha 05'!$B$4:$B$1000,B259)</f>
        <v>Amac. Conc. Aquafast Azul Harmonia Cx/ 04 X 3l</v>
      </c>
      <c r="F259" cm="1">
        <f t="array" ref="F259">INDEX('Linha 05'!$C$3:$ZZ$3,C259)</f>
        <v>20030083</v>
      </c>
      <c r="G259" t="str" cm="1">
        <f t="array" ref="G259">INDEX('Linha 05'!$C$2:$ZZ$2,C259)</f>
        <v>Detergente Ito Clear Cx/04 X 5l</v>
      </c>
      <c r="H259" s="5" cm="1">
        <f t="array" ref="H259">INDEX('Linha 05'!$C$4:$ZZ$1000,B259,C259)</f>
        <v>3.4722222222222224E-2</v>
      </c>
      <c r="I259" t="str">
        <f t="shared" si="11"/>
        <v>20150051 20030083</v>
      </c>
      <c r="J259" s="5">
        <v>3.4722222222222224E-2</v>
      </c>
    </row>
    <row r="260" spans="1:10" x14ac:dyDescent="0.25">
      <c r="A260">
        <v>258</v>
      </c>
      <c r="B260">
        <f t="shared" ref="B260:B323" si="12">INT((A260-1)/$B$1)+1</f>
        <v>13</v>
      </c>
      <c r="C260">
        <f t="shared" ref="C260:C323" si="13">MOD(A260-1,$B$1)+1</f>
        <v>6</v>
      </c>
      <c r="D260" cm="1">
        <f t="array" ref="D260">INDEX('Linha 05'!$A$4:$A$1000,B260)</f>
        <v>20150051</v>
      </c>
      <c r="E260" t="str" cm="1">
        <f t="array" ref="E260">INDEX('Linha 05'!$B$4:$B$1000,B260)</f>
        <v>Amac. Conc. Aquafast Azul Harmonia Cx/ 04 X 3l</v>
      </c>
      <c r="F260" cm="1">
        <f t="array" ref="F260">INDEX('Linha 05'!$C$3:$ZZ$3,C260)</f>
        <v>20040030</v>
      </c>
      <c r="G260" t="str" cm="1">
        <f t="array" ref="G260">INDEX('Linha 05'!$C$2:$ZZ$2,C260)</f>
        <v>Amaciante Ito Azul Cx/04 X 5l</v>
      </c>
      <c r="H260" s="5" cm="1">
        <f t="array" ref="H260">INDEX('Linha 05'!$C$4:$ZZ$1000,B260,C260)</f>
        <v>3.4722222222222224E-2</v>
      </c>
      <c r="I260" t="str">
        <f t="shared" ref="I260:I323" si="14">CONCATENATE(D260," ",F260)</f>
        <v>20150051 20040030</v>
      </c>
      <c r="J260" s="5">
        <v>3.4722222222222224E-2</v>
      </c>
    </row>
    <row r="261" spans="1:10" x14ac:dyDescent="0.25">
      <c r="A261">
        <v>259</v>
      </c>
      <c r="B261">
        <f t="shared" si="12"/>
        <v>13</v>
      </c>
      <c r="C261">
        <f t="shared" si="13"/>
        <v>7</v>
      </c>
      <c r="D261" cm="1">
        <f t="array" ref="D261">INDEX('Linha 05'!$A$4:$A$1000,B261)</f>
        <v>20150051</v>
      </c>
      <c r="E261" t="str" cm="1">
        <f t="array" ref="E261">INDEX('Linha 05'!$B$4:$B$1000,B261)</f>
        <v>Amac. Conc. Aquafast Azul Harmonia Cx/ 04 X 3l</v>
      </c>
      <c r="F261" cm="1">
        <f t="array" ref="F261">INDEX('Linha 05'!$C$3:$ZZ$3,C261)</f>
        <v>20040074</v>
      </c>
      <c r="G261" t="str" cm="1">
        <f t="array" ref="G261">INDEX('Linha 05'!$C$2:$ZZ$2,C261)</f>
        <v>Amaciante Aquafast Azul Cx C/04 X 5l (Fresc Manh) Emb. Econ</v>
      </c>
      <c r="H261" s="5" cm="1">
        <f t="array" ref="H261">INDEX('Linha 05'!$C$4:$ZZ$1000,B261,C261)</f>
        <v>3.4722222222222224E-2</v>
      </c>
      <c r="I261" t="str">
        <f t="shared" si="14"/>
        <v>20150051 20040074</v>
      </c>
      <c r="J261" s="5">
        <v>3.4722222222222224E-2</v>
      </c>
    </row>
    <row r="262" spans="1:10" x14ac:dyDescent="0.25">
      <c r="A262">
        <v>260</v>
      </c>
      <c r="B262">
        <f t="shared" si="12"/>
        <v>13</v>
      </c>
      <c r="C262">
        <f t="shared" si="13"/>
        <v>8</v>
      </c>
      <c r="D262" cm="1">
        <f t="array" ref="D262">INDEX('Linha 05'!$A$4:$A$1000,B262)</f>
        <v>20150051</v>
      </c>
      <c r="E262" t="str" cm="1">
        <f t="array" ref="E262">INDEX('Linha 05'!$B$4:$B$1000,B262)</f>
        <v>Amac. Conc. Aquafast Azul Harmonia Cx/ 04 X 3l</v>
      </c>
      <c r="F262" cm="1">
        <f t="array" ref="F262">INDEX('Linha 05'!$C$3:$ZZ$3,C262)</f>
        <v>20040075</v>
      </c>
      <c r="G262" t="str" cm="1">
        <f t="array" ref="G262">INDEX('Linha 05'!$C$2:$ZZ$2,C262)</f>
        <v>Amaciante Aquafast Rosa Cx C/04 X 5l (Jard Flor) Emb. Econ</v>
      </c>
      <c r="H262" s="5" cm="1">
        <f t="array" ref="H262">INDEX('Linha 05'!$C$4:$ZZ$1000,B262,C262)</f>
        <v>3.4722222222222224E-2</v>
      </c>
      <c r="I262" t="str">
        <f t="shared" si="14"/>
        <v>20150051 20040075</v>
      </c>
      <c r="J262" s="5">
        <v>3.4722222222222224E-2</v>
      </c>
    </row>
    <row r="263" spans="1:10" x14ac:dyDescent="0.25">
      <c r="A263">
        <v>261</v>
      </c>
      <c r="B263">
        <f t="shared" si="12"/>
        <v>13</v>
      </c>
      <c r="C263">
        <f t="shared" si="13"/>
        <v>9</v>
      </c>
      <c r="D263" cm="1">
        <f t="array" ref="D263">INDEX('Linha 05'!$A$4:$A$1000,B263)</f>
        <v>20150051</v>
      </c>
      <c r="E263" t="str" cm="1">
        <f t="array" ref="E263">INDEX('Linha 05'!$B$4:$B$1000,B263)</f>
        <v>Amac. Conc. Aquafast Azul Harmonia Cx/ 04 X 3l</v>
      </c>
      <c r="F263" cm="1">
        <f t="array" ref="F263">INDEX('Linha 05'!$C$3:$ZZ$3,C263)</f>
        <v>20040086</v>
      </c>
      <c r="G263" t="str" cm="1">
        <f t="array" ref="G263">INDEX('Linha 05'!$C$2:$ZZ$2,C263)</f>
        <v>Amaciante Aquafast Vermelho Cx/04 X 5l (Seducao) Emb. Econ</v>
      </c>
      <c r="H263" s="5" cm="1">
        <f t="array" ref="H263">INDEX('Linha 05'!$C$4:$ZZ$1000,B263,C263)</f>
        <v>3.4722222222222224E-2</v>
      </c>
      <c r="I263" t="str">
        <f t="shared" si="14"/>
        <v>20150051 20040086</v>
      </c>
      <c r="J263" s="5">
        <v>3.4722222222222224E-2</v>
      </c>
    </row>
    <row r="264" spans="1:10" x14ac:dyDescent="0.25">
      <c r="A264">
        <v>262</v>
      </c>
      <c r="B264">
        <f t="shared" si="12"/>
        <v>13</v>
      </c>
      <c r="C264">
        <f t="shared" si="13"/>
        <v>10</v>
      </c>
      <c r="D264" cm="1">
        <f t="array" ref="D264">INDEX('Linha 05'!$A$4:$A$1000,B264)</f>
        <v>20150051</v>
      </c>
      <c r="E264" t="str" cm="1">
        <f t="array" ref="E264">INDEX('Linha 05'!$B$4:$B$1000,B264)</f>
        <v>Amac. Conc. Aquafast Azul Harmonia Cx/ 04 X 3l</v>
      </c>
      <c r="F264" cm="1">
        <f t="array" ref="F264">INDEX('Linha 05'!$C$3:$ZZ$3,C264)</f>
        <v>20040091</v>
      </c>
      <c r="G264" t="str" cm="1">
        <f t="array" ref="G264">INDEX('Linha 05'!$C$2:$ZZ$2,C264)</f>
        <v>Amaciante Aquafast Roxo Cx/04 X 5l (Magia) Emb. Econ</v>
      </c>
      <c r="H264" s="5" cm="1">
        <f t="array" ref="H264">INDEX('Linha 05'!$C$4:$ZZ$1000,B264,C264)</f>
        <v>3.4722222222222224E-2</v>
      </c>
      <c r="I264" t="str">
        <f t="shared" si="14"/>
        <v>20150051 20040091</v>
      </c>
      <c r="J264" s="5">
        <v>3.4722222222222224E-2</v>
      </c>
    </row>
    <row r="265" spans="1:10" x14ac:dyDescent="0.25">
      <c r="A265">
        <v>263</v>
      </c>
      <c r="B265">
        <f t="shared" si="12"/>
        <v>13</v>
      </c>
      <c r="C265">
        <f t="shared" si="13"/>
        <v>11</v>
      </c>
      <c r="D265" cm="1">
        <f t="array" ref="D265">INDEX('Linha 05'!$A$4:$A$1000,B265)</f>
        <v>20150051</v>
      </c>
      <c r="E265" t="str" cm="1">
        <f t="array" ref="E265">INDEX('Linha 05'!$B$4:$B$1000,B265)</f>
        <v>Amac. Conc. Aquafast Azul Harmonia Cx/ 04 X 3l</v>
      </c>
      <c r="F265" cm="1">
        <f t="array" ref="F265">INDEX('Linha 05'!$C$3:$ZZ$3,C265)</f>
        <v>20040095</v>
      </c>
      <c r="G265" t="str" cm="1">
        <f t="array" ref="G265">INDEX('Linha 05'!$C$2:$ZZ$2,C265)</f>
        <v>Amaciante Aquafast Energia Cx/04 X 5l Emb. Econ</v>
      </c>
      <c r="H265" s="5" cm="1">
        <f t="array" ref="H265">INDEX('Linha 05'!$C$4:$ZZ$1000,B265,C265)</f>
        <v>3.4722222222222224E-2</v>
      </c>
      <c r="I265" t="str">
        <f t="shared" si="14"/>
        <v>20150051 20040095</v>
      </c>
      <c r="J265" s="5">
        <v>3.4722222222222224E-2</v>
      </c>
    </row>
    <row r="266" spans="1:10" x14ac:dyDescent="0.25">
      <c r="A266">
        <v>264</v>
      </c>
      <c r="B266">
        <f t="shared" si="12"/>
        <v>13</v>
      </c>
      <c r="C266">
        <f t="shared" si="13"/>
        <v>12</v>
      </c>
      <c r="D266" cm="1">
        <f t="array" ref="D266">INDEX('Linha 05'!$A$4:$A$1000,B266)</f>
        <v>20150051</v>
      </c>
      <c r="E266" t="str" cm="1">
        <f t="array" ref="E266">INDEX('Linha 05'!$B$4:$B$1000,B266)</f>
        <v>Amac. Conc. Aquafast Azul Harmonia Cx/ 04 X 3l</v>
      </c>
      <c r="F266" cm="1">
        <f t="array" ref="F266">INDEX('Linha 05'!$C$3:$ZZ$3,C266)</f>
        <v>20150028</v>
      </c>
      <c r="G266" t="str" cm="1">
        <f t="array" ref="G266">INDEX('Linha 05'!$C$2:$ZZ$2,C266)</f>
        <v>Amac. Conc. Aquafast Branco Ternura Cx/ 04 X 3l</v>
      </c>
      <c r="H266" s="5" cm="1">
        <f t="array" ref="H266">INDEX('Linha 05'!$C$4:$ZZ$1000,B266,C266)</f>
        <v>6.9444444444444441E-3</v>
      </c>
      <c r="I266" t="str">
        <f t="shared" si="14"/>
        <v>20150051 20150028</v>
      </c>
      <c r="J266" s="5">
        <v>6.9444444444444441E-3</v>
      </c>
    </row>
    <row r="267" spans="1:10" x14ac:dyDescent="0.25">
      <c r="A267">
        <v>265</v>
      </c>
      <c r="B267">
        <f t="shared" si="12"/>
        <v>13</v>
      </c>
      <c r="C267">
        <f t="shared" si="13"/>
        <v>13</v>
      </c>
      <c r="D267" cm="1">
        <f t="array" ref="D267">INDEX('Linha 05'!$A$4:$A$1000,B267)</f>
        <v>20150051</v>
      </c>
      <c r="E267" t="str" cm="1">
        <f t="array" ref="E267">INDEX('Linha 05'!$B$4:$B$1000,B267)</f>
        <v>Amac. Conc. Aquafast Azul Harmonia Cx/ 04 X 3l</v>
      </c>
      <c r="F267" cm="1">
        <f t="array" ref="F267">INDEX('Linha 05'!$C$3:$ZZ$3,C267)</f>
        <v>20150051</v>
      </c>
      <c r="G267" t="str" cm="1">
        <f t="array" ref="G267">INDEX('Linha 05'!$C$2:$ZZ$2,C267)</f>
        <v>Amac. Conc. Aquafast Azul Harmonia Cx/ 04 X 3l</v>
      </c>
      <c r="H267" s="5" cm="1">
        <f t="array" ref="H267">INDEX('Linha 05'!$C$4:$ZZ$1000,B267,C267)</f>
        <v>0</v>
      </c>
      <c r="I267" t="str">
        <f t="shared" si="14"/>
        <v>20150051 20150051</v>
      </c>
      <c r="J267" s="5">
        <v>0</v>
      </c>
    </row>
    <row r="268" spans="1:10" x14ac:dyDescent="0.25">
      <c r="A268">
        <v>266</v>
      </c>
      <c r="B268">
        <f t="shared" si="12"/>
        <v>13</v>
      </c>
      <c r="C268">
        <f t="shared" si="13"/>
        <v>14</v>
      </c>
      <c r="D268" cm="1">
        <f t="array" ref="D268">INDEX('Linha 05'!$A$4:$A$1000,B268)</f>
        <v>20150051</v>
      </c>
      <c r="E268" t="str" cm="1">
        <f t="array" ref="E268">INDEX('Linha 05'!$B$4:$B$1000,B268)</f>
        <v>Amac. Conc. Aquafast Azul Harmonia Cx/ 04 X 3l</v>
      </c>
      <c r="F268" cm="1">
        <f t="array" ref="F268">INDEX('Linha 05'!$C$3:$ZZ$3,C268)</f>
        <v>20200009</v>
      </c>
      <c r="G268" t="str" cm="1">
        <f t="array" ref="G268">INDEX('Linha 05'!$C$2:$ZZ$2,C268)</f>
        <v>Lava Roupas Aquafast Multi Acao Cx/04 X 5l (Emb Econ)</v>
      </c>
      <c r="H268" s="5" cm="1">
        <f t="array" ref="H268">INDEX('Linha 05'!$C$4:$ZZ$1000,B268,C268)</f>
        <v>3.4722222222222224E-2</v>
      </c>
      <c r="I268" t="str">
        <f t="shared" si="14"/>
        <v>20150051 20200009</v>
      </c>
      <c r="J268" s="5">
        <v>3.4722222222222224E-2</v>
      </c>
    </row>
    <row r="269" spans="1:10" x14ac:dyDescent="0.25">
      <c r="A269">
        <v>267</v>
      </c>
      <c r="B269">
        <f t="shared" si="12"/>
        <v>13</v>
      </c>
      <c r="C269">
        <f t="shared" si="13"/>
        <v>15</v>
      </c>
      <c r="D269" cm="1">
        <f t="array" ref="D269">INDEX('Linha 05'!$A$4:$A$1000,B269)</f>
        <v>20150051</v>
      </c>
      <c r="E269" t="str" cm="1">
        <f t="array" ref="E269">INDEX('Linha 05'!$B$4:$B$1000,B269)</f>
        <v>Amac. Conc. Aquafast Azul Harmonia Cx/ 04 X 3l</v>
      </c>
      <c r="F269" cm="1">
        <f t="array" ref="F269">INDEX('Linha 05'!$C$3:$ZZ$3,C269)</f>
        <v>20200014</v>
      </c>
      <c r="G269" t="str" cm="1">
        <f t="array" ref="G269">INDEX('Linha 05'!$C$2:$ZZ$2,C269)</f>
        <v>Lava Roupas Aquafast Glicerina Cx/04 X 5l</v>
      </c>
      <c r="H269" s="5" cm="1">
        <f t="array" ref="H269">INDEX('Linha 05'!$C$4:$ZZ$1000,B269,C269)</f>
        <v>3.4722222222222224E-2</v>
      </c>
      <c r="I269" t="str">
        <f t="shared" si="14"/>
        <v>20150051 20200014</v>
      </c>
      <c r="J269" s="5">
        <v>3.4722222222222224E-2</v>
      </c>
    </row>
    <row r="270" spans="1:10" x14ac:dyDescent="0.25">
      <c r="A270">
        <v>268</v>
      </c>
      <c r="B270">
        <f t="shared" si="12"/>
        <v>13</v>
      </c>
      <c r="C270">
        <f t="shared" si="13"/>
        <v>16</v>
      </c>
      <c r="D270" cm="1">
        <f t="array" ref="D270">INDEX('Linha 05'!$A$4:$A$1000,B270)</f>
        <v>20150051</v>
      </c>
      <c r="E270" t="str" cm="1">
        <f t="array" ref="E270">INDEX('Linha 05'!$B$4:$B$1000,B270)</f>
        <v>Amac. Conc. Aquafast Azul Harmonia Cx/ 04 X 3l</v>
      </c>
      <c r="F270" cm="1">
        <f t="array" ref="F270">INDEX('Linha 05'!$C$3:$ZZ$3,C270)</f>
        <v>20200020</v>
      </c>
      <c r="G270" t="str" cm="1">
        <f t="array" ref="G270">INDEX('Linha 05'!$C$2:$ZZ$2,C270)</f>
        <v>Lava Roupas Aquafast Glicerina Cx/04 X 3l</v>
      </c>
      <c r="H270" s="5" cm="1">
        <f t="array" ref="H270">INDEX('Linha 05'!$C$4:$ZZ$1000,B270,C270)</f>
        <v>1.3888888888888888E-2</v>
      </c>
      <c r="I270" t="str">
        <f t="shared" si="14"/>
        <v>20150051 20200020</v>
      </c>
      <c r="J270" s="5">
        <v>1.3888888888888888E-2</v>
      </c>
    </row>
    <row r="271" spans="1:10" x14ac:dyDescent="0.25">
      <c r="A271">
        <v>269</v>
      </c>
      <c r="B271">
        <f t="shared" si="12"/>
        <v>13</v>
      </c>
      <c r="C271">
        <f t="shared" si="13"/>
        <v>17</v>
      </c>
      <c r="D271" cm="1">
        <f t="array" ref="D271">INDEX('Linha 05'!$A$4:$A$1000,B271)</f>
        <v>20150051</v>
      </c>
      <c r="E271" t="str" cm="1">
        <f t="array" ref="E271">INDEX('Linha 05'!$B$4:$B$1000,B271)</f>
        <v>Amac. Conc. Aquafast Azul Harmonia Cx/ 04 X 3l</v>
      </c>
      <c r="F271" cm="1">
        <f t="array" ref="F271">INDEX('Linha 05'!$C$3:$ZZ$3,C271)</f>
        <v>20200022</v>
      </c>
      <c r="G271" t="str" cm="1">
        <f t="array" ref="G271">INDEX('Linha 05'!$C$2:$ZZ$2,C271)</f>
        <v>Lava Roupas Aquafast Multiacao Cx/04 X 3l</v>
      </c>
      <c r="H271" s="5" cm="1">
        <f t="array" ref="H271">INDEX('Linha 05'!$C$4:$ZZ$1000,B271,C271)</f>
        <v>1.3888888888888888E-2</v>
      </c>
      <c r="I271" t="str">
        <f t="shared" si="14"/>
        <v>20150051 20200022</v>
      </c>
      <c r="J271" s="5">
        <v>1.3888888888888888E-2</v>
      </c>
    </row>
    <row r="272" spans="1:10" x14ac:dyDescent="0.25">
      <c r="A272">
        <v>270</v>
      </c>
      <c r="B272">
        <f t="shared" si="12"/>
        <v>13</v>
      </c>
      <c r="C272">
        <f t="shared" si="13"/>
        <v>18</v>
      </c>
      <c r="D272" cm="1">
        <f t="array" ref="D272">INDEX('Linha 05'!$A$4:$A$1000,B272)</f>
        <v>20150051</v>
      </c>
      <c r="E272" t="str" cm="1">
        <f t="array" ref="E272">INDEX('Linha 05'!$B$4:$B$1000,B272)</f>
        <v>Amac. Conc. Aquafast Azul Harmonia Cx/ 04 X 3l</v>
      </c>
      <c r="F272" cm="1">
        <f t="array" ref="F272">INDEX('Linha 05'!$C$3:$ZZ$3,C272)</f>
        <v>20200026</v>
      </c>
      <c r="G272" t="str" cm="1">
        <f t="array" ref="G272">INDEX('Linha 05'!$C$2:$ZZ$2,C272)</f>
        <v>Lava Roupas Aquafast Ternura Cx/04 X 3l</v>
      </c>
      <c r="H272" s="5" cm="1">
        <f t="array" ref="H272">INDEX('Linha 05'!$C$4:$ZZ$1000,B272,C272)</f>
        <v>1.38888888888889E-2</v>
      </c>
      <c r="I272" t="str">
        <f t="shared" si="14"/>
        <v>20150051 20200026</v>
      </c>
      <c r="J272" s="5">
        <v>1.38888888888889E-2</v>
      </c>
    </row>
    <row r="273" spans="1:10" x14ac:dyDescent="0.25">
      <c r="A273">
        <v>271</v>
      </c>
      <c r="B273">
        <f t="shared" si="12"/>
        <v>13</v>
      </c>
      <c r="C273">
        <f t="shared" si="13"/>
        <v>19</v>
      </c>
      <c r="D273" cm="1">
        <f t="array" ref="D273">INDEX('Linha 05'!$A$4:$A$1000,B273)</f>
        <v>20150051</v>
      </c>
      <c r="E273" t="str" cm="1">
        <f t="array" ref="E273">INDEX('Linha 05'!$B$4:$B$1000,B273)</f>
        <v>Amac. Conc. Aquafast Azul Harmonia Cx/ 04 X 3l</v>
      </c>
      <c r="F273" cm="1">
        <f t="array" ref="F273">INDEX('Linha 05'!$C$3:$ZZ$3,C273)</f>
        <v>20200027</v>
      </c>
      <c r="G273" t="str" cm="1">
        <f t="array" ref="G273">INDEX('Linha 05'!$C$2:$ZZ$2,C273)</f>
        <v>Lava Roupas Aquafast Ternura C/04 X 5l (Emb Econ)</v>
      </c>
      <c r="H273" s="5" cm="1">
        <f t="array" ref="H273">INDEX('Linha 05'!$C$4:$ZZ$1000,B273,C273)</f>
        <v>3.4722222222222224E-2</v>
      </c>
      <c r="I273" t="str">
        <f t="shared" si="14"/>
        <v>20150051 20200027</v>
      </c>
      <c r="J273" s="5">
        <v>3.4722222222222224E-2</v>
      </c>
    </row>
    <row r="274" spans="1:10" x14ac:dyDescent="0.25">
      <c r="A274">
        <v>272</v>
      </c>
      <c r="B274">
        <f t="shared" si="12"/>
        <v>13</v>
      </c>
      <c r="C274">
        <f t="shared" si="13"/>
        <v>20</v>
      </c>
      <c r="D274" cm="1">
        <f t="array" ref="D274">INDEX('Linha 05'!$A$4:$A$1000,B274)</f>
        <v>20150051</v>
      </c>
      <c r="E274" t="str" cm="1">
        <f t="array" ref="E274">INDEX('Linha 05'!$B$4:$B$1000,B274)</f>
        <v>Amac. Conc. Aquafast Azul Harmonia Cx/ 04 X 3l</v>
      </c>
      <c r="F274" cm="1">
        <f t="array" ref="F274">INDEX('Linha 05'!$C$3:$ZZ$3,C274)</f>
        <v>20200058</v>
      </c>
      <c r="G274" t="str" cm="1">
        <f t="array" ref="G274">INDEX('Linha 05'!$C$2:$ZZ$2,C274)</f>
        <v>Lava Roupas Aquafast Flores Brancas E Baunilha Cx/4 X 3l</v>
      </c>
      <c r="H274" s="5" cm="1">
        <f t="array" ref="H274">INDEX('Linha 05'!$C$4:$ZZ$1000,B274,C274)</f>
        <v>1.3888888888888888E-2</v>
      </c>
      <c r="I274" t="str">
        <f t="shared" si="14"/>
        <v>20150051 20200058</v>
      </c>
      <c r="J274" s="5">
        <v>1.3888888888888888E-2</v>
      </c>
    </row>
    <row r="275" spans="1:10" x14ac:dyDescent="0.25">
      <c r="A275">
        <v>273</v>
      </c>
      <c r="B275">
        <f t="shared" si="12"/>
        <v>13</v>
      </c>
      <c r="C275">
        <f t="shared" si="13"/>
        <v>21</v>
      </c>
      <c r="D275" cm="1">
        <f t="array" ref="D275">INDEX('Linha 05'!$A$4:$A$1000,B275)</f>
        <v>20150051</v>
      </c>
      <c r="E275" t="str" cm="1">
        <f t="array" ref="E275">INDEX('Linha 05'!$B$4:$B$1000,B275)</f>
        <v>Amac. Conc. Aquafast Azul Harmonia Cx/ 04 X 3l</v>
      </c>
      <c r="F275" cm="1">
        <f t="array" ref="F275">INDEX('Linha 05'!$C$3:$ZZ$3,C275)</f>
        <v>20200077</v>
      </c>
      <c r="G275" t="str" cm="1">
        <f t="array" ref="G275">INDEX('Linha 05'!$C$2:$ZZ$2,C275)</f>
        <v>Lava Roupas Aquafast Alta Performance 7l</v>
      </c>
      <c r="H275" s="5" cm="1">
        <f t="array" ref="H275">INDEX('Linha 05'!$C$4:$ZZ$1000,B275,C275)</f>
        <v>3.4722222222222224E-2</v>
      </c>
      <c r="I275" t="str">
        <f t="shared" si="14"/>
        <v>20150051 20200077</v>
      </c>
      <c r="J275" s="5">
        <v>3.4722222222222224E-2</v>
      </c>
    </row>
    <row r="276" spans="1:10" x14ac:dyDescent="0.25">
      <c r="A276">
        <v>274</v>
      </c>
      <c r="B276">
        <f t="shared" si="12"/>
        <v>14</v>
      </c>
      <c r="C276">
        <f t="shared" si="13"/>
        <v>1</v>
      </c>
      <c r="D276" cm="1">
        <f t="array" ref="D276">INDEX('Linha 05'!$A$4:$A$1000,B276)</f>
        <v>20200009</v>
      </c>
      <c r="E276" t="str" cm="1">
        <f t="array" ref="E276">INDEX('Linha 05'!$B$4:$B$1000,B276)</f>
        <v>Lava Roupas Aquafast Multi Acao Cx/04 X 5l (Emb Econ)</v>
      </c>
      <c r="F276" cm="1">
        <f t="array" ref="F276">INDEX('Linha 05'!$C$3:$ZZ$3,C276)</f>
        <v>20030008</v>
      </c>
      <c r="G276" t="str" cm="1">
        <f t="array" ref="G276">INDEX('Linha 05'!$C$2:$ZZ$2,C276)</f>
        <v>Detergente Aquafast Limao Cx/04 X 5l (Emb Econ)</v>
      </c>
      <c r="H276" s="5" cm="1">
        <f t="array" ref="H276">INDEX('Linha 05'!$C$4:$ZZ$1000,B276,C276)</f>
        <v>1.3888888888888888E-2</v>
      </c>
      <c r="I276" t="str">
        <f t="shared" si="14"/>
        <v>20200009 20030008</v>
      </c>
      <c r="J276" s="5">
        <v>1.3888888888888888E-2</v>
      </c>
    </row>
    <row r="277" spans="1:10" x14ac:dyDescent="0.25">
      <c r="A277">
        <v>275</v>
      </c>
      <c r="B277">
        <f t="shared" si="12"/>
        <v>14</v>
      </c>
      <c r="C277">
        <f t="shared" si="13"/>
        <v>2</v>
      </c>
      <c r="D277" cm="1">
        <f t="array" ref="D277">INDEX('Linha 05'!$A$4:$A$1000,B277)</f>
        <v>20200009</v>
      </c>
      <c r="E277" t="str" cm="1">
        <f t="array" ref="E277">INDEX('Linha 05'!$B$4:$B$1000,B277)</f>
        <v>Lava Roupas Aquafast Multi Acao Cx/04 X 5l (Emb Econ)</v>
      </c>
      <c r="F277" cm="1">
        <f t="array" ref="F277">INDEX('Linha 05'!$C$3:$ZZ$3,C277)</f>
        <v>20030009</v>
      </c>
      <c r="G277" t="str" cm="1">
        <f t="array" ref="G277">INDEX('Linha 05'!$C$2:$ZZ$2,C277)</f>
        <v>Detergente Aquafast Neutro Cx/04 X 5l (Emb Econ)</v>
      </c>
      <c r="H277" s="5" cm="1">
        <f t="array" ref="H277">INDEX('Linha 05'!$C$4:$ZZ$1000,B277,C277)</f>
        <v>1.3888888888888888E-2</v>
      </c>
      <c r="I277" t="str">
        <f t="shared" si="14"/>
        <v>20200009 20030009</v>
      </c>
      <c r="J277" s="5">
        <v>1.3888888888888888E-2</v>
      </c>
    </row>
    <row r="278" spans="1:10" x14ac:dyDescent="0.25">
      <c r="A278">
        <v>276</v>
      </c>
      <c r="B278">
        <f t="shared" si="12"/>
        <v>14</v>
      </c>
      <c r="C278">
        <f t="shared" si="13"/>
        <v>3</v>
      </c>
      <c r="D278" cm="1">
        <f t="array" ref="D278">INDEX('Linha 05'!$A$4:$A$1000,B278)</f>
        <v>20200009</v>
      </c>
      <c r="E278" t="str" cm="1">
        <f t="array" ref="E278">INDEX('Linha 05'!$B$4:$B$1000,B278)</f>
        <v>Lava Roupas Aquafast Multi Acao Cx/04 X 5l (Emb Econ)</v>
      </c>
      <c r="F278" cm="1">
        <f t="array" ref="F278">INDEX('Linha 05'!$C$3:$ZZ$3,C278)</f>
        <v>20030010</v>
      </c>
      <c r="G278" t="str" cm="1">
        <f t="array" ref="G278">INDEX('Linha 05'!$C$2:$ZZ$2,C278)</f>
        <v>Detergente Aquafast Clear Cx/04 X 5l (Emb Econ)</v>
      </c>
      <c r="H278" s="5" cm="1">
        <f t="array" ref="H278">INDEX('Linha 05'!$C$4:$ZZ$1000,B278,C278)</f>
        <v>1.38888888888889E-2</v>
      </c>
      <c r="I278" t="str">
        <f t="shared" si="14"/>
        <v>20200009 20030010</v>
      </c>
      <c r="J278" s="5">
        <v>1.38888888888889E-2</v>
      </c>
    </row>
    <row r="279" spans="1:10" x14ac:dyDescent="0.25">
      <c r="A279">
        <v>277</v>
      </c>
      <c r="B279">
        <f t="shared" si="12"/>
        <v>14</v>
      </c>
      <c r="C279">
        <f t="shared" si="13"/>
        <v>4</v>
      </c>
      <c r="D279" cm="1">
        <f t="array" ref="D279">INDEX('Linha 05'!$A$4:$A$1000,B279)</f>
        <v>20200009</v>
      </c>
      <c r="E279" t="str" cm="1">
        <f t="array" ref="E279">INDEX('Linha 05'!$B$4:$B$1000,B279)</f>
        <v>Lava Roupas Aquafast Multi Acao Cx/04 X 5l (Emb Econ)</v>
      </c>
      <c r="F279" cm="1">
        <f t="array" ref="F279">INDEX('Linha 05'!$C$3:$ZZ$3,C279)</f>
        <v>20030024</v>
      </c>
      <c r="G279" t="str" cm="1">
        <f t="array" ref="G279">INDEX('Linha 05'!$C$2:$ZZ$2,C279)</f>
        <v>Detergente Ito Neutro Cx/04 X 5l</v>
      </c>
      <c r="H279" s="5" cm="1">
        <f t="array" ref="H279">INDEX('Linha 05'!$C$4:$ZZ$1000,B279,C279)</f>
        <v>1.38888888888889E-2</v>
      </c>
      <c r="I279" t="str">
        <f t="shared" si="14"/>
        <v>20200009 20030024</v>
      </c>
      <c r="J279" s="5">
        <v>1.38888888888889E-2</v>
      </c>
    </row>
    <row r="280" spans="1:10" x14ac:dyDescent="0.25">
      <c r="A280">
        <v>278</v>
      </c>
      <c r="B280">
        <f t="shared" si="12"/>
        <v>14</v>
      </c>
      <c r="C280">
        <f t="shared" si="13"/>
        <v>5</v>
      </c>
      <c r="D280" cm="1">
        <f t="array" ref="D280">INDEX('Linha 05'!$A$4:$A$1000,B280)</f>
        <v>20200009</v>
      </c>
      <c r="E280" t="str" cm="1">
        <f t="array" ref="E280">INDEX('Linha 05'!$B$4:$B$1000,B280)</f>
        <v>Lava Roupas Aquafast Multi Acao Cx/04 X 5l (Emb Econ)</v>
      </c>
      <c r="F280" cm="1">
        <f t="array" ref="F280">INDEX('Linha 05'!$C$3:$ZZ$3,C280)</f>
        <v>20030083</v>
      </c>
      <c r="G280" t="str" cm="1">
        <f t="array" ref="G280">INDEX('Linha 05'!$C$2:$ZZ$2,C280)</f>
        <v>Detergente Ito Clear Cx/04 X 5l</v>
      </c>
      <c r="H280" s="5" cm="1">
        <f t="array" ref="H280">INDEX('Linha 05'!$C$4:$ZZ$1000,B280,C280)</f>
        <v>1.38888888888889E-2</v>
      </c>
      <c r="I280" t="str">
        <f t="shared" si="14"/>
        <v>20200009 20030083</v>
      </c>
      <c r="J280" s="5">
        <v>1.38888888888889E-2</v>
      </c>
    </row>
    <row r="281" spans="1:10" x14ac:dyDescent="0.25">
      <c r="A281">
        <v>279</v>
      </c>
      <c r="B281">
        <f t="shared" si="12"/>
        <v>14</v>
      </c>
      <c r="C281">
        <f t="shared" si="13"/>
        <v>6</v>
      </c>
      <c r="D281" cm="1">
        <f t="array" ref="D281">INDEX('Linha 05'!$A$4:$A$1000,B281)</f>
        <v>20200009</v>
      </c>
      <c r="E281" t="str" cm="1">
        <f t="array" ref="E281">INDEX('Linha 05'!$B$4:$B$1000,B281)</f>
        <v>Lava Roupas Aquafast Multi Acao Cx/04 X 5l (Emb Econ)</v>
      </c>
      <c r="F281" cm="1">
        <f t="array" ref="F281">INDEX('Linha 05'!$C$3:$ZZ$3,C281)</f>
        <v>20040030</v>
      </c>
      <c r="G281" t="str" cm="1">
        <f t="array" ref="G281">INDEX('Linha 05'!$C$2:$ZZ$2,C281)</f>
        <v>Amaciante Ito Azul Cx/04 X 5l</v>
      </c>
      <c r="H281" s="5" cm="1">
        <f t="array" ref="H281">INDEX('Linha 05'!$C$4:$ZZ$1000,B281,C281)</f>
        <v>1.3888888888888888E-2</v>
      </c>
      <c r="I281" t="str">
        <f t="shared" si="14"/>
        <v>20200009 20040030</v>
      </c>
      <c r="J281" s="5">
        <v>1.3888888888888888E-2</v>
      </c>
    </row>
    <row r="282" spans="1:10" x14ac:dyDescent="0.25">
      <c r="A282">
        <v>280</v>
      </c>
      <c r="B282">
        <f t="shared" si="12"/>
        <v>14</v>
      </c>
      <c r="C282">
        <f t="shared" si="13"/>
        <v>7</v>
      </c>
      <c r="D282" cm="1">
        <f t="array" ref="D282">INDEX('Linha 05'!$A$4:$A$1000,B282)</f>
        <v>20200009</v>
      </c>
      <c r="E282" t="str" cm="1">
        <f t="array" ref="E282">INDEX('Linha 05'!$B$4:$B$1000,B282)</f>
        <v>Lava Roupas Aquafast Multi Acao Cx/04 X 5l (Emb Econ)</v>
      </c>
      <c r="F282" cm="1">
        <f t="array" ref="F282">INDEX('Linha 05'!$C$3:$ZZ$3,C282)</f>
        <v>20040074</v>
      </c>
      <c r="G282" t="str" cm="1">
        <f t="array" ref="G282">INDEX('Linha 05'!$C$2:$ZZ$2,C282)</f>
        <v>Amaciante Aquafast Azul Cx C/04 X 5l (Fresc Manh) Emb. Econ</v>
      </c>
      <c r="H282" s="5" cm="1">
        <f t="array" ref="H282">INDEX('Linha 05'!$C$4:$ZZ$1000,B282,C282)</f>
        <v>1.3888888888888888E-2</v>
      </c>
      <c r="I282" t="str">
        <f t="shared" si="14"/>
        <v>20200009 20040074</v>
      </c>
      <c r="J282" s="5">
        <v>1.3888888888888888E-2</v>
      </c>
    </row>
    <row r="283" spans="1:10" x14ac:dyDescent="0.25">
      <c r="A283">
        <v>281</v>
      </c>
      <c r="B283">
        <f t="shared" si="12"/>
        <v>14</v>
      </c>
      <c r="C283">
        <f t="shared" si="13"/>
        <v>8</v>
      </c>
      <c r="D283" cm="1">
        <f t="array" ref="D283">INDEX('Linha 05'!$A$4:$A$1000,B283)</f>
        <v>20200009</v>
      </c>
      <c r="E283" t="str" cm="1">
        <f t="array" ref="E283">INDEX('Linha 05'!$B$4:$B$1000,B283)</f>
        <v>Lava Roupas Aquafast Multi Acao Cx/04 X 5l (Emb Econ)</v>
      </c>
      <c r="F283" cm="1">
        <f t="array" ref="F283">INDEX('Linha 05'!$C$3:$ZZ$3,C283)</f>
        <v>20040075</v>
      </c>
      <c r="G283" t="str" cm="1">
        <f t="array" ref="G283">INDEX('Linha 05'!$C$2:$ZZ$2,C283)</f>
        <v>Amaciante Aquafast Rosa Cx C/04 X 5l (Jard Flor) Emb. Econ</v>
      </c>
      <c r="H283" s="5" cm="1">
        <f t="array" ref="H283">INDEX('Linha 05'!$C$4:$ZZ$1000,B283,C283)</f>
        <v>1.38888888888889E-2</v>
      </c>
      <c r="I283" t="str">
        <f t="shared" si="14"/>
        <v>20200009 20040075</v>
      </c>
      <c r="J283" s="5">
        <v>1.38888888888889E-2</v>
      </c>
    </row>
    <row r="284" spans="1:10" x14ac:dyDescent="0.25">
      <c r="A284">
        <v>282</v>
      </c>
      <c r="B284">
        <f t="shared" si="12"/>
        <v>14</v>
      </c>
      <c r="C284">
        <f t="shared" si="13"/>
        <v>9</v>
      </c>
      <c r="D284" cm="1">
        <f t="array" ref="D284">INDEX('Linha 05'!$A$4:$A$1000,B284)</f>
        <v>20200009</v>
      </c>
      <c r="E284" t="str" cm="1">
        <f t="array" ref="E284">INDEX('Linha 05'!$B$4:$B$1000,B284)</f>
        <v>Lava Roupas Aquafast Multi Acao Cx/04 X 5l (Emb Econ)</v>
      </c>
      <c r="F284" cm="1">
        <f t="array" ref="F284">INDEX('Linha 05'!$C$3:$ZZ$3,C284)</f>
        <v>20040086</v>
      </c>
      <c r="G284" t="str" cm="1">
        <f t="array" ref="G284">INDEX('Linha 05'!$C$2:$ZZ$2,C284)</f>
        <v>Amaciante Aquafast Vermelho Cx/04 X 5l (Seducao) Emb. Econ</v>
      </c>
      <c r="H284" s="5" cm="1">
        <f t="array" ref="H284">INDEX('Linha 05'!$C$4:$ZZ$1000,B284,C284)</f>
        <v>1.38888888888889E-2</v>
      </c>
      <c r="I284" t="str">
        <f t="shared" si="14"/>
        <v>20200009 20040086</v>
      </c>
      <c r="J284" s="5">
        <v>1.38888888888889E-2</v>
      </c>
    </row>
    <row r="285" spans="1:10" x14ac:dyDescent="0.25">
      <c r="A285">
        <v>283</v>
      </c>
      <c r="B285">
        <f t="shared" si="12"/>
        <v>14</v>
      </c>
      <c r="C285">
        <f t="shared" si="13"/>
        <v>10</v>
      </c>
      <c r="D285" cm="1">
        <f t="array" ref="D285">INDEX('Linha 05'!$A$4:$A$1000,B285)</f>
        <v>20200009</v>
      </c>
      <c r="E285" t="str" cm="1">
        <f t="array" ref="E285">INDEX('Linha 05'!$B$4:$B$1000,B285)</f>
        <v>Lava Roupas Aquafast Multi Acao Cx/04 X 5l (Emb Econ)</v>
      </c>
      <c r="F285" cm="1">
        <f t="array" ref="F285">INDEX('Linha 05'!$C$3:$ZZ$3,C285)</f>
        <v>20040091</v>
      </c>
      <c r="G285" t="str" cm="1">
        <f t="array" ref="G285">INDEX('Linha 05'!$C$2:$ZZ$2,C285)</f>
        <v>Amaciante Aquafast Roxo Cx/04 X 5l (Magia) Emb. Econ</v>
      </c>
      <c r="H285" s="5" cm="1">
        <f t="array" ref="H285">INDEX('Linha 05'!$C$4:$ZZ$1000,B285,C285)</f>
        <v>1.38888888888889E-2</v>
      </c>
      <c r="I285" t="str">
        <f t="shared" si="14"/>
        <v>20200009 20040091</v>
      </c>
      <c r="J285" s="5">
        <v>1.38888888888889E-2</v>
      </c>
    </row>
    <row r="286" spans="1:10" x14ac:dyDescent="0.25">
      <c r="A286">
        <v>284</v>
      </c>
      <c r="B286">
        <f t="shared" si="12"/>
        <v>14</v>
      </c>
      <c r="C286">
        <f t="shared" si="13"/>
        <v>11</v>
      </c>
      <c r="D286" cm="1">
        <f t="array" ref="D286">INDEX('Linha 05'!$A$4:$A$1000,B286)</f>
        <v>20200009</v>
      </c>
      <c r="E286" t="str" cm="1">
        <f t="array" ref="E286">INDEX('Linha 05'!$B$4:$B$1000,B286)</f>
        <v>Lava Roupas Aquafast Multi Acao Cx/04 X 5l (Emb Econ)</v>
      </c>
      <c r="F286" cm="1">
        <f t="array" ref="F286">INDEX('Linha 05'!$C$3:$ZZ$3,C286)</f>
        <v>20040095</v>
      </c>
      <c r="G286" t="str" cm="1">
        <f t="array" ref="G286">INDEX('Linha 05'!$C$2:$ZZ$2,C286)</f>
        <v>Amaciante Aquafast Energia Cx/04 X 5l Emb. Econ</v>
      </c>
      <c r="H286" s="5" cm="1">
        <f t="array" ref="H286">INDEX('Linha 05'!$C$4:$ZZ$1000,B286,C286)</f>
        <v>1.38888888888889E-2</v>
      </c>
      <c r="I286" t="str">
        <f t="shared" si="14"/>
        <v>20200009 20040095</v>
      </c>
      <c r="J286" s="5">
        <v>1.38888888888889E-2</v>
      </c>
    </row>
    <row r="287" spans="1:10" x14ac:dyDescent="0.25">
      <c r="A287">
        <v>285</v>
      </c>
      <c r="B287">
        <f t="shared" si="12"/>
        <v>14</v>
      </c>
      <c r="C287">
        <f t="shared" si="13"/>
        <v>12</v>
      </c>
      <c r="D287" cm="1">
        <f t="array" ref="D287">INDEX('Linha 05'!$A$4:$A$1000,B287)</f>
        <v>20200009</v>
      </c>
      <c r="E287" t="str" cm="1">
        <f t="array" ref="E287">INDEX('Linha 05'!$B$4:$B$1000,B287)</f>
        <v>Lava Roupas Aquafast Multi Acao Cx/04 X 5l (Emb Econ)</v>
      </c>
      <c r="F287" cm="1">
        <f t="array" ref="F287">INDEX('Linha 05'!$C$3:$ZZ$3,C287)</f>
        <v>20150028</v>
      </c>
      <c r="G287" t="str" cm="1">
        <f t="array" ref="G287">INDEX('Linha 05'!$C$2:$ZZ$2,C287)</f>
        <v>Amac. Conc. Aquafast Branco Ternura Cx/ 04 X 3l</v>
      </c>
      <c r="H287" s="5" cm="1">
        <f t="array" ref="H287">INDEX('Linha 05'!$C$4:$ZZ$1000,B287,C287)</f>
        <v>3.4722222222222224E-2</v>
      </c>
      <c r="I287" t="str">
        <f t="shared" si="14"/>
        <v>20200009 20150028</v>
      </c>
      <c r="J287" s="5">
        <v>3.4722222222222224E-2</v>
      </c>
    </row>
    <row r="288" spans="1:10" x14ac:dyDescent="0.25">
      <c r="A288">
        <v>286</v>
      </c>
      <c r="B288">
        <f t="shared" si="12"/>
        <v>14</v>
      </c>
      <c r="C288">
        <f t="shared" si="13"/>
        <v>13</v>
      </c>
      <c r="D288" cm="1">
        <f t="array" ref="D288">INDEX('Linha 05'!$A$4:$A$1000,B288)</f>
        <v>20200009</v>
      </c>
      <c r="E288" t="str" cm="1">
        <f t="array" ref="E288">INDEX('Linha 05'!$B$4:$B$1000,B288)</f>
        <v>Lava Roupas Aquafast Multi Acao Cx/04 X 5l (Emb Econ)</v>
      </c>
      <c r="F288" cm="1">
        <f t="array" ref="F288">INDEX('Linha 05'!$C$3:$ZZ$3,C288)</f>
        <v>20150051</v>
      </c>
      <c r="G288" t="str" cm="1">
        <f t="array" ref="G288">INDEX('Linha 05'!$C$2:$ZZ$2,C288)</f>
        <v>Amac. Conc. Aquafast Azul Harmonia Cx/ 04 X 3l</v>
      </c>
      <c r="H288" s="5" cm="1">
        <f t="array" ref="H288">INDEX('Linha 05'!$C$4:$ZZ$1000,B288,C288)</f>
        <v>3.4722222222222224E-2</v>
      </c>
      <c r="I288" t="str">
        <f t="shared" si="14"/>
        <v>20200009 20150051</v>
      </c>
      <c r="J288" s="5">
        <v>3.4722222222222224E-2</v>
      </c>
    </row>
    <row r="289" spans="1:10" x14ac:dyDescent="0.25">
      <c r="A289">
        <v>287</v>
      </c>
      <c r="B289">
        <f t="shared" si="12"/>
        <v>14</v>
      </c>
      <c r="C289">
        <f t="shared" si="13"/>
        <v>14</v>
      </c>
      <c r="D289" cm="1">
        <f t="array" ref="D289">INDEX('Linha 05'!$A$4:$A$1000,B289)</f>
        <v>20200009</v>
      </c>
      <c r="E289" t="str" cm="1">
        <f t="array" ref="E289">INDEX('Linha 05'!$B$4:$B$1000,B289)</f>
        <v>Lava Roupas Aquafast Multi Acao Cx/04 X 5l (Emb Econ)</v>
      </c>
      <c r="F289" cm="1">
        <f t="array" ref="F289">INDEX('Linha 05'!$C$3:$ZZ$3,C289)</f>
        <v>20200009</v>
      </c>
      <c r="G289" t="str" cm="1">
        <f t="array" ref="G289">INDEX('Linha 05'!$C$2:$ZZ$2,C289)</f>
        <v>Lava Roupas Aquafast Multi Acao Cx/04 X 5l (Emb Econ)</v>
      </c>
      <c r="H289" s="5" cm="1">
        <f t="array" ref="H289">INDEX('Linha 05'!$C$4:$ZZ$1000,B289,C289)</f>
        <v>0</v>
      </c>
      <c r="I289" t="str">
        <f t="shared" si="14"/>
        <v>20200009 20200009</v>
      </c>
      <c r="J289" s="5">
        <v>0</v>
      </c>
    </row>
    <row r="290" spans="1:10" x14ac:dyDescent="0.25">
      <c r="A290">
        <v>288</v>
      </c>
      <c r="B290">
        <f t="shared" si="12"/>
        <v>14</v>
      </c>
      <c r="C290">
        <f t="shared" si="13"/>
        <v>15</v>
      </c>
      <c r="D290" cm="1">
        <f t="array" ref="D290">INDEX('Linha 05'!$A$4:$A$1000,B290)</f>
        <v>20200009</v>
      </c>
      <c r="E290" t="str" cm="1">
        <f t="array" ref="E290">INDEX('Linha 05'!$B$4:$B$1000,B290)</f>
        <v>Lava Roupas Aquafast Multi Acao Cx/04 X 5l (Emb Econ)</v>
      </c>
      <c r="F290" cm="1">
        <f t="array" ref="F290">INDEX('Linha 05'!$C$3:$ZZ$3,C290)</f>
        <v>20200014</v>
      </c>
      <c r="G290" t="str" cm="1">
        <f t="array" ref="G290">INDEX('Linha 05'!$C$2:$ZZ$2,C290)</f>
        <v>Lava Roupas Aquafast Glicerina Cx/04 X 5l</v>
      </c>
      <c r="H290" s="5" cm="1">
        <f t="array" ref="H290">INDEX('Linha 05'!$C$4:$ZZ$1000,B290,C290)</f>
        <v>6.9444444444444441E-3</v>
      </c>
      <c r="I290" t="str">
        <f t="shared" si="14"/>
        <v>20200009 20200014</v>
      </c>
      <c r="J290" s="5">
        <v>6.9444444444444441E-3</v>
      </c>
    </row>
    <row r="291" spans="1:10" x14ac:dyDescent="0.25">
      <c r="A291">
        <v>289</v>
      </c>
      <c r="B291">
        <f t="shared" si="12"/>
        <v>14</v>
      </c>
      <c r="C291">
        <f t="shared" si="13"/>
        <v>16</v>
      </c>
      <c r="D291" cm="1">
        <f t="array" ref="D291">INDEX('Linha 05'!$A$4:$A$1000,B291)</f>
        <v>20200009</v>
      </c>
      <c r="E291" t="str" cm="1">
        <f t="array" ref="E291">INDEX('Linha 05'!$B$4:$B$1000,B291)</f>
        <v>Lava Roupas Aquafast Multi Acao Cx/04 X 5l (Emb Econ)</v>
      </c>
      <c r="F291" cm="1">
        <f t="array" ref="F291">INDEX('Linha 05'!$C$3:$ZZ$3,C291)</f>
        <v>20200020</v>
      </c>
      <c r="G291" t="str" cm="1">
        <f t="array" ref="G291">INDEX('Linha 05'!$C$2:$ZZ$2,C291)</f>
        <v>Lava Roupas Aquafast Glicerina Cx/04 X 3l</v>
      </c>
      <c r="H291" s="5" cm="1">
        <f t="array" ref="H291">INDEX('Linha 05'!$C$4:$ZZ$1000,B291,C291)</f>
        <v>3.4722222222222224E-2</v>
      </c>
      <c r="I291" t="str">
        <f t="shared" si="14"/>
        <v>20200009 20200020</v>
      </c>
      <c r="J291" s="5">
        <v>3.4722222222222224E-2</v>
      </c>
    </row>
    <row r="292" spans="1:10" x14ac:dyDescent="0.25">
      <c r="A292">
        <v>290</v>
      </c>
      <c r="B292">
        <f t="shared" si="12"/>
        <v>14</v>
      </c>
      <c r="C292">
        <f t="shared" si="13"/>
        <v>17</v>
      </c>
      <c r="D292" cm="1">
        <f t="array" ref="D292">INDEX('Linha 05'!$A$4:$A$1000,B292)</f>
        <v>20200009</v>
      </c>
      <c r="E292" t="str" cm="1">
        <f t="array" ref="E292">INDEX('Linha 05'!$B$4:$B$1000,B292)</f>
        <v>Lava Roupas Aquafast Multi Acao Cx/04 X 5l (Emb Econ)</v>
      </c>
      <c r="F292" cm="1">
        <f t="array" ref="F292">INDEX('Linha 05'!$C$3:$ZZ$3,C292)</f>
        <v>20200022</v>
      </c>
      <c r="G292" t="str" cm="1">
        <f t="array" ref="G292">INDEX('Linha 05'!$C$2:$ZZ$2,C292)</f>
        <v>Lava Roupas Aquafast Multiacao Cx/04 X 3l</v>
      </c>
      <c r="H292" s="5" cm="1">
        <f t="array" ref="H292">INDEX('Linha 05'!$C$4:$ZZ$1000,B292,C292)</f>
        <v>3.4722222222222224E-2</v>
      </c>
      <c r="I292" t="str">
        <f t="shared" si="14"/>
        <v>20200009 20200022</v>
      </c>
      <c r="J292" s="5">
        <v>3.4722222222222224E-2</v>
      </c>
    </row>
    <row r="293" spans="1:10" x14ac:dyDescent="0.25">
      <c r="A293">
        <v>291</v>
      </c>
      <c r="B293">
        <f t="shared" si="12"/>
        <v>14</v>
      </c>
      <c r="C293">
        <f t="shared" si="13"/>
        <v>18</v>
      </c>
      <c r="D293" cm="1">
        <f t="array" ref="D293">INDEX('Linha 05'!$A$4:$A$1000,B293)</f>
        <v>20200009</v>
      </c>
      <c r="E293" t="str" cm="1">
        <f t="array" ref="E293">INDEX('Linha 05'!$B$4:$B$1000,B293)</f>
        <v>Lava Roupas Aquafast Multi Acao Cx/04 X 5l (Emb Econ)</v>
      </c>
      <c r="F293" cm="1">
        <f t="array" ref="F293">INDEX('Linha 05'!$C$3:$ZZ$3,C293)</f>
        <v>20200026</v>
      </c>
      <c r="G293" t="str" cm="1">
        <f t="array" ref="G293">INDEX('Linha 05'!$C$2:$ZZ$2,C293)</f>
        <v>Lava Roupas Aquafast Ternura Cx/04 X 3l</v>
      </c>
      <c r="H293" s="5" cm="1">
        <f t="array" ref="H293">INDEX('Linha 05'!$C$4:$ZZ$1000,B293,C293)</f>
        <v>3.4722222222222224E-2</v>
      </c>
      <c r="I293" t="str">
        <f t="shared" si="14"/>
        <v>20200009 20200026</v>
      </c>
      <c r="J293" s="5">
        <v>3.4722222222222224E-2</v>
      </c>
    </row>
    <row r="294" spans="1:10" x14ac:dyDescent="0.25">
      <c r="A294">
        <v>292</v>
      </c>
      <c r="B294">
        <f t="shared" si="12"/>
        <v>14</v>
      </c>
      <c r="C294">
        <f t="shared" si="13"/>
        <v>19</v>
      </c>
      <c r="D294" cm="1">
        <f t="array" ref="D294">INDEX('Linha 05'!$A$4:$A$1000,B294)</f>
        <v>20200009</v>
      </c>
      <c r="E294" t="str" cm="1">
        <f t="array" ref="E294">INDEX('Linha 05'!$B$4:$B$1000,B294)</f>
        <v>Lava Roupas Aquafast Multi Acao Cx/04 X 5l (Emb Econ)</v>
      </c>
      <c r="F294" cm="1">
        <f t="array" ref="F294">INDEX('Linha 05'!$C$3:$ZZ$3,C294)</f>
        <v>20200027</v>
      </c>
      <c r="G294" t="str" cm="1">
        <f t="array" ref="G294">INDEX('Linha 05'!$C$2:$ZZ$2,C294)</f>
        <v>Lava Roupas Aquafast Ternura C/04 X 5l (Emb Econ)</v>
      </c>
      <c r="H294" s="5" cm="1">
        <f t="array" ref="H294">INDEX('Linha 05'!$C$4:$ZZ$1000,B294,C294)</f>
        <v>6.9444444444444441E-3</v>
      </c>
      <c r="I294" t="str">
        <f t="shared" si="14"/>
        <v>20200009 20200027</v>
      </c>
      <c r="J294" s="5">
        <v>6.9444444444444441E-3</v>
      </c>
    </row>
    <row r="295" spans="1:10" x14ac:dyDescent="0.25">
      <c r="A295">
        <v>293</v>
      </c>
      <c r="B295">
        <f t="shared" si="12"/>
        <v>14</v>
      </c>
      <c r="C295">
        <f t="shared" si="13"/>
        <v>20</v>
      </c>
      <c r="D295" cm="1">
        <f t="array" ref="D295">INDEX('Linha 05'!$A$4:$A$1000,B295)</f>
        <v>20200009</v>
      </c>
      <c r="E295" t="str" cm="1">
        <f t="array" ref="E295">INDEX('Linha 05'!$B$4:$B$1000,B295)</f>
        <v>Lava Roupas Aquafast Multi Acao Cx/04 X 5l (Emb Econ)</v>
      </c>
      <c r="F295" cm="1">
        <f t="array" ref="F295">INDEX('Linha 05'!$C$3:$ZZ$3,C295)</f>
        <v>20200058</v>
      </c>
      <c r="G295" t="str" cm="1">
        <f t="array" ref="G295">INDEX('Linha 05'!$C$2:$ZZ$2,C295)</f>
        <v>Lava Roupas Aquafast Flores Brancas E Baunilha Cx/4 X 3l</v>
      </c>
      <c r="H295" s="5" cm="1">
        <f t="array" ref="H295">INDEX('Linha 05'!$C$4:$ZZ$1000,B295,C295)</f>
        <v>3.4722222222222224E-2</v>
      </c>
      <c r="I295" t="str">
        <f t="shared" si="14"/>
        <v>20200009 20200058</v>
      </c>
      <c r="J295" s="5">
        <v>3.4722222222222224E-2</v>
      </c>
    </row>
    <row r="296" spans="1:10" x14ac:dyDescent="0.25">
      <c r="A296">
        <v>294</v>
      </c>
      <c r="B296">
        <f t="shared" si="12"/>
        <v>14</v>
      </c>
      <c r="C296">
        <f t="shared" si="13"/>
        <v>21</v>
      </c>
      <c r="D296" cm="1">
        <f t="array" ref="D296">INDEX('Linha 05'!$A$4:$A$1000,B296)</f>
        <v>20200009</v>
      </c>
      <c r="E296" t="str" cm="1">
        <f t="array" ref="E296">INDEX('Linha 05'!$B$4:$B$1000,B296)</f>
        <v>Lava Roupas Aquafast Multi Acao Cx/04 X 5l (Emb Econ)</v>
      </c>
      <c r="F296" cm="1">
        <f t="array" ref="F296">INDEX('Linha 05'!$C$3:$ZZ$3,C296)</f>
        <v>20200077</v>
      </c>
      <c r="G296" t="str" cm="1">
        <f t="array" ref="G296">INDEX('Linha 05'!$C$2:$ZZ$2,C296)</f>
        <v>Lava Roupas Aquafast Alta Performance 7l</v>
      </c>
      <c r="H296" s="5" cm="1">
        <f t="array" ref="H296">INDEX('Linha 05'!$C$4:$ZZ$1000,B296,C296)</f>
        <v>3.4722222222222224E-2</v>
      </c>
      <c r="I296" t="str">
        <f t="shared" si="14"/>
        <v>20200009 20200077</v>
      </c>
      <c r="J296" s="5">
        <v>3.4722222222222224E-2</v>
      </c>
    </row>
    <row r="297" spans="1:10" x14ac:dyDescent="0.25">
      <c r="A297">
        <v>295</v>
      </c>
      <c r="B297">
        <f t="shared" si="12"/>
        <v>15</v>
      </c>
      <c r="C297">
        <f t="shared" si="13"/>
        <v>1</v>
      </c>
      <c r="D297" cm="1">
        <f t="array" ref="D297">INDEX('Linha 05'!$A$4:$A$1000,B297)</f>
        <v>20200014</v>
      </c>
      <c r="E297" t="str" cm="1">
        <f t="array" ref="E297">INDEX('Linha 05'!$B$4:$B$1000,B297)</f>
        <v>Lava Roupas Aquafast Glicerina Cx/04 X 5l</v>
      </c>
      <c r="F297" cm="1">
        <f t="array" ref="F297">INDEX('Linha 05'!$C$3:$ZZ$3,C297)</f>
        <v>20030008</v>
      </c>
      <c r="G297" t="str" cm="1">
        <f t="array" ref="G297">INDEX('Linha 05'!$C$2:$ZZ$2,C297)</f>
        <v>Detergente Aquafast Limao Cx/04 X 5l (Emb Econ)</v>
      </c>
      <c r="H297" s="5" cm="1">
        <f t="array" ref="H297">INDEX('Linha 05'!$C$4:$ZZ$1000,B297,C297)</f>
        <v>1.3888888888888888E-2</v>
      </c>
      <c r="I297" t="str">
        <f t="shared" si="14"/>
        <v>20200014 20030008</v>
      </c>
      <c r="J297" s="5">
        <v>1.3888888888888888E-2</v>
      </c>
    </row>
    <row r="298" spans="1:10" x14ac:dyDescent="0.25">
      <c r="A298">
        <v>296</v>
      </c>
      <c r="B298">
        <f t="shared" si="12"/>
        <v>15</v>
      </c>
      <c r="C298">
        <f t="shared" si="13"/>
        <v>2</v>
      </c>
      <c r="D298" cm="1">
        <f t="array" ref="D298">INDEX('Linha 05'!$A$4:$A$1000,B298)</f>
        <v>20200014</v>
      </c>
      <c r="E298" t="str" cm="1">
        <f t="array" ref="E298">INDEX('Linha 05'!$B$4:$B$1000,B298)</f>
        <v>Lava Roupas Aquafast Glicerina Cx/04 X 5l</v>
      </c>
      <c r="F298" cm="1">
        <f t="array" ref="F298">INDEX('Linha 05'!$C$3:$ZZ$3,C298)</f>
        <v>20030009</v>
      </c>
      <c r="G298" t="str" cm="1">
        <f t="array" ref="G298">INDEX('Linha 05'!$C$2:$ZZ$2,C298)</f>
        <v>Detergente Aquafast Neutro Cx/04 X 5l (Emb Econ)</v>
      </c>
      <c r="H298" s="5" cm="1">
        <f t="array" ref="H298">INDEX('Linha 05'!$C$4:$ZZ$1000,B298,C298)</f>
        <v>1.3888888888888888E-2</v>
      </c>
      <c r="I298" t="str">
        <f t="shared" si="14"/>
        <v>20200014 20030009</v>
      </c>
      <c r="J298" s="5">
        <v>1.3888888888888888E-2</v>
      </c>
    </row>
    <row r="299" spans="1:10" x14ac:dyDescent="0.25">
      <c r="A299">
        <v>297</v>
      </c>
      <c r="B299">
        <f t="shared" si="12"/>
        <v>15</v>
      </c>
      <c r="C299">
        <f t="shared" si="13"/>
        <v>3</v>
      </c>
      <c r="D299" cm="1">
        <f t="array" ref="D299">INDEX('Linha 05'!$A$4:$A$1000,B299)</f>
        <v>20200014</v>
      </c>
      <c r="E299" t="str" cm="1">
        <f t="array" ref="E299">INDEX('Linha 05'!$B$4:$B$1000,B299)</f>
        <v>Lava Roupas Aquafast Glicerina Cx/04 X 5l</v>
      </c>
      <c r="F299" cm="1">
        <f t="array" ref="F299">INDEX('Linha 05'!$C$3:$ZZ$3,C299)</f>
        <v>20030010</v>
      </c>
      <c r="G299" t="str" cm="1">
        <f t="array" ref="G299">INDEX('Linha 05'!$C$2:$ZZ$2,C299)</f>
        <v>Detergente Aquafast Clear Cx/04 X 5l (Emb Econ)</v>
      </c>
      <c r="H299" s="5" cm="1">
        <f t="array" ref="H299">INDEX('Linha 05'!$C$4:$ZZ$1000,B299,C299)</f>
        <v>1.38888888888889E-2</v>
      </c>
      <c r="I299" t="str">
        <f t="shared" si="14"/>
        <v>20200014 20030010</v>
      </c>
      <c r="J299" s="5">
        <v>1.38888888888889E-2</v>
      </c>
    </row>
    <row r="300" spans="1:10" x14ac:dyDescent="0.25">
      <c r="A300">
        <v>298</v>
      </c>
      <c r="B300">
        <f t="shared" si="12"/>
        <v>15</v>
      </c>
      <c r="C300">
        <f t="shared" si="13"/>
        <v>4</v>
      </c>
      <c r="D300" cm="1">
        <f t="array" ref="D300">INDEX('Linha 05'!$A$4:$A$1000,B300)</f>
        <v>20200014</v>
      </c>
      <c r="E300" t="str" cm="1">
        <f t="array" ref="E300">INDEX('Linha 05'!$B$4:$B$1000,B300)</f>
        <v>Lava Roupas Aquafast Glicerina Cx/04 X 5l</v>
      </c>
      <c r="F300" cm="1">
        <f t="array" ref="F300">INDEX('Linha 05'!$C$3:$ZZ$3,C300)</f>
        <v>20030024</v>
      </c>
      <c r="G300" t="str" cm="1">
        <f t="array" ref="G300">INDEX('Linha 05'!$C$2:$ZZ$2,C300)</f>
        <v>Detergente Ito Neutro Cx/04 X 5l</v>
      </c>
      <c r="H300" s="5" cm="1">
        <f t="array" ref="H300">INDEX('Linha 05'!$C$4:$ZZ$1000,B300,C300)</f>
        <v>1.38888888888889E-2</v>
      </c>
      <c r="I300" t="str">
        <f t="shared" si="14"/>
        <v>20200014 20030024</v>
      </c>
      <c r="J300" s="5">
        <v>1.38888888888889E-2</v>
      </c>
    </row>
    <row r="301" spans="1:10" x14ac:dyDescent="0.25">
      <c r="A301">
        <v>299</v>
      </c>
      <c r="B301">
        <f t="shared" si="12"/>
        <v>15</v>
      </c>
      <c r="C301">
        <f t="shared" si="13"/>
        <v>5</v>
      </c>
      <c r="D301" cm="1">
        <f t="array" ref="D301">INDEX('Linha 05'!$A$4:$A$1000,B301)</f>
        <v>20200014</v>
      </c>
      <c r="E301" t="str" cm="1">
        <f t="array" ref="E301">INDEX('Linha 05'!$B$4:$B$1000,B301)</f>
        <v>Lava Roupas Aquafast Glicerina Cx/04 X 5l</v>
      </c>
      <c r="F301" cm="1">
        <f t="array" ref="F301">INDEX('Linha 05'!$C$3:$ZZ$3,C301)</f>
        <v>20030083</v>
      </c>
      <c r="G301" t="str" cm="1">
        <f t="array" ref="G301">INDEX('Linha 05'!$C$2:$ZZ$2,C301)</f>
        <v>Detergente Ito Clear Cx/04 X 5l</v>
      </c>
      <c r="H301" s="5" cm="1">
        <f t="array" ref="H301">INDEX('Linha 05'!$C$4:$ZZ$1000,B301,C301)</f>
        <v>1.38888888888889E-2</v>
      </c>
      <c r="I301" t="str">
        <f t="shared" si="14"/>
        <v>20200014 20030083</v>
      </c>
      <c r="J301" s="5">
        <v>1.38888888888889E-2</v>
      </c>
    </row>
    <row r="302" spans="1:10" x14ac:dyDescent="0.25">
      <c r="A302">
        <v>300</v>
      </c>
      <c r="B302">
        <f t="shared" si="12"/>
        <v>15</v>
      </c>
      <c r="C302">
        <f t="shared" si="13"/>
        <v>6</v>
      </c>
      <c r="D302" cm="1">
        <f t="array" ref="D302">INDEX('Linha 05'!$A$4:$A$1000,B302)</f>
        <v>20200014</v>
      </c>
      <c r="E302" t="str" cm="1">
        <f t="array" ref="E302">INDEX('Linha 05'!$B$4:$B$1000,B302)</f>
        <v>Lava Roupas Aquafast Glicerina Cx/04 X 5l</v>
      </c>
      <c r="F302" cm="1">
        <f t="array" ref="F302">INDEX('Linha 05'!$C$3:$ZZ$3,C302)</f>
        <v>20040030</v>
      </c>
      <c r="G302" t="str" cm="1">
        <f t="array" ref="G302">INDEX('Linha 05'!$C$2:$ZZ$2,C302)</f>
        <v>Amaciante Ito Azul Cx/04 X 5l</v>
      </c>
      <c r="H302" s="5" cm="1">
        <f t="array" ref="H302">INDEX('Linha 05'!$C$4:$ZZ$1000,B302,C302)</f>
        <v>1.3888888888888888E-2</v>
      </c>
      <c r="I302" t="str">
        <f t="shared" si="14"/>
        <v>20200014 20040030</v>
      </c>
      <c r="J302" s="5">
        <v>1.3888888888888888E-2</v>
      </c>
    </row>
    <row r="303" spans="1:10" x14ac:dyDescent="0.25">
      <c r="A303">
        <v>301</v>
      </c>
      <c r="B303">
        <f t="shared" si="12"/>
        <v>15</v>
      </c>
      <c r="C303">
        <f t="shared" si="13"/>
        <v>7</v>
      </c>
      <c r="D303" cm="1">
        <f t="array" ref="D303">INDEX('Linha 05'!$A$4:$A$1000,B303)</f>
        <v>20200014</v>
      </c>
      <c r="E303" t="str" cm="1">
        <f t="array" ref="E303">INDEX('Linha 05'!$B$4:$B$1000,B303)</f>
        <v>Lava Roupas Aquafast Glicerina Cx/04 X 5l</v>
      </c>
      <c r="F303" cm="1">
        <f t="array" ref="F303">INDEX('Linha 05'!$C$3:$ZZ$3,C303)</f>
        <v>20040074</v>
      </c>
      <c r="G303" t="str" cm="1">
        <f t="array" ref="G303">INDEX('Linha 05'!$C$2:$ZZ$2,C303)</f>
        <v>Amaciante Aquafast Azul Cx C/04 X 5l (Fresc Manh) Emb. Econ</v>
      </c>
      <c r="H303" s="5" cm="1">
        <f t="array" ref="H303">INDEX('Linha 05'!$C$4:$ZZ$1000,B303,C303)</f>
        <v>1.3888888888888888E-2</v>
      </c>
      <c r="I303" t="str">
        <f t="shared" si="14"/>
        <v>20200014 20040074</v>
      </c>
      <c r="J303" s="5">
        <v>1.3888888888888888E-2</v>
      </c>
    </row>
    <row r="304" spans="1:10" x14ac:dyDescent="0.25">
      <c r="A304">
        <v>302</v>
      </c>
      <c r="B304">
        <f t="shared" si="12"/>
        <v>15</v>
      </c>
      <c r="C304">
        <f t="shared" si="13"/>
        <v>8</v>
      </c>
      <c r="D304" cm="1">
        <f t="array" ref="D304">INDEX('Linha 05'!$A$4:$A$1000,B304)</f>
        <v>20200014</v>
      </c>
      <c r="E304" t="str" cm="1">
        <f t="array" ref="E304">INDEX('Linha 05'!$B$4:$B$1000,B304)</f>
        <v>Lava Roupas Aquafast Glicerina Cx/04 X 5l</v>
      </c>
      <c r="F304" cm="1">
        <f t="array" ref="F304">INDEX('Linha 05'!$C$3:$ZZ$3,C304)</f>
        <v>20040075</v>
      </c>
      <c r="G304" t="str" cm="1">
        <f t="array" ref="G304">INDEX('Linha 05'!$C$2:$ZZ$2,C304)</f>
        <v>Amaciante Aquafast Rosa Cx C/04 X 5l (Jard Flor) Emb. Econ</v>
      </c>
      <c r="H304" s="5" cm="1">
        <f t="array" ref="H304">INDEX('Linha 05'!$C$4:$ZZ$1000,B304,C304)</f>
        <v>1.38888888888889E-2</v>
      </c>
      <c r="I304" t="str">
        <f t="shared" si="14"/>
        <v>20200014 20040075</v>
      </c>
      <c r="J304" s="5">
        <v>1.38888888888889E-2</v>
      </c>
    </row>
    <row r="305" spans="1:10" x14ac:dyDescent="0.25">
      <c r="A305">
        <v>303</v>
      </c>
      <c r="B305">
        <f t="shared" si="12"/>
        <v>15</v>
      </c>
      <c r="C305">
        <f t="shared" si="13"/>
        <v>9</v>
      </c>
      <c r="D305" cm="1">
        <f t="array" ref="D305">INDEX('Linha 05'!$A$4:$A$1000,B305)</f>
        <v>20200014</v>
      </c>
      <c r="E305" t="str" cm="1">
        <f t="array" ref="E305">INDEX('Linha 05'!$B$4:$B$1000,B305)</f>
        <v>Lava Roupas Aquafast Glicerina Cx/04 X 5l</v>
      </c>
      <c r="F305" cm="1">
        <f t="array" ref="F305">INDEX('Linha 05'!$C$3:$ZZ$3,C305)</f>
        <v>20040086</v>
      </c>
      <c r="G305" t="str" cm="1">
        <f t="array" ref="G305">INDEX('Linha 05'!$C$2:$ZZ$2,C305)</f>
        <v>Amaciante Aquafast Vermelho Cx/04 X 5l (Seducao) Emb. Econ</v>
      </c>
      <c r="H305" s="5" cm="1">
        <f t="array" ref="H305">INDEX('Linha 05'!$C$4:$ZZ$1000,B305,C305)</f>
        <v>1.38888888888889E-2</v>
      </c>
      <c r="I305" t="str">
        <f t="shared" si="14"/>
        <v>20200014 20040086</v>
      </c>
      <c r="J305" s="5">
        <v>1.38888888888889E-2</v>
      </c>
    </row>
    <row r="306" spans="1:10" x14ac:dyDescent="0.25">
      <c r="A306">
        <v>304</v>
      </c>
      <c r="B306">
        <f t="shared" si="12"/>
        <v>15</v>
      </c>
      <c r="C306">
        <f t="shared" si="13"/>
        <v>10</v>
      </c>
      <c r="D306" cm="1">
        <f t="array" ref="D306">INDEX('Linha 05'!$A$4:$A$1000,B306)</f>
        <v>20200014</v>
      </c>
      <c r="E306" t="str" cm="1">
        <f t="array" ref="E306">INDEX('Linha 05'!$B$4:$B$1000,B306)</f>
        <v>Lava Roupas Aquafast Glicerina Cx/04 X 5l</v>
      </c>
      <c r="F306" cm="1">
        <f t="array" ref="F306">INDEX('Linha 05'!$C$3:$ZZ$3,C306)</f>
        <v>20040091</v>
      </c>
      <c r="G306" t="str" cm="1">
        <f t="array" ref="G306">INDEX('Linha 05'!$C$2:$ZZ$2,C306)</f>
        <v>Amaciante Aquafast Roxo Cx/04 X 5l (Magia) Emb. Econ</v>
      </c>
      <c r="H306" s="5" cm="1">
        <f t="array" ref="H306">INDEX('Linha 05'!$C$4:$ZZ$1000,B306,C306)</f>
        <v>1.38888888888889E-2</v>
      </c>
      <c r="I306" t="str">
        <f t="shared" si="14"/>
        <v>20200014 20040091</v>
      </c>
      <c r="J306" s="5">
        <v>1.38888888888889E-2</v>
      </c>
    </row>
    <row r="307" spans="1:10" x14ac:dyDescent="0.25">
      <c r="A307">
        <v>305</v>
      </c>
      <c r="B307">
        <f t="shared" si="12"/>
        <v>15</v>
      </c>
      <c r="C307">
        <f t="shared" si="13"/>
        <v>11</v>
      </c>
      <c r="D307" cm="1">
        <f t="array" ref="D307">INDEX('Linha 05'!$A$4:$A$1000,B307)</f>
        <v>20200014</v>
      </c>
      <c r="E307" t="str" cm="1">
        <f t="array" ref="E307">INDEX('Linha 05'!$B$4:$B$1000,B307)</f>
        <v>Lava Roupas Aquafast Glicerina Cx/04 X 5l</v>
      </c>
      <c r="F307" cm="1">
        <f t="array" ref="F307">INDEX('Linha 05'!$C$3:$ZZ$3,C307)</f>
        <v>20040095</v>
      </c>
      <c r="G307" t="str" cm="1">
        <f t="array" ref="G307">INDEX('Linha 05'!$C$2:$ZZ$2,C307)</f>
        <v>Amaciante Aquafast Energia Cx/04 X 5l Emb. Econ</v>
      </c>
      <c r="H307" s="5" cm="1">
        <f t="array" ref="H307">INDEX('Linha 05'!$C$4:$ZZ$1000,B307,C307)</f>
        <v>1.38888888888889E-2</v>
      </c>
      <c r="I307" t="str">
        <f t="shared" si="14"/>
        <v>20200014 20040095</v>
      </c>
      <c r="J307" s="5">
        <v>1.38888888888889E-2</v>
      </c>
    </row>
    <row r="308" spans="1:10" x14ac:dyDescent="0.25">
      <c r="A308">
        <v>306</v>
      </c>
      <c r="B308">
        <f t="shared" si="12"/>
        <v>15</v>
      </c>
      <c r="C308">
        <f t="shared" si="13"/>
        <v>12</v>
      </c>
      <c r="D308" cm="1">
        <f t="array" ref="D308">INDEX('Linha 05'!$A$4:$A$1000,B308)</f>
        <v>20200014</v>
      </c>
      <c r="E308" t="str" cm="1">
        <f t="array" ref="E308">INDEX('Linha 05'!$B$4:$B$1000,B308)</f>
        <v>Lava Roupas Aquafast Glicerina Cx/04 X 5l</v>
      </c>
      <c r="F308" cm="1">
        <f t="array" ref="F308">INDEX('Linha 05'!$C$3:$ZZ$3,C308)</f>
        <v>20150028</v>
      </c>
      <c r="G308" t="str" cm="1">
        <f t="array" ref="G308">INDEX('Linha 05'!$C$2:$ZZ$2,C308)</f>
        <v>Amac. Conc. Aquafast Branco Ternura Cx/ 04 X 3l</v>
      </c>
      <c r="H308" s="5" cm="1">
        <f t="array" ref="H308">INDEX('Linha 05'!$C$4:$ZZ$1000,B308,C308)</f>
        <v>3.4722222222222224E-2</v>
      </c>
      <c r="I308" t="str">
        <f t="shared" si="14"/>
        <v>20200014 20150028</v>
      </c>
      <c r="J308" s="5">
        <v>3.4722222222222224E-2</v>
      </c>
    </row>
    <row r="309" spans="1:10" x14ac:dyDescent="0.25">
      <c r="A309">
        <v>307</v>
      </c>
      <c r="B309">
        <f t="shared" si="12"/>
        <v>15</v>
      </c>
      <c r="C309">
        <f t="shared" si="13"/>
        <v>13</v>
      </c>
      <c r="D309" cm="1">
        <f t="array" ref="D309">INDEX('Linha 05'!$A$4:$A$1000,B309)</f>
        <v>20200014</v>
      </c>
      <c r="E309" t="str" cm="1">
        <f t="array" ref="E309">INDEX('Linha 05'!$B$4:$B$1000,B309)</f>
        <v>Lava Roupas Aquafast Glicerina Cx/04 X 5l</v>
      </c>
      <c r="F309" cm="1">
        <f t="array" ref="F309">INDEX('Linha 05'!$C$3:$ZZ$3,C309)</f>
        <v>20150051</v>
      </c>
      <c r="G309" t="str" cm="1">
        <f t="array" ref="G309">INDEX('Linha 05'!$C$2:$ZZ$2,C309)</f>
        <v>Amac. Conc. Aquafast Azul Harmonia Cx/ 04 X 3l</v>
      </c>
      <c r="H309" s="5" cm="1">
        <f t="array" ref="H309">INDEX('Linha 05'!$C$4:$ZZ$1000,B309,C309)</f>
        <v>3.4722222222222224E-2</v>
      </c>
      <c r="I309" t="str">
        <f t="shared" si="14"/>
        <v>20200014 20150051</v>
      </c>
      <c r="J309" s="5">
        <v>3.4722222222222224E-2</v>
      </c>
    </row>
    <row r="310" spans="1:10" x14ac:dyDescent="0.25">
      <c r="A310">
        <v>308</v>
      </c>
      <c r="B310">
        <f t="shared" si="12"/>
        <v>15</v>
      </c>
      <c r="C310">
        <f t="shared" si="13"/>
        <v>14</v>
      </c>
      <c r="D310" cm="1">
        <f t="array" ref="D310">INDEX('Linha 05'!$A$4:$A$1000,B310)</f>
        <v>20200014</v>
      </c>
      <c r="E310" t="str" cm="1">
        <f t="array" ref="E310">INDEX('Linha 05'!$B$4:$B$1000,B310)</f>
        <v>Lava Roupas Aquafast Glicerina Cx/04 X 5l</v>
      </c>
      <c r="F310" cm="1">
        <f t="array" ref="F310">INDEX('Linha 05'!$C$3:$ZZ$3,C310)</f>
        <v>20200009</v>
      </c>
      <c r="G310" t="str" cm="1">
        <f t="array" ref="G310">INDEX('Linha 05'!$C$2:$ZZ$2,C310)</f>
        <v>Lava Roupas Aquafast Multi Acao Cx/04 X 5l (Emb Econ)</v>
      </c>
      <c r="H310" s="5" cm="1">
        <f t="array" ref="H310">INDEX('Linha 05'!$C$4:$ZZ$1000,B310,C310)</f>
        <v>6.9444444444444441E-3</v>
      </c>
      <c r="I310" t="str">
        <f t="shared" si="14"/>
        <v>20200014 20200009</v>
      </c>
      <c r="J310" s="5">
        <v>6.9444444444444441E-3</v>
      </c>
    </row>
    <row r="311" spans="1:10" x14ac:dyDescent="0.25">
      <c r="A311">
        <v>309</v>
      </c>
      <c r="B311">
        <f t="shared" si="12"/>
        <v>15</v>
      </c>
      <c r="C311">
        <f t="shared" si="13"/>
        <v>15</v>
      </c>
      <c r="D311" cm="1">
        <f t="array" ref="D311">INDEX('Linha 05'!$A$4:$A$1000,B311)</f>
        <v>20200014</v>
      </c>
      <c r="E311" t="str" cm="1">
        <f t="array" ref="E311">INDEX('Linha 05'!$B$4:$B$1000,B311)</f>
        <v>Lava Roupas Aquafast Glicerina Cx/04 X 5l</v>
      </c>
      <c r="F311" cm="1">
        <f t="array" ref="F311">INDEX('Linha 05'!$C$3:$ZZ$3,C311)</f>
        <v>20200014</v>
      </c>
      <c r="G311" t="str" cm="1">
        <f t="array" ref="G311">INDEX('Linha 05'!$C$2:$ZZ$2,C311)</f>
        <v>Lava Roupas Aquafast Glicerina Cx/04 X 5l</v>
      </c>
      <c r="H311" s="5" cm="1">
        <f t="array" ref="H311">INDEX('Linha 05'!$C$4:$ZZ$1000,B311,C311)</f>
        <v>0</v>
      </c>
      <c r="I311" t="str">
        <f t="shared" si="14"/>
        <v>20200014 20200014</v>
      </c>
      <c r="J311" s="5">
        <v>0</v>
      </c>
    </row>
    <row r="312" spans="1:10" x14ac:dyDescent="0.25">
      <c r="A312">
        <v>310</v>
      </c>
      <c r="B312">
        <f t="shared" si="12"/>
        <v>15</v>
      </c>
      <c r="C312">
        <f t="shared" si="13"/>
        <v>16</v>
      </c>
      <c r="D312" cm="1">
        <f t="array" ref="D312">INDEX('Linha 05'!$A$4:$A$1000,B312)</f>
        <v>20200014</v>
      </c>
      <c r="E312" t="str" cm="1">
        <f t="array" ref="E312">INDEX('Linha 05'!$B$4:$B$1000,B312)</f>
        <v>Lava Roupas Aquafast Glicerina Cx/04 X 5l</v>
      </c>
      <c r="F312" cm="1">
        <f t="array" ref="F312">INDEX('Linha 05'!$C$3:$ZZ$3,C312)</f>
        <v>20200020</v>
      </c>
      <c r="G312" t="str" cm="1">
        <f t="array" ref="G312">INDEX('Linha 05'!$C$2:$ZZ$2,C312)</f>
        <v>Lava Roupas Aquafast Glicerina Cx/04 X 3l</v>
      </c>
      <c r="H312" s="5" cm="1">
        <f t="array" ref="H312">INDEX('Linha 05'!$C$4:$ZZ$1000,B312,C312)</f>
        <v>3.4722222222222224E-2</v>
      </c>
      <c r="I312" t="str">
        <f t="shared" si="14"/>
        <v>20200014 20200020</v>
      </c>
      <c r="J312" s="5">
        <v>3.4722222222222224E-2</v>
      </c>
    </row>
    <row r="313" spans="1:10" x14ac:dyDescent="0.25">
      <c r="A313">
        <v>311</v>
      </c>
      <c r="B313">
        <f t="shared" si="12"/>
        <v>15</v>
      </c>
      <c r="C313">
        <f t="shared" si="13"/>
        <v>17</v>
      </c>
      <c r="D313" cm="1">
        <f t="array" ref="D313">INDEX('Linha 05'!$A$4:$A$1000,B313)</f>
        <v>20200014</v>
      </c>
      <c r="E313" t="str" cm="1">
        <f t="array" ref="E313">INDEX('Linha 05'!$B$4:$B$1000,B313)</f>
        <v>Lava Roupas Aquafast Glicerina Cx/04 X 5l</v>
      </c>
      <c r="F313" cm="1">
        <f t="array" ref="F313">INDEX('Linha 05'!$C$3:$ZZ$3,C313)</f>
        <v>20200022</v>
      </c>
      <c r="G313" t="str" cm="1">
        <f t="array" ref="G313">INDEX('Linha 05'!$C$2:$ZZ$2,C313)</f>
        <v>Lava Roupas Aquafast Multiacao Cx/04 X 3l</v>
      </c>
      <c r="H313" s="5" cm="1">
        <f t="array" ref="H313">INDEX('Linha 05'!$C$4:$ZZ$1000,B313,C313)</f>
        <v>3.4722222222222224E-2</v>
      </c>
      <c r="I313" t="str">
        <f t="shared" si="14"/>
        <v>20200014 20200022</v>
      </c>
      <c r="J313" s="5">
        <v>3.4722222222222224E-2</v>
      </c>
    </row>
    <row r="314" spans="1:10" x14ac:dyDescent="0.25">
      <c r="A314">
        <v>312</v>
      </c>
      <c r="B314">
        <f t="shared" si="12"/>
        <v>15</v>
      </c>
      <c r="C314">
        <f t="shared" si="13"/>
        <v>18</v>
      </c>
      <c r="D314" cm="1">
        <f t="array" ref="D314">INDEX('Linha 05'!$A$4:$A$1000,B314)</f>
        <v>20200014</v>
      </c>
      <c r="E314" t="str" cm="1">
        <f t="array" ref="E314">INDEX('Linha 05'!$B$4:$B$1000,B314)</f>
        <v>Lava Roupas Aquafast Glicerina Cx/04 X 5l</v>
      </c>
      <c r="F314" cm="1">
        <f t="array" ref="F314">INDEX('Linha 05'!$C$3:$ZZ$3,C314)</f>
        <v>20200026</v>
      </c>
      <c r="G314" t="str" cm="1">
        <f t="array" ref="G314">INDEX('Linha 05'!$C$2:$ZZ$2,C314)</f>
        <v>Lava Roupas Aquafast Ternura Cx/04 X 3l</v>
      </c>
      <c r="H314" s="5" cm="1">
        <f t="array" ref="H314">INDEX('Linha 05'!$C$4:$ZZ$1000,B314,C314)</f>
        <v>3.4722222222222224E-2</v>
      </c>
      <c r="I314" t="str">
        <f t="shared" si="14"/>
        <v>20200014 20200026</v>
      </c>
      <c r="J314" s="5">
        <v>3.4722222222222224E-2</v>
      </c>
    </row>
    <row r="315" spans="1:10" x14ac:dyDescent="0.25">
      <c r="A315">
        <v>313</v>
      </c>
      <c r="B315">
        <f t="shared" si="12"/>
        <v>15</v>
      </c>
      <c r="C315">
        <f t="shared" si="13"/>
        <v>19</v>
      </c>
      <c r="D315" cm="1">
        <f t="array" ref="D315">INDEX('Linha 05'!$A$4:$A$1000,B315)</f>
        <v>20200014</v>
      </c>
      <c r="E315" t="str" cm="1">
        <f t="array" ref="E315">INDEX('Linha 05'!$B$4:$B$1000,B315)</f>
        <v>Lava Roupas Aquafast Glicerina Cx/04 X 5l</v>
      </c>
      <c r="F315" cm="1">
        <f t="array" ref="F315">INDEX('Linha 05'!$C$3:$ZZ$3,C315)</f>
        <v>20200027</v>
      </c>
      <c r="G315" t="str" cm="1">
        <f t="array" ref="G315">INDEX('Linha 05'!$C$2:$ZZ$2,C315)</f>
        <v>Lava Roupas Aquafast Ternura C/04 X 5l (Emb Econ)</v>
      </c>
      <c r="H315" s="5" cm="1">
        <f t="array" ref="H315">INDEX('Linha 05'!$C$4:$ZZ$1000,B315,C315)</f>
        <v>6.9444444444444441E-3</v>
      </c>
      <c r="I315" t="str">
        <f t="shared" si="14"/>
        <v>20200014 20200027</v>
      </c>
      <c r="J315" s="5">
        <v>6.9444444444444441E-3</v>
      </c>
    </row>
    <row r="316" spans="1:10" x14ac:dyDescent="0.25">
      <c r="A316">
        <v>314</v>
      </c>
      <c r="B316">
        <f t="shared" si="12"/>
        <v>15</v>
      </c>
      <c r="C316">
        <f t="shared" si="13"/>
        <v>20</v>
      </c>
      <c r="D316" cm="1">
        <f t="array" ref="D316">INDEX('Linha 05'!$A$4:$A$1000,B316)</f>
        <v>20200014</v>
      </c>
      <c r="E316" t="str" cm="1">
        <f t="array" ref="E316">INDEX('Linha 05'!$B$4:$B$1000,B316)</f>
        <v>Lava Roupas Aquafast Glicerina Cx/04 X 5l</v>
      </c>
      <c r="F316" cm="1">
        <f t="array" ref="F316">INDEX('Linha 05'!$C$3:$ZZ$3,C316)</f>
        <v>20200058</v>
      </c>
      <c r="G316" t="str" cm="1">
        <f t="array" ref="G316">INDEX('Linha 05'!$C$2:$ZZ$2,C316)</f>
        <v>Lava Roupas Aquafast Flores Brancas E Baunilha Cx/4 X 3l</v>
      </c>
      <c r="H316" s="5" cm="1">
        <f t="array" ref="H316">INDEX('Linha 05'!$C$4:$ZZ$1000,B316,C316)</f>
        <v>3.4722222222222224E-2</v>
      </c>
      <c r="I316" t="str">
        <f t="shared" si="14"/>
        <v>20200014 20200058</v>
      </c>
      <c r="J316" s="5">
        <v>3.4722222222222224E-2</v>
      </c>
    </row>
    <row r="317" spans="1:10" x14ac:dyDescent="0.25">
      <c r="A317">
        <v>315</v>
      </c>
      <c r="B317">
        <f t="shared" si="12"/>
        <v>15</v>
      </c>
      <c r="C317">
        <f t="shared" si="13"/>
        <v>21</v>
      </c>
      <c r="D317" cm="1">
        <f t="array" ref="D317">INDEX('Linha 05'!$A$4:$A$1000,B317)</f>
        <v>20200014</v>
      </c>
      <c r="E317" t="str" cm="1">
        <f t="array" ref="E317">INDEX('Linha 05'!$B$4:$B$1000,B317)</f>
        <v>Lava Roupas Aquafast Glicerina Cx/04 X 5l</v>
      </c>
      <c r="F317" cm="1">
        <f t="array" ref="F317">INDEX('Linha 05'!$C$3:$ZZ$3,C317)</f>
        <v>20200077</v>
      </c>
      <c r="G317" t="str" cm="1">
        <f t="array" ref="G317">INDEX('Linha 05'!$C$2:$ZZ$2,C317)</f>
        <v>Lava Roupas Aquafast Alta Performance 7l</v>
      </c>
      <c r="H317" s="5" cm="1">
        <f t="array" ref="H317">INDEX('Linha 05'!$C$4:$ZZ$1000,B317,C317)</f>
        <v>3.4722222222222224E-2</v>
      </c>
      <c r="I317" t="str">
        <f t="shared" si="14"/>
        <v>20200014 20200077</v>
      </c>
      <c r="J317" s="5">
        <v>3.4722222222222224E-2</v>
      </c>
    </row>
    <row r="318" spans="1:10" x14ac:dyDescent="0.25">
      <c r="A318">
        <v>316</v>
      </c>
      <c r="B318">
        <f t="shared" si="12"/>
        <v>16</v>
      </c>
      <c r="C318">
        <f t="shared" si="13"/>
        <v>1</v>
      </c>
      <c r="D318" cm="1">
        <f t="array" ref="D318">INDEX('Linha 05'!$A$4:$A$1000,B318)</f>
        <v>20200020</v>
      </c>
      <c r="E318" t="str" cm="1">
        <f t="array" ref="E318">INDEX('Linha 05'!$B$4:$B$1000,B318)</f>
        <v>Lava Roupas Aquafast Glicerina Cx/04 X 3l</v>
      </c>
      <c r="F318" cm="1">
        <f t="array" ref="F318">INDEX('Linha 05'!$C$3:$ZZ$3,C318)</f>
        <v>20030008</v>
      </c>
      <c r="G318" t="str" cm="1">
        <f t="array" ref="G318">INDEX('Linha 05'!$C$2:$ZZ$2,C318)</f>
        <v>Detergente Aquafast Limao Cx/04 X 5l (Emb Econ)</v>
      </c>
      <c r="H318" s="5" cm="1">
        <f t="array" ref="H318">INDEX('Linha 05'!$C$4:$ZZ$1000,B318,C318)</f>
        <v>3.4722222222222224E-2</v>
      </c>
      <c r="I318" t="str">
        <f t="shared" si="14"/>
        <v>20200020 20030008</v>
      </c>
      <c r="J318" s="5">
        <v>3.4722222222222224E-2</v>
      </c>
    </row>
    <row r="319" spans="1:10" x14ac:dyDescent="0.25">
      <c r="A319">
        <v>317</v>
      </c>
      <c r="B319">
        <f t="shared" si="12"/>
        <v>16</v>
      </c>
      <c r="C319">
        <f t="shared" si="13"/>
        <v>2</v>
      </c>
      <c r="D319" cm="1">
        <f t="array" ref="D319">INDEX('Linha 05'!$A$4:$A$1000,B319)</f>
        <v>20200020</v>
      </c>
      <c r="E319" t="str" cm="1">
        <f t="array" ref="E319">INDEX('Linha 05'!$B$4:$B$1000,B319)</f>
        <v>Lava Roupas Aquafast Glicerina Cx/04 X 3l</v>
      </c>
      <c r="F319" cm="1">
        <f t="array" ref="F319">INDEX('Linha 05'!$C$3:$ZZ$3,C319)</f>
        <v>20030009</v>
      </c>
      <c r="G319" t="str" cm="1">
        <f t="array" ref="G319">INDEX('Linha 05'!$C$2:$ZZ$2,C319)</f>
        <v>Detergente Aquafast Neutro Cx/04 X 5l (Emb Econ)</v>
      </c>
      <c r="H319" s="5" cm="1">
        <f t="array" ref="H319">INDEX('Linha 05'!$C$4:$ZZ$1000,B319,C319)</f>
        <v>3.4722222222222224E-2</v>
      </c>
      <c r="I319" t="str">
        <f t="shared" si="14"/>
        <v>20200020 20030009</v>
      </c>
      <c r="J319" s="5">
        <v>3.4722222222222224E-2</v>
      </c>
    </row>
    <row r="320" spans="1:10" x14ac:dyDescent="0.25">
      <c r="A320">
        <v>318</v>
      </c>
      <c r="B320">
        <f t="shared" si="12"/>
        <v>16</v>
      </c>
      <c r="C320">
        <f t="shared" si="13"/>
        <v>3</v>
      </c>
      <c r="D320" cm="1">
        <f t="array" ref="D320">INDEX('Linha 05'!$A$4:$A$1000,B320)</f>
        <v>20200020</v>
      </c>
      <c r="E320" t="str" cm="1">
        <f t="array" ref="E320">INDEX('Linha 05'!$B$4:$B$1000,B320)</f>
        <v>Lava Roupas Aquafast Glicerina Cx/04 X 3l</v>
      </c>
      <c r="F320" cm="1">
        <f t="array" ref="F320">INDEX('Linha 05'!$C$3:$ZZ$3,C320)</f>
        <v>20030010</v>
      </c>
      <c r="G320" t="str" cm="1">
        <f t="array" ref="G320">INDEX('Linha 05'!$C$2:$ZZ$2,C320)</f>
        <v>Detergente Aquafast Clear Cx/04 X 5l (Emb Econ)</v>
      </c>
      <c r="H320" s="5" cm="1">
        <f t="array" ref="H320">INDEX('Linha 05'!$C$4:$ZZ$1000,B320,C320)</f>
        <v>3.4722222222222203E-2</v>
      </c>
      <c r="I320" t="str">
        <f t="shared" si="14"/>
        <v>20200020 20030010</v>
      </c>
      <c r="J320" s="5">
        <v>3.4722222222222203E-2</v>
      </c>
    </row>
    <row r="321" spans="1:10" x14ac:dyDescent="0.25">
      <c r="A321">
        <v>319</v>
      </c>
      <c r="B321">
        <f t="shared" si="12"/>
        <v>16</v>
      </c>
      <c r="C321">
        <f t="shared" si="13"/>
        <v>4</v>
      </c>
      <c r="D321" cm="1">
        <f t="array" ref="D321">INDEX('Linha 05'!$A$4:$A$1000,B321)</f>
        <v>20200020</v>
      </c>
      <c r="E321" t="str" cm="1">
        <f t="array" ref="E321">INDEX('Linha 05'!$B$4:$B$1000,B321)</f>
        <v>Lava Roupas Aquafast Glicerina Cx/04 X 3l</v>
      </c>
      <c r="F321" cm="1">
        <f t="array" ref="F321">INDEX('Linha 05'!$C$3:$ZZ$3,C321)</f>
        <v>20030024</v>
      </c>
      <c r="G321" t="str" cm="1">
        <f t="array" ref="G321">INDEX('Linha 05'!$C$2:$ZZ$2,C321)</f>
        <v>Detergente Ito Neutro Cx/04 X 5l</v>
      </c>
      <c r="H321" s="5" cm="1">
        <f t="array" ref="H321">INDEX('Linha 05'!$C$4:$ZZ$1000,B321,C321)</f>
        <v>3.4722222222222203E-2</v>
      </c>
      <c r="I321" t="str">
        <f t="shared" si="14"/>
        <v>20200020 20030024</v>
      </c>
      <c r="J321" s="5">
        <v>3.4722222222222203E-2</v>
      </c>
    </row>
    <row r="322" spans="1:10" x14ac:dyDescent="0.25">
      <c r="A322">
        <v>320</v>
      </c>
      <c r="B322">
        <f t="shared" si="12"/>
        <v>16</v>
      </c>
      <c r="C322">
        <f t="shared" si="13"/>
        <v>5</v>
      </c>
      <c r="D322" cm="1">
        <f t="array" ref="D322">INDEX('Linha 05'!$A$4:$A$1000,B322)</f>
        <v>20200020</v>
      </c>
      <c r="E322" t="str" cm="1">
        <f t="array" ref="E322">INDEX('Linha 05'!$B$4:$B$1000,B322)</f>
        <v>Lava Roupas Aquafast Glicerina Cx/04 X 3l</v>
      </c>
      <c r="F322" cm="1">
        <f t="array" ref="F322">INDEX('Linha 05'!$C$3:$ZZ$3,C322)</f>
        <v>20030083</v>
      </c>
      <c r="G322" t="str" cm="1">
        <f t="array" ref="G322">INDEX('Linha 05'!$C$2:$ZZ$2,C322)</f>
        <v>Detergente Ito Clear Cx/04 X 5l</v>
      </c>
      <c r="H322" s="5" cm="1">
        <f t="array" ref="H322">INDEX('Linha 05'!$C$4:$ZZ$1000,B322,C322)</f>
        <v>3.4722222222222203E-2</v>
      </c>
      <c r="I322" t="str">
        <f t="shared" si="14"/>
        <v>20200020 20030083</v>
      </c>
      <c r="J322" s="5">
        <v>3.4722222222222203E-2</v>
      </c>
    </row>
    <row r="323" spans="1:10" x14ac:dyDescent="0.25">
      <c r="A323">
        <v>321</v>
      </c>
      <c r="B323">
        <f t="shared" si="12"/>
        <v>16</v>
      </c>
      <c r="C323">
        <f t="shared" si="13"/>
        <v>6</v>
      </c>
      <c r="D323" cm="1">
        <f t="array" ref="D323">INDEX('Linha 05'!$A$4:$A$1000,B323)</f>
        <v>20200020</v>
      </c>
      <c r="E323" t="str" cm="1">
        <f t="array" ref="E323">INDEX('Linha 05'!$B$4:$B$1000,B323)</f>
        <v>Lava Roupas Aquafast Glicerina Cx/04 X 3l</v>
      </c>
      <c r="F323" cm="1">
        <f t="array" ref="F323">INDEX('Linha 05'!$C$3:$ZZ$3,C323)</f>
        <v>20040030</v>
      </c>
      <c r="G323" t="str" cm="1">
        <f t="array" ref="G323">INDEX('Linha 05'!$C$2:$ZZ$2,C323)</f>
        <v>Amaciante Ito Azul Cx/04 X 5l</v>
      </c>
      <c r="H323" s="5" cm="1">
        <f t="array" ref="H323">INDEX('Linha 05'!$C$4:$ZZ$1000,B323,C323)</f>
        <v>3.4722222222222203E-2</v>
      </c>
      <c r="I323" t="str">
        <f t="shared" si="14"/>
        <v>20200020 20040030</v>
      </c>
      <c r="J323" s="5">
        <v>3.4722222222222203E-2</v>
      </c>
    </row>
    <row r="324" spans="1:10" x14ac:dyDescent="0.25">
      <c r="A324">
        <v>322</v>
      </c>
      <c r="B324">
        <f t="shared" ref="B324:B387" si="15">INT((A324-1)/$B$1)+1</f>
        <v>16</v>
      </c>
      <c r="C324">
        <f t="shared" ref="C324:C387" si="16">MOD(A324-1,$B$1)+1</f>
        <v>7</v>
      </c>
      <c r="D324" cm="1">
        <f t="array" ref="D324">INDEX('Linha 05'!$A$4:$A$1000,B324)</f>
        <v>20200020</v>
      </c>
      <c r="E324" t="str" cm="1">
        <f t="array" ref="E324">INDEX('Linha 05'!$B$4:$B$1000,B324)</f>
        <v>Lava Roupas Aquafast Glicerina Cx/04 X 3l</v>
      </c>
      <c r="F324" cm="1">
        <f t="array" ref="F324">INDEX('Linha 05'!$C$3:$ZZ$3,C324)</f>
        <v>20040074</v>
      </c>
      <c r="G324" t="str" cm="1">
        <f t="array" ref="G324">INDEX('Linha 05'!$C$2:$ZZ$2,C324)</f>
        <v>Amaciante Aquafast Azul Cx C/04 X 5l (Fresc Manh) Emb. Econ</v>
      </c>
      <c r="H324" s="5" cm="1">
        <f t="array" ref="H324">INDEX('Linha 05'!$C$4:$ZZ$1000,B324,C324)</f>
        <v>3.4722222222222203E-2</v>
      </c>
      <c r="I324" t="str">
        <f t="shared" ref="I324:I387" si="17">CONCATENATE(D324," ",F324)</f>
        <v>20200020 20040074</v>
      </c>
      <c r="J324" s="5">
        <v>3.4722222222222203E-2</v>
      </c>
    </row>
    <row r="325" spans="1:10" x14ac:dyDescent="0.25">
      <c r="A325">
        <v>323</v>
      </c>
      <c r="B325">
        <f t="shared" si="15"/>
        <v>16</v>
      </c>
      <c r="C325">
        <f t="shared" si="16"/>
        <v>8</v>
      </c>
      <c r="D325" cm="1">
        <f t="array" ref="D325">INDEX('Linha 05'!$A$4:$A$1000,B325)</f>
        <v>20200020</v>
      </c>
      <c r="E325" t="str" cm="1">
        <f t="array" ref="E325">INDEX('Linha 05'!$B$4:$B$1000,B325)</f>
        <v>Lava Roupas Aquafast Glicerina Cx/04 X 3l</v>
      </c>
      <c r="F325" cm="1">
        <f t="array" ref="F325">INDEX('Linha 05'!$C$3:$ZZ$3,C325)</f>
        <v>20040075</v>
      </c>
      <c r="G325" t="str" cm="1">
        <f t="array" ref="G325">INDEX('Linha 05'!$C$2:$ZZ$2,C325)</f>
        <v>Amaciante Aquafast Rosa Cx C/04 X 5l (Jard Flor) Emb. Econ</v>
      </c>
      <c r="H325" s="5" cm="1">
        <f t="array" ref="H325">INDEX('Linha 05'!$C$4:$ZZ$1000,B325,C325)</f>
        <v>3.4722222222222203E-2</v>
      </c>
      <c r="I325" t="str">
        <f t="shared" si="17"/>
        <v>20200020 20040075</v>
      </c>
      <c r="J325" s="5">
        <v>3.4722222222222203E-2</v>
      </c>
    </row>
    <row r="326" spans="1:10" x14ac:dyDescent="0.25">
      <c r="A326">
        <v>324</v>
      </c>
      <c r="B326">
        <f t="shared" si="15"/>
        <v>16</v>
      </c>
      <c r="C326">
        <f t="shared" si="16"/>
        <v>9</v>
      </c>
      <c r="D326" cm="1">
        <f t="array" ref="D326">INDEX('Linha 05'!$A$4:$A$1000,B326)</f>
        <v>20200020</v>
      </c>
      <c r="E326" t="str" cm="1">
        <f t="array" ref="E326">INDEX('Linha 05'!$B$4:$B$1000,B326)</f>
        <v>Lava Roupas Aquafast Glicerina Cx/04 X 3l</v>
      </c>
      <c r="F326" cm="1">
        <f t="array" ref="F326">INDEX('Linha 05'!$C$3:$ZZ$3,C326)</f>
        <v>20040086</v>
      </c>
      <c r="G326" t="str" cm="1">
        <f t="array" ref="G326">INDEX('Linha 05'!$C$2:$ZZ$2,C326)</f>
        <v>Amaciante Aquafast Vermelho Cx/04 X 5l (Seducao) Emb. Econ</v>
      </c>
      <c r="H326" s="5" cm="1">
        <f t="array" ref="H326">INDEX('Linha 05'!$C$4:$ZZ$1000,B326,C326)</f>
        <v>3.4722222222222203E-2</v>
      </c>
      <c r="I326" t="str">
        <f t="shared" si="17"/>
        <v>20200020 20040086</v>
      </c>
      <c r="J326" s="5">
        <v>3.4722222222222203E-2</v>
      </c>
    </row>
    <row r="327" spans="1:10" x14ac:dyDescent="0.25">
      <c r="A327">
        <v>325</v>
      </c>
      <c r="B327">
        <f t="shared" si="15"/>
        <v>16</v>
      </c>
      <c r="C327">
        <f t="shared" si="16"/>
        <v>10</v>
      </c>
      <c r="D327" cm="1">
        <f t="array" ref="D327">INDEX('Linha 05'!$A$4:$A$1000,B327)</f>
        <v>20200020</v>
      </c>
      <c r="E327" t="str" cm="1">
        <f t="array" ref="E327">INDEX('Linha 05'!$B$4:$B$1000,B327)</f>
        <v>Lava Roupas Aquafast Glicerina Cx/04 X 3l</v>
      </c>
      <c r="F327" cm="1">
        <f t="array" ref="F327">INDEX('Linha 05'!$C$3:$ZZ$3,C327)</f>
        <v>20040091</v>
      </c>
      <c r="G327" t="str" cm="1">
        <f t="array" ref="G327">INDEX('Linha 05'!$C$2:$ZZ$2,C327)</f>
        <v>Amaciante Aquafast Roxo Cx/04 X 5l (Magia) Emb. Econ</v>
      </c>
      <c r="H327" s="5" cm="1">
        <f t="array" ref="H327">INDEX('Linha 05'!$C$4:$ZZ$1000,B327,C327)</f>
        <v>3.4722222222222203E-2</v>
      </c>
      <c r="I327" t="str">
        <f t="shared" si="17"/>
        <v>20200020 20040091</v>
      </c>
      <c r="J327" s="5">
        <v>3.4722222222222203E-2</v>
      </c>
    </row>
    <row r="328" spans="1:10" x14ac:dyDescent="0.25">
      <c r="A328">
        <v>326</v>
      </c>
      <c r="B328">
        <f t="shared" si="15"/>
        <v>16</v>
      </c>
      <c r="C328">
        <f t="shared" si="16"/>
        <v>11</v>
      </c>
      <c r="D328" cm="1">
        <f t="array" ref="D328">INDEX('Linha 05'!$A$4:$A$1000,B328)</f>
        <v>20200020</v>
      </c>
      <c r="E328" t="str" cm="1">
        <f t="array" ref="E328">INDEX('Linha 05'!$B$4:$B$1000,B328)</f>
        <v>Lava Roupas Aquafast Glicerina Cx/04 X 3l</v>
      </c>
      <c r="F328" cm="1">
        <f t="array" ref="F328">INDEX('Linha 05'!$C$3:$ZZ$3,C328)</f>
        <v>20040095</v>
      </c>
      <c r="G328" t="str" cm="1">
        <f t="array" ref="G328">INDEX('Linha 05'!$C$2:$ZZ$2,C328)</f>
        <v>Amaciante Aquafast Energia Cx/04 X 5l Emb. Econ</v>
      </c>
      <c r="H328" s="5" cm="1">
        <f t="array" ref="H328">INDEX('Linha 05'!$C$4:$ZZ$1000,B328,C328)</f>
        <v>3.4722222222222224E-2</v>
      </c>
      <c r="I328" t="str">
        <f t="shared" si="17"/>
        <v>20200020 20040095</v>
      </c>
      <c r="J328" s="5">
        <v>3.4722222222222224E-2</v>
      </c>
    </row>
    <row r="329" spans="1:10" x14ac:dyDescent="0.25">
      <c r="A329">
        <v>327</v>
      </c>
      <c r="B329">
        <f t="shared" si="15"/>
        <v>16</v>
      </c>
      <c r="C329">
        <f t="shared" si="16"/>
        <v>12</v>
      </c>
      <c r="D329" cm="1">
        <f t="array" ref="D329">INDEX('Linha 05'!$A$4:$A$1000,B329)</f>
        <v>20200020</v>
      </c>
      <c r="E329" t="str" cm="1">
        <f t="array" ref="E329">INDEX('Linha 05'!$B$4:$B$1000,B329)</f>
        <v>Lava Roupas Aquafast Glicerina Cx/04 X 3l</v>
      </c>
      <c r="F329" cm="1">
        <f t="array" ref="F329">INDEX('Linha 05'!$C$3:$ZZ$3,C329)</f>
        <v>20150028</v>
      </c>
      <c r="G329" t="str" cm="1">
        <f t="array" ref="G329">INDEX('Linha 05'!$C$2:$ZZ$2,C329)</f>
        <v>Amac. Conc. Aquafast Branco Ternura Cx/ 04 X 3l</v>
      </c>
      <c r="H329" s="5" cm="1">
        <f t="array" ref="H329">INDEX('Linha 05'!$C$4:$ZZ$1000,B329,C329)</f>
        <v>1.3888888888888888E-2</v>
      </c>
      <c r="I329" t="str">
        <f t="shared" si="17"/>
        <v>20200020 20150028</v>
      </c>
      <c r="J329" s="5">
        <v>1.3888888888888888E-2</v>
      </c>
    </row>
    <row r="330" spans="1:10" x14ac:dyDescent="0.25">
      <c r="A330">
        <v>328</v>
      </c>
      <c r="B330">
        <f t="shared" si="15"/>
        <v>16</v>
      </c>
      <c r="C330">
        <f t="shared" si="16"/>
        <v>13</v>
      </c>
      <c r="D330" cm="1">
        <f t="array" ref="D330">INDEX('Linha 05'!$A$4:$A$1000,B330)</f>
        <v>20200020</v>
      </c>
      <c r="E330" t="str" cm="1">
        <f t="array" ref="E330">INDEX('Linha 05'!$B$4:$B$1000,B330)</f>
        <v>Lava Roupas Aquafast Glicerina Cx/04 X 3l</v>
      </c>
      <c r="F330" cm="1">
        <f t="array" ref="F330">INDEX('Linha 05'!$C$3:$ZZ$3,C330)</f>
        <v>20150051</v>
      </c>
      <c r="G330" t="str" cm="1">
        <f t="array" ref="G330">INDEX('Linha 05'!$C$2:$ZZ$2,C330)</f>
        <v>Amac. Conc. Aquafast Azul Harmonia Cx/ 04 X 3l</v>
      </c>
      <c r="H330" s="5" cm="1">
        <f t="array" ref="H330">INDEX('Linha 05'!$C$4:$ZZ$1000,B330,C330)</f>
        <v>1.3888888888888888E-2</v>
      </c>
      <c r="I330" t="str">
        <f t="shared" si="17"/>
        <v>20200020 20150051</v>
      </c>
      <c r="J330" s="5">
        <v>1.3888888888888888E-2</v>
      </c>
    </row>
    <row r="331" spans="1:10" x14ac:dyDescent="0.25">
      <c r="A331">
        <v>329</v>
      </c>
      <c r="B331">
        <f t="shared" si="15"/>
        <v>16</v>
      </c>
      <c r="C331">
        <f t="shared" si="16"/>
        <v>14</v>
      </c>
      <c r="D331" cm="1">
        <f t="array" ref="D331">INDEX('Linha 05'!$A$4:$A$1000,B331)</f>
        <v>20200020</v>
      </c>
      <c r="E331" t="str" cm="1">
        <f t="array" ref="E331">INDEX('Linha 05'!$B$4:$B$1000,B331)</f>
        <v>Lava Roupas Aquafast Glicerina Cx/04 X 3l</v>
      </c>
      <c r="F331" cm="1">
        <f t="array" ref="F331">INDEX('Linha 05'!$C$3:$ZZ$3,C331)</f>
        <v>20200009</v>
      </c>
      <c r="G331" t="str" cm="1">
        <f t="array" ref="G331">INDEX('Linha 05'!$C$2:$ZZ$2,C331)</f>
        <v>Lava Roupas Aquafast Multi Acao Cx/04 X 5l (Emb Econ)</v>
      </c>
      <c r="H331" s="5" cm="1">
        <f t="array" ref="H331">INDEX('Linha 05'!$C$4:$ZZ$1000,B331,C331)</f>
        <v>3.4722222222222224E-2</v>
      </c>
      <c r="I331" t="str">
        <f t="shared" si="17"/>
        <v>20200020 20200009</v>
      </c>
      <c r="J331" s="5">
        <v>3.4722222222222224E-2</v>
      </c>
    </row>
    <row r="332" spans="1:10" x14ac:dyDescent="0.25">
      <c r="A332">
        <v>330</v>
      </c>
      <c r="B332">
        <f t="shared" si="15"/>
        <v>16</v>
      </c>
      <c r="C332">
        <f t="shared" si="16"/>
        <v>15</v>
      </c>
      <c r="D332" cm="1">
        <f t="array" ref="D332">INDEX('Linha 05'!$A$4:$A$1000,B332)</f>
        <v>20200020</v>
      </c>
      <c r="E332" t="str" cm="1">
        <f t="array" ref="E332">INDEX('Linha 05'!$B$4:$B$1000,B332)</f>
        <v>Lava Roupas Aquafast Glicerina Cx/04 X 3l</v>
      </c>
      <c r="F332" cm="1">
        <f t="array" ref="F332">INDEX('Linha 05'!$C$3:$ZZ$3,C332)</f>
        <v>20200014</v>
      </c>
      <c r="G332" t="str" cm="1">
        <f t="array" ref="G332">INDEX('Linha 05'!$C$2:$ZZ$2,C332)</f>
        <v>Lava Roupas Aquafast Glicerina Cx/04 X 5l</v>
      </c>
      <c r="H332" s="5" cm="1">
        <f t="array" ref="H332">INDEX('Linha 05'!$C$4:$ZZ$1000,B332,C332)</f>
        <v>3.4722222222222224E-2</v>
      </c>
      <c r="I332" t="str">
        <f t="shared" si="17"/>
        <v>20200020 20200014</v>
      </c>
      <c r="J332" s="5">
        <v>3.4722222222222224E-2</v>
      </c>
    </row>
    <row r="333" spans="1:10" x14ac:dyDescent="0.25">
      <c r="A333">
        <v>331</v>
      </c>
      <c r="B333">
        <f t="shared" si="15"/>
        <v>16</v>
      </c>
      <c r="C333">
        <f t="shared" si="16"/>
        <v>16</v>
      </c>
      <c r="D333" cm="1">
        <f t="array" ref="D333">INDEX('Linha 05'!$A$4:$A$1000,B333)</f>
        <v>20200020</v>
      </c>
      <c r="E333" t="str" cm="1">
        <f t="array" ref="E333">INDEX('Linha 05'!$B$4:$B$1000,B333)</f>
        <v>Lava Roupas Aquafast Glicerina Cx/04 X 3l</v>
      </c>
      <c r="F333" cm="1">
        <f t="array" ref="F333">INDEX('Linha 05'!$C$3:$ZZ$3,C333)</f>
        <v>20200020</v>
      </c>
      <c r="G333" t="str" cm="1">
        <f t="array" ref="G333">INDEX('Linha 05'!$C$2:$ZZ$2,C333)</f>
        <v>Lava Roupas Aquafast Glicerina Cx/04 X 3l</v>
      </c>
      <c r="H333" s="5" cm="1">
        <f t="array" ref="H333">INDEX('Linha 05'!$C$4:$ZZ$1000,B333,C333)</f>
        <v>0</v>
      </c>
      <c r="I333" t="str">
        <f t="shared" si="17"/>
        <v>20200020 20200020</v>
      </c>
      <c r="J333" s="5">
        <v>0</v>
      </c>
    </row>
    <row r="334" spans="1:10" x14ac:dyDescent="0.25">
      <c r="A334">
        <v>332</v>
      </c>
      <c r="B334">
        <f t="shared" si="15"/>
        <v>16</v>
      </c>
      <c r="C334">
        <f t="shared" si="16"/>
        <v>17</v>
      </c>
      <c r="D334" cm="1">
        <f t="array" ref="D334">INDEX('Linha 05'!$A$4:$A$1000,B334)</f>
        <v>20200020</v>
      </c>
      <c r="E334" t="str" cm="1">
        <f t="array" ref="E334">INDEX('Linha 05'!$B$4:$B$1000,B334)</f>
        <v>Lava Roupas Aquafast Glicerina Cx/04 X 3l</v>
      </c>
      <c r="F334" cm="1">
        <f t="array" ref="F334">INDEX('Linha 05'!$C$3:$ZZ$3,C334)</f>
        <v>20200022</v>
      </c>
      <c r="G334" t="str" cm="1">
        <f t="array" ref="G334">INDEX('Linha 05'!$C$2:$ZZ$2,C334)</f>
        <v>Lava Roupas Aquafast Multiacao Cx/04 X 3l</v>
      </c>
      <c r="H334" s="5" cm="1">
        <f t="array" ref="H334">INDEX('Linha 05'!$C$4:$ZZ$1000,B334,C334)</f>
        <v>6.9444444444444441E-3</v>
      </c>
      <c r="I334" t="str">
        <f t="shared" si="17"/>
        <v>20200020 20200022</v>
      </c>
      <c r="J334" s="5">
        <v>6.9444444444444441E-3</v>
      </c>
    </row>
    <row r="335" spans="1:10" x14ac:dyDescent="0.25">
      <c r="A335">
        <v>333</v>
      </c>
      <c r="B335">
        <f t="shared" si="15"/>
        <v>16</v>
      </c>
      <c r="C335">
        <f t="shared" si="16"/>
        <v>18</v>
      </c>
      <c r="D335" cm="1">
        <f t="array" ref="D335">INDEX('Linha 05'!$A$4:$A$1000,B335)</f>
        <v>20200020</v>
      </c>
      <c r="E335" t="str" cm="1">
        <f t="array" ref="E335">INDEX('Linha 05'!$B$4:$B$1000,B335)</f>
        <v>Lava Roupas Aquafast Glicerina Cx/04 X 3l</v>
      </c>
      <c r="F335" cm="1">
        <f t="array" ref="F335">INDEX('Linha 05'!$C$3:$ZZ$3,C335)</f>
        <v>20200026</v>
      </c>
      <c r="G335" t="str" cm="1">
        <f t="array" ref="G335">INDEX('Linha 05'!$C$2:$ZZ$2,C335)</f>
        <v>Lava Roupas Aquafast Ternura Cx/04 X 3l</v>
      </c>
      <c r="H335" s="5" cm="1">
        <f t="array" ref="H335">INDEX('Linha 05'!$C$4:$ZZ$1000,B335,C335)</f>
        <v>6.9444444444444441E-3</v>
      </c>
      <c r="I335" t="str">
        <f t="shared" si="17"/>
        <v>20200020 20200026</v>
      </c>
      <c r="J335" s="5">
        <v>6.9444444444444441E-3</v>
      </c>
    </row>
    <row r="336" spans="1:10" x14ac:dyDescent="0.25">
      <c r="A336">
        <v>334</v>
      </c>
      <c r="B336">
        <f t="shared" si="15"/>
        <v>16</v>
      </c>
      <c r="C336">
        <f t="shared" si="16"/>
        <v>19</v>
      </c>
      <c r="D336" cm="1">
        <f t="array" ref="D336">INDEX('Linha 05'!$A$4:$A$1000,B336)</f>
        <v>20200020</v>
      </c>
      <c r="E336" t="str" cm="1">
        <f t="array" ref="E336">INDEX('Linha 05'!$B$4:$B$1000,B336)</f>
        <v>Lava Roupas Aquafast Glicerina Cx/04 X 3l</v>
      </c>
      <c r="F336" cm="1">
        <f t="array" ref="F336">INDEX('Linha 05'!$C$3:$ZZ$3,C336)</f>
        <v>20200027</v>
      </c>
      <c r="G336" t="str" cm="1">
        <f t="array" ref="G336">INDEX('Linha 05'!$C$2:$ZZ$2,C336)</f>
        <v>Lava Roupas Aquafast Ternura C/04 X 5l (Emb Econ)</v>
      </c>
      <c r="H336" s="5" cm="1">
        <f t="array" ref="H336">INDEX('Linha 05'!$C$4:$ZZ$1000,B336,C336)</f>
        <v>3.4722222222222224E-2</v>
      </c>
      <c r="I336" t="str">
        <f t="shared" si="17"/>
        <v>20200020 20200027</v>
      </c>
      <c r="J336" s="5">
        <v>3.4722222222222224E-2</v>
      </c>
    </row>
    <row r="337" spans="1:10" x14ac:dyDescent="0.25">
      <c r="A337">
        <v>335</v>
      </c>
      <c r="B337">
        <f t="shared" si="15"/>
        <v>16</v>
      </c>
      <c r="C337">
        <f t="shared" si="16"/>
        <v>20</v>
      </c>
      <c r="D337" cm="1">
        <f t="array" ref="D337">INDEX('Linha 05'!$A$4:$A$1000,B337)</f>
        <v>20200020</v>
      </c>
      <c r="E337" t="str" cm="1">
        <f t="array" ref="E337">INDEX('Linha 05'!$B$4:$B$1000,B337)</f>
        <v>Lava Roupas Aquafast Glicerina Cx/04 X 3l</v>
      </c>
      <c r="F337" cm="1">
        <f t="array" ref="F337">INDEX('Linha 05'!$C$3:$ZZ$3,C337)</f>
        <v>20200058</v>
      </c>
      <c r="G337" t="str" cm="1">
        <f t="array" ref="G337">INDEX('Linha 05'!$C$2:$ZZ$2,C337)</f>
        <v>Lava Roupas Aquafast Flores Brancas E Baunilha Cx/4 X 3l</v>
      </c>
      <c r="H337" s="5" cm="1">
        <f t="array" ref="H337">INDEX('Linha 05'!$C$4:$ZZ$1000,B337,C337)</f>
        <v>6.9444444444444441E-3</v>
      </c>
      <c r="I337" t="str">
        <f t="shared" si="17"/>
        <v>20200020 20200058</v>
      </c>
      <c r="J337" s="5">
        <v>6.9444444444444441E-3</v>
      </c>
    </row>
    <row r="338" spans="1:10" x14ac:dyDescent="0.25">
      <c r="A338">
        <v>336</v>
      </c>
      <c r="B338">
        <f t="shared" si="15"/>
        <v>16</v>
      </c>
      <c r="C338">
        <f t="shared" si="16"/>
        <v>21</v>
      </c>
      <c r="D338" cm="1">
        <f t="array" ref="D338">INDEX('Linha 05'!$A$4:$A$1000,B338)</f>
        <v>20200020</v>
      </c>
      <c r="E338" t="str" cm="1">
        <f t="array" ref="E338">INDEX('Linha 05'!$B$4:$B$1000,B338)</f>
        <v>Lava Roupas Aquafast Glicerina Cx/04 X 3l</v>
      </c>
      <c r="F338" cm="1">
        <f t="array" ref="F338">INDEX('Linha 05'!$C$3:$ZZ$3,C338)</f>
        <v>20200077</v>
      </c>
      <c r="G338" t="str" cm="1">
        <f t="array" ref="G338">INDEX('Linha 05'!$C$2:$ZZ$2,C338)</f>
        <v>Lava Roupas Aquafast Alta Performance 7l</v>
      </c>
      <c r="H338" s="5" cm="1">
        <f t="array" ref="H338">INDEX('Linha 05'!$C$4:$ZZ$1000,B338,C338)</f>
        <v>3.4722222222222224E-2</v>
      </c>
      <c r="I338" t="str">
        <f t="shared" si="17"/>
        <v>20200020 20200077</v>
      </c>
      <c r="J338" s="5">
        <v>3.4722222222222224E-2</v>
      </c>
    </row>
    <row r="339" spans="1:10" x14ac:dyDescent="0.25">
      <c r="A339">
        <v>337</v>
      </c>
      <c r="B339">
        <f t="shared" si="15"/>
        <v>17</v>
      </c>
      <c r="C339">
        <f t="shared" si="16"/>
        <v>1</v>
      </c>
      <c r="D339" cm="1">
        <f t="array" ref="D339">INDEX('Linha 05'!$A$4:$A$1000,B339)</f>
        <v>20200022</v>
      </c>
      <c r="E339" t="str" cm="1">
        <f t="array" ref="E339">INDEX('Linha 05'!$B$4:$B$1000,B339)</f>
        <v>Lava Roupas Aquafast Multiacao Cx/04 X 3l</v>
      </c>
      <c r="F339" cm="1">
        <f t="array" ref="F339">INDEX('Linha 05'!$C$3:$ZZ$3,C339)</f>
        <v>20030008</v>
      </c>
      <c r="G339" t="str" cm="1">
        <f t="array" ref="G339">INDEX('Linha 05'!$C$2:$ZZ$2,C339)</f>
        <v>Detergente Aquafast Limao Cx/04 X 5l (Emb Econ)</v>
      </c>
      <c r="H339" s="5" cm="1">
        <f t="array" ref="H339">INDEX('Linha 05'!$C$4:$ZZ$1000,B339,C339)</f>
        <v>3.4722222222222224E-2</v>
      </c>
      <c r="I339" t="str">
        <f t="shared" si="17"/>
        <v>20200022 20030008</v>
      </c>
      <c r="J339" s="5">
        <v>3.4722222222222224E-2</v>
      </c>
    </row>
    <row r="340" spans="1:10" x14ac:dyDescent="0.25">
      <c r="A340">
        <v>338</v>
      </c>
      <c r="B340">
        <f t="shared" si="15"/>
        <v>17</v>
      </c>
      <c r="C340">
        <f t="shared" si="16"/>
        <v>2</v>
      </c>
      <c r="D340" cm="1">
        <f t="array" ref="D340">INDEX('Linha 05'!$A$4:$A$1000,B340)</f>
        <v>20200022</v>
      </c>
      <c r="E340" t="str" cm="1">
        <f t="array" ref="E340">INDEX('Linha 05'!$B$4:$B$1000,B340)</f>
        <v>Lava Roupas Aquafast Multiacao Cx/04 X 3l</v>
      </c>
      <c r="F340" cm="1">
        <f t="array" ref="F340">INDEX('Linha 05'!$C$3:$ZZ$3,C340)</f>
        <v>20030009</v>
      </c>
      <c r="G340" t="str" cm="1">
        <f t="array" ref="G340">INDEX('Linha 05'!$C$2:$ZZ$2,C340)</f>
        <v>Detergente Aquafast Neutro Cx/04 X 5l (Emb Econ)</v>
      </c>
      <c r="H340" s="5" cm="1">
        <f t="array" ref="H340">INDEX('Linha 05'!$C$4:$ZZ$1000,B340,C340)</f>
        <v>3.4722222222222224E-2</v>
      </c>
      <c r="I340" t="str">
        <f t="shared" si="17"/>
        <v>20200022 20030009</v>
      </c>
      <c r="J340" s="5">
        <v>3.4722222222222224E-2</v>
      </c>
    </row>
    <row r="341" spans="1:10" x14ac:dyDescent="0.25">
      <c r="A341">
        <v>339</v>
      </c>
      <c r="B341">
        <f t="shared" si="15"/>
        <v>17</v>
      </c>
      <c r="C341">
        <f t="shared" si="16"/>
        <v>3</v>
      </c>
      <c r="D341" cm="1">
        <f t="array" ref="D341">INDEX('Linha 05'!$A$4:$A$1000,B341)</f>
        <v>20200022</v>
      </c>
      <c r="E341" t="str" cm="1">
        <f t="array" ref="E341">INDEX('Linha 05'!$B$4:$B$1000,B341)</f>
        <v>Lava Roupas Aquafast Multiacao Cx/04 X 3l</v>
      </c>
      <c r="F341" cm="1">
        <f t="array" ref="F341">INDEX('Linha 05'!$C$3:$ZZ$3,C341)</f>
        <v>20030010</v>
      </c>
      <c r="G341" t="str" cm="1">
        <f t="array" ref="G341">INDEX('Linha 05'!$C$2:$ZZ$2,C341)</f>
        <v>Detergente Aquafast Clear Cx/04 X 5l (Emb Econ)</v>
      </c>
      <c r="H341" s="5" cm="1">
        <f t="array" ref="H341">INDEX('Linha 05'!$C$4:$ZZ$1000,B341,C341)</f>
        <v>3.4722222222222203E-2</v>
      </c>
      <c r="I341" t="str">
        <f t="shared" si="17"/>
        <v>20200022 20030010</v>
      </c>
      <c r="J341" s="5">
        <v>3.4722222222222203E-2</v>
      </c>
    </row>
    <row r="342" spans="1:10" x14ac:dyDescent="0.25">
      <c r="A342">
        <v>340</v>
      </c>
      <c r="B342">
        <f t="shared" si="15"/>
        <v>17</v>
      </c>
      <c r="C342">
        <f t="shared" si="16"/>
        <v>4</v>
      </c>
      <c r="D342" cm="1">
        <f t="array" ref="D342">INDEX('Linha 05'!$A$4:$A$1000,B342)</f>
        <v>20200022</v>
      </c>
      <c r="E342" t="str" cm="1">
        <f t="array" ref="E342">INDEX('Linha 05'!$B$4:$B$1000,B342)</f>
        <v>Lava Roupas Aquafast Multiacao Cx/04 X 3l</v>
      </c>
      <c r="F342" cm="1">
        <f t="array" ref="F342">INDEX('Linha 05'!$C$3:$ZZ$3,C342)</f>
        <v>20030024</v>
      </c>
      <c r="G342" t="str" cm="1">
        <f t="array" ref="G342">INDEX('Linha 05'!$C$2:$ZZ$2,C342)</f>
        <v>Detergente Ito Neutro Cx/04 X 5l</v>
      </c>
      <c r="H342" s="5" cm="1">
        <f t="array" ref="H342">INDEX('Linha 05'!$C$4:$ZZ$1000,B342,C342)</f>
        <v>3.4722222222222203E-2</v>
      </c>
      <c r="I342" t="str">
        <f t="shared" si="17"/>
        <v>20200022 20030024</v>
      </c>
      <c r="J342" s="5">
        <v>3.4722222222222203E-2</v>
      </c>
    </row>
    <row r="343" spans="1:10" x14ac:dyDescent="0.25">
      <c r="A343">
        <v>341</v>
      </c>
      <c r="B343">
        <f t="shared" si="15"/>
        <v>17</v>
      </c>
      <c r="C343">
        <f t="shared" si="16"/>
        <v>5</v>
      </c>
      <c r="D343" cm="1">
        <f t="array" ref="D343">INDEX('Linha 05'!$A$4:$A$1000,B343)</f>
        <v>20200022</v>
      </c>
      <c r="E343" t="str" cm="1">
        <f t="array" ref="E343">INDEX('Linha 05'!$B$4:$B$1000,B343)</f>
        <v>Lava Roupas Aquafast Multiacao Cx/04 X 3l</v>
      </c>
      <c r="F343" cm="1">
        <f t="array" ref="F343">INDEX('Linha 05'!$C$3:$ZZ$3,C343)</f>
        <v>20030083</v>
      </c>
      <c r="G343" t="str" cm="1">
        <f t="array" ref="G343">INDEX('Linha 05'!$C$2:$ZZ$2,C343)</f>
        <v>Detergente Ito Clear Cx/04 X 5l</v>
      </c>
      <c r="H343" s="5" cm="1">
        <f t="array" ref="H343">INDEX('Linha 05'!$C$4:$ZZ$1000,B343,C343)</f>
        <v>3.4722222222222203E-2</v>
      </c>
      <c r="I343" t="str">
        <f t="shared" si="17"/>
        <v>20200022 20030083</v>
      </c>
      <c r="J343" s="5">
        <v>3.4722222222222203E-2</v>
      </c>
    </row>
    <row r="344" spans="1:10" x14ac:dyDescent="0.25">
      <c r="A344">
        <v>342</v>
      </c>
      <c r="B344">
        <f t="shared" si="15"/>
        <v>17</v>
      </c>
      <c r="C344">
        <f t="shared" si="16"/>
        <v>6</v>
      </c>
      <c r="D344" cm="1">
        <f t="array" ref="D344">INDEX('Linha 05'!$A$4:$A$1000,B344)</f>
        <v>20200022</v>
      </c>
      <c r="E344" t="str" cm="1">
        <f t="array" ref="E344">INDEX('Linha 05'!$B$4:$B$1000,B344)</f>
        <v>Lava Roupas Aquafast Multiacao Cx/04 X 3l</v>
      </c>
      <c r="F344" cm="1">
        <f t="array" ref="F344">INDEX('Linha 05'!$C$3:$ZZ$3,C344)</f>
        <v>20040030</v>
      </c>
      <c r="G344" t="str" cm="1">
        <f t="array" ref="G344">INDEX('Linha 05'!$C$2:$ZZ$2,C344)</f>
        <v>Amaciante Ito Azul Cx/04 X 5l</v>
      </c>
      <c r="H344" s="5" cm="1">
        <f t="array" ref="H344">INDEX('Linha 05'!$C$4:$ZZ$1000,B344,C344)</f>
        <v>3.4722222222222203E-2</v>
      </c>
      <c r="I344" t="str">
        <f t="shared" si="17"/>
        <v>20200022 20040030</v>
      </c>
      <c r="J344" s="5">
        <v>3.4722222222222203E-2</v>
      </c>
    </row>
    <row r="345" spans="1:10" x14ac:dyDescent="0.25">
      <c r="A345">
        <v>343</v>
      </c>
      <c r="B345">
        <f t="shared" si="15"/>
        <v>17</v>
      </c>
      <c r="C345">
        <f t="shared" si="16"/>
        <v>7</v>
      </c>
      <c r="D345" cm="1">
        <f t="array" ref="D345">INDEX('Linha 05'!$A$4:$A$1000,B345)</f>
        <v>20200022</v>
      </c>
      <c r="E345" t="str" cm="1">
        <f t="array" ref="E345">INDEX('Linha 05'!$B$4:$B$1000,B345)</f>
        <v>Lava Roupas Aquafast Multiacao Cx/04 X 3l</v>
      </c>
      <c r="F345" cm="1">
        <f t="array" ref="F345">INDEX('Linha 05'!$C$3:$ZZ$3,C345)</f>
        <v>20040074</v>
      </c>
      <c r="G345" t="str" cm="1">
        <f t="array" ref="G345">INDEX('Linha 05'!$C$2:$ZZ$2,C345)</f>
        <v>Amaciante Aquafast Azul Cx C/04 X 5l (Fresc Manh) Emb. Econ</v>
      </c>
      <c r="H345" s="5" cm="1">
        <f t="array" ref="H345">INDEX('Linha 05'!$C$4:$ZZ$1000,B345,C345)</f>
        <v>3.4722222222222203E-2</v>
      </c>
      <c r="I345" t="str">
        <f t="shared" si="17"/>
        <v>20200022 20040074</v>
      </c>
      <c r="J345" s="5">
        <v>3.4722222222222203E-2</v>
      </c>
    </row>
    <row r="346" spans="1:10" x14ac:dyDescent="0.25">
      <c r="A346">
        <v>344</v>
      </c>
      <c r="B346">
        <f t="shared" si="15"/>
        <v>17</v>
      </c>
      <c r="C346">
        <f t="shared" si="16"/>
        <v>8</v>
      </c>
      <c r="D346" cm="1">
        <f t="array" ref="D346">INDEX('Linha 05'!$A$4:$A$1000,B346)</f>
        <v>20200022</v>
      </c>
      <c r="E346" t="str" cm="1">
        <f t="array" ref="E346">INDEX('Linha 05'!$B$4:$B$1000,B346)</f>
        <v>Lava Roupas Aquafast Multiacao Cx/04 X 3l</v>
      </c>
      <c r="F346" cm="1">
        <f t="array" ref="F346">INDEX('Linha 05'!$C$3:$ZZ$3,C346)</f>
        <v>20040075</v>
      </c>
      <c r="G346" t="str" cm="1">
        <f t="array" ref="G346">INDEX('Linha 05'!$C$2:$ZZ$2,C346)</f>
        <v>Amaciante Aquafast Rosa Cx C/04 X 5l (Jard Flor) Emb. Econ</v>
      </c>
      <c r="H346" s="5" cm="1">
        <f t="array" ref="H346">INDEX('Linha 05'!$C$4:$ZZ$1000,B346,C346)</f>
        <v>3.4722222222222203E-2</v>
      </c>
      <c r="I346" t="str">
        <f t="shared" si="17"/>
        <v>20200022 20040075</v>
      </c>
      <c r="J346" s="5">
        <v>3.4722222222222203E-2</v>
      </c>
    </row>
    <row r="347" spans="1:10" x14ac:dyDescent="0.25">
      <c r="A347">
        <v>345</v>
      </c>
      <c r="B347">
        <f t="shared" si="15"/>
        <v>17</v>
      </c>
      <c r="C347">
        <f t="shared" si="16"/>
        <v>9</v>
      </c>
      <c r="D347" cm="1">
        <f t="array" ref="D347">INDEX('Linha 05'!$A$4:$A$1000,B347)</f>
        <v>20200022</v>
      </c>
      <c r="E347" t="str" cm="1">
        <f t="array" ref="E347">INDEX('Linha 05'!$B$4:$B$1000,B347)</f>
        <v>Lava Roupas Aquafast Multiacao Cx/04 X 3l</v>
      </c>
      <c r="F347" cm="1">
        <f t="array" ref="F347">INDEX('Linha 05'!$C$3:$ZZ$3,C347)</f>
        <v>20040086</v>
      </c>
      <c r="G347" t="str" cm="1">
        <f t="array" ref="G347">INDEX('Linha 05'!$C$2:$ZZ$2,C347)</f>
        <v>Amaciante Aquafast Vermelho Cx/04 X 5l (Seducao) Emb. Econ</v>
      </c>
      <c r="H347" s="5" cm="1">
        <f t="array" ref="H347">INDEX('Linha 05'!$C$4:$ZZ$1000,B347,C347)</f>
        <v>3.4722222222222203E-2</v>
      </c>
      <c r="I347" t="str">
        <f t="shared" si="17"/>
        <v>20200022 20040086</v>
      </c>
      <c r="J347" s="5">
        <v>3.4722222222222203E-2</v>
      </c>
    </row>
    <row r="348" spans="1:10" x14ac:dyDescent="0.25">
      <c r="A348">
        <v>346</v>
      </c>
      <c r="B348">
        <f t="shared" si="15"/>
        <v>17</v>
      </c>
      <c r="C348">
        <f t="shared" si="16"/>
        <v>10</v>
      </c>
      <c r="D348" cm="1">
        <f t="array" ref="D348">INDEX('Linha 05'!$A$4:$A$1000,B348)</f>
        <v>20200022</v>
      </c>
      <c r="E348" t="str" cm="1">
        <f t="array" ref="E348">INDEX('Linha 05'!$B$4:$B$1000,B348)</f>
        <v>Lava Roupas Aquafast Multiacao Cx/04 X 3l</v>
      </c>
      <c r="F348" cm="1">
        <f t="array" ref="F348">INDEX('Linha 05'!$C$3:$ZZ$3,C348)</f>
        <v>20040091</v>
      </c>
      <c r="G348" t="str" cm="1">
        <f t="array" ref="G348">INDEX('Linha 05'!$C$2:$ZZ$2,C348)</f>
        <v>Amaciante Aquafast Roxo Cx/04 X 5l (Magia) Emb. Econ</v>
      </c>
      <c r="H348" s="5" cm="1">
        <f t="array" ref="H348">INDEX('Linha 05'!$C$4:$ZZ$1000,B348,C348)</f>
        <v>3.4722222222222203E-2</v>
      </c>
      <c r="I348" t="str">
        <f t="shared" si="17"/>
        <v>20200022 20040091</v>
      </c>
      <c r="J348" s="5">
        <v>3.4722222222222203E-2</v>
      </c>
    </row>
    <row r="349" spans="1:10" x14ac:dyDescent="0.25">
      <c r="A349">
        <v>347</v>
      </c>
      <c r="B349">
        <f t="shared" si="15"/>
        <v>17</v>
      </c>
      <c r="C349">
        <f t="shared" si="16"/>
        <v>11</v>
      </c>
      <c r="D349" cm="1">
        <f t="array" ref="D349">INDEX('Linha 05'!$A$4:$A$1000,B349)</f>
        <v>20200022</v>
      </c>
      <c r="E349" t="str" cm="1">
        <f t="array" ref="E349">INDEX('Linha 05'!$B$4:$B$1000,B349)</f>
        <v>Lava Roupas Aquafast Multiacao Cx/04 X 3l</v>
      </c>
      <c r="F349" cm="1">
        <f t="array" ref="F349">INDEX('Linha 05'!$C$3:$ZZ$3,C349)</f>
        <v>20040095</v>
      </c>
      <c r="G349" t="str" cm="1">
        <f t="array" ref="G349">INDEX('Linha 05'!$C$2:$ZZ$2,C349)</f>
        <v>Amaciante Aquafast Energia Cx/04 X 5l Emb. Econ</v>
      </c>
      <c r="H349" s="5" cm="1">
        <f t="array" ref="H349">INDEX('Linha 05'!$C$4:$ZZ$1000,B349,C349)</f>
        <v>3.4722222222222224E-2</v>
      </c>
      <c r="I349" t="str">
        <f t="shared" si="17"/>
        <v>20200022 20040095</v>
      </c>
      <c r="J349" s="5">
        <v>3.4722222222222224E-2</v>
      </c>
    </row>
    <row r="350" spans="1:10" x14ac:dyDescent="0.25">
      <c r="A350">
        <v>348</v>
      </c>
      <c r="B350">
        <f t="shared" si="15"/>
        <v>17</v>
      </c>
      <c r="C350">
        <f t="shared" si="16"/>
        <v>12</v>
      </c>
      <c r="D350" cm="1">
        <f t="array" ref="D350">INDEX('Linha 05'!$A$4:$A$1000,B350)</f>
        <v>20200022</v>
      </c>
      <c r="E350" t="str" cm="1">
        <f t="array" ref="E350">INDEX('Linha 05'!$B$4:$B$1000,B350)</f>
        <v>Lava Roupas Aquafast Multiacao Cx/04 X 3l</v>
      </c>
      <c r="F350" cm="1">
        <f t="array" ref="F350">INDEX('Linha 05'!$C$3:$ZZ$3,C350)</f>
        <v>20150028</v>
      </c>
      <c r="G350" t="str" cm="1">
        <f t="array" ref="G350">INDEX('Linha 05'!$C$2:$ZZ$2,C350)</f>
        <v>Amac. Conc. Aquafast Branco Ternura Cx/ 04 X 3l</v>
      </c>
      <c r="H350" s="5" cm="1">
        <f t="array" ref="H350">INDEX('Linha 05'!$C$4:$ZZ$1000,B350,C350)</f>
        <v>1.3888888888888888E-2</v>
      </c>
      <c r="I350" t="str">
        <f t="shared" si="17"/>
        <v>20200022 20150028</v>
      </c>
      <c r="J350" s="5">
        <v>1.3888888888888888E-2</v>
      </c>
    </row>
    <row r="351" spans="1:10" x14ac:dyDescent="0.25">
      <c r="A351">
        <v>349</v>
      </c>
      <c r="B351">
        <f t="shared" si="15"/>
        <v>17</v>
      </c>
      <c r="C351">
        <f t="shared" si="16"/>
        <v>13</v>
      </c>
      <c r="D351" cm="1">
        <f t="array" ref="D351">INDEX('Linha 05'!$A$4:$A$1000,B351)</f>
        <v>20200022</v>
      </c>
      <c r="E351" t="str" cm="1">
        <f t="array" ref="E351">INDEX('Linha 05'!$B$4:$B$1000,B351)</f>
        <v>Lava Roupas Aquafast Multiacao Cx/04 X 3l</v>
      </c>
      <c r="F351" cm="1">
        <f t="array" ref="F351">INDEX('Linha 05'!$C$3:$ZZ$3,C351)</f>
        <v>20150051</v>
      </c>
      <c r="G351" t="str" cm="1">
        <f t="array" ref="G351">INDEX('Linha 05'!$C$2:$ZZ$2,C351)</f>
        <v>Amac. Conc. Aquafast Azul Harmonia Cx/ 04 X 3l</v>
      </c>
      <c r="H351" s="5" cm="1">
        <f t="array" ref="H351">INDEX('Linha 05'!$C$4:$ZZ$1000,B351,C351)</f>
        <v>1.3888888888888888E-2</v>
      </c>
      <c r="I351" t="str">
        <f t="shared" si="17"/>
        <v>20200022 20150051</v>
      </c>
      <c r="J351" s="5">
        <v>1.3888888888888888E-2</v>
      </c>
    </row>
    <row r="352" spans="1:10" x14ac:dyDescent="0.25">
      <c r="A352">
        <v>350</v>
      </c>
      <c r="B352">
        <f t="shared" si="15"/>
        <v>17</v>
      </c>
      <c r="C352">
        <f t="shared" si="16"/>
        <v>14</v>
      </c>
      <c r="D352" cm="1">
        <f t="array" ref="D352">INDEX('Linha 05'!$A$4:$A$1000,B352)</f>
        <v>20200022</v>
      </c>
      <c r="E352" t="str" cm="1">
        <f t="array" ref="E352">INDEX('Linha 05'!$B$4:$B$1000,B352)</f>
        <v>Lava Roupas Aquafast Multiacao Cx/04 X 3l</v>
      </c>
      <c r="F352" cm="1">
        <f t="array" ref="F352">INDEX('Linha 05'!$C$3:$ZZ$3,C352)</f>
        <v>20200009</v>
      </c>
      <c r="G352" t="str" cm="1">
        <f t="array" ref="G352">INDEX('Linha 05'!$C$2:$ZZ$2,C352)</f>
        <v>Lava Roupas Aquafast Multi Acao Cx/04 X 5l (Emb Econ)</v>
      </c>
      <c r="H352" s="5" cm="1">
        <f t="array" ref="H352">INDEX('Linha 05'!$C$4:$ZZ$1000,B352,C352)</f>
        <v>3.4722222222222224E-2</v>
      </c>
      <c r="I352" t="str">
        <f t="shared" si="17"/>
        <v>20200022 20200009</v>
      </c>
      <c r="J352" s="5">
        <v>3.4722222222222224E-2</v>
      </c>
    </row>
    <row r="353" spans="1:10" x14ac:dyDescent="0.25">
      <c r="A353">
        <v>351</v>
      </c>
      <c r="B353">
        <f t="shared" si="15"/>
        <v>17</v>
      </c>
      <c r="C353">
        <f t="shared" si="16"/>
        <v>15</v>
      </c>
      <c r="D353" cm="1">
        <f t="array" ref="D353">INDEX('Linha 05'!$A$4:$A$1000,B353)</f>
        <v>20200022</v>
      </c>
      <c r="E353" t="str" cm="1">
        <f t="array" ref="E353">INDEX('Linha 05'!$B$4:$B$1000,B353)</f>
        <v>Lava Roupas Aquafast Multiacao Cx/04 X 3l</v>
      </c>
      <c r="F353" cm="1">
        <f t="array" ref="F353">INDEX('Linha 05'!$C$3:$ZZ$3,C353)</f>
        <v>20200014</v>
      </c>
      <c r="G353" t="str" cm="1">
        <f t="array" ref="G353">INDEX('Linha 05'!$C$2:$ZZ$2,C353)</f>
        <v>Lava Roupas Aquafast Glicerina Cx/04 X 5l</v>
      </c>
      <c r="H353" s="5" cm="1">
        <f t="array" ref="H353">INDEX('Linha 05'!$C$4:$ZZ$1000,B353,C353)</f>
        <v>3.4722222222222224E-2</v>
      </c>
      <c r="I353" t="str">
        <f t="shared" si="17"/>
        <v>20200022 20200014</v>
      </c>
      <c r="J353" s="5">
        <v>3.4722222222222224E-2</v>
      </c>
    </row>
    <row r="354" spans="1:10" x14ac:dyDescent="0.25">
      <c r="A354">
        <v>352</v>
      </c>
      <c r="B354">
        <f t="shared" si="15"/>
        <v>17</v>
      </c>
      <c r="C354">
        <f t="shared" si="16"/>
        <v>16</v>
      </c>
      <c r="D354" cm="1">
        <f t="array" ref="D354">INDEX('Linha 05'!$A$4:$A$1000,B354)</f>
        <v>20200022</v>
      </c>
      <c r="E354" t="str" cm="1">
        <f t="array" ref="E354">INDEX('Linha 05'!$B$4:$B$1000,B354)</f>
        <v>Lava Roupas Aquafast Multiacao Cx/04 X 3l</v>
      </c>
      <c r="F354" cm="1">
        <f t="array" ref="F354">INDEX('Linha 05'!$C$3:$ZZ$3,C354)</f>
        <v>20200020</v>
      </c>
      <c r="G354" t="str" cm="1">
        <f t="array" ref="G354">INDEX('Linha 05'!$C$2:$ZZ$2,C354)</f>
        <v>Lava Roupas Aquafast Glicerina Cx/04 X 3l</v>
      </c>
      <c r="H354" s="5" cm="1">
        <f t="array" ref="H354">INDEX('Linha 05'!$C$4:$ZZ$1000,B354,C354)</f>
        <v>6.9444444444444441E-3</v>
      </c>
      <c r="I354" t="str">
        <f t="shared" si="17"/>
        <v>20200022 20200020</v>
      </c>
      <c r="J354" s="5">
        <v>6.9444444444444441E-3</v>
      </c>
    </row>
    <row r="355" spans="1:10" x14ac:dyDescent="0.25">
      <c r="A355">
        <v>353</v>
      </c>
      <c r="B355">
        <f t="shared" si="15"/>
        <v>17</v>
      </c>
      <c r="C355">
        <f t="shared" si="16"/>
        <v>17</v>
      </c>
      <c r="D355" cm="1">
        <f t="array" ref="D355">INDEX('Linha 05'!$A$4:$A$1000,B355)</f>
        <v>20200022</v>
      </c>
      <c r="E355" t="str" cm="1">
        <f t="array" ref="E355">INDEX('Linha 05'!$B$4:$B$1000,B355)</f>
        <v>Lava Roupas Aquafast Multiacao Cx/04 X 3l</v>
      </c>
      <c r="F355" cm="1">
        <f t="array" ref="F355">INDEX('Linha 05'!$C$3:$ZZ$3,C355)</f>
        <v>20200022</v>
      </c>
      <c r="G355" t="str" cm="1">
        <f t="array" ref="G355">INDEX('Linha 05'!$C$2:$ZZ$2,C355)</f>
        <v>Lava Roupas Aquafast Multiacao Cx/04 X 3l</v>
      </c>
      <c r="H355" s="5" cm="1">
        <f t="array" ref="H355">INDEX('Linha 05'!$C$4:$ZZ$1000,B355,C355)</f>
        <v>0</v>
      </c>
      <c r="I355" t="str">
        <f t="shared" si="17"/>
        <v>20200022 20200022</v>
      </c>
      <c r="J355" s="5">
        <v>0</v>
      </c>
    </row>
    <row r="356" spans="1:10" x14ac:dyDescent="0.25">
      <c r="A356">
        <v>354</v>
      </c>
      <c r="B356">
        <f t="shared" si="15"/>
        <v>17</v>
      </c>
      <c r="C356">
        <f t="shared" si="16"/>
        <v>18</v>
      </c>
      <c r="D356" cm="1">
        <f t="array" ref="D356">INDEX('Linha 05'!$A$4:$A$1000,B356)</f>
        <v>20200022</v>
      </c>
      <c r="E356" t="str" cm="1">
        <f t="array" ref="E356">INDEX('Linha 05'!$B$4:$B$1000,B356)</f>
        <v>Lava Roupas Aquafast Multiacao Cx/04 X 3l</v>
      </c>
      <c r="F356" cm="1">
        <f t="array" ref="F356">INDEX('Linha 05'!$C$3:$ZZ$3,C356)</f>
        <v>20200026</v>
      </c>
      <c r="G356" t="str" cm="1">
        <f t="array" ref="G356">INDEX('Linha 05'!$C$2:$ZZ$2,C356)</f>
        <v>Lava Roupas Aquafast Ternura Cx/04 X 3l</v>
      </c>
      <c r="H356" s="5" cm="1">
        <f t="array" ref="H356">INDEX('Linha 05'!$C$4:$ZZ$1000,B356,C356)</f>
        <v>6.9444444444444441E-3</v>
      </c>
      <c r="I356" t="str">
        <f t="shared" si="17"/>
        <v>20200022 20200026</v>
      </c>
      <c r="J356" s="5">
        <v>6.9444444444444441E-3</v>
      </c>
    </row>
    <row r="357" spans="1:10" x14ac:dyDescent="0.25">
      <c r="A357">
        <v>355</v>
      </c>
      <c r="B357">
        <f t="shared" si="15"/>
        <v>17</v>
      </c>
      <c r="C357">
        <f t="shared" si="16"/>
        <v>19</v>
      </c>
      <c r="D357" cm="1">
        <f t="array" ref="D357">INDEX('Linha 05'!$A$4:$A$1000,B357)</f>
        <v>20200022</v>
      </c>
      <c r="E357" t="str" cm="1">
        <f t="array" ref="E357">INDEX('Linha 05'!$B$4:$B$1000,B357)</f>
        <v>Lava Roupas Aquafast Multiacao Cx/04 X 3l</v>
      </c>
      <c r="F357" cm="1">
        <f t="array" ref="F357">INDEX('Linha 05'!$C$3:$ZZ$3,C357)</f>
        <v>20200027</v>
      </c>
      <c r="G357" t="str" cm="1">
        <f t="array" ref="G357">INDEX('Linha 05'!$C$2:$ZZ$2,C357)</f>
        <v>Lava Roupas Aquafast Ternura C/04 X 5l (Emb Econ)</v>
      </c>
      <c r="H357" s="5" cm="1">
        <f t="array" ref="H357">INDEX('Linha 05'!$C$4:$ZZ$1000,B357,C357)</f>
        <v>3.4722222222222224E-2</v>
      </c>
      <c r="I357" t="str">
        <f t="shared" si="17"/>
        <v>20200022 20200027</v>
      </c>
      <c r="J357" s="5">
        <v>3.4722222222222224E-2</v>
      </c>
    </row>
    <row r="358" spans="1:10" x14ac:dyDescent="0.25">
      <c r="A358">
        <v>356</v>
      </c>
      <c r="B358">
        <f t="shared" si="15"/>
        <v>17</v>
      </c>
      <c r="C358">
        <f t="shared" si="16"/>
        <v>20</v>
      </c>
      <c r="D358" cm="1">
        <f t="array" ref="D358">INDEX('Linha 05'!$A$4:$A$1000,B358)</f>
        <v>20200022</v>
      </c>
      <c r="E358" t="str" cm="1">
        <f t="array" ref="E358">INDEX('Linha 05'!$B$4:$B$1000,B358)</f>
        <v>Lava Roupas Aquafast Multiacao Cx/04 X 3l</v>
      </c>
      <c r="F358" cm="1">
        <f t="array" ref="F358">INDEX('Linha 05'!$C$3:$ZZ$3,C358)</f>
        <v>20200058</v>
      </c>
      <c r="G358" t="str" cm="1">
        <f t="array" ref="G358">INDEX('Linha 05'!$C$2:$ZZ$2,C358)</f>
        <v>Lava Roupas Aquafast Flores Brancas E Baunilha Cx/4 X 3l</v>
      </c>
      <c r="H358" s="5" cm="1">
        <f t="array" ref="H358">INDEX('Linha 05'!$C$4:$ZZ$1000,B358,C358)</f>
        <v>6.9444444444444441E-3</v>
      </c>
      <c r="I358" t="str">
        <f t="shared" si="17"/>
        <v>20200022 20200058</v>
      </c>
      <c r="J358" s="5">
        <v>6.9444444444444441E-3</v>
      </c>
    </row>
    <row r="359" spans="1:10" x14ac:dyDescent="0.25">
      <c r="A359">
        <v>357</v>
      </c>
      <c r="B359">
        <f t="shared" si="15"/>
        <v>17</v>
      </c>
      <c r="C359">
        <f t="shared" si="16"/>
        <v>21</v>
      </c>
      <c r="D359" cm="1">
        <f t="array" ref="D359">INDEX('Linha 05'!$A$4:$A$1000,B359)</f>
        <v>20200022</v>
      </c>
      <c r="E359" t="str" cm="1">
        <f t="array" ref="E359">INDEX('Linha 05'!$B$4:$B$1000,B359)</f>
        <v>Lava Roupas Aquafast Multiacao Cx/04 X 3l</v>
      </c>
      <c r="F359" cm="1">
        <f t="array" ref="F359">INDEX('Linha 05'!$C$3:$ZZ$3,C359)</f>
        <v>20200077</v>
      </c>
      <c r="G359" t="str" cm="1">
        <f t="array" ref="G359">INDEX('Linha 05'!$C$2:$ZZ$2,C359)</f>
        <v>Lava Roupas Aquafast Alta Performance 7l</v>
      </c>
      <c r="H359" s="5" cm="1">
        <f t="array" ref="H359">INDEX('Linha 05'!$C$4:$ZZ$1000,B359,C359)</f>
        <v>3.4722222222222224E-2</v>
      </c>
      <c r="I359" t="str">
        <f t="shared" si="17"/>
        <v>20200022 20200077</v>
      </c>
      <c r="J359" s="5">
        <v>3.4722222222222224E-2</v>
      </c>
    </row>
    <row r="360" spans="1:10" x14ac:dyDescent="0.25">
      <c r="A360">
        <v>358</v>
      </c>
      <c r="B360">
        <f t="shared" si="15"/>
        <v>18</v>
      </c>
      <c r="C360">
        <f t="shared" si="16"/>
        <v>1</v>
      </c>
      <c r="D360" cm="1">
        <f t="array" ref="D360">INDEX('Linha 05'!$A$4:$A$1000,B360)</f>
        <v>20200026</v>
      </c>
      <c r="E360" t="str" cm="1">
        <f t="array" ref="E360">INDEX('Linha 05'!$B$4:$B$1000,B360)</f>
        <v>Lava Roupas Aquafast Ternura Cx/04 X 3l</v>
      </c>
      <c r="F360" cm="1">
        <f t="array" ref="F360">INDEX('Linha 05'!$C$3:$ZZ$3,C360)</f>
        <v>20030008</v>
      </c>
      <c r="G360" t="str" cm="1">
        <f t="array" ref="G360">INDEX('Linha 05'!$C$2:$ZZ$2,C360)</f>
        <v>Detergente Aquafast Limao Cx/04 X 5l (Emb Econ)</v>
      </c>
      <c r="H360" s="5" cm="1">
        <f t="array" ref="H360">INDEX('Linha 05'!$C$4:$ZZ$1000,B360,C360)</f>
        <v>3.4722222222222224E-2</v>
      </c>
      <c r="I360" t="str">
        <f t="shared" si="17"/>
        <v>20200026 20030008</v>
      </c>
      <c r="J360" s="5">
        <v>3.4722222222222224E-2</v>
      </c>
    </row>
    <row r="361" spans="1:10" x14ac:dyDescent="0.25">
      <c r="A361">
        <v>359</v>
      </c>
      <c r="B361">
        <f t="shared" si="15"/>
        <v>18</v>
      </c>
      <c r="C361">
        <f t="shared" si="16"/>
        <v>2</v>
      </c>
      <c r="D361" cm="1">
        <f t="array" ref="D361">INDEX('Linha 05'!$A$4:$A$1000,B361)</f>
        <v>20200026</v>
      </c>
      <c r="E361" t="str" cm="1">
        <f t="array" ref="E361">INDEX('Linha 05'!$B$4:$B$1000,B361)</f>
        <v>Lava Roupas Aquafast Ternura Cx/04 X 3l</v>
      </c>
      <c r="F361" cm="1">
        <f t="array" ref="F361">INDEX('Linha 05'!$C$3:$ZZ$3,C361)</f>
        <v>20030009</v>
      </c>
      <c r="G361" t="str" cm="1">
        <f t="array" ref="G361">INDEX('Linha 05'!$C$2:$ZZ$2,C361)</f>
        <v>Detergente Aquafast Neutro Cx/04 X 5l (Emb Econ)</v>
      </c>
      <c r="H361" s="5" cm="1">
        <f t="array" ref="H361">INDEX('Linha 05'!$C$4:$ZZ$1000,B361,C361)</f>
        <v>3.4722222222222224E-2</v>
      </c>
      <c r="I361" t="str">
        <f t="shared" si="17"/>
        <v>20200026 20030009</v>
      </c>
      <c r="J361" s="5">
        <v>3.4722222222222224E-2</v>
      </c>
    </row>
    <row r="362" spans="1:10" x14ac:dyDescent="0.25">
      <c r="A362">
        <v>360</v>
      </c>
      <c r="B362">
        <f t="shared" si="15"/>
        <v>18</v>
      </c>
      <c r="C362">
        <f t="shared" si="16"/>
        <v>3</v>
      </c>
      <c r="D362" cm="1">
        <f t="array" ref="D362">INDEX('Linha 05'!$A$4:$A$1000,B362)</f>
        <v>20200026</v>
      </c>
      <c r="E362" t="str" cm="1">
        <f t="array" ref="E362">INDEX('Linha 05'!$B$4:$B$1000,B362)</f>
        <v>Lava Roupas Aquafast Ternura Cx/04 X 3l</v>
      </c>
      <c r="F362" cm="1">
        <f t="array" ref="F362">INDEX('Linha 05'!$C$3:$ZZ$3,C362)</f>
        <v>20030010</v>
      </c>
      <c r="G362" t="str" cm="1">
        <f t="array" ref="G362">INDEX('Linha 05'!$C$2:$ZZ$2,C362)</f>
        <v>Detergente Aquafast Clear Cx/04 X 5l (Emb Econ)</v>
      </c>
      <c r="H362" s="5" cm="1">
        <f t="array" ref="H362">INDEX('Linha 05'!$C$4:$ZZ$1000,B362,C362)</f>
        <v>3.4722222222222203E-2</v>
      </c>
      <c r="I362" t="str">
        <f t="shared" si="17"/>
        <v>20200026 20030010</v>
      </c>
      <c r="J362" s="5">
        <v>3.4722222222222203E-2</v>
      </c>
    </row>
    <row r="363" spans="1:10" x14ac:dyDescent="0.25">
      <c r="A363">
        <v>361</v>
      </c>
      <c r="B363">
        <f t="shared" si="15"/>
        <v>18</v>
      </c>
      <c r="C363">
        <f t="shared" si="16"/>
        <v>4</v>
      </c>
      <c r="D363" cm="1">
        <f t="array" ref="D363">INDEX('Linha 05'!$A$4:$A$1000,B363)</f>
        <v>20200026</v>
      </c>
      <c r="E363" t="str" cm="1">
        <f t="array" ref="E363">INDEX('Linha 05'!$B$4:$B$1000,B363)</f>
        <v>Lava Roupas Aquafast Ternura Cx/04 X 3l</v>
      </c>
      <c r="F363" cm="1">
        <f t="array" ref="F363">INDEX('Linha 05'!$C$3:$ZZ$3,C363)</f>
        <v>20030024</v>
      </c>
      <c r="G363" t="str" cm="1">
        <f t="array" ref="G363">INDEX('Linha 05'!$C$2:$ZZ$2,C363)</f>
        <v>Detergente Ito Neutro Cx/04 X 5l</v>
      </c>
      <c r="H363" s="5" cm="1">
        <f t="array" ref="H363">INDEX('Linha 05'!$C$4:$ZZ$1000,B363,C363)</f>
        <v>3.4722222222222203E-2</v>
      </c>
      <c r="I363" t="str">
        <f t="shared" si="17"/>
        <v>20200026 20030024</v>
      </c>
      <c r="J363" s="5">
        <v>3.4722222222222203E-2</v>
      </c>
    </row>
    <row r="364" spans="1:10" x14ac:dyDescent="0.25">
      <c r="A364">
        <v>362</v>
      </c>
      <c r="B364">
        <f t="shared" si="15"/>
        <v>18</v>
      </c>
      <c r="C364">
        <f t="shared" si="16"/>
        <v>5</v>
      </c>
      <c r="D364" cm="1">
        <f t="array" ref="D364">INDEX('Linha 05'!$A$4:$A$1000,B364)</f>
        <v>20200026</v>
      </c>
      <c r="E364" t="str" cm="1">
        <f t="array" ref="E364">INDEX('Linha 05'!$B$4:$B$1000,B364)</f>
        <v>Lava Roupas Aquafast Ternura Cx/04 X 3l</v>
      </c>
      <c r="F364" cm="1">
        <f t="array" ref="F364">INDEX('Linha 05'!$C$3:$ZZ$3,C364)</f>
        <v>20030083</v>
      </c>
      <c r="G364" t="str" cm="1">
        <f t="array" ref="G364">INDEX('Linha 05'!$C$2:$ZZ$2,C364)</f>
        <v>Detergente Ito Clear Cx/04 X 5l</v>
      </c>
      <c r="H364" s="5" cm="1">
        <f t="array" ref="H364">INDEX('Linha 05'!$C$4:$ZZ$1000,B364,C364)</f>
        <v>3.4722222222222203E-2</v>
      </c>
      <c r="I364" t="str">
        <f t="shared" si="17"/>
        <v>20200026 20030083</v>
      </c>
      <c r="J364" s="5">
        <v>3.4722222222222203E-2</v>
      </c>
    </row>
    <row r="365" spans="1:10" x14ac:dyDescent="0.25">
      <c r="A365">
        <v>363</v>
      </c>
      <c r="B365">
        <f t="shared" si="15"/>
        <v>18</v>
      </c>
      <c r="C365">
        <f t="shared" si="16"/>
        <v>6</v>
      </c>
      <c r="D365" cm="1">
        <f t="array" ref="D365">INDEX('Linha 05'!$A$4:$A$1000,B365)</f>
        <v>20200026</v>
      </c>
      <c r="E365" t="str" cm="1">
        <f t="array" ref="E365">INDEX('Linha 05'!$B$4:$B$1000,B365)</f>
        <v>Lava Roupas Aquafast Ternura Cx/04 X 3l</v>
      </c>
      <c r="F365" cm="1">
        <f t="array" ref="F365">INDEX('Linha 05'!$C$3:$ZZ$3,C365)</f>
        <v>20040030</v>
      </c>
      <c r="G365" t="str" cm="1">
        <f t="array" ref="G365">INDEX('Linha 05'!$C$2:$ZZ$2,C365)</f>
        <v>Amaciante Ito Azul Cx/04 X 5l</v>
      </c>
      <c r="H365" s="5" cm="1">
        <f t="array" ref="H365">INDEX('Linha 05'!$C$4:$ZZ$1000,B365,C365)</f>
        <v>3.4722222222222203E-2</v>
      </c>
      <c r="I365" t="str">
        <f t="shared" si="17"/>
        <v>20200026 20040030</v>
      </c>
      <c r="J365" s="5">
        <v>3.4722222222222203E-2</v>
      </c>
    </row>
    <row r="366" spans="1:10" x14ac:dyDescent="0.25">
      <c r="A366">
        <v>364</v>
      </c>
      <c r="B366">
        <f t="shared" si="15"/>
        <v>18</v>
      </c>
      <c r="C366">
        <f t="shared" si="16"/>
        <v>7</v>
      </c>
      <c r="D366" cm="1">
        <f t="array" ref="D366">INDEX('Linha 05'!$A$4:$A$1000,B366)</f>
        <v>20200026</v>
      </c>
      <c r="E366" t="str" cm="1">
        <f t="array" ref="E366">INDEX('Linha 05'!$B$4:$B$1000,B366)</f>
        <v>Lava Roupas Aquafast Ternura Cx/04 X 3l</v>
      </c>
      <c r="F366" cm="1">
        <f t="array" ref="F366">INDEX('Linha 05'!$C$3:$ZZ$3,C366)</f>
        <v>20040074</v>
      </c>
      <c r="G366" t="str" cm="1">
        <f t="array" ref="G366">INDEX('Linha 05'!$C$2:$ZZ$2,C366)</f>
        <v>Amaciante Aquafast Azul Cx C/04 X 5l (Fresc Manh) Emb. Econ</v>
      </c>
      <c r="H366" s="5" cm="1">
        <f t="array" ref="H366">INDEX('Linha 05'!$C$4:$ZZ$1000,B366,C366)</f>
        <v>3.4722222222222203E-2</v>
      </c>
      <c r="I366" t="str">
        <f t="shared" si="17"/>
        <v>20200026 20040074</v>
      </c>
      <c r="J366" s="5">
        <v>3.4722222222222203E-2</v>
      </c>
    </row>
    <row r="367" spans="1:10" x14ac:dyDescent="0.25">
      <c r="A367">
        <v>365</v>
      </c>
      <c r="B367">
        <f t="shared" si="15"/>
        <v>18</v>
      </c>
      <c r="C367">
        <f t="shared" si="16"/>
        <v>8</v>
      </c>
      <c r="D367" cm="1">
        <f t="array" ref="D367">INDEX('Linha 05'!$A$4:$A$1000,B367)</f>
        <v>20200026</v>
      </c>
      <c r="E367" t="str" cm="1">
        <f t="array" ref="E367">INDEX('Linha 05'!$B$4:$B$1000,B367)</f>
        <v>Lava Roupas Aquafast Ternura Cx/04 X 3l</v>
      </c>
      <c r="F367" cm="1">
        <f t="array" ref="F367">INDEX('Linha 05'!$C$3:$ZZ$3,C367)</f>
        <v>20040075</v>
      </c>
      <c r="G367" t="str" cm="1">
        <f t="array" ref="G367">INDEX('Linha 05'!$C$2:$ZZ$2,C367)</f>
        <v>Amaciante Aquafast Rosa Cx C/04 X 5l (Jard Flor) Emb. Econ</v>
      </c>
      <c r="H367" s="5" cm="1">
        <f t="array" ref="H367">INDEX('Linha 05'!$C$4:$ZZ$1000,B367,C367)</f>
        <v>3.4722222222222203E-2</v>
      </c>
      <c r="I367" t="str">
        <f t="shared" si="17"/>
        <v>20200026 20040075</v>
      </c>
      <c r="J367" s="5">
        <v>3.4722222222222203E-2</v>
      </c>
    </row>
    <row r="368" spans="1:10" x14ac:dyDescent="0.25">
      <c r="A368">
        <v>366</v>
      </c>
      <c r="B368">
        <f t="shared" si="15"/>
        <v>18</v>
      </c>
      <c r="C368">
        <f t="shared" si="16"/>
        <v>9</v>
      </c>
      <c r="D368" cm="1">
        <f t="array" ref="D368">INDEX('Linha 05'!$A$4:$A$1000,B368)</f>
        <v>20200026</v>
      </c>
      <c r="E368" t="str" cm="1">
        <f t="array" ref="E368">INDEX('Linha 05'!$B$4:$B$1000,B368)</f>
        <v>Lava Roupas Aquafast Ternura Cx/04 X 3l</v>
      </c>
      <c r="F368" cm="1">
        <f t="array" ref="F368">INDEX('Linha 05'!$C$3:$ZZ$3,C368)</f>
        <v>20040086</v>
      </c>
      <c r="G368" t="str" cm="1">
        <f t="array" ref="G368">INDEX('Linha 05'!$C$2:$ZZ$2,C368)</f>
        <v>Amaciante Aquafast Vermelho Cx/04 X 5l (Seducao) Emb. Econ</v>
      </c>
      <c r="H368" s="5" cm="1">
        <f t="array" ref="H368">INDEX('Linha 05'!$C$4:$ZZ$1000,B368,C368)</f>
        <v>3.4722222222222203E-2</v>
      </c>
      <c r="I368" t="str">
        <f t="shared" si="17"/>
        <v>20200026 20040086</v>
      </c>
      <c r="J368" s="5">
        <v>3.4722222222222203E-2</v>
      </c>
    </row>
    <row r="369" spans="1:10" x14ac:dyDescent="0.25">
      <c r="A369">
        <v>367</v>
      </c>
      <c r="B369">
        <f t="shared" si="15"/>
        <v>18</v>
      </c>
      <c r="C369">
        <f t="shared" si="16"/>
        <v>10</v>
      </c>
      <c r="D369" cm="1">
        <f t="array" ref="D369">INDEX('Linha 05'!$A$4:$A$1000,B369)</f>
        <v>20200026</v>
      </c>
      <c r="E369" t="str" cm="1">
        <f t="array" ref="E369">INDEX('Linha 05'!$B$4:$B$1000,B369)</f>
        <v>Lava Roupas Aquafast Ternura Cx/04 X 3l</v>
      </c>
      <c r="F369" cm="1">
        <f t="array" ref="F369">INDEX('Linha 05'!$C$3:$ZZ$3,C369)</f>
        <v>20040091</v>
      </c>
      <c r="G369" t="str" cm="1">
        <f t="array" ref="G369">INDEX('Linha 05'!$C$2:$ZZ$2,C369)</f>
        <v>Amaciante Aquafast Roxo Cx/04 X 5l (Magia) Emb. Econ</v>
      </c>
      <c r="H369" s="5" cm="1">
        <f t="array" ref="H369">INDEX('Linha 05'!$C$4:$ZZ$1000,B369,C369)</f>
        <v>3.4722222222222203E-2</v>
      </c>
      <c r="I369" t="str">
        <f t="shared" si="17"/>
        <v>20200026 20040091</v>
      </c>
      <c r="J369" s="5">
        <v>3.4722222222222203E-2</v>
      </c>
    </row>
    <row r="370" spans="1:10" x14ac:dyDescent="0.25">
      <c r="A370">
        <v>368</v>
      </c>
      <c r="B370">
        <f t="shared" si="15"/>
        <v>18</v>
      </c>
      <c r="C370">
        <f t="shared" si="16"/>
        <v>11</v>
      </c>
      <c r="D370" cm="1">
        <f t="array" ref="D370">INDEX('Linha 05'!$A$4:$A$1000,B370)</f>
        <v>20200026</v>
      </c>
      <c r="E370" t="str" cm="1">
        <f t="array" ref="E370">INDEX('Linha 05'!$B$4:$B$1000,B370)</f>
        <v>Lava Roupas Aquafast Ternura Cx/04 X 3l</v>
      </c>
      <c r="F370" cm="1">
        <f t="array" ref="F370">INDEX('Linha 05'!$C$3:$ZZ$3,C370)</f>
        <v>20040095</v>
      </c>
      <c r="G370" t="str" cm="1">
        <f t="array" ref="G370">INDEX('Linha 05'!$C$2:$ZZ$2,C370)</f>
        <v>Amaciante Aquafast Energia Cx/04 X 5l Emb. Econ</v>
      </c>
      <c r="H370" s="5" cm="1">
        <f t="array" ref="H370">INDEX('Linha 05'!$C$4:$ZZ$1000,B370,C370)</f>
        <v>3.4722222222222224E-2</v>
      </c>
      <c r="I370" t="str">
        <f t="shared" si="17"/>
        <v>20200026 20040095</v>
      </c>
      <c r="J370" s="5">
        <v>3.4722222222222224E-2</v>
      </c>
    </row>
    <row r="371" spans="1:10" x14ac:dyDescent="0.25">
      <c r="A371">
        <v>369</v>
      </c>
      <c r="B371">
        <f t="shared" si="15"/>
        <v>18</v>
      </c>
      <c r="C371">
        <f t="shared" si="16"/>
        <v>12</v>
      </c>
      <c r="D371" cm="1">
        <f t="array" ref="D371">INDEX('Linha 05'!$A$4:$A$1000,B371)</f>
        <v>20200026</v>
      </c>
      <c r="E371" t="str" cm="1">
        <f t="array" ref="E371">INDEX('Linha 05'!$B$4:$B$1000,B371)</f>
        <v>Lava Roupas Aquafast Ternura Cx/04 X 3l</v>
      </c>
      <c r="F371" cm="1">
        <f t="array" ref="F371">INDEX('Linha 05'!$C$3:$ZZ$3,C371)</f>
        <v>20150028</v>
      </c>
      <c r="G371" t="str" cm="1">
        <f t="array" ref="G371">INDEX('Linha 05'!$C$2:$ZZ$2,C371)</f>
        <v>Amac. Conc. Aquafast Branco Ternura Cx/ 04 X 3l</v>
      </c>
      <c r="H371" s="5" cm="1">
        <f t="array" ref="H371">INDEX('Linha 05'!$C$4:$ZZ$1000,B371,C371)</f>
        <v>1.3888888888888888E-2</v>
      </c>
      <c r="I371" t="str">
        <f t="shared" si="17"/>
        <v>20200026 20150028</v>
      </c>
      <c r="J371" s="5">
        <v>1.3888888888888888E-2</v>
      </c>
    </row>
    <row r="372" spans="1:10" x14ac:dyDescent="0.25">
      <c r="A372">
        <v>370</v>
      </c>
      <c r="B372">
        <f t="shared" si="15"/>
        <v>18</v>
      </c>
      <c r="C372">
        <f t="shared" si="16"/>
        <v>13</v>
      </c>
      <c r="D372" cm="1">
        <f t="array" ref="D372">INDEX('Linha 05'!$A$4:$A$1000,B372)</f>
        <v>20200026</v>
      </c>
      <c r="E372" t="str" cm="1">
        <f t="array" ref="E372">INDEX('Linha 05'!$B$4:$B$1000,B372)</f>
        <v>Lava Roupas Aquafast Ternura Cx/04 X 3l</v>
      </c>
      <c r="F372" cm="1">
        <f t="array" ref="F372">INDEX('Linha 05'!$C$3:$ZZ$3,C372)</f>
        <v>20150051</v>
      </c>
      <c r="G372" t="str" cm="1">
        <f t="array" ref="G372">INDEX('Linha 05'!$C$2:$ZZ$2,C372)</f>
        <v>Amac. Conc. Aquafast Azul Harmonia Cx/ 04 X 3l</v>
      </c>
      <c r="H372" s="5" cm="1">
        <f t="array" ref="H372">INDEX('Linha 05'!$C$4:$ZZ$1000,B372,C372)</f>
        <v>1.3888888888888888E-2</v>
      </c>
      <c r="I372" t="str">
        <f t="shared" si="17"/>
        <v>20200026 20150051</v>
      </c>
      <c r="J372" s="5">
        <v>1.3888888888888888E-2</v>
      </c>
    </row>
    <row r="373" spans="1:10" x14ac:dyDescent="0.25">
      <c r="A373">
        <v>371</v>
      </c>
      <c r="B373">
        <f t="shared" si="15"/>
        <v>18</v>
      </c>
      <c r="C373">
        <f t="shared" si="16"/>
        <v>14</v>
      </c>
      <c r="D373" cm="1">
        <f t="array" ref="D373">INDEX('Linha 05'!$A$4:$A$1000,B373)</f>
        <v>20200026</v>
      </c>
      <c r="E373" t="str" cm="1">
        <f t="array" ref="E373">INDEX('Linha 05'!$B$4:$B$1000,B373)</f>
        <v>Lava Roupas Aquafast Ternura Cx/04 X 3l</v>
      </c>
      <c r="F373" cm="1">
        <f t="array" ref="F373">INDEX('Linha 05'!$C$3:$ZZ$3,C373)</f>
        <v>20200009</v>
      </c>
      <c r="G373" t="str" cm="1">
        <f t="array" ref="G373">INDEX('Linha 05'!$C$2:$ZZ$2,C373)</f>
        <v>Lava Roupas Aquafast Multi Acao Cx/04 X 5l (Emb Econ)</v>
      </c>
      <c r="H373" s="5" cm="1">
        <f t="array" ref="H373">INDEX('Linha 05'!$C$4:$ZZ$1000,B373,C373)</f>
        <v>3.4722222222222224E-2</v>
      </c>
      <c r="I373" t="str">
        <f t="shared" si="17"/>
        <v>20200026 20200009</v>
      </c>
      <c r="J373" s="5">
        <v>3.4722222222222224E-2</v>
      </c>
    </row>
    <row r="374" spans="1:10" x14ac:dyDescent="0.25">
      <c r="A374">
        <v>372</v>
      </c>
      <c r="B374">
        <f t="shared" si="15"/>
        <v>18</v>
      </c>
      <c r="C374">
        <f t="shared" si="16"/>
        <v>15</v>
      </c>
      <c r="D374" cm="1">
        <f t="array" ref="D374">INDEX('Linha 05'!$A$4:$A$1000,B374)</f>
        <v>20200026</v>
      </c>
      <c r="E374" t="str" cm="1">
        <f t="array" ref="E374">INDEX('Linha 05'!$B$4:$B$1000,B374)</f>
        <v>Lava Roupas Aquafast Ternura Cx/04 X 3l</v>
      </c>
      <c r="F374" cm="1">
        <f t="array" ref="F374">INDEX('Linha 05'!$C$3:$ZZ$3,C374)</f>
        <v>20200014</v>
      </c>
      <c r="G374" t="str" cm="1">
        <f t="array" ref="G374">INDEX('Linha 05'!$C$2:$ZZ$2,C374)</f>
        <v>Lava Roupas Aquafast Glicerina Cx/04 X 5l</v>
      </c>
      <c r="H374" s="5" cm="1">
        <f t="array" ref="H374">INDEX('Linha 05'!$C$4:$ZZ$1000,B374,C374)</f>
        <v>3.4722222222222224E-2</v>
      </c>
      <c r="I374" t="str">
        <f t="shared" si="17"/>
        <v>20200026 20200014</v>
      </c>
      <c r="J374" s="5">
        <v>3.4722222222222224E-2</v>
      </c>
    </row>
    <row r="375" spans="1:10" x14ac:dyDescent="0.25">
      <c r="A375">
        <v>373</v>
      </c>
      <c r="B375">
        <f t="shared" si="15"/>
        <v>18</v>
      </c>
      <c r="C375">
        <f t="shared" si="16"/>
        <v>16</v>
      </c>
      <c r="D375" cm="1">
        <f t="array" ref="D375">INDEX('Linha 05'!$A$4:$A$1000,B375)</f>
        <v>20200026</v>
      </c>
      <c r="E375" t="str" cm="1">
        <f t="array" ref="E375">INDEX('Linha 05'!$B$4:$B$1000,B375)</f>
        <v>Lava Roupas Aquafast Ternura Cx/04 X 3l</v>
      </c>
      <c r="F375" cm="1">
        <f t="array" ref="F375">INDEX('Linha 05'!$C$3:$ZZ$3,C375)</f>
        <v>20200020</v>
      </c>
      <c r="G375" t="str" cm="1">
        <f t="array" ref="G375">INDEX('Linha 05'!$C$2:$ZZ$2,C375)</f>
        <v>Lava Roupas Aquafast Glicerina Cx/04 X 3l</v>
      </c>
      <c r="H375" s="5" cm="1">
        <f t="array" ref="H375">INDEX('Linha 05'!$C$4:$ZZ$1000,B375,C375)</f>
        <v>6.9444444444444441E-3</v>
      </c>
      <c r="I375" t="str">
        <f t="shared" si="17"/>
        <v>20200026 20200020</v>
      </c>
      <c r="J375" s="5">
        <v>6.9444444444444441E-3</v>
      </c>
    </row>
    <row r="376" spans="1:10" x14ac:dyDescent="0.25">
      <c r="A376">
        <v>374</v>
      </c>
      <c r="B376">
        <f t="shared" si="15"/>
        <v>18</v>
      </c>
      <c r="C376">
        <f t="shared" si="16"/>
        <v>17</v>
      </c>
      <c r="D376" cm="1">
        <f t="array" ref="D376">INDEX('Linha 05'!$A$4:$A$1000,B376)</f>
        <v>20200026</v>
      </c>
      <c r="E376" t="str" cm="1">
        <f t="array" ref="E376">INDEX('Linha 05'!$B$4:$B$1000,B376)</f>
        <v>Lava Roupas Aquafast Ternura Cx/04 X 3l</v>
      </c>
      <c r="F376" cm="1">
        <f t="array" ref="F376">INDEX('Linha 05'!$C$3:$ZZ$3,C376)</f>
        <v>20200022</v>
      </c>
      <c r="G376" t="str" cm="1">
        <f t="array" ref="G376">INDEX('Linha 05'!$C$2:$ZZ$2,C376)</f>
        <v>Lava Roupas Aquafast Multiacao Cx/04 X 3l</v>
      </c>
      <c r="H376" s="5" cm="1">
        <f t="array" ref="H376">INDEX('Linha 05'!$C$4:$ZZ$1000,B376,C376)</f>
        <v>6.9444444444444441E-3</v>
      </c>
      <c r="I376" t="str">
        <f t="shared" si="17"/>
        <v>20200026 20200022</v>
      </c>
      <c r="J376" s="5">
        <v>6.9444444444444441E-3</v>
      </c>
    </row>
    <row r="377" spans="1:10" x14ac:dyDescent="0.25">
      <c r="A377">
        <v>375</v>
      </c>
      <c r="B377">
        <f t="shared" si="15"/>
        <v>18</v>
      </c>
      <c r="C377">
        <f t="shared" si="16"/>
        <v>18</v>
      </c>
      <c r="D377" cm="1">
        <f t="array" ref="D377">INDEX('Linha 05'!$A$4:$A$1000,B377)</f>
        <v>20200026</v>
      </c>
      <c r="E377" t="str" cm="1">
        <f t="array" ref="E377">INDEX('Linha 05'!$B$4:$B$1000,B377)</f>
        <v>Lava Roupas Aquafast Ternura Cx/04 X 3l</v>
      </c>
      <c r="F377" cm="1">
        <f t="array" ref="F377">INDEX('Linha 05'!$C$3:$ZZ$3,C377)</f>
        <v>20200026</v>
      </c>
      <c r="G377" t="str" cm="1">
        <f t="array" ref="G377">INDEX('Linha 05'!$C$2:$ZZ$2,C377)</f>
        <v>Lava Roupas Aquafast Ternura Cx/04 X 3l</v>
      </c>
      <c r="H377" s="5" cm="1">
        <f t="array" ref="H377">INDEX('Linha 05'!$C$4:$ZZ$1000,B377,C377)</f>
        <v>0</v>
      </c>
      <c r="I377" t="str">
        <f t="shared" si="17"/>
        <v>20200026 20200026</v>
      </c>
      <c r="J377" s="5">
        <v>0</v>
      </c>
    </row>
    <row r="378" spans="1:10" x14ac:dyDescent="0.25">
      <c r="A378">
        <v>376</v>
      </c>
      <c r="B378">
        <f t="shared" si="15"/>
        <v>18</v>
      </c>
      <c r="C378">
        <f t="shared" si="16"/>
        <v>19</v>
      </c>
      <c r="D378" cm="1">
        <f t="array" ref="D378">INDEX('Linha 05'!$A$4:$A$1000,B378)</f>
        <v>20200026</v>
      </c>
      <c r="E378" t="str" cm="1">
        <f t="array" ref="E378">INDEX('Linha 05'!$B$4:$B$1000,B378)</f>
        <v>Lava Roupas Aquafast Ternura Cx/04 X 3l</v>
      </c>
      <c r="F378" cm="1">
        <f t="array" ref="F378">INDEX('Linha 05'!$C$3:$ZZ$3,C378)</f>
        <v>20200027</v>
      </c>
      <c r="G378" t="str" cm="1">
        <f t="array" ref="G378">INDEX('Linha 05'!$C$2:$ZZ$2,C378)</f>
        <v>Lava Roupas Aquafast Ternura C/04 X 5l (Emb Econ)</v>
      </c>
      <c r="H378" s="5" cm="1">
        <f t="array" ref="H378">INDEX('Linha 05'!$C$4:$ZZ$1000,B378,C378)</f>
        <v>0</v>
      </c>
      <c r="I378" t="str">
        <f t="shared" si="17"/>
        <v>20200026 20200027</v>
      </c>
      <c r="J378" s="5">
        <v>0</v>
      </c>
    </row>
    <row r="379" spans="1:10" x14ac:dyDescent="0.25">
      <c r="A379">
        <v>377</v>
      </c>
      <c r="B379">
        <f t="shared" si="15"/>
        <v>18</v>
      </c>
      <c r="C379">
        <f t="shared" si="16"/>
        <v>20</v>
      </c>
      <c r="D379" cm="1">
        <f t="array" ref="D379">INDEX('Linha 05'!$A$4:$A$1000,B379)</f>
        <v>20200026</v>
      </c>
      <c r="E379" t="str" cm="1">
        <f t="array" ref="E379">INDEX('Linha 05'!$B$4:$B$1000,B379)</f>
        <v>Lava Roupas Aquafast Ternura Cx/04 X 3l</v>
      </c>
      <c r="F379" cm="1">
        <f t="array" ref="F379">INDEX('Linha 05'!$C$3:$ZZ$3,C379)</f>
        <v>20200058</v>
      </c>
      <c r="G379" t="str" cm="1">
        <f t="array" ref="G379">INDEX('Linha 05'!$C$2:$ZZ$2,C379)</f>
        <v>Lava Roupas Aquafast Flores Brancas E Baunilha Cx/4 X 3l</v>
      </c>
      <c r="H379" s="5" cm="1">
        <f t="array" ref="H379">INDEX('Linha 05'!$C$4:$ZZ$1000,B379,C379)</f>
        <v>0</v>
      </c>
      <c r="I379" t="str">
        <f t="shared" si="17"/>
        <v>20200026 20200058</v>
      </c>
      <c r="J379" s="5">
        <v>0</v>
      </c>
    </row>
    <row r="380" spans="1:10" x14ac:dyDescent="0.25">
      <c r="A380">
        <v>378</v>
      </c>
      <c r="B380">
        <f t="shared" si="15"/>
        <v>18</v>
      </c>
      <c r="C380">
        <f t="shared" si="16"/>
        <v>21</v>
      </c>
      <c r="D380" cm="1">
        <f t="array" ref="D380">INDEX('Linha 05'!$A$4:$A$1000,B380)</f>
        <v>20200026</v>
      </c>
      <c r="E380" t="str" cm="1">
        <f t="array" ref="E380">INDEX('Linha 05'!$B$4:$B$1000,B380)</f>
        <v>Lava Roupas Aquafast Ternura Cx/04 X 3l</v>
      </c>
      <c r="F380" cm="1">
        <f t="array" ref="F380">INDEX('Linha 05'!$C$3:$ZZ$3,C380)</f>
        <v>20200077</v>
      </c>
      <c r="G380" t="str" cm="1">
        <f t="array" ref="G380">INDEX('Linha 05'!$C$2:$ZZ$2,C380)</f>
        <v>Lava Roupas Aquafast Alta Performance 7l</v>
      </c>
      <c r="H380" s="5" cm="1">
        <f t="array" ref="H380">INDEX('Linha 05'!$C$4:$ZZ$1000,B380,C380)</f>
        <v>0</v>
      </c>
      <c r="I380" t="str">
        <f t="shared" si="17"/>
        <v>20200026 20200077</v>
      </c>
      <c r="J380" s="5">
        <v>0</v>
      </c>
    </row>
    <row r="381" spans="1:10" x14ac:dyDescent="0.25">
      <c r="A381">
        <v>379</v>
      </c>
      <c r="B381">
        <f t="shared" si="15"/>
        <v>19</v>
      </c>
      <c r="C381">
        <f t="shared" si="16"/>
        <v>1</v>
      </c>
      <c r="D381" cm="1">
        <f t="array" ref="D381">INDEX('Linha 05'!$A$4:$A$1000,B381)</f>
        <v>20200027</v>
      </c>
      <c r="E381" t="str" cm="1">
        <f t="array" ref="E381">INDEX('Linha 05'!$B$4:$B$1000,B381)</f>
        <v>Lava Roupas Aquafast Ternura C/04 X 5l (Emb Econ)</v>
      </c>
      <c r="F381" cm="1">
        <f t="array" ref="F381">INDEX('Linha 05'!$C$3:$ZZ$3,C381)</f>
        <v>20030008</v>
      </c>
      <c r="G381" t="str" cm="1">
        <f t="array" ref="G381">INDEX('Linha 05'!$C$2:$ZZ$2,C381)</f>
        <v>Detergente Aquafast Limao Cx/04 X 5l (Emb Econ)</v>
      </c>
      <c r="H381" s="5" cm="1">
        <f t="array" ref="H381">INDEX('Linha 05'!$C$4:$ZZ$1000,B381,C381)</f>
        <v>1.3888888888888888E-2</v>
      </c>
      <c r="I381" t="str">
        <f t="shared" si="17"/>
        <v>20200027 20030008</v>
      </c>
      <c r="J381" s="5">
        <v>1.3888888888888888E-2</v>
      </c>
    </row>
    <row r="382" spans="1:10" x14ac:dyDescent="0.25">
      <c r="A382">
        <v>380</v>
      </c>
      <c r="B382">
        <f t="shared" si="15"/>
        <v>19</v>
      </c>
      <c r="C382">
        <f t="shared" si="16"/>
        <v>2</v>
      </c>
      <c r="D382" cm="1">
        <f t="array" ref="D382">INDEX('Linha 05'!$A$4:$A$1000,B382)</f>
        <v>20200027</v>
      </c>
      <c r="E382" t="str" cm="1">
        <f t="array" ref="E382">INDEX('Linha 05'!$B$4:$B$1000,B382)</f>
        <v>Lava Roupas Aquafast Ternura C/04 X 5l (Emb Econ)</v>
      </c>
      <c r="F382" cm="1">
        <f t="array" ref="F382">INDEX('Linha 05'!$C$3:$ZZ$3,C382)</f>
        <v>20030009</v>
      </c>
      <c r="G382" t="str" cm="1">
        <f t="array" ref="G382">INDEX('Linha 05'!$C$2:$ZZ$2,C382)</f>
        <v>Detergente Aquafast Neutro Cx/04 X 5l (Emb Econ)</v>
      </c>
      <c r="H382" s="5" cm="1">
        <f t="array" ref="H382">INDEX('Linha 05'!$C$4:$ZZ$1000,B382,C382)</f>
        <v>1.3888888888888888E-2</v>
      </c>
      <c r="I382" t="str">
        <f t="shared" si="17"/>
        <v>20200027 20030009</v>
      </c>
      <c r="J382" s="5">
        <v>1.3888888888888888E-2</v>
      </c>
    </row>
    <row r="383" spans="1:10" x14ac:dyDescent="0.25">
      <c r="A383">
        <v>381</v>
      </c>
      <c r="B383">
        <f t="shared" si="15"/>
        <v>19</v>
      </c>
      <c r="C383">
        <f t="shared" si="16"/>
        <v>3</v>
      </c>
      <c r="D383" cm="1">
        <f t="array" ref="D383">INDEX('Linha 05'!$A$4:$A$1000,B383)</f>
        <v>20200027</v>
      </c>
      <c r="E383" t="str" cm="1">
        <f t="array" ref="E383">INDEX('Linha 05'!$B$4:$B$1000,B383)</f>
        <v>Lava Roupas Aquafast Ternura C/04 X 5l (Emb Econ)</v>
      </c>
      <c r="F383" cm="1">
        <f t="array" ref="F383">INDEX('Linha 05'!$C$3:$ZZ$3,C383)</f>
        <v>20030010</v>
      </c>
      <c r="G383" t="str" cm="1">
        <f t="array" ref="G383">INDEX('Linha 05'!$C$2:$ZZ$2,C383)</f>
        <v>Detergente Aquafast Clear Cx/04 X 5l (Emb Econ)</v>
      </c>
      <c r="H383" s="5" cm="1">
        <f t="array" ref="H383">INDEX('Linha 05'!$C$4:$ZZ$1000,B383,C383)</f>
        <v>1.38888888888889E-2</v>
      </c>
      <c r="I383" t="str">
        <f t="shared" si="17"/>
        <v>20200027 20030010</v>
      </c>
      <c r="J383" s="5">
        <v>1.38888888888889E-2</v>
      </c>
    </row>
    <row r="384" spans="1:10" x14ac:dyDescent="0.25">
      <c r="A384">
        <v>382</v>
      </c>
      <c r="B384">
        <f t="shared" si="15"/>
        <v>19</v>
      </c>
      <c r="C384">
        <f t="shared" si="16"/>
        <v>4</v>
      </c>
      <c r="D384" cm="1">
        <f t="array" ref="D384">INDEX('Linha 05'!$A$4:$A$1000,B384)</f>
        <v>20200027</v>
      </c>
      <c r="E384" t="str" cm="1">
        <f t="array" ref="E384">INDEX('Linha 05'!$B$4:$B$1000,B384)</f>
        <v>Lava Roupas Aquafast Ternura C/04 X 5l (Emb Econ)</v>
      </c>
      <c r="F384" cm="1">
        <f t="array" ref="F384">INDEX('Linha 05'!$C$3:$ZZ$3,C384)</f>
        <v>20030024</v>
      </c>
      <c r="G384" t="str" cm="1">
        <f t="array" ref="G384">INDEX('Linha 05'!$C$2:$ZZ$2,C384)</f>
        <v>Detergente Ito Neutro Cx/04 X 5l</v>
      </c>
      <c r="H384" s="5" cm="1">
        <f t="array" ref="H384">INDEX('Linha 05'!$C$4:$ZZ$1000,B384,C384)</f>
        <v>1.38888888888889E-2</v>
      </c>
      <c r="I384" t="str">
        <f t="shared" si="17"/>
        <v>20200027 20030024</v>
      </c>
      <c r="J384" s="5">
        <v>1.38888888888889E-2</v>
      </c>
    </row>
    <row r="385" spans="1:10" x14ac:dyDescent="0.25">
      <c r="A385">
        <v>383</v>
      </c>
      <c r="B385">
        <f t="shared" si="15"/>
        <v>19</v>
      </c>
      <c r="C385">
        <f t="shared" si="16"/>
        <v>5</v>
      </c>
      <c r="D385" cm="1">
        <f t="array" ref="D385">INDEX('Linha 05'!$A$4:$A$1000,B385)</f>
        <v>20200027</v>
      </c>
      <c r="E385" t="str" cm="1">
        <f t="array" ref="E385">INDEX('Linha 05'!$B$4:$B$1000,B385)</f>
        <v>Lava Roupas Aquafast Ternura C/04 X 5l (Emb Econ)</v>
      </c>
      <c r="F385" cm="1">
        <f t="array" ref="F385">INDEX('Linha 05'!$C$3:$ZZ$3,C385)</f>
        <v>20030083</v>
      </c>
      <c r="G385" t="str" cm="1">
        <f t="array" ref="G385">INDEX('Linha 05'!$C$2:$ZZ$2,C385)</f>
        <v>Detergente Ito Clear Cx/04 X 5l</v>
      </c>
      <c r="H385" s="5" cm="1">
        <f t="array" ref="H385">INDEX('Linha 05'!$C$4:$ZZ$1000,B385,C385)</f>
        <v>1.38888888888889E-2</v>
      </c>
      <c r="I385" t="str">
        <f t="shared" si="17"/>
        <v>20200027 20030083</v>
      </c>
      <c r="J385" s="5">
        <v>1.38888888888889E-2</v>
      </c>
    </row>
    <row r="386" spans="1:10" x14ac:dyDescent="0.25">
      <c r="A386">
        <v>384</v>
      </c>
      <c r="B386">
        <f t="shared" si="15"/>
        <v>19</v>
      </c>
      <c r="C386">
        <f t="shared" si="16"/>
        <v>6</v>
      </c>
      <c r="D386" cm="1">
        <f t="array" ref="D386">INDEX('Linha 05'!$A$4:$A$1000,B386)</f>
        <v>20200027</v>
      </c>
      <c r="E386" t="str" cm="1">
        <f t="array" ref="E386">INDEX('Linha 05'!$B$4:$B$1000,B386)</f>
        <v>Lava Roupas Aquafast Ternura C/04 X 5l (Emb Econ)</v>
      </c>
      <c r="F386" cm="1">
        <f t="array" ref="F386">INDEX('Linha 05'!$C$3:$ZZ$3,C386)</f>
        <v>20040030</v>
      </c>
      <c r="G386" t="str" cm="1">
        <f t="array" ref="G386">INDEX('Linha 05'!$C$2:$ZZ$2,C386)</f>
        <v>Amaciante Ito Azul Cx/04 X 5l</v>
      </c>
      <c r="H386" s="5" cm="1">
        <f t="array" ref="H386">INDEX('Linha 05'!$C$4:$ZZ$1000,B386,C386)</f>
        <v>1.38888888888889E-2</v>
      </c>
      <c r="I386" t="str">
        <f t="shared" si="17"/>
        <v>20200027 20040030</v>
      </c>
      <c r="J386" s="5">
        <v>1.38888888888889E-2</v>
      </c>
    </row>
    <row r="387" spans="1:10" x14ac:dyDescent="0.25">
      <c r="A387">
        <v>385</v>
      </c>
      <c r="B387">
        <f t="shared" si="15"/>
        <v>19</v>
      </c>
      <c r="C387">
        <f t="shared" si="16"/>
        <v>7</v>
      </c>
      <c r="D387" cm="1">
        <f t="array" ref="D387">INDEX('Linha 05'!$A$4:$A$1000,B387)</f>
        <v>20200027</v>
      </c>
      <c r="E387" t="str" cm="1">
        <f t="array" ref="E387">INDEX('Linha 05'!$B$4:$B$1000,B387)</f>
        <v>Lava Roupas Aquafast Ternura C/04 X 5l (Emb Econ)</v>
      </c>
      <c r="F387" cm="1">
        <f t="array" ref="F387">INDEX('Linha 05'!$C$3:$ZZ$3,C387)</f>
        <v>20040074</v>
      </c>
      <c r="G387" t="str" cm="1">
        <f t="array" ref="G387">INDEX('Linha 05'!$C$2:$ZZ$2,C387)</f>
        <v>Amaciante Aquafast Azul Cx C/04 X 5l (Fresc Manh) Emb. Econ</v>
      </c>
      <c r="H387" s="5" cm="1">
        <f t="array" ref="H387">INDEX('Linha 05'!$C$4:$ZZ$1000,B387,C387)</f>
        <v>1.3888888888888888E-2</v>
      </c>
      <c r="I387" t="str">
        <f t="shared" si="17"/>
        <v>20200027 20040074</v>
      </c>
      <c r="J387" s="5">
        <v>1.3888888888888888E-2</v>
      </c>
    </row>
    <row r="388" spans="1:10" x14ac:dyDescent="0.25">
      <c r="A388">
        <v>386</v>
      </c>
      <c r="B388">
        <f t="shared" ref="B388:B443" si="18">INT((A388-1)/$B$1)+1</f>
        <v>19</v>
      </c>
      <c r="C388">
        <f t="shared" ref="C388:C443" si="19">MOD(A388-1,$B$1)+1</f>
        <v>8</v>
      </c>
      <c r="D388" cm="1">
        <f t="array" ref="D388">INDEX('Linha 05'!$A$4:$A$1000,B388)</f>
        <v>20200027</v>
      </c>
      <c r="E388" t="str" cm="1">
        <f t="array" ref="E388">INDEX('Linha 05'!$B$4:$B$1000,B388)</f>
        <v>Lava Roupas Aquafast Ternura C/04 X 5l (Emb Econ)</v>
      </c>
      <c r="F388" cm="1">
        <f t="array" ref="F388">INDEX('Linha 05'!$C$3:$ZZ$3,C388)</f>
        <v>20040075</v>
      </c>
      <c r="G388" t="str" cm="1">
        <f t="array" ref="G388">INDEX('Linha 05'!$C$2:$ZZ$2,C388)</f>
        <v>Amaciante Aquafast Rosa Cx C/04 X 5l (Jard Flor) Emb. Econ</v>
      </c>
      <c r="H388" s="5" cm="1">
        <f t="array" ref="H388">INDEX('Linha 05'!$C$4:$ZZ$1000,B388,C388)</f>
        <v>1.38888888888889E-2</v>
      </c>
      <c r="I388" t="str">
        <f t="shared" ref="I388:I443" si="20">CONCATENATE(D388," ",F388)</f>
        <v>20200027 20040075</v>
      </c>
      <c r="J388" s="5">
        <v>1.38888888888889E-2</v>
      </c>
    </row>
    <row r="389" spans="1:10" x14ac:dyDescent="0.25">
      <c r="A389">
        <v>387</v>
      </c>
      <c r="B389">
        <f t="shared" si="18"/>
        <v>19</v>
      </c>
      <c r="C389">
        <f t="shared" si="19"/>
        <v>9</v>
      </c>
      <c r="D389" cm="1">
        <f t="array" ref="D389">INDEX('Linha 05'!$A$4:$A$1000,B389)</f>
        <v>20200027</v>
      </c>
      <c r="E389" t="str" cm="1">
        <f t="array" ref="E389">INDEX('Linha 05'!$B$4:$B$1000,B389)</f>
        <v>Lava Roupas Aquafast Ternura C/04 X 5l (Emb Econ)</v>
      </c>
      <c r="F389" cm="1">
        <f t="array" ref="F389">INDEX('Linha 05'!$C$3:$ZZ$3,C389)</f>
        <v>20040086</v>
      </c>
      <c r="G389" t="str" cm="1">
        <f t="array" ref="G389">INDEX('Linha 05'!$C$2:$ZZ$2,C389)</f>
        <v>Amaciante Aquafast Vermelho Cx/04 X 5l (Seducao) Emb. Econ</v>
      </c>
      <c r="H389" s="5" cm="1">
        <f t="array" ref="H389">INDEX('Linha 05'!$C$4:$ZZ$1000,B389,C389)</f>
        <v>1.38888888888889E-2</v>
      </c>
      <c r="I389" t="str">
        <f t="shared" si="20"/>
        <v>20200027 20040086</v>
      </c>
      <c r="J389" s="5">
        <v>1.38888888888889E-2</v>
      </c>
    </row>
    <row r="390" spans="1:10" x14ac:dyDescent="0.25">
      <c r="A390">
        <v>388</v>
      </c>
      <c r="B390">
        <f t="shared" si="18"/>
        <v>19</v>
      </c>
      <c r="C390">
        <f t="shared" si="19"/>
        <v>10</v>
      </c>
      <c r="D390" cm="1">
        <f t="array" ref="D390">INDEX('Linha 05'!$A$4:$A$1000,B390)</f>
        <v>20200027</v>
      </c>
      <c r="E390" t="str" cm="1">
        <f t="array" ref="E390">INDEX('Linha 05'!$B$4:$B$1000,B390)</f>
        <v>Lava Roupas Aquafast Ternura C/04 X 5l (Emb Econ)</v>
      </c>
      <c r="F390" cm="1">
        <f t="array" ref="F390">INDEX('Linha 05'!$C$3:$ZZ$3,C390)</f>
        <v>20040091</v>
      </c>
      <c r="G390" t="str" cm="1">
        <f t="array" ref="G390">INDEX('Linha 05'!$C$2:$ZZ$2,C390)</f>
        <v>Amaciante Aquafast Roxo Cx/04 X 5l (Magia) Emb. Econ</v>
      </c>
      <c r="H390" s="5" cm="1">
        <f t="array" ref="H390">INDEX('Linha 05'!$C$4:$ZZ$1000,B390,C390)</f>
        <v>1.38888888888889E-2</v>
      </c>
      <c r="I390" t="str">
        <f t="shared" si="20"/>
        <v>20200027 20040091</v>
      </c>
      <c r="J390" s="5">
        <v>1.38888888888889E-2</v>
      </c>
    </row>
    <row r="391" spans="1:10" x14ac:dyDescent="0.25">
      <c r="A391">
        <v>389</v>
      </c>
      <c r="B391">
        <f t="shared" si="18"/>
        <v>19</v>
      </c>
      <c r="C391">
        <f t="shared" si="19"/>
        <v>11</v>
      </c>
      <c r="D391" cm="1">
        <f t="array" ref="D391">INDEX('Linha 05'!$A$4:$A$1000,B391)</f>
        <v>20200027</v>
      </c>
      <c r="E391" t="str" cm="1">
        <f t="array" ref="E391">INDEX('Linha 05'!$B$4:$B$1000,B391)</f>
        <v>Lava Roupas Aquafast Ternura C/04 X 5l (Emb Econ)</v>
      </c>
      <c r="F391" cm="1">
        <f t="array" ref="F391">INDEX('Linha 05'!$C$3:$ZZ$3,C391)</f>
        <v>20040095</v>
      </c>
      <c r="G391" t="str" cm="1">
        <f t="array" ref="G391">INDEX('Linha 05'!$C$2:$ZZ$2,C391)</f>
        <v>Amaciante Aquafast Energia Cx/04 X 5l Emb. Econ</v>
      </c>
      <c r="H391" s="5" cm="1">
        <f t="array" ref="H391">INDEX('Linha 05'!$C$4:$ZZ$1000,B391,C391)</f>
        <v>1.38888888888888E-2</v>
      </c>
      <c r="I391" t="str">
        <f t="shared" si="20"/>
        <v>20200027 20040095</v>
      </c>
      <c r="J391" s="5">
        <v>1.38888888888888E-2</v>
      </c>
    </row>
    <row r="392" spans="1:10" x14ac:dyDescent="0.25">
      <c r="A392">
        <v>390</v>
      </c>
      <c r="B392">
        <f t="shared" si="18"/>
        <v>19</v>
      </c>
      <c r="C392">
        <f t="shared" si="19"/>
        <v>12</v>
      </c>
      <c r="D392" cm="1">
        <f t="array" ref="D392">INDEX('Linha 05'!$A$4:$A$1000,B392)</f>
        <v>20200027</v>
      </c>
      <c r="E392" t="str" cm="1">
        <f t="array" ref="E392">INDEX('Linha 05'!$B$4:$B$1000,B392)</f>
        <v>Lava Roupas Aquafast Ternura C/04 X 5l (Emb Econ)</v>
      </c>
      <c r="F392" cm="1">
        <f t="array" ref="F392">INDEX('Linha 05'!$C$3:$ZZ$3,C392)</f>
        <v>20150028</v>
      </c>
      <c r="G392" t="str" cm="1">
        <f t="array" ref="G392">INDEX('Linha 05'!$C$2:$ZZ$2,C392)</f>
        <v>Amac. Conc. Aquafast Branco Ternura Cx/ 04 X 3l</v>
      </c>
      <c r="H392" s="5" cm="1">
        <f t="array" ref="H392">INDEX('Linha 05'!$C$4:$ZZ$1000,B392,C392)</f>
        <v>3.4722222222222224E-2</v>
      </c>
      <c r="I392" t="str">
        <f t="shared" si="20"/>
        <v>20200027 20150028</v>
      </c>
      <c r="J392" s="5">
        <v>3.4722222222222224E-2</v>
      </c>
    </row>
    <row r="393" spans="1:10" x14ac:dyDescent="0.25">
      <c r="A393">
        <v>391</v>
      </c>
      <c r="B393">
        <f t="shared" si="18"/>
        <v>19</v>
      </c>
      <c r="C393">
        <f t="shared" si="19"/>
        <v>13</v>
      </c>
      <c r="D393" cm="1">
        <f t="array" ref="D393">INDEX('Linha 05'!$A$4:$A$1000,B393)</f>
        <v>20200027</v>
      </c>
      <c r="E393" t="str" cm="1">
        <f t="array" ref="E393">INDEX('Linha 05'!$B$4:$B$1000,B393)</f>
        <v>Lava Roupas Aquafast Ternura C/04 X 5l (Emb Econ)</v>
      </c>
      <c r="F393" cm="1">
        <f t="array" ref="F393">INDEX('Linha 05'!$C$3:$ZZ$3,C393)</f>
        <v>20150051</v>
      </c>
      <c r="G393" t="str" cm="1">
        <f t="array" ref="G393">INDEX('Linha 05'!$C$2:$ZZ$2,C393)</f>
        <v>Amac. Conc. Aquafast Azul Harmonia Cx/ 04 X 3l</v>
      </c>
      <c r="H393" s="5" cm="1">
        <f t="array" ref="H393">INDEX('Linha 05'!$C$4:$ZZ$1000,B393,C393)</f>
        <v>3.4722222222222224E-2</v>
      </c>
      <c r="I393" t="str">
        <f t="shared" si="20"/>
        <v>20200027 20150051</v>
      </c>
      <c r="J393" s="5">
        <v>3.4722222222222224E-2</v>
      </c>
    </row>
    <row r="394" spans="1:10" x14ac:dyDescent="0.25">
      <c r="A394">
        <v>392</v>
      </c>
      <c r="B394">
        <f t="shared" si="18"/>
        <v>19</v>
      </c>
      <c r="C394">
        <f t="shared" si="19"/>
        <v>14</v>
      </c>
      <c r="D394" cm="1">
        <f t="array" ref="D394">INDEX('Linha 05'!$A$4:$A$1000,B394)</f>
        <v>20200027</v>
      </c>
      <c r="E394" t="str" cm="1">
        <f t="array" ref="E394">INDEX('Linha 05'!$B$4:$B$1000,B394)</f>
        <v>Lava Roupas Aquafast Ternura C/04 X 5l (Emb Econ)</v>
      </c>
      <c r="F394" cm="1">
        <f t="array" ref="F394">INDEX('Linha 05'!$C$3:$ZZ$3,C394)</f>
        <v>20200009</v>
      </c>
      <c r="G394" t="str" cm="1">
        <f t="array" ref="G394">INDEX('Linha 05'!$C$2:$ZZ$2,C394)</f>
        <v>Lava Roupas Aquafast Multi Acao Cx/04 X 5l (Emb Econ)</v>
      </c>
      <c r="H394" s="5" cm="1">
        <f t="array" ref="H394">INDEX('Linha 05'!$C$4:$ZZ$1000,B394,C394)</f>
        <v>6.9444444444444441E-3</v>
      </c>
      <c r="I394" t="str">
        <f t="shared" si="20"/>
        <v>20200027 20200009</v>
      </c>
      <c r="J394" s="5">
        <v>6.9444444444444441E-3</v>
      </c>
    </row>
    <row r="395" spans="1:10" x14ac:dyDescent="0.25">
      <c r="A395">
        <v>393</v>
      </c>
      <c r="B395">
        <f t="shared" si="18"/>
        <v>19</v>
      </c>
      <c r="C395">
        <f t="shared" si="19"/>
        <v>15</v>
      </c>
      <c r="D395" cm="1">
        <f t="array" ref="D395">INDEX('Linha 05'!$A$4:$A$1000,B395)</f>
        <v>20200027</v>
      </c>
      <c r="E395" t="str" cm="1">
        <f t="array" ref="E395">INDEX('Linha 05'!$B$4:$B$1000,B395)</f>
        <v>Lava Roupas Aquafast Ternura C/04 X 5l (Emb Econ)</v>
      </c>
      <c r="F395" cm="1">
        <f t="array" ref="F395">INDEX('Linha 05'!$C$3:$ZZ$3,C395)</f>
        <v>20200014</v>
      </c>
      <c r="G395" t="str" cm="1">
        <f t="array" ref="G395">INDEX('Linha 05'!$C$2:$ZZ$2,C395)</f>
        <v>Lava Roupas Aquafast Glicerina Cx/04 X 5l</v>
      </c>
      <c r="H395" s="5" cm="1">
        <f t="array" ref="H395">INDEX('Linha 05'!$C$4:$ZZ$1000,B395,C395)</f>
        <v>6.9444444444444441E-3</v>
      </c>
      <c r="I395" t="str">
        <f t="shared" si="20"/>
        <v>20200027 20200014</v>
      </c>
      <c r="J395" s="5">
        <v>6.9444444444444441E-3</v>
      </c>
    </row>
    <row r="396" spans="1:10" x14ac:dyDescent="0.25">
      <c r="A396">
        <v>394</v>
      </c>
      <c r="B396">
        <f t="shared" si="18"/>
        <v>19</v>
      </c>
      <c r="C396">
        <f t="shared" si="19"/>
        <v>16</v>
      </c>
      <c r="D396" cm="1">
        <f t="array" ref="D396">INDEX('Linha 05'!$A$4:$A$1000,B396)</f>
        <v>20200027</v>
      </c>
      <c r="E396" t="str" cm="1">
        <f t="array" ref="E396">INDEX('Linha 05'!$B$4:$B$1000,B396)</f>
        <v>Lava Roupas Aquafast Ternura C/04 X 5l (Emb Econ)</v>
      </c>
      <c r="F396" cm="1">
        <f t="array" ref="F396">INDEX('Linha 05'!$C$3:$ZZ$3,C396)</f>
        <v>20200020</v>
      </c>
      <c r="G396" t="str" cm="1">
        <f t="array" ref="G396">INDEX('Linha 05'!$C$2:$ZZ$2,C396)</f>
        <v>Lava Roupas Aquafast Glicerina Cx/04 X 3l</v>
      </c>
      <c r="H396" s="5" cm="1">
        <f t="array" ref="H396">INDEX('Linha 05'!$C$4:$ZZ$1000,B396,C396)</f>
        <v>3.4722222222222224E-2</v>
      </c>
      <c r="I396" t="str">
        <f t="shared" si="20"/>
        <v>20200027 20200020</v>
      </c>
      <c r="J396" s="5">
        <v>3.4722222222222224E-2</v>
      </c>
    </row>
    <row r="397" spans="1:10" x14ac:dyDescent="0.25">
      <c r="A397">
        <v>395</v>
      </c>
      <c r="B397">
        <f t="shared" si="18"/>
        <v>19</v>
      </c>
      <c r="C397">
        <f t="shared" si="19"/>
        <v>17</v>
      </c>
      <c r="D397" cm="1">
        <f t="array" ref="D397">INDEX('Linha 05'!$A$4:$A$1000,B397)</f>
        <v>20200027</v>
      </c>
      <c r="E397" t="str" cm="1">
        <f t="array" ref="E397">INDEX('Linha 05'!$B$4:$B$1000,B397)</f>
        <v>Lava Roupas Aquafast Ternura C/04 X 5l (Emb Econ)</v>
      </c>
      <c r="F397" cm="1">
        <f t="array" ref="F397">INDEX('Linha 05'!$C$3:$ZZ$3,C397)</f>
        <v>20200022</v>
      </c>
      <c r="G397" t="str" cm="1">
        <f t="array" ref="G397">INDEX('Linha 05'!$C$2:$ZZ$2,C397)</f>
        <v>Lava Roupas Aquafast Multiacao Cx/04 X 3l</v>
      </c>
      <c r="H397" s="5" cm="1">
        <f t="array" ref="H397">INDEX('Linha 05'!$C$4:$ZZ$1000,B397,C397)</f>
        <v>3.4722222222222224E-2</v>
      </c>
      <c r="I397" t="str">
        <f t="shared" si="20"/>
        <v>20200027 20200022</v>
      </c>
      <c r="J397" s="5">
        <v>3.4722222222222224E-2</v>
      </c>
    </row>
    <row r="398" spans="1:10" x14ac:dyDescent="0.25">
      <c r="A398">
        <v>396</v>
      </c>
      <c r="B398">
        <f t="shared" si="18"/>
        <v>19</v>
      </c>
      <c r="C398">
        <f t="shared" si="19"/>
        <v>18</v>
      </c>
      <c r="D398" cm="1">
        <f t="array" ref="D398">INDEX('Linha 05'!$A$4:$A$1000,B398)</f>
        <v>20200027</v>
      </c>
      <c r="E398" t="str" cm="1">
        <f t="array" ref="E398">INDEX('Linha 05'!$B$4:$B$1000,B398)</f>
        <v>Lava Roupas Aquafast Ternura C/04 X 5l (Emb Econ)</v>
      </c>
      <c r="F398" cm="1">
        <f t="array" ref="F398">INDEX('Linha 05'!$C$3:$ZZ$3,C398)</f>
        <v>20200026</v>
      </c>
      <c r="G398" t="str" cm="1">
        <f t="array" ref="G398">INDEX('Linha 05'!$C$2:$ZZ$2,C398)</f>
        <v>Lava Roupas Aquafast Ternura Cx/04 X 3l</v>
      </c>
      <c r="H398" s="5" cm="1">
        <f t="array" ref="H398">INDEX('Linha 05'!$C$4:$ZZ$1000,B398,C398)</f>
        <v>3.4722222222222224E-2</v>
      </c>
      <c r="I398" t="str">
        <f t="shared" si="20"/>
        <v>20200027 20200026</v>
      </c>
      <c r="J398" s="5">
        <v>3.4722222222222224E-2</v>
      </c>
    </row>
    <row r="399" spans="1:10" x14ac:dyDescent="0.25">
      <c r="A399">
        <v>397</v>
      </c>
      <c r="B399">
        <f t="shared" si="18"/>
        <v>19</v>
      </c>
      <c r="C399">
        <f t="shared" si="19"/>
        <v>19</v>
      </c>
      <c r="D399" cm="1">
        <f t="array" ref="D399">INDEX('Linha 05'!$A$4:$A$1000,B399)</f>
        <v>20200027</v>
      </c>
      <c r="E399" t="str" cm="1">
        <f t="array" ref="E399">INDEX('Linha 05'!$B$4:$B$1000,B399)</f>
        <v>Lava Roupas Aquafast Ternura C/04 X 5l (Emb Econ)</v>
      </c>
      <c r="F399" cm="1">
        <f t="array" ref="F399">INDEX('Linha 05'!$C$3:$ZZ$3,C399)</f>
        <v>20200027</v>
      </c>
      <c r="G399" t="str" cm="1">
        <f t="array" ref="G399">INDEX('Linha 05'!$C$2:$ZZ$2,C399)</f>
        <v>Lava Roupas Aquafast Ternura C/04 X 5l (Emb Econ)</v>
      </c>
      <c r="H399" s="5" cm="1">
        <f t="array" ref="H399">INDEX('Linha 05'!$C$4:$ZZ$1000,B399,C399)</f>
        <v>0</v>
      </c>
      <c r="I399" t="str">
        <f t="shared" si="20"/>
        <v>20200027 20200027</v>
      </c>
      <c r="J399" s="5">
        <v>0</v>
      </c>
    </row>
    <row r="400" spans="1:10" x14ac:dyDescent="0.25">
      <c r="A400">
        <v>398</v>
      </c>
      <c r="B400">
        <f t="shared" si="18"/>
        <v>19</v>
      </c>
      <c r="C400">
        <f t="shared" si="19"/>
        <v>20</v>
      </c>
      <c r="D400" cm="1">
        <f t="array" ref="D400">INDEX('Linha 05'!$A$4:$A$1000,B400)</f>
        <v>20200027</v>
      </c>
      <c r="E400" t="str" cm="1">
        <f t="array" ref="E400">INDEX('Linha 05'!$B$4:$B$1000,B400)</f>
        <v>Lava Roupas Aquafast Ternura C/04 X 5l (Emb Econ)</v>
      </c>
      <c r="F400" cm="1">
        <f t="array" ref="F400">INDEX('Linha 05'!$C$3:$ZZ$3,C400)</f>
        <v>20200058</v>
      </c>
      <c r="G400" t="str" cm="1">
        <f t="array" ref="G400">INDEX('Linha 05'!$C$2:$ZZ$2,C400)</f>
        <v>Lava Roupas Aquafast Flores Brancas E Baunilha Cx/4 X 3l</v>
      </c>
      <c r="H400" s="5" cm="1">
        <f t="array" ref="H400">INDEX('Linha 05'!$C$4:$ZZ$1000,B400,C400)</f>
        <v>3.4722222222222224E-2</v>
      </c>
      <c r="I400" t="str">
        <f t="shared" si="20"/>
        <v>20200027 20200058</v>
      </c>
      <c r="J400" s="5">
        <v>3.4722222222222224E-2</v>
      </c>
    </row>
    <row r="401" spans="1:10" x14ac:dyDescent="0.25">
      <c r="A401">
        <v>399</v>
      </c>
      <c r="B401">
        <f t="shared" si="18"/>
        <v>19</v>
      </c>
      <c r="C401">
        <f t="shared" si="19"/>
        <v>21</v>
      </c>
      <c r="D401" cm="1">
        <f t="array" ref="D401">INDEX('Linha 05'!$A$4:$A$1000,B401)</f>
        <v>20200027</v>
      </c>
      <c r="E401" t="str" cm="1">
        <f t="array" ref="E401">INDEX('Linha 05'!$B$4:$B$1000,B401)</f>
        <v>Lava Roupas Aquafast Ternura C/04 X 5l (Emb Econ)</v>
      </c>
      <c r="F401" cm="1">
        <f t="array" ref="F401">INDEX('Linha 05'!$C$3:$ZZ$3,C401)</f>
        <v>20200077</v>
      </c>
      <c r="G401" t="str" cm="1">
        <f t="array" ref="G401">INDEX('Linha 05'!$C$2:$ZZ$2,C401)</f>
        <v>Lava Roupas Aquafast Alta Performance 7l</v>
      </c>
      <c r="H401" s="5" cm="1">
        <f t="array" ref="H401">INDEX('Linha 05'!$C$4:$ZZ$1000,B401,C401)</f>
        <v>3.4722222222222224E-2</v>
      </c>
      <c r="I401" t="str">
        <f t="shared" si="20"/>
        <v>20200027 20200077</v>
      </c>
      <c r="J401" s="5">
        <v>3.4722222222222224E-2</v>
      </c>
    </row>
    <row r="402" spans="1:10" x14ac:dyDescent="0.25">
      <c r="A402">
        <v>400</v>
      </c>
      <c r="B402">
        <f t="shared" si="18"/>
        <v>20</v>
      </c>
      <c r="C402">
        <f t="shared" si="19"/>
        <v>1</v>
      </c>
      <c r="D402" cm="1">
        <f t="array" ref="D402">INDEX('Linha 05'!$A$4:$A$1000,B402)</f>
        <v>20200058</v>
      </c>
      <c r="E402" t="str" cm="1">
        <f t="array" ref="E402">INDEX('Linha 05'!$B$4:$B$1000,B402)</f>
        <v>Lava Roupas Aquafast Flores Brancas E Baunilha Cx/4 X 3l</v>
      </c>
      <c r="F402" cm="1">
        <f t="array" ref="F402">INDEX('Linha 05'!$C$3:$ZZ$3,C402)</f>
        <v>20030008</v>
      </c>
      <c r="G402" t="str" cm="1">
        <f t="array" ref="G402">INDEX('Linha 05'!$C$2:$ZZ$2,C402)</f>
        <v>Detergente Aquafast Limao Cx/04 X 5l (Emb Econ)</v>
      </c>
      <c r="H402" s="5" cm="1">
        <f t="array" ref="H402">INDEX('Linha 05'!$C$4:$ZZ$1000,B402,C402)</f>
        <v>3.4722222222222224E-2</v>
      </c>
      <c r="I402" t="str">
        <f t="shared" si="20"/>
        <v>20200058 20030008</v>
      </c>
      <c r="J402" s="5">
        <v>3.4722222222222224E-2</v>
      </c>
    </row>
    <row r="403" spans="1:10" x14ac:dyDescent="0.25">
      <c r="A403">
        <v>401</v>
      </c>
      <c r="B403">
        <f t="shared" si="18"/>
        <v>20</v>
      </c>
      <c r="C403">
        <f t="shared" si="19"/>
        <v>2</v>
      </c>
      <c r="D403" cm="1">
        <f t="array" ref="D403">INDEX('Linha 05'!$A$4:$A$1000,B403)</f>
        <v>20200058</v>
      </c>
      <c r="E403" t="str" cm="1">
        <f t="array" ref="E403">INDEX('Linha 05'!$B$4:$B$1000,B403)</f>
        <v>Lava Roupas Aquafast Flores Brancas E Baunilha Cx/4 X 3l</v>
      </c>
      <c r="F403" cm="1">
        <f t="array" ref="F403">INDEX('Linha 05'!$C$3:$ZZ$3,C403)</f>
        <v>20030009</v>
      </c>
      <c r="G403" t="str" cm="1">
        <f t="array" ref="G403">INDEX('Linha 05'!$C$2:$ZZ$2,C403)</f>
        <v>Detergente Aquafast Neutro Cx/04 X 5l (Emb Econ)</v>
      </c>
      <c r="H403" s="5" cm="1">
        <f t="array" ref="H403">INDEX('Linha 05'!$C$4:$ZZ$1000,B403,C403)</f>
        <v>3.4722222222222224E-2</v>
      </c>
      <c r="I403" t="str">
        <f t="shared" si="20"/>
        <v>20200058 20030009</v>
      </c>
      <c r="J403" s="5">
        <v>3.4722222222222224E-2</v>
      </c>
    </row>
    <row r="404" spans="1:10" x14ac:dyDescent="0.25">
      <c r="A404">
        <v>402</v>
      </c>
      <c r="B404">
        <f t="shared" si="18"/>
        <v>20</v>
      </c>
      <c r="C404">
        <f t="shared" si="19"/>
        <v>3</v>
      </c>
      <c r="D404" cm="1">
        <f t="array" ref="D404">INDEX('Linha 05'!$A$4:$A$1000,B404)</f>
        <v>20200058</v>
      </c>
      <c r="E404" t="str" cm="1">
        <f t="array" ref="E404">INDEX('Linha 05'!$B$4:$B$1000,B404)</f>
        <v>Lava Roupas Aquafast Flores Brancas E Baunilha Cx/4 X 3l</v>
      </c>
      <c r="F404" cm="1">
        <f t="array" ref="F404">INDEX('Linha 05'!$C$3:$ZZ$3,C404)</f>
        <v>20030010</v>
      </c>
      <c r="G404" t="str" cm="1">
        <f t="array" ref="G404">INDEX('Linha 05'!$C$2:$ZZ$2,C404)</f>
        <v>Detergente Aquafast Clear Cx/04 X 5l (Emb Econ)</v>
      </c>
      <c r="H404" s="5" cm="1">
        <f t="array" ref="H404">INDEX('Linha 05'!$C$4:$ZZ$1000,B404,C404)</f>
        <v>3.4722222222222203E-2</v>
      </c>
      <c r="I404" t="str">
        <f t="shared" si="20"/>
        <v>20200058 20030010</v>
      </c>
      <c r="J404" s="5">
        <v>3.4722222222222203E-2</v>
      </c>
    </row>
    <row r="405" spans="1:10" x14ac:dyDescent="0.25">
      <c r="A405">
        <v>403</v>
      </c>
      <c r="B405">
        <f t="shared" si="18"/>
        <v>20</v>
      </c>
      <c r="C405">
        <f t="shared" si="19"/>
        <v>4</v>
      </c>
      <c r="D405" cm="1">
        <f t="array" ref="D405">INDEX('Linha 05'!$A$4:$A$1000,B405)</f>
        <v>20200058</v>
      </c>
      <c r="E405" t="str" cm="1">
        <f t="array" ref="E405">INDEX('Linha 05'!$B$4:$B$1000,B405)</f>
        <v>Lava Roupas Aquafast Flores Brancas E Baunilha Cx/4 X 3l</v>
      </c>
      <c r="F405" cm="1">
        <f t="array" ref="F405">INDEX('Linha 05'!$C$3:$ZZ$3,C405)</f>
        <v>20030024</v>
      </c>
      <c r="G405" t="str" cm="1">
        <f t="array" ref="G405">INDEX('Linha 05'!$C$2:$ZZ$2,C405)</f>
        <v>Detergente Ito Neutro Cx/04 X 5l</v>
      </c>
      <c r="H405" s="5" cm="1">
        <f t="array" ref="H405">INDEX('Linha 05'!$C$4:$ZZ$1000,B405,C405)</f>
        <v>3.4722222222222203E-2</v>
      </c>
      <c r="I405" t="str">
        <f t="shared" si="20"/>
        <v>20200058 20030024</v>
      </c>
      <c r="J405" s="5">
        <v>3.4722222222222203E-2</v>
      </c>
    </row>
    <row r="406" spans="1:10" x14ac:dyDescent="0.25">
      <c r="A406">
        <v>404</v>
      </c>
      <c r="B406">
        <f t="shared" si="18"/>
        <v>20</v>
      </c>
      <c r="C406">
        <f t="shared" si="19"/>
        <v>5</v>
      </c>
      <c r="D406" cm="1">
        <f t="array" ref="D406">INDEX('Linha 05'!$A$4:$A$1000,B406)</f>
        <v>20200058</v>
      </c>
      <c r="E406" t="str" cm="1">
        <f t="array" ref="E406">INDEX('Linha 05'!$B$4:$B$1000,B406)</f>
        <v>Lava Roupas Aquafast Flores Brancas E Baunilha Cx/4 X 3l</v>
      </c>
      <c r="F406" cm="1">
        <f t="array" ref="F406">INDEX('Linha 05'!$C$3:$ZZ$3,C406)</f>
        <v>20030083</v>
      </c>
      <c r="G406" t="str" cm="1">
        <f t="array" ref="G406">INDEX('Linha 05'!$C$2:$ZZ$2,C406)</f>
        <v>Detergente Ito Clear Cx/04 X 5l</v>
      </c>
      <c r="H406" s="5" cm="1">
        <f t="array" ref="H406">INDEX('Linha 05'!$C$4:$ZZ$1000,B406,C406)</f>
        <v>3.4722222222222203E-2</v>
      </c>
      <c r="I406" t="str">
        <f t="shared" si="20"/>
        <v>20200058 20030083</v>
      </c>
      <c r="J406" s="5">
        <v>3.4722222222222203E-2</v>
      </c>
    </row>
    <row r="407" spans="1:10" x14ac:dyDescent="0.25">
      <c r="A407">
        <v>405</v>
      </c>
      <c r="B407">
        <f t="shared" si="18"/>
        <v>20</v>
      </c>
      <c r="C407">
        <f t="shared" si="19"/>
        <v>6</v>
      </c>
      <c r="D407" cm="1">
        <f t="array" ref="D407">INDEX('Linha 05'!$A$4:$A$1000,B407)</f>
        <v>20200058</v>
      </c>
      <c r="E407" t="str" cm="1">
        <f t="array" ref="E407">INDEX('Linha 05'!$B$4:$B$1000,B407)</f>
        <v>Lava Roupas Aquafast Flores Brancas E Baunilha Cx/4 X 3l</v>
      </c>
      <c r="F407" cm="1">
        <f t="array" ref="F407">INDEX('Linha 05'!$C$3:$ZZ$3,C407)</f>
        <v>20040030</v>
      </c>
      <c r="G407" t="str" cm="1">
        <f t="array" ref="G407">INDEX('Linha 05'!$C$2:$ZZ$2,C407)</f>
        <v>Amaciante Ito Azul Cx/04 X 5l</v>
      </c>
      <c r="H407" s="5" cm="1">
        <f t="array" ref="H407">INDEX('Linha 05'!$C$4:$ZZ$1000,B407,C407)</f>
        <v>3.4722222222222203E-2</v>
      </c>
      <c r="I407" t="str">
        <f t="shared" si="20"/>
        <v>20200058 20040030</v>
      </c>
      <c r="J407" s="5">
        <v>3.4722222222222203E-2</v>
      </c>
    </row>
    <row r="408" spans="1:10" x14ac:dyDescent="0.25">
      <c r="A408">
        <v>406</v>
      </c>
      <c r="B408">
        <f t="shared" si="18"/>
        <v>20</v>
      </c>
      <c r="C408">
        <f t="shared" si="19"/>
        <v>7</v>
      </c>
      <c r="D408" cm="1">
        <f t="array" ref="D408">INDEX('Linha 05'!$A$4:$A$1000,B408)</f>
        <v>20200058</v>
      </c>
      <c r="E408" t="str" cm="1">
        <f t="array" ref="E408">INDEX('Linha 05'!$B$4:$B$1000,B408)</f>
        <v>Lava Roupas Aquafast Flores Brancas E Baunilha Cx/4 X 3l</v>
      </c>
      <c r="F408" cm="1">
        <f t="array" ref="F408">INDEX('Linha 05'!$C$3:$ZZ$3,C408)</f>
        <v>20040074</v>
      </c>
      <c r="G408" t="str" cm="1">
        <f t="array" ref="G408">INDEX('Linha 05'!$C$2:$ZZ$2,C408)</f>
        <v>Amaciante Aquafast Azul Cx C/04 X 5l (Fresc Manh) Emb. Econ</v>
      </c>
      <c r="H408" s="5" cm="1">
        <f t="array" ref="H408">INDEX('Linha 05'!$C$4:$ZZ$1000,B408,C408)</f>
        <v>3.4722222222222203E-2</v>
      </c>
      <c r="I408" t="str">
        <f t="shared" si="20"/>
        <v>20200058 20040074</v>
      </c>
      <c r="J408" s="5">
        <v>3.4722222222222203E-2</v>
      </c>
    </row>
    <row r="409" spans="1:10" x14ac:dyDescent="0.25">
      <c r="A409">
        <v>407</v>
      </c>
      <c r="B409">
        <f t="shared" si="18"/>
        <v>20</v>
      </c>
      <c r="C409">
        <f t="shared" si="19"/>
        <v>8</v>
      </c>
      <c r="D409" cm="1">
        <f t="array" ref="D409">INDEX('Linha 05'!$A$4:$A$1000,B409)</f>
        <v>20200058</v>
      </c>
      <c r="E409" t="str" cm="1">
        <f t="array" ref="E409">INDEX('Linha 05'!$B$4:$B$1000,B409)</f>
        <v>Lava Roupas Aquafast Flores Brancas E Baunilha Cx/4 X 3l</v>
      </c>
      <c r="F409" cm="1">
        <f t="array" ref="F409">INDEX('Linha 05'!$C$3:$ZZ$3,C409)</f>
        <v>20040075</v>
      </c>
      <c r="G409" t="str" cm="1">
        <f t="array" ref="G409">INDEX('Linha 05'!$C$2:$ZZ$2,C409)</f>
        <v>Amaciante Aquafast Rosa Cx C/04 X 5l (Jard Flor) Emb. Econ</v>
      </c>
      <c r="H409" s="5" cm="1">
        <f t="array" ref="H409">INDEX('Linha 05'!$C$4:$ZZ$1000,B409,C409)</f>
        <v>3.4722222222222203E-2</v>
      </c>
      <c r="I409" t="str">
        <f t="shared" si="20"/>
        <v>20200058 20040075</v>
      </c>
      <c r="J409" s="5">
        <v>3.4722222222222203E-2</v>
      </c>
    </row>
    <row r="410" spans="1:10" x14ac:dyDescent="0.25">
      <c r="A410">
        <v>408</v>
      </c>
      <c r="B410">
        <f t="shared" si="18"/>
        <v>20</v>
      </c>
      <c r="C410">
        <f t="shared" si="19"/>
        <v>9</v>
      </c>
      <c r="D410" cm="1">
        <f t="array" ref="D410">INDEX('Linha 05'!$A$4:$A$1000,B410)</f>
        <v>20200058</v>
      </c>
      <c r="E410" t="str" cm="1">
        <f t="array" ref="E410">INDEX('Linha 05'!$B$4:$B$1000,B410)</f>
        <v>Lava Roupas Aquafast Flores Brancas E Baunilha Cx/4 X 3l</v>
      </c>
      <c r="F410" cm="1">
        <f t="array" ref="F410">INDEX('Linha 05'!$C$3:$ZZ$3,C410)</f>
        <v>20040086</v>
      </c>
      <c r="G410" t="str" cm="1">
        <f t="array" ref="G410">INDEX('Linha 05'!$C$2:$ZZ$2,C410)</f>
        <v>Amaciante Aquafast Vermelho Cx/04 X 5l (Seducao) Emb. Econ</v>
      </c>
      <c r="H410" s="5" cm="1">
        <f t="array" ref="H410">INDEX('Linha 05'!$C$4:$ZZ$1000,B410,C410)</f>
        <v>3.4722222222222203E-2</v>
      </c>
      <c r="I410" t="str">
        <f t="shared" si="20"/>
        <v>20200058 20040086</v>
      </c>
      <c r="J410" s="5">
        <v>3.4722222222222203E-2</v>
      </c>
    </row>
    <row r="411" spans="1:10" x14ac:dyDescent="0.25">
      <c r="A411">
        <v>409</v>
      </c>
      <c r="B411">
        <f t="shared" si="18"/>
        <v>20</v>
      </c>
      <c r="C411">
        <f t="shared" si="19"/>
        <v>10</v>
      </c>
      <c r="D411" cm="1">
        <f t="array" ref="D411">INDEX('Linha 05'!$A$4:$A$1000,B411)</f>
        <v>20200058</v>
      </c>
      <c r="E411" t="str" cm="1">
        <f t="array" ref="E411">INDEX('Linha 05'!$B$4:$B$1000,B411)</f>
        <v>Lava Roupas Aquafast Flores Brancas E Baunilha Cx/4 X 3l</v>
      </c>
      <c r="F411" cm="1">
        <f t="array" ref="F411">INDEX('Linha 05'!$C$3:$ZZ$3,C411)</f>
        <v>20040091</v>
      </c>
      <c r="G411" t="str" cm="1">
        <f t="array" ref="G411">INDEX('Linha 05'!$C$2:$ZZ$2,C411)</f>
        <v>Amaciante Aquafast Roxo Cx/04 X 5l (Magia) Emb. Econ</v>
      </c>
      <c r="H411" s="5" cm="1">
        <f t="array" ref="H411">INDEX('Linha 05'!$C$4:$ZZ$1000,B411,C411)</f>
        <v>3.4722222222222203E-2</v>
      </c>
      <c r="I411" t="str">
        <f t="shared" si="20"/>
        <v>20200058 20040091</v>
      </c>
      <c r="J411" s="5">
        <v>3.4722222222222203E-2</v>
      </c>
    </row>
    <row r="412" spans="1:10" x14ac:dyDescent="0.25">
      <c r="A412">
        <v>410</v>
      </c>
      <c r="B412">
        <f t="shared" si="18"/>
        <v>20</v>
      </c>
      <c r="C412">
        <f t="shared" si="19"/>
        <v>11</v>
      </c>
      <c r="D412" cm="1">
        <f t="array" ref="D412">INDEX('Linha 05'!$A$4:$A$1000,B412)</f>
        <v>20200058</v>
      </c>
      <c r="E412" t="str" cm="1">
        <f t="array" ref="E412">INDEX('Linha 05'!$B$4:$B$1000,B412)</f>
        <v>Lava Roupas Aquafast Flores Brancas E Baunilha Cx/4 X 3l</v>
      </c>
      <c r="F412" cm="1">
        <f t="array" ref="F412">INDEX('Linha 05'!$C$3:$ZZ$3,C412)</f>
        <v>20040095</v>
      </c>
      <c r="G412" t="str" cm="1">
        <f t="array" ref="G412">INDEX('Linha 05'!$C$2:$ZZ$2,C412)</f>
        <v>Amaciante Aquafast Energia Cx/04 X 5l Emb. Econ</v>
      </c>
      <c r="H412" s="5" cm="1">
        <f t="array" ref="H412">INDEX('Linha 05'!$C$4:$ZZ$1000,B412,C412)</f>
        <v>3.4722222222222224E-2</v>
      </c>
      <c r="I412" t="str">
        <f t="shared" si="20"/>
        <v>20200058 20040095</v>
      </c>
      <c r="J412" s="5">
        <v>3.4722222222222224E-2</v>
      </c>
    </row>
    <row r="413" spans="1:10" x14ac:dyDescent="0.25">
      <c r="A413">
        <v>411</v>
      </c>
      <c r="B413">
        <f t="shared" si="18"/>
        <v>20</v>
      </c>
      <c r="C413">
        <f t="shared" si="19"/>
        <v>12</v>
      </c>
      <c r="D413" cm="1">
        <f t="array" ref="D413">INDEX('Linha 05'!$A$4:$A$1000,B413)</f>
        <v>20200058</v>
      </c>
      <c r="E413" t="str" cm="1">
        <f t="array" ref="E413">INDEX('Linha 05'!$B$4:$B$1000,B413)</f>
        <v>Lava Roupas Aquafast Flores Brancas E Baunilha Cx/4 X 3l</v>
      </c>
      <c r="F413" cm="1">
        <f t="array" ref="F413">INDEX('Linha 05'!$C$3:$ZZ$3,C413)</f>
        <v>20150028</v>
      </c>
      <c r="G413" t="str" cm="1">
        <f t="array" ref="G413">INDEX('Linha 05'!$C$2:$ZZ$2,C413)</f>
        <v>Amac. Conc. Aquafast Branco Ternura Cx/ 04 X 3l</v>
      </c>
      <c r="H413" s="5" cm="1">
        <f t="array" ref="H413">INDEX('Linha 05'!$C$4:$ZZ$1000,B413,C413)</f>
        <v>1.3888888888888888E-2</v>
      </c>
      <c r="I413" t="str">
        <f t="shared" si="20"/>
        <v>20200058 20150028</v>
      </c>
      <c r="J413" s="5">
        <v>1.3888888888888888E-2</v>
      </c>
    </row>
    <row r="414" spans="1:10" x14ac:dyDescent="0.25">
      <c r="A414">
        <v>412</v>
      </c>
      <c r="B414">
        <f t="shared" si="18"/>
        <v>20</v>
      </c>
      <c r="C414">
        <f t="shared" si="19"/>
        <v>13</v>
      </c>
      <c r="D414" cm="1">
        <f t="array" ref="D414">INDEX('Linha 05'!$A$4:$A$1000,B414)</f>
        <v>20200058</v>
      </c>
      <c r="E414" t="str" cm="1">
        <f t="array" ref="E414">INDEX('Linha 05'!$B$4:$B$1000,B414)</f>
        <v>Lava Roupas Aquafast Flores Brancas E Baunilha Cx/4 X 3l</v>
      </c>
      <c r="F414" cm="1">
        <f t="array" ref="F414">INDEX('Linha 05'!$C$3:$ZZ$3,C414)</f>
        <v>20150051</v>
      </c>
      <c r="G414" t="str" cm="1">
        <f t="array" ref="G414">INDEX('Linha 05'!$C$2:$ZZ$2,C414)</f>
        <v>Amac. Conc. Aquafast Azul Harmonia Cx/ 04 X 3l</v>
      </c>
      <c r="H414" s="5" cm="1">
        <f t="array" ref="H414">INDEX('Linha 05'!$C$4:$ZZ$1000,B414,C414)</f>
        <v>1.3888888888888888E-2</v>
      </c>
      <c r="I414" t="str">
        <f t="shared" si="20"/>
        <v>20200058 20150051</v>
      </c>
      <c r="J414" s="5">
        <v>1.3888888888888888E-2</v>
      </c>
    </row>
    <row r="415" spans="1:10" x14ac:dyDescent="0.25">
      <c r="A415">
        <v>413</v>
      </c>
      <c r="B415">
        <f t="shared" si="18"/>
        <v>20</v>
      </c>
      <c r="C415">
        <f t="shared" si="19"/>
        <v>14</v>
      </c>
      <c r="D415" cm="1">
        <f t="array" ref="D415">INDEX('Linha 05'!$A$4:$A$1000,B415)</f>
        <v>20200058</v>
      </c>
      <c r="E415" t="str" cm="1">
        <f t="array" ref="E415">INDEX('Linha 05'!$B$4:$B$1000,B415)</f>
        <v>Lava Roupas Aquafast Flores Brancas E Baunilha Cx/4 X 3l</v>
      </c>
      <c r="F415" cm="1">
        <f t="array" ref="F415">INDEX('Linha 05'!$C$3:$ZZ$3,C415)</f>
        <v>20200009</v>
      </c>
      <c r="G415" t="str" cm="1">
        <f t="array" ref="G415">INDEX('Linha 05'!$C$2:$ZZ$2,C415)</f>
        <v>Lava Roupas Aquafast Multi Acao Cx/04 X 5l (Emb Econ)</v>
      </c>
      <c r="H415" s="5" cm="1">
        <f t="array" ref="H415">INDEX('Linha 05'!$C$4:$ZZ$1000,B415,C415)</f>
        <v>3.4722222222222224E-2</v>
      </c>
      <c r="I415" t="str">
        <f t="shared" si="20"/>
        <v>20200058 20200009</v>
      </c>
      <c r="J415" s="5">
        <v>3.4722222222222224E-2</v>
      </c>
    </row>
    <row r="416" spans="1:10" x14ac:dyDescent="0.25">
      <c r="A416">
        <v>414</v>
      </c>
      <c r="B416">
        <f t="shared" si="18"/>
        <v>20</v>
      </c>
      <c r="C416">
        <f t="shared" si="19"/>
        <v>15</v>
      </c>
      <c r="D416" cm="1">
        <f t="array" ref="D416">INDEX('Linha 05'!$A$4:$A$1000,B416)</f>
        <v>20200058</v>
      </c>
      <c r="E416" t="str" cm="1">
        <f t="array" ref="E416">INDEX('Linha 05'!$B$4:$B$1000,B416)</f>
        <v>Lava Roupas Aquafast Flores Brancas E Baunilha Cx/4 X 3l</v>
      </c>
      <c r="F416" cm="1">
        <f t="array" ref="F416">INDEX('Linha 05'!$C$3:$ZZ$3,C416)</f>
        <v>20200014</v>
      </c>
      <c r="G416" t="str" cm="1">
        <f t="array" ref="G416">INDEX('Linha 05'!$C$2:$ZZ$2,C416)</f>
        <v>Lava Roupas Aquafast Glicerina Cx/04 X 5l</v>
      </c>
      <c r="H416" s="5" cm="1">
        <f t="array" ref="H416">INDEX('Linha 05'!$C$4:$ZZ$1000,B416,C416)</f>
        <v>3.4722222222222224E-2</v>
      </c>
      <c r="I416" t="str">
        <f t="shared" si="20"/>
        <v>20200058 20200014</v>
      </c>
      <c r="J416" s="5">
        <v>3.4722222222222224E-2</v>
      </c>
    </row>
    <row r="417" spans="1:10" x14ac:dyDescent="0.25">
      <c r="A417">
        <v>415</v>
      </c>
      <c r="B417">
        <f t="shared" si="18"/>
        <v>20</v>
      </c>
      <c r="C417">
        <f t="shared" si="19"/>
        <v>16</v>
      </c>
      <c r="D417" cm="1">
        <f t="array" ref="D417">INDEX('Linha 05'!$A$4:$A$1000,B417)</f>
        <v>20200058</v>
      </c>
      <c r="E417" t="str" cm="1">
        <f t="array" ref="E417">INDEX('Linha 05'!$B$4:$B$1000,B417)</f>
        <v>Lava Roupas Aquafast Flores Brancas E Baunilha Cx/4 X 3l</v>
      </c>
      <c r="F417" cm="1">
        <f t="array" ref="F417">INDEX('Linha 05'!$C$3:$ZZ$3,C417)</f>
        <v>20200020</v>
      </c>
      <c r="G417" t="str" cm="1">
        <f t="array" ref="G417">INDEX('Linha 05'!$C$2:$ZZ$2,C417)</f>
        <v>Lava Roupas Aquafast Glicerina Cx/04 X 3l</v>
      </c>
      <c r="H417" s="5" cm="1">
        <f t="array" ref="H417">INDEX('Linha 05'!$C$4:$ZZ$1000,B417,C417)</f>
        <v>6.9444444444444441E-3</v>
      </c>
      <c r="I417" t="str">
        <f t="shared" si="20"/>
        <v>20200058 20200020</v>
      </c>
      <c r="J417" s="5">
        <v>6.9444444444444441E-3</v>
      </c>
    </row>
    <row r="418" spans="1:10" x14ac:dyDescent="0.25">
      <c r="A418">
        <v>416</v>
      </c>
      <c r="B418">
        <f t="shared" si="18"/>
        <v>20</v>
      </c>
      <c r="C418">
        <f t="shared" si="19"/>
        <v>17</v>
      </c>
      <c r="D418" cm="1">
        <f t="array" ref="D418">INDEX('Linha 05'!$A$4:$A$1000,B418)</f>
        <v>20200058</v>
      </c>
      <c r="E418" t="str" cm="1">
        <f t="array" ref="E418">INDEX('Linha 05'!$B$4:$B$1000,B418)</f>
        <v>Lava Roupas Aquafast Flores Brancas E Baunilha Cx/4 X 3l</v>
      </c>
      <c r="F418" cm="1">
        <f t="array" ref="F418">INDEX('Linha 05'!$C$3:$ZZ$3,C418)</f>
        <v>20200022</v>
      </c>
      <c r="G418" t="str" cm="1">
        <f t="array" ref="G418">INDEX('Linha 05'!$C$2:$ZZ$2,C418)</f>
        <v>Lava Roupas Aquafast Multiacao Cx/04 X 3l</v>
      </c>
      <c r="H418" s="5" cm="1">
        <f t="array" ref="H418">INDEX('Linha 05'!$C$4:$ZZ$1000,B418,C418)</f>
        <v>6.9444444444444441E-3</v>
      </c>
      <c r="I418" t="str">
        <f t="shared" si="20"/>
        <v>20200058 20200022</v>
      </c>
      <c r="J418" s="5">
        <v>6.9444444444444441E-3</v>
      </c>
    </row>
    <row r="419" spans="1:10" x14ac:dyDescent="0.25">
      <c r="A419">
        <v>417</v>
      </c>
      <c r="B419">
        <f t="shared" si="18"/>
        <v>20</v>
      </c>
      <c r="C419">
        <f t="shared" si="19"/>
        <v>18</v>
      </c>
      <c r="D419" cm="1">
        <f t="array" ref="D419">INDEX('Linha 05'!$A$4:$A$1000,B419)</f>
        <v>20200058</v>
      </c>
      <c r="E419" t="str" cm="1">
        <f t="array" ref="E419">INDEX('Linha 05'!$B$4:$B$1000,B419)</f>
        <v>Lava Roupas Aquafast Flores Brancas E Baunilha Cx/4 X 3l</v>
      </c>
      <c r="F419" cm="1">
        <f t="array" ref="F419">INDEX('Linha 05'!$C$3:$ZZ$3,C419)</f>
        <v>20200026</v>
      </c>
      <c r="G419" t="str" cm="1">
        <f t="array" ref="G419">INDEX('Linha 05'!$C$2:$ZZ$2,C419)</f>
        <v>Lava Roupas Aquafast Ternura Cx/04 X 3l</v>
      </c>
      <c r="H419" s="5" cm="1">
        <f t="array" ref="H419">INDEX('Linha 05'!$C$4:$ZZ$1000,B419,C419)</f>
        <v>6.9444444444444441E-3</v>
      </c>
      <c r="I419" t="str">
        <f t="shared" si="20"/>
        <v>20200058 20200026</v>
      </c>
      <c r="J419" s="5">
        <v>6.9444444444444441E-3</v>
      </c>
    </row>
    <row r="420" spans="1:10" x14ac:dyDescent="0.25">
      <c r="A420">
        <v>418</v>
      </c>
      <c r="B420">
        <f t="shared" si="18"/>
        <v>20</v>
      </c>
      <c r="C420">
        <f t="shared" si="19"/>
        <v>19</v>
      </c>
      <c r="D420" cm="1">
        <f t="array" ref="D420">INDEX('Linha 05'!$A$4:$A$1000,B420)</f>
        <v>20200058</v>
      </c>
      <c r="E420" t="str" cm="1">
        <f t="array" ref="E420">INDEX('Linha 05'!$B$4:$B$1000,B420)</f>
        <v>Lava Roupas Aquafast Flores Brancas E Baunilha Cx/4 X 3l</v>
      </c>
      <c r="F420" cm="1">
        <f t="array" ref="F420">INDEX('Linha 05'!$C$3:$ZZ$3,C420)</f>
        <v>20200027</v>
      </c>
      <c r="G420" t="str" cm="1">
        <f t="array" ref="G420">INDEX('Linha 05'!$C$2:$ZZ$2,C420)</f>
        <v>Lava Roupas Aquafast Ternura C/04 X 5l (Emb Econ)</v>
      </c>
      <c r="H420" s="5" cm="1">
        <f t="array" ref="H420">INDEX('Linha 05'!$C$4:$ZZ$1000,B420,C420)</f>
        <v>3.4722222222222224E-2</v>
      </c>
      <c r="I420" t="str">
        <f t="shared" si="20"/>
        <v>20200058 20200027</v>
      </c>
      <c r="J420" s="5">
        <v>3.4722222222222224E-2</v>
      </c>
    </row>
    <row r="421" spans="1:10" x14ac:dyDescent="0.25">
      <c r="A421">
        <v>419</v>
      </c>
      <c r="B421">
        <f t="shared" si="18"/>
        <v>20</v>
      </c>
      <c r="C421">
        <f t="shared" si="19"/>
        <v>20</v>
      </c>
      <c r="D421" cm="1">
        <f t="array" ref="D421">INDEX('Linha 05'!$A$4:$A$1000,B421)</f>
        <v>20200058</v>
      </c>
      <c r="E421" t="str" cm="1">
        <f t="array" ref="E421">INDEX('Linha 05'!$B$4:$B$1000,B421)</f>
        <v>Lava Roupas Aquafast Flores Brancas E Baunilha Cx/4 X 3l</v>
      </c>
      <c r="F421" cm="1">
        <f t="array" ref="F421">INDEX('Linha 05'!$C$3:$ZZ$3,C421)</f>
        <v>20200058</v>
      </c>
      <c r="G421" t="str" cm="1">
        <f t="array" ref="G421">INDEX('Linha 05'!$C$2:$ZZ$2,C421)</f>
        <v>Lava Roupas Aquafast Flores Brancas E Baunilha Cx/4 X 3l</v>
      </c>
      <c r="H421" s="5" cm="1">
        <f t="array" ref="H421">INDEX('Linha 05'!$C$4:$ZZ$1000,B421,C421)</f>
        <v>0</v>
      </c>
      <c r="I421" t="str">
        <f t="shared" si="20"/>
        <v>20200058 20200058</v>
      </c>
      <c r="J421" s="5">
        <v>0</v>
      </c>
    </row>
    <row r="422" spans="1:10" x14ac:dyDescent="0.25">
      <c r="A422">
        <v>420</v>
      </c>
      <c r="B422">
        <f t="shared" si="18"/>
        <v>20</v>
      </c>
      <c r="C422">
        <f t="shared" si="19"/>
        <v>21</v>
      </c>
      <c r="D422" cm="1">
        <f t="array" ref="D422">INDEX('Linha 05'!$A$4:$A$1000,B422)</f>
        <v>20200058</v>
      </c>
      <c r="E422" t="str" cm="1">
        <f t="array" ref="E422">INDEX('Linha 05'!$B$4:$B$1000,B422)</f>
        <v>Lava Roupas Aquafast Flores Brancas E Baunilha Cx/4 X 3l</v>
      </c>
      <c r="F422" cm="1">
        <f t="array" ref="F422">INDEX('Linha 05'!$C$3:$ZZ$3,C422)</f>
        <v>20200077</v>
      </c>
      <c r="G422" t="str" cm="1">
        <f t="array" ref="G422">INDEX('Linha 05'!$C$2:$ZZ$2,C422)</f>
        <v>Lava Roupas Aquafast Alta Performance 7l</v>
      </c>
      <c r="H422" s="5" cm="1">
        <f t="array" ref="H422">INDEX('Linha 05'!$C$4:$ZZ$1000,B422,C422)</f>
        <v>3.4722222222222224E-2</v>
      </c>
      <c r="I422" t="str">
        <f t="shared" si="20"/>
        <v>20200058 20200077</v>
      </c>
      <c r="J422" s="5">
        <v>3.4722222222222224E-2</v>
      </c>
    </row>
    <row r="423" spans="1:10" x14ac:dyDescent="0.25">
      <c r="A423">
        <v>421</v>
      </c>
      <c r="B423">
        <f t="shared" si="18"/>
        <v>21</v>
      </c>
      <c r="C423">
        <f t="shared" si="19"/>
        <v>1</v>
      </c>
      <c r="D423" cm="1">
        <f t="array" ref="D423">INDEX('Linha 05'!$A$4:$A$1000,B423)</f>
        <v>20200077</v>
      </c>
      <c r="E423" t="str" cm="1">
        <f t="array" ref="E423">INDEX('Linha 05'!$B$4:$B$1000,B423)</f>
        <v>Lava Roupas Aquafast Alta Performance 7l</v>
      </c>
      <c r="F423" cm="1">
        <f t="array" ref="F423">INDEX('Linha 05'!$C$3:$ZZ$3,C423)</f>
        <v>20030008</v>
      </c>
      <c r="G423" t="str" cm="1">
        <f t="array" ref="G423">INDEX('Linha 05'!$C$2:$ZZ$2,C423)</f>
        <v>Detergente Aquafast Limao Cx/04 X 5l (Emb Econ)</v>
      </c>
      <c r="H423" s="5" cm="1">
        <f t="array" ref="H423">INDEX('Linha 05'!$C$4:$ZZ$1000,B423,C423)</f>
        <v>3.4722222222222224E-2</v>
      </c>
      <c r="I423" t="str">
        <f t="shared" si="20"/>
        <v>20200077 20030008</v>
      </c>
      <c r="J423" s="5">
        <v>3.4722222222222224E-2</v>
      </c>
    </row>
    <row r="424" spans="1:10" x14ac:dyDescent="0.25">
      <c r="A424">
        <v>422</v>
      </c>
      <c r="B424">
        <f t="shared" si="18"/>
        <v>21</v>
      </c>
      <c r="C424">
        <f t="shared" si="19"/>
        <v>2</v>
      </c>
      <c r="D424" cm="1">
        <f t="array" ref="D424">INDEX('Linha 05'!$A$4:$A$1000,B424)</f>
        <v>20200077</v>
      </c>
      <c r="E424" t="str" cm="1">
        <f t="array" ref="E424">INDEX('Linha 05'!$B$4:$B$1000,B424)</f>
        <v>Lava Roupas Aquafast Alta Performance 7l</v>
      </c>
      <c r="F424" cm="1">
        <f t="array" ref="F424">INDEX('Linha 05'!$C$3:$ZZ$3,C424)</f>
        <v>20030009</v>
      </c>
      <c r="G424" t="str" cm="1">
        <f t="array" ref="G424">INDEX('Linha 05'!$C$2:$ZZ$2,C424)</f>
        <v>Detergente Aquafast Neutro Cx/04 X 5l (Emb Econ)</v>
      </c>
      <c r="H424" s="5" cm="1">
        <f t="array" ref="H424">INDEX('Linha 05'!$C$4:$ZZ$1000,B424,C424)</f>
        <v>3.4722222222222224E-2</v>
      </c>
      <c r="I424" t="str">
        <f t="shared" si="20"/>
        <v>20200077 20030009</v>
      </c>
      <c r="J424" s="5">
        <v>3.4722222222222224E-2</v>
      </c>
    </row>
    <row r="425" spans="1:10" x14ac:dyDescent="0.25">
      <c r="A425">
        <v>423</v>
      </c>
      <c r="B425">
        <f t="shared" si="18"/>
        <v>21</v>
      </c>
      <c r="C425">
        <f t="shared" si="19"/>
        <v>3</v>
      </c>
      <c r="D425" cm="1">
        <f t="array" ref="D425">INDEX('Linha 05'!$A$4:$A$1000,B425)</f>
        <v>20200077</v>
      </c>
      <c r="E425" t="str" cm="1">
        <f t="array" ref="E425">INDEX('Linha 05'!$B$4:$B$1000,B425)</f>
        <v>Lava Roupas Aquafast Alta Performance 7l</v>
      </c>
      <c r="F425" cm="1">
        <f t="array" ref="F425">INDEX('Linha 05'!$C$3:$ZZ$3,C425)</f>
        <v>20030010</v>
      </c>
      <c r="G425" t="str" cm="1">
        <f t="array" ref="G425">INDEX('Linha 05'!$C$2:$ZZ$2,C425)</f>
        <v>Detergente Aquafast Clear Cx/04 X 5l (Emb Econ)</v>
      </c>
      <c r="H425" s="5" cm="1">
        <f t="array" ref="H425">INDEX('Linha 05'!$C$4:$ZZ$1000,B425,C425)</f>
        <v>3.4722222222222203E-2</v>
      </c>
      <c r="I425" t="str">
        <f t="shared" si="20"/>
        <v>20200077 20030010</v>
      </c>
      <c r="J425" s="5">
        <v>3.4722222222222203E-2</v>
      </c>
    </row>
    <row r="426" spans="1:10" x14ac:dyDescent="0.25">
      <c r="A426">
        <v>424</v>
      </c>
      <c r="B426">
        <f t="shared" si="18"/>
        <v>21</v>
      </c>
      <c r="C426">
        <f t="shared" si="19"/>
        <v>4</v>
      </c>
      <c r="D426" cm="1">
        <f t="array" ref="D426">INDEX('Linha 05'!$A$4:$A$1000,B426)</f>
        <v>20200077</v>
      </c>
      <c r="E426" t="str" cm="1">
        <f t="array" ref="E426">INDEX('Linha 05'!$B$4:$B$1000,B426)</f>
        <v>Lava Roupas Aquafast Alta Performance 7l</v>
      </c>
      <c r="F426" cm="1">
        <f t="array" ref="F426">INDEX('Linha 05'!$C$3:$ZZ$3,C426)</f>
        <v>20030024</v>
      </c>
      <c r="G426" t="str" cm="1">
        <f t="array" ref="G426">INDEX('Linha 05'!$C$2:$ZZ$2,C426)</f>
        <v>Detergente Ito Neutro Cx/04 X 5l</v>
      </c>
      <c r="H426" s="5" cm="1">
        <f t="array" ref="H426">INDEX('Linha 05'!$C$4:$ZZ$1000,B426,C426)</f>
        <v>3.4722222222222203E-2</v>
      </c>
      <c r="I426" t="str">
        <f t="shared" si="20"/>
        <v>20200077 20030024</v>
      </c>
      <c r="J426" s="5">
        <v>3.4722222222222203E-2</v>
      </c>
    </row>
    <row r="427" spans="1:10" x14ac:dyDescent="0.25">
      <c r="A427">
        <v>425</v>
      </c>
      <c r="B427">
        <f t="shared" si="18"/>
        <v>21</v>
      </c>
      <c r="C427">
        <f t="shared" si="19"/>
        <v>5</v>
      </c>
      <c r="D427" cm="1">
        <f t="array" ref="D427">INDEX('Linha 05'!$A$4:$A$1000,B427)</f>
        <v>20200077</v>
      </c>
      <c r="E427" t="str" cm="1">
        <f t="array" ref="E427">INDEX('Linha 05'!$B$4:$B$1000,B427)</f>
        <v>Lava Roupas Aquafast Alta Performance 7l</v>
      </c>
      <c r="F427" cm="1">
        <f t="array" ref="F427">INDEX('Linha 05'!$C$3:$ZZ$3,C427)</f>
        <v>20030083</v>
      </c>
      <c r="G427" t="str" cm="1">
        <f t="array" ref="G427">INDEX('Linha 05'!$C$2:$ZZ$2,C427)</f>
        <v>Detergente Ito Clear Cx/04 X 5l</v>
      </c>
      <c r="H427" s="5" cm="1">
        <f t="array" ref="H427">INDEX('Linha 05'!$C$4:$ZZ$1000,B427,C427)</f>
        <v>3.4722222222222203E-2</v>
      </c>
      <c r="I427" t="str">
        <f t="shared" si="20"/>
        <v>20200077 20030083</v>
      </c>
      <c r="J427" s="5">
        <v>3.4722222222222203E-2</v>
      </c>
    </row>
    <row r="428" spans="1:10" x14ac:dyDescent="0.25">
      <c r="A428">
        <v>426</v>
      </c>
      <c r="B428">
        <f t="shared" si="18"/>
        <v>21</v>
      </c>
      <c r="C428">
        <f t="shared" si="19"/>
        <v>6</v>
      </c>
      <c r="D428" cm="1">
        <f t="array" ref="D428">INDEX('Linha 05'!$A$4:$A$1000,B428)</f>
        <v>20200077</v>
      </c>
      <c r="E428" t="str" cm="1">
        <f t="array" ref="E428">INDEX('Linha 05'!$B$4:$B$1000,B428)</f>
        <v>Lava Roupas Aquafast Alta Performance 7l</v>
      </c>
      <c r="F428" cm="1">
        <f t="array" ref="F428">INDEX('Linha 05'!$C$3:$ZZ$3,C428)</f>
        <v>20040030</v>
      </c>
      <c r="G428" t="str" cm="1">
        <f t="array" ref="G428">INDEX('Linha 05'!$C$2:$ZZ$2,C428)</f>
        <v>Amaciante Ito Azul Cx/04 X 5l</v>
      </c>
      <c r="H428" s="5" cm="1">
        <f t="array" ref="H428">INDEX('Linha 05'!$C$4:$ZZ$1000,B428,C428)</f>
        <v>3.4722222222222203E-2</v>
      </c>
      <c r="I428" t="str">
        <f t="shared" si="20"/>
        <v>20200077 20040030</v>
      </c>
      <c r="J428" s="5">
        <v>3.4722222222222203E-2</v>
      </c>
    </row>
    <row r="429" spans="1:10" x14ac:dyDescent="0.25">
      <c r="A429">
        <v>427</v>
      </c>
      <c r="B429">
        <f t="shared" si="18"/>
        <v>21</v>
      </c>
      <c r="C429">
        <f t="shared" si="19"/>
        <v>7</v>
      </c>
      <c r="D429" cm="1">
        <f t="array" ref="D429">INDEX('Linha 05'!$A$4:$A$1000,B429)</f>
        <v>20200077</v>
      </c>
      <c r="E429" t="str" cm="1">
        <f t="array" ref="E429">INDEX('Linha 05'!$B$4:$B$1000,B429)</f>
        <v>Lava Roupas Aquafast Alta Performance 7l</v>
      </c>
      <c r="F429" cm="1">
        <f t="array" ref="F429">INDEX('Linha 05'!$C$3:$ZZ$3,C429)</f>
        <v>20040074</v>
      </c>
      <c r="G429" t="str" cm="1">
        <f t="array" ref="G429">INDEX('Linha 05'!$C$2:$ZZ$2,C429)</f>
        <v>Amaciante Aquafast Azul Cx C/04 X 5l (Fresc Manh) Emb. Econ</v>
      </c>
      <c r="H429" s="5" cm="1">
        <f t="array" ref="H429">INDEX('Linha 05'!$C$4:$ZZ$1000,B429,C429)</f>
        <v>3.4722222222222203E-2</v>
      </c>
      <c r="I429" t="str">
        <f t="shared" si="20"/>
        <v>20200077 20040074</v>
      </c>
      <c r="J429" s="5">
        <v>3.4722222222222203E-2</v>
      </c>
    </row>
    <row r="430" spans="1:10" x14ac:dyDescent="0.25">
      <c r="A430">
        <v>428</v>
      </c>
      <c r="B430">
        <f t="shared" si="18"/>
        <v>21</v>
      </c>
      <c r="C430">
        <f t="shared" si="19"/>
        <v>8</v>
      </c>
      <c r="D430" cm="1">
        <f t="array" ref="D430">INDEX('Linha 05'!$A$4:$A$1000,B430)</f>
        <v>20200077</v>
      </c>
      <c r="E430" t="str" cm="1">
        <f t="array" ref="E430">INDEX('Linha 05'!$B$4:$B$1000,B430)</f>
        <v>Lava Roupas Aquafast Alta Performance 7l</v>
      </c>
      <c r="F430" cm="1">
        <f t="array" ref="F430">INDEX('Linha 05'!$C$3:$ZZ$3,C430)</f>
        <v>20040075</v>
      </c>
      <c r="G430" t="str" cm="1">
        <f t="array" ref="G430">INDEX('Linha 05'!$C$2:$ZZ$2,C430)</f>
        <v>Amaciante Aquafast Rosa Cx C/04 X 5l (Jard Flor) Emb. Econ</v>
      </c>
      <c r="H430" s="5" cm="1">
        <f t="array" ref="H430">INDEX('Linha 05'!$C$4:$ZZ$1000,B430,C430)</f>
        <v>3.4722222222222203E-2</v>
      </c>
      <c r="I430" t="str">
        <f t="shared" si="20"/>
        <v>20200077 20040075</v>
      </c>
      <c r="J430" s="5">
        <v>3.4722222222222203E-2</v>
      </c>
    </row>
    <row r="431" spans="1:10" x14ac:dyDescent="0.25">
      <c r="A431">
        <v>429</v>
      </c>
      <c r="B431">
        <f t="shared" si="18"/>
        <v>21</v>
      </c>
      <c r="C431">
        <f t="shared" si="19"/>
        <v>9</v>
      </c>
      <c r="D431" cm="1">
        <f t="array" ref="D431">INDEX('Linha 05'!$A$4:$A$1000,B431)</f>
        <v>20200077</v>
      </c>
      <c r="E431" t="str" cm="1">
        <f t="array" ref="E431">INDEX('Linha 05'!$B$4:$B$1000,B431)</f>
        <v>Lava Roupas Aquafast Alta Performance 7l</v>
      </c>
      <c r="F431" cm="1">
        <f t="array" ref="F431">INDEX('Linha 05'!$C$3:$ZZ$3,C431)</f>
        <v>20040086</v>
      </c>
      <c r="G431" t="str" cm="1">
        <f t="array" ref="G431">INDEX('Linha 05'!$C$2:$ZZ$2,C431)</f>
        <v>Amaciante Aquafast Vermelho Cx/04 X 5l (Seducao) Emb. Econ</v>
      </c>
      <c r="H431" s="5" cm="1">
        <f t="array" ref="H431">INDEX('Linha 05'!$C$4:$ZZ$1000,B431,C431)</f>
        <v>3.4722222222222203E-2</v>
      </c>
      <c r="I431" t="str">
        <f t="shared" si="20"/>
        <v>20200077 20040086</v>
      </c>
      <c r="J431" s="5">
        <v>3.4722222222222203E-2</v>
      </c>
    </row>
    <row r="432" spans="1:10" x14ac:dyDescent="0.25">
      <c r="A432">
        <v>430</v>
      </c>
      <c r="B432">
        <f t="shared" si="18"/>
        <v>21</v>
      </c>
      <c r="C432">
        <f t="shared" si="19"/>
        <v>10</v>
      </c>
      <c r="D432" cm="1">
        <f t="array" ref="D432">INDEX('Linha 05'!$A$4:$A$1000,B432)</f>
        <v>20200077</v>
      </c>
      <c r="E432" t="str" cm="1">
        <f t="array" ref="E432">INDEX('Linha 05'!$B$4:$B$1000,B432)</f>
        <v>Lava Roupas Aquafast Alta Performance 7l</v>
      </c>
      <c r="F432" cm="1">
        <f t="array" ref="F432">INDEX('Linha 05'!$C$3:$ZZ$3,C432)</f>
        <v>20040091</v>
      </c>
      <c r="G432" t="str" cm="1">
        <f t="array" ref="G432">INDEX('Linha 05'!$C$2:$ZZ$2,C432)</f>
        <v>Amaciante Aquafast Roxo Cx/04 X 5l (Magia) Emb. Econ</v>
      </c>
      <c r="H432" s="5" cm="1">
        <f t="array" ref="H432">INDEX('Linha 05'!$C$4:$ZZ$1000,B432,C432)</f>
        <v>3.4722222222222203E-2</v>
      </c>
      <c r="I432" t="str">
        <f t="shared" si="20"/>
        <v>20200077 20040091</v>
      </c>
      <c r="J432" s="5">
        <v>3.4722222222222203E-2</v>
      </c>
    </row>
    <row r="433" spans="1:10" x14ac:dyDescent="0.25">
      <c r="A433">
        <v>431</v>
      </c>
      <c r="B433">
        <f t="shared" si="18"/>
        <v>21</v>
      </c>
      <c r="C433">
        <f t="shared" si="19"/>
        <v>11</v>
      </c>
      <c r="D433" cm="1">
        <f t="array" ref="D433">INDEX('Linha 05'!$A$4:$A$1000,B433)</f>
        <v>20200077</v>
      </c>
      <c r="E433" t="str" cm="1">
        <f t="array" ref="E433">INDEX('Linha 05'!$B$4:$B$1000,B433)</f>
        <v>Lava Roupas Aquafast Alta Performance 7l</v>
      </c>
      <c r="F433" cm="1">
        <f t="array" ref="F433">INDEX('Linha 05'!$C$3:$ZZ$3,C433)</f>
        <v>20040095</v>
      </c>
      <c r="G433" t="str" cm="1">
        <f t="array" ref="G433">INDEX('Linha 05'!$C$2:$ZZ$2,C433)</f>
        <v>Amaciante Aquafast Energia Cx/04 X 5l Emb. Econ</v>
      </c>
      <c r="H433" s="5" cm="1">
        <f t="array" ref="H433">INDEX('Linha 05'!$C$4:$ZZ$1000,B433,C433)</f>
        <v>3.4722222222222203E-2</v>
      </c>
      <c r="I433" t="str">
        <f t="shared" si="20"/>
        <v>20200077 20040095</v>
      </c>
      <c r="J433" s="5">
        <v>3.4722222222222203E-2</v>
      </c>
    </row>
    <row r="434" spans="1:10" x14ac:dyDescent="0.25">
      <c r="A434">
        <v>432</v>
      </c>
      <c r="B434">
        <f t="shared" si="18"/>
        <v>21</v>
      </c>
      <c r="C434">
        <f t="shared" si="19"/>
        <v>12</v>
      </c>
      <c r="D434" cm="1">
        <f t="array" ref="D434">INDEX('Linha 05'!$A$4:$A$1000,B434)</f>
        <v>20200077</v>
      </c>
      <c r="E434" t="str" cm="1">
        <f t="array" ref="E434">INDEX('Linha 05'!$B$4:$B$1000,B434)</f>
        <v>Lava Roupas Aquafast Alta Performance 7l</v>
      </c>
      <c r="F434" cm="1">
        <f t="array" ref="F434">INDEX('Linha 05'!$C$3:$ZZ$3,C434)</f>
        <v>20150028</v>
      </c>
      <c r="G434" t="str" cm="1">
        <f t="array" ref="G434">INDEX('Linha 05'!$C$2:$ZZ$2,C434)</f>
        <v>Amac. Conc. Aquafast Branco Ternura Cx/ 04 X 3l</v>
      </c>
      <c r="H434" s="5" cm="1">
        <f t="array" ref="H434">INDEX('Linha 05'!$C$4:$ZZ$1000,B434,C434)</f>
        <v>3.4722222222222203E-2</v>
      </c>
      <c r="I434" t="str">
        <f t="shared" si="20"/>
        <v>20200077 20150028</v>
      </c>
      <c r="J434" s="5">
        <v>3.4722222222222203E-2</v>
      </c>
    </row>
    <row r="435" spans="1:10" x14ac:dyDescent="0.25">
      <c r="A435">
        <v>433</v>
      </c>
      <c r="B435">
        <f t="shared" si="18"/>
        <v>21</v>
      </c>
      <c r="C435">
        <f t="shared" si="19"/>
        <v>13</v>
      </c>
      <c r="D435" cm="1">
        <f t="array" ref="D435">INDEX('Linha 05'!$A$4:$A$1000,B435)</f>
        <v>20200077</v>
      </c>
      <c r="E435" t="str" cm="1">
        <f t="array" ref="E435">INDEX('Linha 05'!$B$4:$B$1000,B435)</f>
        <v>Lava Roupas Aquafast Alta Performance 7l</v>
      </c>
      <c r="F435" cm="1">
        <f t="array" ref="F435">INDEX('Linha 05'!$C$3:$ZZ$3,C435)</f>
        <v>20150051</v>
      </c>
      <c r="G435" t="str" cm="1">
        <f t="array" ref="G435">INDEX('Linha 05'!$C$2:$ZZ$2,C435)</f>
        <v>Amac. Conc. Aquafast Azul Harmonia Cx/ 04 X 3l</v>
      </c>
      <c r="H435" s="5" cm="1">
        <f t="array" ref="H435">INDEX('Linha 05'!$C$4:$ZZ$1000,B435,C435)</f>
        <v>3.4722222222222203E-2</v>
      </c>
      <c r="I435" t="str">
        <f t="shared" si="20"/>
        <v>20200077 20150051</v>
      </c>
      <c r="J435" s="5">
        <v>3.4722222222222203E-2</v>
      </c>
    </row>
    <row r="436" spans="1:10" x14ac:dyDescent="0.25">
      <c r="A436">
        <v>434</v>
      </c>
      <c r="B436">
        <f t="shared" si="18"/>
        <v>21</v>
      </c>
      <c r="C436">
        <f t="shared" si="19"/>
        <v>14</v>
      </c>
      <c r="D436" cm="1">
        <f t="array" ref="D436">INDEX('Linha 05'!$A$4:$A$1000,B436)</f>
        <v>20200077</v>
      </c>
      <c r="E436" t="str" cm="1">
        <f t="array" ref="E436">INDEX('Linha 05'!$B$4:$B$1000,B436)</f>
        <v>Lava Roupas Aquafast Alta Performance 7l</v>
      </c>
      <c r="F436" cm="1">
        <f t="array" ref="F436">INDEX('Linha 05'!$C$3:$ZZ$3,C436)</f>
        <v>20200009</v>
      </c>
      <c r="G436" t="str" cm="1">
        <f t="array" ref="G436">INDEX('Linha 05'!$C$2:$ZZ$2,C436)</f>
        <v>Lava Roupas Aquafast Multi Acao Cx/04 X 5l (Emb Econ)</v>
      </c>
      <c r="H436" s="5" cm="1">
        <f t="array" ref="H436">INDEX('Linha 05'!$C$4:$ZZ$1000,B436,C436)</f>
        <v>3.4722222222222203E-2</v>
      </c>
      <c r="I436" t="str">
        <f t="shared" si="20"/>
        <v>20200077 20200009</v>
      </c>
      <c r="J436" s="5">
        <v>3.4722222222222203E-2</v>
      </c>
    </row>
    <row r="437" spans="1:10" x14ac:dyDescent="0.25">
      <c r="A437">
        <v>435</v>
      </c>
      <c r="B437">
        <f t="shared" si="18"/>
        <v>21</v>
      </c>
      <c r="C437">
        <f t="shared" si="19"/>
        <v>15</v>
      </c>
      <c r="D437" cm="1">
        <f t="array" ref="D437">INDEX('Linha 05'!$A$4:$A$1000,B437)</f>
        <v>20200077</v>
      </c>
      <c r="E437" t="str" cm="1">
        <f t="array" ref="E437">INDEX('Linha 05'!$B$4:$B$1000,B437)</f>
        <v>Lava Roupas Aquafast Alta Performance 7l</v>
      </c>
      <c r="F437" cm="1">
        <f t="array" ref="F437">INDEX('Linha 05'!$C$3:$ZZ$3,C437)</f>
        <v>20200014</v>
      </c>
      <c r="G437" t="str" cm="1">
        <f t="array" ref="G437">INDEX('Linha 05'!$C$2:$ZZ$2,C437)</f>
        <v>Lava Roupas Aquafast Glicerina Cx/04 X 5l</v>
      </c>
      <c r="H437" s="5" cm="1">
        <f t="array" ref="H437">INDEX('Linha 05'!$C$4:$ZZ$1000,B437,C437)</f>
        <v>3.4722222222222203E-2</v>
      </c>
      <c r="I437" t="str">
        <f t="shared" si="20"/>
        <v>20200077 20200014</v>
      </c>
      <c r="J437" s="5">
        <v>3.4722222222222203E-2</v>
      </c>
    </row>
    <row r="438" spans="1:10" x14ac:dyDescent="0.25">
      <c r="A438">
        <v>436</v>
      </c>
      <c r="B438">
        <f t="shared" si="18"/>
        <v>21</v>
      </c>
      <c r="C438">
        <f t="shared" si="19"/>
        <v>16</v>
      </c>
      <c r="D438" cm="1">
        <f t="array" ref="D438">INDEX('Linha 05'!$A$4:$A$1000,B438)</f>
        <v>20200077</v>
      </c>
      <c r="E438" t="str" cm="1">
        <f t="array" ref="E438">INDEX('Linha 05'!$B$4:$B$1000,B438)</f>
        <v>Lava Roupas Aquafast Alta Performance 7l</v>
      </c>
      <c r="F438" cm="1">
        <f t="array" ref="F438">INDEX('Linha 05'!$C$3:$ZZ$3,C438)</f>
        <v>20200020</v>
      </c>
      <c r="G438" t="str" cm="1">
        <f t="array" ref="G438">INDEX('Linha 05'!$C$2:$ZZ$2,C438)</f>
        <v>Lava Roupas Aquafast Glicerina Cx/04 X 3l</v>
      </c>
      <c r="H438" s="5" cm="1">
        <f t="array" ref="H438">INDEX('Linha 05'!$C$4:$ZZ$1000,B438,C438)</f>
        <v>3.4722222222222203E-2</v>
      </c>
      <c r="I438" t="str">
        <f t="shared" si="20"/>
        <v>20200077 20200020</v>
      </c>
      <c r="J438" s="5">
        <v>3.4722222222222203E-2</v>
      </c>
    </row>
    <row r="439" spans="1:10" x14ac:dyDescent="0.25">
      <c r="A439">
        <v>437</v>
      </c>
      <c r="B439">
        <f t="shared" si="18"/>
        <v>21</v>
      </c>
      <c r="C439">
        <f t="shared" si="19"/>
        <v>17</v>
      </c>
      <c r="D439" cm="1">
        <f t="array" ref="D439">INDEX('Linha 05'!$A$4:$A$1000,B439)</f>
        <v>20200077</v>
      </c>
      <c r="E439" t="str" cm="1">
        <f t="array" ref="E439">INDEX('Linha 05'!$B$4:$B$1000,B439)</f>
        <v>Lava Roupas Aquafast Alta Performance 7l</v>
      </c>
      <c r="F439" cm="1">
        <f t="array" ref="F439">INDEX('Linha 05'!$C$3:$ZZ$3,C439)</f>
        <v>20200022</v>
      </c>
      <c r="G439" t="str" cm="1">
        <f t="array" ref="G439">INDEX('Linha 05'!$C$2:$ZZ$2,C439)</f>
        <v>Lava Roupas Aquafast Multiacao Cx/04 X 3l</v>
      </c>
      <c r="H439" s="5" cm="1">
        <f t="array" ref="H439">INDEX('Linha 05'!$C$4:$ZZ$1000,B439,C439)</f>
        <v>3.4722222222222203E-2</v>
      </c>
      <c r="I439" t="str">
        <f t="shared" si="20"/>
        <v>20200077 20200022</v>
      </c>
      <c r="J439" s="5">
        <v>3.4722222222222203E-2</v>
      </c>
    </row>
    <row r="440" spans="1:10" x14ac:dyDescent="0.25">
      <c r="A440">
        <v>438</v>
      </c>
      <c r="B440">
        <f t="shared" si="18"/>
        <v>21</v>
      </c>
      <c r="C440">
        <f t="shared" si="19"/>
        <v>18</v>
      </c>
      <c r="D440" cm="1">
        <f t="array" ref="D440">INDEX('Linha 05'!$A$4:$A$1000,B440)</f>
        <v>20200077</v>
      </c>
      <c r="E440" t="str" cm="1">
        <f t="array" ref="E440">INDEX('Linha 05'!$B$4:$B$1000,B440)</f>
        <v>Lava Roupas Aquafast Alta Performance 7l</v>
      </c>
      <c r="F440" cm="1">
        <f t="array" ref="F440">INDEX('Linha 05'!$C$3:$ZZ$3,C440)</f>
        <v>20200026</v>
      </c>
      <c r="G440" t="str" cm="1">
        <f t="array" ref="G440">INDEX('Linha 05'!$C$2:$ZZ$2,C440)</f>
        <v>Lava Roupas Aquafast Ternura Cx/04 X 3l</v>
      </c>
      <c r="H440" s="5" cm="1">
        <f t="array" ref="H440">INDEX('Linha 05'!$C$4:$ZZ$1000,B440,C440)</f>
        <v>3.4722222222222203E-2</v>
      </c>
      <c r="I440" t="str">
        <f t="shared" si="20"/>
        <v>20200077 20200026</v>
      </c>
      <c r="J440" s="5">
        <v>3.4722222222222203E-2</v>
      </c>
    </row>
    <row r="441" spans="1:10" x14ac:dyDescent="0.25">
      <c r="A441">
        <v>439</v>
      </c>
      <c r="B441">
        <f t="shared" si="18"/>
        <v>21</v>
      </c>
      <c r="C441">
        <f t="shared" si="19"/>
        <v>19</v>
      </c>
      <c r="D441" cm="1">
        <f t="array" ref="D441">INDEX('Linha 05'!$A$4:$A$1000,B441)</f>
        <v>20200077</v>
      </c>
      <c r="E441" t="str" cm="1">
        <f t="array" ref="E441">INDEX('Linha 05'!$B$4:$B$1000,B441)</f>
        <v>Lava Roupas Aquafast Alta Performance 7l</v>
      </c>
      <c r="F441" cm="1">
        <f t="array" ref="F441">INDEX('Linha 05'!$C$3:$ZZ$3,C441)</f>
        <v>20200027</v>
      </c>
      <c r="G441" t="str" cm="1">
        <f t="array" ref="G441">INDEX('Linha 05'!$C$2:$ZZ$2,C441)</f>
        <v>Lava Roupas Aquafast Ternura C/04 X 5l (Emb Econ)</v>
      </c>
      <c r="H441" s="5" cm="1">
        <f t="array" ref="H441">INDEX('Linha 05'!$C$4:$ZZ$1000,B441,C441)</f>
        <v>3.4722222222222203E-2</v>
      </c>
      <c r="I441" t="str">
        <f t="shared" si="20"/>
        <v>20200077 20200027</v>
      </c>
      <c r="J441" s="5">
        <v>3.4722222222222203E-2</v>
      </c>
    </row>
    <row r="442" spans="1:10" x14ac:dyDescent="0.25">
      <c r="A442">
        <v>440</v>
      </c>
      <c r="B442">
        <f t="shared" si="18"/>
        <v>21</v>
      </c>
      <c r="C442">
        <f t="shared" si="19"/>
        <v>20</v>
      </c>
      <c r="D442" cm="1">
        <f t="array" ref="D442">INDEX('Linha 05'!$A$4:$A$1000,B442)</f>
        <v>20200077</v>
      </c>
      <c r="E442" t="str" cm="1">
        <f t="array" ref="E442">INDEX('Linha 05'!$B$4:$B$1000,B442)</f>
        <v>Lava Roupas Aquafast Alta Performance 7l</v>
      </c>
      <c r="F442" cm="1">
        <f t="array" ref="F442">INDEX('Linha 05'!$C$3:$ZZ$3,C442)</f>
        <v>20200058</v>
      </c>
      <c r="G442" t="str" cm="1">
        <f t="array" ref="G442">INDEX('Linha 05'!$C$2:$ZZ$2,C442)</f>
        <v>Lava Roupas Aquafast Flores Brancas E Baunilha Cx/4 X 3l</v>
      </c>
      <c r="H442" s="5" cm="1">
        <f t="array" ref="H442">INDEX('Linha 05'!$C$4:$ZZ$1000,B442,C442)</f>
        <v>3.4722222222222224E-2</v>
      </c>
      <c r="I442" t="str">
        <f t="shared" si="20"/>
        <v>20200077 20200058</v>
      </c>
      <c r="J442" s="5">
        <v>3.4722222222222224E-2</v>
      </c>
    </row>
    <row r="443" spans="1:10" x14ac:dyDescent="0.25">
      <c r="A443">
        <v>441</v>
      </c>
      <c r="B443">
        <f t="shared" si="18"/>
        <v>21</v>
      </c>
      <c r="C443">
        <f t="shared" si="19"/>
        <v>21</v>
      </c>
      <c r="D443" cm="1">
        <f t="array" ref="D443">INDEX('Linha 05'!$A$4:$A$1000,B443)</f>
        <v>20200077</v>
      </c>
      <c r="E443" t="str" cm="1">
        <f t="array" ref="E443">INDEX('Linha 05'!$B$4:$B$1000,B443)</f>
        <v>Lava Roupas Aquafast Alta Performance 7l</v>
      </c>
      <c r="F443" cm="1">
        <f t="array" ref="F443">INDEX('Linha 05'!$C$3:$ZZ$3,C443)</f>
        <v>20200077</v>
      </c>
      <c r="G443" t="str" cm="1">
        <f t="array" ref="G443">INDEX('Linha 05'!$C$2:$ZZ$2,C443)</f>
        <v>Lava Roupas Aquafast Alta Performance 7l</v>
      </c>
      <c r="H443" s="5" cm="1">
        <f t="array" ref="H443">INDEX('Linha 05'!$C$4:$ZZ$1000,B443,C443)</f>
        <v>0</v>
      </c>
      <c r="I443" t="str">
        <f t="shared" si="20"/>
        <v>20200077 20200077</v>
      </c>
      <c r="J443" s="5">
        <v>0</v>
      </c>
    </row>
    <row r="444" spans="1:10" x14ac:dyDescent="0.25">
      <c r="H444" s="5"/>
    </row>
    <row r="445" spans="1:10" x14ac:dyDescent="0.25">
      <c r="H445" s="5"/>
    </row>
    <row r="446" spans="1:10" x14ac:dyDescent="0.25">
      <c r="H446" s="5"/>
    </row>
    <row r="447" spans="1:10" x14ac:dyDescent="0.25">
      <c r="H447" s="5"/>
    </row>
    <row r="448" spans="1:10" x14ac:dyDescent="0.25">
      <c r="H448" s="5"/>
    </row>
    <row r="449" spans="8:8" x14ac:dyDescent="0.25">
      <c r="H449" s="5"/>
    </row>
    <row r="450" spans="8:8" x14ac:dyDescent="0.25">
      <c r="H450" s="5"/>
    </row>
    <row r="451" spans="8:8" x14ac:dyDescent="0.25">
      <c r="H451" s="5"/>
    </row>
    <row r="452" spans="8:8" x14ac:dyDescent="0.25">
      <c r="H452" s="5"/>
    </row>
    <row r="453" spans="8:8" x14ac:dyDescent="0.25">
      <c r="H453" s="5"/>
    </row>
    <row r="454" spans="8:8" x14ac:dyDescent="0.25">
      <c r="H454" s="5"/>
    </row>
    <row r="455" spans="8:8" x14ac:dyDescent="0.25">
      <c r="H455" s="5"/>
    </row>
    <row r="456" spans="8:8" x14ac:dyDescent="0.25">
      <c r="H456" s="5"/>
    </row>
    <row r="457" spans="8:8" x14ac:dyDescent="0.25">
      <c r="H457" s="5"/>
    </row>
    <row r="458" spans="8:8" x14ac:dyDescent="0.25">
      <c r="H458" s="5"/>
    </row>
    <row r="459" spans="8:8" x14ac:dyDescent="0.25">
      <c r="H459" s="5"/>
    </row>
    <row r="460" spans="8:8" x14ac:dyDescent="0.25">
      <c r="H460" s="5"/>
    </row>
    <row r="461" spans="8:8" x14ac:dyDescent="0.25">
      <c r="H461" s="5"/>
    </row>
    <row r="462" spans="8:8" x14ac:dyDescent="0.25">
      <c r="H462" s="5"/>
    </row>
    <row r="463" spans="8:8" x14ac:dyDescent="0.25">
      <c r="H463" s="5"/>
    </row>
    <row r="464" spans="8:8" x14ac:dyDescent="0.25">
      <c r="H464" s="5"/>
    </row>
    <row r="465" spans="8:8" x14ac:dyDescent="0.25">
      <c r="H465" s="5"/>
    </row>
    <row r="466" spans="8:8" x14ac:dyDescent="0.25">
      <c r="H466" s="5"/>
    </row>
    <row r="467" spans="8:8" x14ac:dyDescent="0.25">
      <c r="H467" s="5"/>
    </row>
    <row r="468" spans="8:8" x14ac:dyDescent="0.25">
      <c r="H468" s="5"/>
    </row>
    <row r="469" spans="8:8" x14ac:dyDescent="0.25">
      <c r="H469" s="5"/>
    </row>
    <row r="470" spans="8:8" x14ac:dyDescent="0.25">
      <c r="H470" s="5"/>
    </row>
    <row r="471" spans="8:8" x14ac:dyDescent="0.25">
      <c r="H471" s="5"/>
    </row>
    <row r="472" spans="8:8" x14ac:dyDescent="0.25">
      <c r="H472" s="5"/>
    </row>
    <row r="473" spans="8:8" x14ac:dyDescent="0.25">
      <c r="H473" s="5"/>
    </row>
    <row r="474" spans="8:8" x14ac:dyDescent="0.25">
      <c r="H474" s="5"/>
    </row>
    <row r="475" spans="8:8" x14ac:dyDescent="0.25">
      <c r="H475" s="5"/>
    </row>
    <row r="476" spans="8:8" x14ac:dyDescent="0.25">
      <c r="H476" s="5"/>
    </row>
    <row r="477" spans="8:8" x14ac:dyDescent="0.25">
      <c r="H477" s="5"/>
    </row>
    <row r="478" spans="8:8" x14ac:dyDescent="0.25">
      <c r="H478" s="5"/>
    </row>
    <row r="479" spans="8:8" x14ac:dyDescent="0.25">
      <c r="H479" s="5"/>
    </row>
    <row r="480" spans="8:8" x14ac:dyDescent="0.25">
      <c r="H480" s="5"/>
    </row>
    <row r="481" spans="8:8" x14ac:dyDescent="0.25">
      <c r="H481" s="5"/>
    </row>
    <row r="482" spans="8:8" x14ac:dyDescent="0.25">
      <c r="H482" s="5"/>
    </row>
    <row r="483" spans="8:8" x14ac:dyDescent="0.25">
      <c r="H483" s="5"/>
    </row>
    <row r="484" spans="8:8" x14ac:dyDescent="0.25">
      <c r="H484" s="5"/>
    </row>
    <row r="485" spans="8:8" x14ac:dyDescent="0.25">
      <c r="H485" s="5"/>
    </row>
    <row r="486" spans="8:8" x14ac:dyDescent="0.25">
      <c r="H486" s="5"/>
    </row>
    <row r="487" spans="8:8" x14ac:dyDescent="0.25">
      <c r="H487" s="5"/>
    </row>
    <row r="488" spans="8:8" x14ac:dyDescen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      <c r="H491" s="5"/>
    </row>
    <row r="492" spans="8:8" x14ac:dyDescent="0.25">
      <c r="H492" s="5"/>
    </row>
    <row r="493" spans="8:8" x14ac:dyDescent="0.25">
      <c r="H493" s="5"/>
    </row>
    <row r="494" spans="8:8" x14ac:dyDescent="0.25">
      <c r="H494" s="5"/>
    </row>
    <row r="495" spans="8:8" x14ac:dyDescent="0.25">
      <c r="H495" s="5"/>
    </row>
    <row r="496" spans="8:8" x14ac:dyDescent="0.25">
      <c r="H496" s="5"/>
    </row>
    <row r="497" spans="8:8" x14ac:dyDescent="0.25">
      <c r="H497" s="5"/>
    </row>
    <row r="498" spans="8:8" x14ac:dyDescent="0.25">
      <c r="H498" s="5"/>
    </row>
    <row r="499" spans="8:8" x14ac:dyDescent="0.25">
      <c r="H499" s="5"/>
    </row>
    <row r="500" spans="8:8" x14ac:dyDescent="0.25">
      <c r="H500" s="5"/>
    </row>
    <row r="501" spans="8:8" x14ac:dyDescent="0.25">
      <c r="H501" s="5"/>
    </row>
    <row r="502" spans="8:8" x14ac:dyDescent="0.25">
      <c r="H502" s="5"/>
    </row>
    <row r="503" spans="8:8" x14ac:dyDescent="0.25">
      <c r="H503" s="5"/>
    </row>
    <row r="504" spans="8:8" x14ac:dyDescent="0.25">
      <c r="H504" s="5"/>
    </row>
    <row r="505" spans="8:8" x14ac:dyDescent="0.25">
      <c r="H505" s="5"/>
    </row>
    <row r="506" spans="8:8" x14ac:dyDescent="0.25">
      <c r="H506" s="5"/>
    </row>
    <row r="507" spans="8:8" x14ac:dyDescent="0.25">
      <c r="H507" s="5"/>
    </row>
    <row r="508" spans="8:8" x14ac:dyDescent="0.25">
      <c r="H508" s="5"/>
    </row>
    <row r="509" spans="8:8" x14ac:dyDescent="0.25">
      <c r="H509" s="5"/>
    </row>
    <row r="510" spans="8:8" x14ac:dyDescent="0.25">
      <c r="H510" s="5"/>
    </row>
    <row r="511" spans="8:8" x14ac:dyDescent="0.25">
      <c r="H511" s="5"/>
    </row>
    <row r="512" spans="8:8" x14ac:dyDescent="0.25">
      <c r="H512" s="5"/>
    </row>
    <row r="513" spans="8:8" x14ac:dyDescent="0.25">
      <c r="H513" s="5"/>
    </row>
    <row r="514" spans="8:8" x14ac:dyDescent="0.25">
      <c r="H514" s="5"/>
    </row>
    <row r="515" spans="8:8" x14ac:dyDescent="0.25">
      <c r="H515" s="5"/>
    </row>
    <row r="516" spans="8:8" x14ac:dyDescent="0.25">
      <c r="H516" s="5"/>
    </row>
    <row r="517" spans="8:8" x14ac:dyDescent="0.25">
      <c r="H517" s="5"/>
    </row>
    <row r="518" spans="8:8" x14ac:dyDescent="0.25">
      <c r="H518" s="5"/>
    </row>
    <row r="519" spans="8:8" x14ac:dyDescent="0.25">
      <c r="H519" s="5"/>
    </row>
    <row r="520" spans="8:8" x14ac:dyDescent="0.25">
      <c r="H520" s="5"/>
    </row>
    <row r="521" spans="8:8" x14ac:dyDescent="0.25">
      <c r="H521" s="5"/>
    </row>
    <row r="522" spans="8:8" x14ac:dyDescent="0.25">
      <c r="H522" s="5"/>
    </row>
    <row r="523" spans="8:8" x14ac:dyDescent="0.25">
      <c r="H523" s="5"/>
    </row>
    <row r="524" spans="8:8" x14ac:dyDescent="0.25">
      <c r="H524" s="5"/>
    </row>
    <row r="525" spans="8:8" x14ac:dyDescent="0.25">
      <c r="H525" s="5"/>
    </row>
    <row r="526" spans="8:8" x14ac:dyDescent="0.25">
      <c r="H526" s="5"/>
    </row>
    <row r="527" spans="8:8" x14ac:dyDescent="0.25">
      <c r="H527" s="5"/>
    </row>
    <row r="528" spans="8:8" x14ac:dyDescent="0.25">
      <c r="H528" s="5"/>
    </row>
    <row r="529" spans="8:8" x14ac:dyDescent="0.25">
      <c r="H529" s="5"/>
    </row>
    <row r="530" spans="8:8" x14ac:dyDescent="0.25">
      <c r="H530" s="5"/>
    </row>
    <row r="531" spans="8:8" x14ac:dyDescent="0.25">
      <c r="H531" s="5"/>
    </row>
    <row r="532" spans="8:8" x14ac:dyDescent="0.25">
      <c r="H532" s="5"/>
    </row>
    <row r="533" spans="8:8" x14ac:dyDescent="0.25">
      <c r="H533" s="5"/>
    </row>
    <row r="534" spans="8:8" x14ac:dyDescent="0.25">
      <c r="H534" s="5"/>
    </row>
    <row r="535" spans="8:8" x14ac:dyDescent="0.25">
      <c r="H535" s="5"/>
    </row>
    <row r="536" spans="8:8" x14ac:dyDescent="0.25">
      <c r="H536" s="5"/>
    </row>
    <row r="537" spans="8:8" x14ac:dyDescent="0.25">
      <c r="H537" s="5"/>
    </row>
    <row r="538" spans="8:8" x14ac:dyDescent="0.25">
      <c r="H538" s="5"/>
    </row>
    <row r="539" spans="8:8" x14ac:dyDescent="0.25">
      <c r="H539" s="5"/>
    </row>
    <row r="540" spans="8:8" x14ac:dyDescent="0.25">
      <c r="H540" s="5"/>
    </row>
    <row r="541" spans="8:8" x14ac:dyDescent="0.25">
      <c r="H541" s="5"/>
    </row>
    <row r="542" spans="8:8" x14ac:dyDescent="0.25">
      <c r="H542" s="5"/>
    </row>
    <row r="543" spans="8:8" x14ac:dyDescent="0.25">
      <c r="H543" s="5"/>
    </row>
    <row r="544" spans="8:8" x14ac:dyDescent="0.25">
      <c r="H544" s="5"/>
    </row>
    <row r="545" spans="8:8" x14ac:dyDescent="0.25">
      <c r="H545" s="5"/>
    </row>
    <row r="546" spans="8:8" x14ac:dyDescent="0.25">
      <c r="H546" s="5"/>
    </row>
    <row r="547" spans="8:8" x14ac:dyDescent="0.25">
      <c r="H547" s="5"/>
    </row>
    <row r="548" spans="8:8" x14ac:dyDescent="0.25">
      <c r="H548" s="5"/>
    </row>
    <row r="549" spans="8:8" x14ac:dyDescent="0.25">
      <c r="H549" s="5"/>
    </row>
    <row r="550" spans="8:8" x14ac:dyDescent="0.25">
      <c r="H550" s="5"/>
    </row>
    <row r="551" spans="8:8" x14ac:dyDescent="0.25">
      <c r="H551" s="5"/>
    </row>
    <row r="552" spans="8:8" x14ac:dyDescent="0.25">
      <c r="H552" s="5"/>
    </row>
    <row r="553" spans="8:8" x14ac:dyDescent="0.25">
      <c r="H553" s="5"/>
    </row>
    <row r="554" spans="8:8" x14ac:dyDescent="0.25">
      <c r="H554" s="5"/>
    </row>
    <row r="555" spans="8:8" x14ac:dyDescent="0.25">
      <c r="H555" s="5"/>
    </row>
    <row r="556" spans="8:8" x14ac:dyDescent="0.25">
      <c r="H556" s="5"/>
    </row>
    <row r="557" spans="8:8" x14ac:dyDescent="0.25">
      <c r="H557" s="5"/>
    </row>
    <row r="558" spans="8:8" x14ac:dyDescent="0.25">
      <c r="H558" s="5"/>
    </row>
    <row r="559" spans="8:8" x14ac:dyDescent="0.25">
      <c r="H559" s="5"/>
    </row>
    <row r="560" spans="8:8" x14ac:dyDescent="0.25">
      <c r="H560" s="5"/>
    </row>
    <row r="561" spans="8:8" x14ac:dyDescent="0.25">
      <c r="H561" s="5"/>
    </row>
    <row r="562" spans="8:8" x14ac:dyDescent="0.25">
      <c r="H562" s="5"/>
    </row>
    <row r="563" spans="8:8" x14ac:dyDescent="0.25">
      <c r="H563" s="5"/>
    </row>
    <row r="564" spans="8:8" x14ac:dyDescent="0.25">
      <c r="H564" s="5"/>
    </row>
    <row r="565" spans="8:8" x14ac:dyDescent="0.25">
      <c r="H565" s="5"/>
    </row>
    <row r="566" spans="8:8" x14ac:dyDescent="0.25">
      <c r="H566" s="5"/>
    </row>
    <row r="567" spans="8:8" x14ac:dyDescent="0.25">
      <c r="H567" s="5"/>
    </row>
    <row r="568" spans="8:8" x14ac:dyDescent="0.25">
      <c r="H568" s="5"/>
    </row>
    <row r="569" spans="8:8" x14ac:dyDescent="0.25">
      <c r="H569" s="5"/>
    </row>
    <row r="570" spans="8:8" x14ac:dyDescent="0.25">
      <c r="H570" s="5"/>
    </row>
    <row r="571" spans="8:8" x14ac:dyDescent="0.25">
      <c r="H571" s="5"/>
    </row>
    <row r="572" spans="8:8" x14ac:dyDescent="0.25">
      <c r="H572" s="5"/>
    </row>
    <row r="573" spans="8:8" x14ac:dyDescent="0.25">
      <c r="H573" s="5"/>
    </row>
    <row r="574" spans="8:8" x14ac:dyDescent="0.25">
      <c r="H574" s="5"/>
    </row>
    <row r="575" spans="8:8" x14ac:dyDescent="0.25">
      <c r="H575" s="5"/>
    </row>
    <row r="576" spans="8:8" x14ac:dyDescent="0.25">
      <c r="H576" s="5"/>
    </row>
    <row r="577" spans="8:8" x14ac:dyDescent="0.25">
      <c r="H577" s="5"/>
    </row>
    <row r="578" spans="8:8" x14ac:dyDescent="0.25">
      <c r="H578" s="5"/>
    </row>
    <row r="579" spans="8:8" x14ac:dyDescent="0.25">
      <c r="H579" s="5"/>
    </row>
    <row r="580" spans="8:8" x14ac:dyDescent="0.25">
      <c r="H580" s="5"/>
    </row>
    <row r="581" spans="8:8" x14ac:dyDescent="0.25">
      <c r="H581" s="5"/>
    </row>
    <row r="582" spans="8:8" x14ac:dyDescent="0.25">
      <c r="H582" s="5"/>
    </row>
    <row r="583" spans="8:8" x14ac:dyDescent="0.25">
      <c r="H583" s="5"/>
    </row>
    <row r="584" spans="8:8" x14ac:dyDescent="0.25">
      <c r="H584" s="5"/>
    </row>
    <row r="585" spans="8:8" x14ac:dyDescent="0.25">
      <c r="H585" s="5"/>
    </row>
    <row r="586" spans="8:8" x14ac:dyDescent="0.25">
      <c r="H586" s="5"/>
    </row>
    <row r="587" spans="8:8" x14ac:dyDescent="0.25">
      <c r="H587" s="5"/>
    </row>
    <row r="588" spans="8:8" x14ac:dyDescent="0.25">
      <c r="H588" s="5"/>
    </row>
    <row r="589" spans="8:8" x14ac:dyDescent="0.25">
      <c r="H589" s="5"/>
    </row>
    <row r="590" spans="8:8" x14ac:dyDescent="0.25">
      <c r="H590" s="5"/>
    </row>
    <row r="591" spans="8:8" x14ac:dyDescent="0.25">
      <c r="H591" s="5"/>
    </row>
    <row r="592" spans="8:8" x14ac:dyDescent="0.25">
      <c r="H592" s="5"/>
    </row>
    <row r="593" spans="8:8" x14ac:dyDescent="0.25">
      <c r="H593" s="5"/>
    </row>
    <row r="594" spans="8:8" x14ac:dyDescent="0.25">
      <c r="H594" s="5"/>
    </row>
    <row r="595" spans="8:8" x14ac:dyDescent="0.25">
      <c r="H595" s="5"/>
    </row>
    <row r="596" spans="8:8" x14ac:dyDescent="0.25">
      <c r="H596" s="5"/>
    </row>
    <row r="597" spans="8:8" x14ac:dyDescent="0.25">
      <c r="H597" s="5"/>
    </row>
    <row r="598" spans="8:8" x14ac:dyDescent="0.25">
      <c r="H598" s="5"/>
    </row>
    <row r="599" spans="8:8" x14ac:dyDescent="0.25">
      <c r="H599" s="5"/>
    </row>
    <row r="600" spans="8:8" x14ac:dyDescent="0.25">
      <c r="H600" s="5"/>
    </row>
    <row r="601" spans="8:8" x14ac:dyDescent="0.25">
      <c r="H601" s="5"/>
    </row>
    <row r="602" spans="8:8" x14ac:dyDescent="0.25">
      <c r="H602" s="5"/>
    </row>
    <row r="603" spans="8:8" x14ac:dyDescent="0.25">
      <c r="H603" s="5"/>
    </row>
    <row r="604" spans="8:8" x14ac:dyDescent="0.25">
      <c r="H604" s="5"/>
    </row>
    <row r="605" spans="8:8" x14ac:dyDescent="0.25">
      <c r="H605" s="5"/>
    </row>
    <row r="606" spans="8:8" x14ac:dyDescent="0.25">
      <c r="H606" s="5"/>
    </row>
    <row r="607" spans="8:8" x14ac:dyDescent="0.25">
      <c r="H607" s="5"/>
    </row>
    <row r="608" spans="8:8" x14ac:dyDescent="0.25">
      <c r="H608" s="5"/>
    </row>
    <row r="609" spans="8:8" x14ac:dyDescent="0.25">
      <c r="H609" s="5"/>
    </row>
    <row r="610" spans="8:8" x14ac:dyDescent="0.25">
      <c r="H610" s="5"/>
    </row>
    <row r="611" spans="8:8" x14ac:dyDescent="0.25">
      <c r="H611" s="5"/>
    </row>
    <row r="612" spans="8:8" x14ac:dyDescent="0.25">
      <c r="H612" s="5"/>
    </row>
    <row r="613" spans="8:8" x14ac:dyDescent="0.25">
      <c r="H613" s="5"/>
    </row>
    <row r="614" spans="8:8" x14ac:dyDescent="0.25">
      <c r="H614" s="5"/>
    </row>
    <row r="615" spans="8:8" x14ac:dyDescent="0.25">
      <c r="H615" s="5"/>
    </row>
    <row r="616" spans="8:8" x14ac:dyDescent="0.25">
      <c r="H616" s="5"/>
    </row>
    <row r="617" spans="8:8" x14ac:dyDescent="0.25">
      <c r="H617" s="5"/>
    </row>
    <row r="618" spans="8:8" x14ac:dyDescent="0.25">
      <c r="H618" s="5"/>
    </row>
    <row r="619" spans="8:8" x14ac:dyDescent="0.25">
      <c r="H619" s="5"/>
    </row>
    <row r="620" spans="8:8" x14ac:dyDescent="0.25">
      <c r="H620" s="5"/>
    </row>
    <row r="621" spans="8:8" x14ac:dyDescent="0.25">
      <c r="H621" s="5"/>
    </row>
    <row r="622" spans="8:8" x14ac:dyDescent="0.25">
      <c r="H622" s="5"/>
    </row>
    <row r="623" spans="8:8" x14ac:dyDescent="0.25">
      <c r="H623" s="5"/>
    </row>
    <row r="624" spans="8:8" x14ac:dyDescent="0.25">
      <c r="H624" s="5"/>
    </row>
    <row r="625" spans="8:8" x14ac:dyDescent="0.25">
      <c r="H625" s="5"/>
    </row>
    <row r="626" spans="8:8" x14ac:dyDescent="0.25">
      <c r="H626" s="5"/>
    </row>
    <row r="627" spans="8:8" x14ac:dyDescent="0.25">
      <c r="H627" s="5"/>
    </row>
    <row r="628" spans="8:8" x14ac:dyDescent="0.25">
      <c r="H628" s="5"/>
    </row>
    <row r="629" spans="8:8" x14ac:dyDescent="0.25">
      <c r="H629" s="5"/>
    </row>
    <row r="630" spans="8:8" x14ac:dyDescent="0.25">
      <c r="H630" s="5"/>
    </row>
    <row r="631" spans="8:8" x14ac:dyDescent="0.25">
      <c r="H631" s="5"/>
    </row>
    <row r="632" spans="8:8" x14ac:dyDescent="0.25">
      <c r="H632" s="5"/>
    </row>
    <row r="633" spans="8:8" x14ac:dyDescent="0.25">
      <c r="H633" s="5"/>
    </row>
    <row r="634" spans="8:8" x14ac:dyDescent="0.25">
      <c r="H634" s="5"/>
    </row>
    <row r="635" spans="8:8" x14ac:dyDescent="0.25">
      <c r="H635" s="5"/>
    </row>
    <row r="636" spans="8:8" x14ac:dyDescent="0.25">
      <c r="H636" s="5"/>
    </row>
    <row r="637" spans="8:8" x14ac:dyDescent="0.25">
      <c r="H637" s="5"/>
    </row>
    <row r="638" spans="8:8" x14ac:dyDescent="0.25">
      <c r="H638" s="5"/>
    </row>
    <row r="639" spans="8:8" x14ac:dyDescent="0.25">
      <c r="H639" s="5"/>
    </row>
    <row r="640" spans="8:8" x14ac:dyDescent="0.25">
      <c r="H640" s="5"/>
    </row>
    <row r="641" spans="8:8" x14ac:dyDescent="0.25">
      <c r="H641" s="5"/>
    </row>
    <row r="642" spans="8:8" x14ac:dyDescent="0.25">
      <c r="H642" s="5"/>
    </row>
    <row r="643" spans="8:8" x14ac:dyDescent="0.25">
      <c r="H643" s="5"/>
    </row>
    <row r="644" spans="8:8" x14ac:dyDescent="0.25">
      <c r="H644" s="5"/>
    </row>
    <row r="645" spans="8:8" x14ac:dyDescent="0.25">
      <c r="H645" s="5"/>
    </row>
    <row r="646" spans="8:8" x14ac:dyDescent="0.25">
      <c r="H646" s="5"/>
    </row>
    <row r="647" spans="8:8" x14ac:dyDescent="0.25">
      <c r="H647" s="5"/>
    </row>
    <row r="648" spans="8:8" x14ac:dyDescent="0.25">
      <c r="H648" s="5"/>
    </row>
    <row r="649" spans="8:8" x14ac:dyDescent="0.25">
      <c r="H649" s="5"/>
    </row>
    <row r="650" spans="8:8" x14ac:dyDescent="0.25">
      <c r="H650" s="5"/>
    </row>
    <row r="651" spans="8:8" x14ac:dyDescent="0.25">
      <c r="H651" s="5"/>
    </row>
    <row r="652" spans="8:8" x14ac:dyDescent="0.25">
      <c r="H652" s="5"/>
    </row>
    <row r="653" spans="8:8" x14ac:dyDescent="0.25">
      <c r="H653" s="5"/>
    </row>
    <row r="654" spans="8:8" x14ac:dyDescent="0.25">
      <c r="H654" s="5"/>
    </row>
    <row r="655" spans="8:8" x14ac:dyDescent="0.25">
      <c r="H655" s="5"/>
    </row>
    <row r="656" spans="8:8" x14ac:dyDescent="0.25">
      <c r="H656" s="5"/>
    </row>
    <row r="657" spans="8:8" x14ac:dyDescent="0.25">
      <c r="H657" s="5"/>
    </row>
    <row r="658" spans="8:8" x14ac:dyDescent="0.25">
      <c r="H658" s="5"/>
    </row>
    <row r="659" spans="8:8" x14ac:dyDescent="0.25">
      <c r="H659" s="5"/>
    </row>
    <row r="660" spans="8:8" x14ac:dyDescent="0.25">
      <c r="H660" s="5"/>
    </row>
    <row r="661" spans="8:8" x14ac:dyDescent="0.25">
      <c r="H661" s="5"/>
    </row>
    <row r="662" spans="8:8" x14ac:dyDescent="0.25">
      <c r="H662" s="5"/>
    </row>
    <row r="663" spans="8:8" x14ac:dyDescent="0.25">
      <c r="H663" s="5"/>
    </row>
    <row r="664" spans="8:8" x14ac:dyDescent="0.25">
      <c r="H664" s="5"/>
    </row>
    <row r="665" spans="8:8" x14ac:dyDescent="0.25">
      <c r="H665" s="5"/>
    </row>
    <row r="666" spans="8:8" x14ac:dyDescent="0.25">
      <c r="H666" s="5"/>
    </row>
    <row r="667" spans="8:8" x14ac:dyDescent="0.25">
      <c r="H667" s="5"/>
    </row>
    <row r="668" spans="8:8" x14ac:dyDescent="0.25">
      <c r="H668" s="5"/>
    </row>
    <row r="669" spans="8:8" x14ac:dyDescent="0.25">
      <c r="H669" s="5"/>
    </row>
    <row r="670" spans="8:8" x14ac:dyDescent="0.25">
      <c r="H670" s="5"/>
    </row>
    <row r="671" spans="8:8" x14ac:dyDescent="0.25">
      <c r="H671" s="5"/>
    </row>
    <row r="672" spans="8:8" x14ac:dyDescent="0.25">
      <c r="H672" s="5"/>
    </row>
    <row r="673" spans="8:8" x14ac:dyDescent="0.25">
      <c r="H673" s="5"/>
    </row>
    <row r="674" spans="8:8" x14ac:dyDescent="0.25">
      <c r="H674" s="5"/>
    </row>
    <row r="675" spans="8:8" x14ac:dyDescent="0.25">
      <c r="H675" s="5"/>
    </row>
    <row r="676" spans="8:8" x14ac:dyDescent="0.25">
      <c r="H676" s="5"/>
    </row>
    <row r="677" spans="8:8" x14ac:dyDescent="0.25">
      <c r="H677" s="5"/>
    </row>
    <row r="678" spans="8:8" x14ac:dyDescent="0.25">
      <c r="H678" s="5"/>
    </row>
    <row r="679" spans="8:8" x14ac:dyDescent="0.25">
      <c r="H679" s="5"/>
    </row>
    <row r="680" spans="8:8" x14ac:dyDescent="0.25">
      <c r="H680" s="5"/>
    </row>
    <row r="681" spans="8:8" x14ac:dyDescent="0.25">
      <c r="H681" s="5"/>
    </row>
    <row r="682" spans="8:8" x14ac:dyDescent="0.25">
      <c r="H682" s="5"/>
    </row>
    <row r="683" spans="8:8" x14ac:dyDescent="0.25">
      <c r="H683" s="5"/>
    </row>
    <row r="684" spans="8:8" x14ac:dyDescent="0.25">
      <c r="H684" s="5"/>
    </row>
    <row r="685" spans="8:8" x14ac:dyDescent="0.25">
      <c r="H685" s="5"/>
    </row>
    <row r="686" spans="8:8" x14ac:dyDescent="0.25">
      <c r="H686" s="5"/>
    </row>
    <row r="687" spans="8:8" x14ac:dyDescent="0.25">
      <c r="H687" s="5"/>
    </row>
    <row r="688" spans="8:8" x14ac:dyDescent="0.25">
      <c r="H688" s="5"/>
    </row>
    <row r="689" spans="8:8" x14ac:dyDescent="0.25">
      <c r="H689" s="5"/>
    </row>
    <row r="690" spans="8:8" x14ac:dyDescent="0.25">
      <c r="H690" s="5"/>
    </row>
    <row r="691" spans="8:8" x14ac:dyDescent="0.25">
      <c r="H691" s="5"/>
    </row>
    <row r="692" spans="8:8" x14ac:dyDescent="0.25">
      <c r="H692" s="5"/>
    </row>
    <row r="693" spans="8:8" x14ac:dyDescent="0.25">
      <c r="H693" s="5"/>
    </row>
    <row r="694" spans="8:8" x14ac:dyDescent="0.25">
      <c r="H694" s="5"/>
    </row>
    <row r="695" spans="8:8" x14ac:dyDescent="0.25">
      <c r="H695" s="5"/>
    </row>
    <row r="696" spans="8:8" x14ac:dyDescent="0.25">
      <c r="H696" s="5"/>
    </row>
    <row r="697" spans="8:8" x14ac:dyDescent="0.25">
      <c r="H697" s="5"/>
    </row>
    <row r="698" spans="8:8" x14ac:dyDescent="0.25">
      <c r="H698" s="5"/>
    </row>
    <row r="699" spans="8:8" x14ac:dyDescent="0.25">
      <c r="H699" s="5"/>
    </row>
    <row r="700" spans="8:8" x14ac:dyDescent="0.25">
      <c r="H700" s="5"/>
    </row>
    <row r="701" spans="8:8" x14ac:dyDescent="0.25">
      <c r="H701" s="5"/>
    </row>
    <row r="702" spans="8:8" x14ac:dyDescent="0.25">
      <c r="H702" s="5"/>
    </row>
    <row r="703" spans="8:8" x14ac:dyDescent="0.25">
      <c r="H703" s="5"/>
    </row>
    <row r="704" spans="8:8" x14ac:dyDescent="0.25">
      <c r="H704" s="5"/>
    </row>
    <row r="705" spans="8:8" x14ac:dyDescent="0.25">
      <c r="H705" s="5"/>
    </row>
    <row r="706" spans="8:8" x14ac:dyDescent="0.25">
      <c r="H706" s="5"/>
    </row>
    <row r="707" spans="8:8" x14ac:dyDescent="0.25">
      <c r="H707" s="5"/>
    </row>
    <row r="708" spans="8:8" x14ac:dyDescent="0.25">
      <c r="H708" s="5"/>
    </row>
    <row r="709" spans="8:8" x14ac:dyDescent="0.25">
      <c r="H709" s="5"/>
    </row>
    <row r="710" spans="8:8" x14ac:dyDescent="0.25">
      <c r="H710" s="5"/>
    </row>
    <row r="711" spans="8:8" x14ac:dyDescent="0.25">
      <c r="H711" s="5"/>
    </row>
    <row r="712" spans="8:8" x14ac:dyDescent="0.25">
      <c r="H712" s="5"/>
    </row>
    <row r="713" spans="8:8" x14ac:dyDescent="0.25">
      <c r="H713" s="5"/>
    </row>
    <row r="714" spans="8:8" x14ac:dyDescent="0.25">
      <c r="H714" s="5"/>
    </row>
    <row r="715" spans="8:8" x14ac:dyDescent="0.25">
      <c r="H715" s="5"/>
    </row>
    <row r="716" spans="8:8" x14ac:dyDescent="0.25">
      <c r="H716" s="5"/>
    </row>
    <row r="717" spans="8:8" x14ac:dyDescent="0.25">
      <c r="H717" s="5"/>
    </row>
    <row r="718" spans="8:8" x14ac:dyDescent="0.25">
      <c r="H718" s="5"/>
    </row>
    <row r="719" spans="8:8" x14ac:dyDescent="0.25">
      <c r="H719" s="5"/>
    </row>
    <row r="720" spans="8:8" x14ac:dyDescent="0.25">
      <c r="H720" s="5"/>
    </row>
    <row r="721" spans="8:8" x14ac:dyDescent="0.25">
      <c r="H721" s="5"/>
    </row>
    <row r="722" spans="8:8" x14ac:dyDescent="0.25">
      <c r="H722" s="5"/>
    </row>
    <row r="723" spans="8:8" x14ac:dyDescent="0.25">
      <c r="H723" s="5"/>
    </row>
    <row r="724" spans="8:8" x14ac:dyDescent="0.25">
      <c r="H724" s="5"/>
    </row>
    <row r="725" spans="8:8" x14ac:dyDescent="0.25">
      <c r="H725" s="5"/>
    </row>
    <row r="726" spans="8:8" x14ac:dyDescent="0.25">
      <c r="H726" s="5"/>
    </row>
    <row r="727" spans="8:8" x14ac:dyDescent="0.25">
      <c r="H727" s="5"/>
    </row>
    <row r="728" spans="8:8" x14ac:dyDescent="0.25">
      <c r="H728" s="5"/>
    </row>
    <row r="729" spans="8:8" x14ac:dyDescent="0.25">
      <c r="H729" s="5"/>
    </row>
    <row r="730" spans="8:8" x14ac:dyDescent="0.25">
      <c r="H730" s="5"/>
    </row>
    <row r="731" spans="8:8" x14ac:dyDescent="0.25">
      <c r="H731" s="5"/>
    </row>
    <row r="732" spans="8:8" x14ac:dyDescent="0.25">
      <c r="H732" s="5"/>
    </row>
    <row r="733" spans="8:8" x14ac:dyDescent="0.25">
      <c r="H733" s="5"/>
    </row>
    <row r="734" spans="8:8" x14ac:dyDescent="0.25">
      <c r="H734" s="5"/>
    </row>
    <row r="735" spans="8:8" x14ac:dyDescent="0.25">
      <c r="H735" s="5"/>
    </row>
    <row r="736" spans="8:8" x14ac:dyDescent="0.25">
      <c r="H736" s="5"/>
    </row>
    <row r="737" spans="8:8" x14ac:dyDescent="0.25">
      <c r="H737" s="5"/>
    </row>
    <row r="738" spans="8:8" x14ac:dyDescent="0.25">
      <c r="H738" s="5"/>
    </row>
    <row r="739" spans="8:8" x14ac:dyDescent="0.25">
      <c r="H739" s="5"/>
    </row>
    <row r="740" spans="8:8" x14ac:dyDescent="0.25">
      <c r="H740" s="5"/>
    </row>
    <row r="741" spans="8:8" x14ac:dyDescent="0.25">
      <c r="H741" s="5"/>
    </row>
    <row r="742" spans="8:8" x14ac:dyDescent="0.25">
      <c r="H742" s="5"/>
    </row>
    <row r="743" spans="8:8" x14ac:dyDescent="0.25">
      <c r="H743" s="5"/>
    </row>
    <row r="744" spans="8:8" x14ac:dyDescent="0.25">
      <c r="H744" s="5"/>
    </row>
    <row r="745" spans="8:8" x14ac:dyDescent="0.25">
      <c r="H745" s="5"/>
    </row>
    <row r="746" spans="8:8" x14ac:dyDescent="0.25">
      <c r="H746" s="5"/>
    </row>
    <row r="747" spans="8:8" x14ac:dyDescent="0.25">
      <c r="H747" s="5"/>
    </row>
    <row r="748" spans="8:8" x14ac:dyDescent="0.25">
      <c r="H748" s="5"/>
    </row>
    <row r="749" spans="8:8" x14ac:dyDescent="0.25">
      <c r="H749" s="5"/>
    </row>
    <row r="750" spans="8:8" x14ac:dyDescent="0.25">
      <c r="H750" s="5"/>
    </row>
    <row r="751" spans="8:8" x14ac:dyDescent="0.25">
      <c r="H751" s="5"/>
    </row>
    <row r="752" spans="8:8" x14ac:dyDescent="0.25">
      <c r="H752" s="5"/>
    </row>
    <row r="753" spans="8:8" x14ac:dyDescent="0.25">
      <c r="H753" s="5"/>
    </row>
    <row r="754" spans="8:8" x14ac:dyDescent="0.25">
      <c r="H754" s="5"/>
    </row>
    <row r="755" spans="8:8" x14ac:dyDescent="0.25">
      <c r="H755" s="5"/>
    </row>
    <row r="756" spans="8:8" x14ac:dyDescent="0.25">
      <c r="H756" s="5"/>
    </row>
    <row r="757" spans="8:8" x14ac:dyDescent="0.25">
      <c r="H757" s="5"/>
    </row>
    <row r="758" spans="8:8" x14ac:dyDescent="0.25">
      <c r="H758" s="5"/>
    </row>
    <row r="759" spans="8:8" x14ac:dyDescent="0.25">
      <c r="H759" s="5"/>
    </row>
    <row r="760" spans="8:8" x14ac:dyDescent="0.25">
      <c r="H760" s="5"/>
    </row>
    <row r="761" spans="8:8" x14ac:dyDescent="0.25">
      <c r="H761" s="5"/>
    </row>
    <row r="762" spans="8:8" x14ac:dyDescent="0.25">
      <c r="H762" s="5"/>
    </row>
    <row r="763" spans="8:8" x14ac:dyDescent="0.25">
      <c r="H763" s="5"/>
    </row>
    <row r="764" spans="8:8" x14ac:dyDescent="0.25">
      <c r="H764" s="5"/>
    </row>
    <row r="765" spans="8:8" x14ac:dyDescent="0.25">
      <c r="H765" s="5"/>
    </row>
    <row r="766" spans="8:8" x14ac:dyDescent="0.25">
      <c r="H766" s="5"/>
    </row>
    <row r="767" spans="8:8" x14ac:dyDescent="0.25">
      <c r="H767" s="5"/>
    </row>
    <row r="768" spans="8:8" x14ac:dyDescent="0.25">
      <c r="H768" s="5"/>
    </row>
    <row r="769" spans="8:8" x14ac:dyDescent="0.25">
      <c r="H769" s="5"/>
    </row>
    <row r="770" spans="8:8" x14ac:dyDescent="0.25">
      <c r="H770" s="5"/>
    </row>
    <row r="771" spans="8:8" x14ac:dyDescent="0.25">
      <c r="H771" s="5"/>
    </row>
    <row r="772" spans="8:8" x14ac:dyDescent="0.25">
      <c r="H772" s="5"/>
    </row>
    <row r="773" spans="8:8" x14ac:dyDescent="0.25">
      <c r="H773" s="5"/>
    </row>
    <row r="774" spans="8:8" x14ac:dyDescent="0.25">
      <c r="H774" s="5"/>
    </row>
    <row r="775" spans="8:8" x14ac:dyDescent="0.25">
      <c r="H775" s="5"/>
    </row>
    <row r="776" spans="8:8" x14ac:dyDescent="0.25">
      <c r="H776" s="5"/>
    </row>
    <row r="777" spans="8:8" x14ac:dyDescent="0.25">
      <c r="H777" s="5"/>
    </row>
    <row r="778" spans="8:8" x14ac:dyDescent="0.25">
      <c r="H778" s="5"/>
    </row>
    <row r="779" spans="8:8" x14ac:dyDescent="0.25">
      <c r="H779" s="5"/>
    </row>
    <row r="780" spans="8:8" x14ac:dyDescent="0.25">
      <c r="H780" s="5"/>
    </row>
    <row r="781" spans="8:8" x14ac:dyDescent="0.25">
      <c r="H781" s="5"/>
    </row>
    <row r="782" spans="8:8" x14ac:dyDescent="0.25">
      <c r="H782" s="5"/>
    </row>
    <row r="783" spans="8:8" x14ac:dyDescent="0.25">
      <c r="H783" s="5"/>
    </row>
    <row r="784" spans="8:8" x14ac:dyDescent="0.25">
      <c r="H784" s="5"/>
    </row>
    <row r="785" spans="8:8" x14ac:dyDescent="0.25">
      <c r="H785" s="5"/>
    </row>
    <row r="786" spans="8:8" x14ac:dyDescent="0.25">
      <c r="H786" s="5"/>
    </row>
    <row r="787" spans="8:8" x14ac:dyDescent="0.25">
      <c r="H787" s="5"/>
    </row>
    <row r="788" spans="8:8" x14ac:dyDescent="0.25">
      <c r="H788" s="5"/>
    </row>
    <row r="789" spans="8:8" x14ac:dyDescent="0.25">
      <c r="H789" s="5"/>
    </row>
    <row r="790" spans="8:8" x14ac:dyDescent="0.25">
      <c r="H790" s="5"/>
    </row>
    <row r="791" spans="8:8" x14ac:dyDescent="0.25">
      <c r="H791" s="5"/>
    </row>
    <row r="792" spans="8:8" x14ac:dyDescent="0.25">
      <c r="H792" s="5"/>
    </row>
    <row r="793" spans="8:8" x14ac:dyDescent="0.25">
      <c r="H793" s="5"/>
    </row>
    <row r="794" spans="8:8" x14ac:dyDescent="0.25">
      <c r="H794" s="5"/>
    </row>
    <row r="795" spans="8:8" x14ac:dyDescent="0.25">
      <c r="H795" s="5"/>
    </row>
    <row r="796" spans="8:8" x14ac:dyDescent="0.25">
      <c r="H796" s="5"/>
    </row>
    <row r="797" spans="8:8" x14ac:dyDescent="0.25">
      <c r="H797" s="5"/>
    </row>
    <row r="798" spans="8:8" x14ac:dyDescent="0.25">
      <c r="H798" s="5"/>
    </row>
    <row r="799" spans="8:8" x14ac:dyDescent="0.25">
      <c r="H799" s="5"/>
    </row>
    <row r="800" spans="8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  <row r="1001" spans="8:8" x14ac:dyDescent="0.25">
      <c r="H1001" s="5"/>
    </row>
    <row r="1002" spans="8:8" x14ac:dyDescent="0.25">
      <c r="H1002" s="5"/>
    </row>
    <row r="1003" spans="8:8" x14ac:dyDescent="0.25">
      <c r="H1003" s="5"/>
    </row>
    <row r="1004" spans="8:8" x14ac:dyDescent="0.25">
      <c r="H1004" s="5"/>
    </row>
    <row r="1005" spans="8:8" x14ac:dyDescent="0.25">
      <c r="H1005" s="5"/>
    </row>
    <row r="1006" spans="8:8" x14ac:dyDescent="0.25">
      <c r="H1006" s="5"/>
    </row>
    <row r="1007" spans="8:8" x14ac:dyDescent="0.25">
      <c r="H1007" s="5"/>
    </row>
    <row r="1008" spans="8:8" x14ac:dyDescent="0.25">
      <c r="H1008" s="5"/>
    </row>
    <row r="1009" spans="8:8" x14ac:dyDescent="0.25">
      <c r="H1009" s="5"/>
    </row>
    <row r="1010" spans="8:8" x14ac:dyDescent="0.25">
      <c r="H1010" s="5"/>
    </row>
    <row r="1011" spans="8:8" x14ac:dyDescent="0.25">
      <c r="H1011" s="5"/>
    </row>
    <row r="1012" spans="8:8" x14ac:dyDescent="0.25">
      <c r="H1012" s="5"/>
    </row>
    <row r="1013" spans="8:8" x14ac:dyDescent="0.25">
      <c r="H1013" s="5"/>
    </row>
    <row r="1014" spans="8:8" x14ac:dyDescent="0.25">
      <c r="H1014" s="5"/>
    </row>
    <row r="1015" spans="8:8" x14ac:dyDescent="0.25">
      <c r="H1015" s="5"/>
    </row>
    <row r="1016" spans="8:8" x14ac:dyDescent="0.25">
      <c r="H1016" s="5"/>
    </row>
    <row r="1017" spans="8:8" x14ac:dyDescent="0.25">
      <c r="H1017" s="5"/>
    </row>
    <row r="1018" spans="8:8" x14ac:dyDescent="0.25">
      <c r="H1018" s="5"/>
    </row>
    <row r="1019" spans="8:8" x14ac:dyDescent="0.25">
      <c r="H1019" s="5"/>
    </row>
    <row r="1020" spans="8:8" x14ac:dyDescent="0.25">
      <c r="H1020" s="5"/>
    </row>
    <row r="1021" spans="8:8" x14ac:dyDescent="0.25">
      <c r="H1021" s="5"/>
    </row>
    <row r="1022" spans="8:8" x14ac:dyDescent="0.25">
      <c r="H1022" s="5"/>
    </row>
    <row r="1023" spans="8:8" x14ac:dyDescent="0.25">
      <c r="H1023" s="5"/>
    </row>
    <row r="1024" spans="8:8" x14ac:dyDescent="0.25">
      <c r="H1024" s="5"/>
    </row>
    <row r="1025" spans="8:8" x14ac:dyDescent="0.25">
      <c r="H1025" s="5"/>
    </row>
    <row r="1026" spans="8:8" x14ac:dyDescent="0.25">
      <c r="H1026" s="5"/>
    </row>
    <row r="1027" spans="8:8" x14ac:dyDescent="0.25">
      <c r="H1027" s="5"/>
    </row>
    <row r="1028" spans="8:8" x14ac:dyDescent="0.25">
      <c r="H1028" s="5"/>
    </row>
    <row r="1029" spans="8:8" x14ac:dyDescent="0.25">
      <c r="H1029" s="5"/>
    </row>
    <row r="1030" spans="8:8" x14ac:dyDescent="0.25">
      <c r="H1030" s="5"/>
    </row>
    <row r="1031" spans="8:8" x14ac:dyDescent="0.25">
      <c r="H1031" s="5"/>
    </row>
    <row r="1032" spans="8:8" x14ac:dyDescent="0.25">
      <c r="H1032" s="5"/>
    </row>
    <row r="1033" spans="8:8" x14ac:dyDescent="0.25">
      <c r="H1033" s="5"/>
    </row>
    <row r="1034" spans="8:8" x14ac:dyDescent="0.25">
      <c r="H1034" s="5"/>
    </row>
    <row r="1035" spans="8:8" x14ac:dyDescent="0.25">
      <c r="H1035" s="5"/>
    </row>
    <row r="1036" spans="8:8" x14ac:dyDescent="0.25">
      <c r="H1036" s="5"/>
    </row>
    <row r="1037" spans="8:8" x14ac:dyDescent="0.25">
      <c r="H1037" s="5"/>
    </row>
    <row r="1038" spans="8:8" x14ac:dyDescent="0.25">
      <c r="H1038" s="5"/>
    </row>
    <row r="1039" spans="8:8" x14ac:dyDescent="0.25">
      <c r="H1039" s="5"/>
    </row>
    <row r="1040" spans="8:8" x14ac:dyDescent="0.25">
      <c r="H1040" s="5"/>
    </row>
    <row r="1041" spans="8:8" x14ac:dyDescent="0.25">
      <c r="H1041" s="5"/>
    </row>
    <row r="1042" spans="8:8" x14ac:dyDescent="0.25">
      <c r="H1042" s="5"/>
    </row>
    <row r="1043" spans="8:8" x14ac:dyDescent="0.25">
      <c r="H1043" s="5"/>
    </row>
    <row r="1044" spans="8:8" x14ac:dyDescent="0.25">
      <c r="H1044" s="5"/>
    </row>
    <row r="1045" spans="8:8" x14ac:dyDescent="0.25">
      <c r="H1045" s="5"/>
    </row>
    <row r="1046" spans="8:8" x14ac:dyDescent="0.25">
      <c r="H1046" s="5"/>
    </row>
    <row r="1047" spans="8:8" x14ac:dyDescent="0.25">
      <c r="H1047" s="5"/>
    </row>
    <row r="1048" spans="8:8" x14ac:dyDescent="0.25">
      <c r="H1048" s="5"/>
    </row>
    <row r="1049" spans="8:8" x14ac:dyDescent="0.25">
      <c r="H1049" s="5"/>
    </row>
    <row r="1050" spans="8:8" x14ac:dyDescent="0.25">
      <c r="H1050" s="5"/>
    </row>
    <row r="1051" spans="8:8" x14ac:dyDescent="0.25">
      <c r="H1051" s="5"/>
    </row>
    <row r="1052" spans="8:8" x14ac:dyDescent="0.25">
      <c r="H1052" s="5"/>
    </row>
    <row r="1053" spans="8:8" x14ac:dyDescent="0.25">
      <c r="H1053" s="5"/>
    </row>
    <row r="1054" spans="8:8" x14ac:dyDescent="0.25">
      <c r="H1054" s="5"/>
    </row>
    <row r="1055" spans="8:8" x14ac:dyDescent="0.25">
      <c r="H1055" s="5"/>
    </row>
    <row r="1056" spans="8:8" x14ac:dyDescent="0.25">
      <c r="H1056" s="5"/>
    </row>
    <row r="1057" spans="8:8" x14ac:dyDescent="0.25">
      <c r="H1057" s="5"/>
    </row>
    <row r="1058" spans="8:8" x14ac:dyDescent="0.25">
      <c r="H1058" s="5"/>
    </row>
    <row r="1059" spans="8:8" x14ac:dyDescent="0.25">
      <c r="H1059" s="5"/>
    </row>
    <row r="1060" spans="8:8" x14ac:dyDescent="0.25">
      <c r="H1060" s="5"/>
    </row>
    <row r="1061" spans="8:8" x14ac:dyDescent="0.25">
      <c r="H1061" s="5"/>
    </row>
    <row r="1062" spans="8:8" x14ac:dyDescent="0.25">
      <c r="H1062" s="5"/>
    </row>
    <row r="1063" spans="8:8" x14ac:dyDescent="0.25">
      <c r="H1063" s="5"/>
    </row>
    <row r="1064" spans="8:8" x14ac:dyDescent="0.25">
      <c r="H1064" s="5"/>
    </row>
    <row r="1065" spans="8:8" x14ac:dyDescent="0.25">
      <c r="H1065" s="5"/>
    </row>
    <row r="1066" spans="8:8" x14ac:dyDescent="0.25">
      <c r="H1066" s="5"/>
    </row>
    <row r="1067" spans="8:8" x14ac:dyDescent="0.25">
      <c r="H1067" s="5"/>
    </row>
    <row r="1068" spans="8:8" x14ac:dyDescent="0.25">
      <c r="H1068" s="5"/>
    </row>
    <row r="1069" spans="8:8" x14ac:dyDescent="0.25">
      <c r="H1069" s="5"/>
    </row>
    <row r="1070" spans="8:8" x14ac:dyDescent="0.25">
      <c r="H1070" s="5"/>
    </row>
    <row r="1071" spans="8:8" x14ac:dyDescent="0.25">
      <c r="H1071" s="5"/>
    </row>
    <row r="1072" spans="8:8" x14ac:dyDescent="0.25">
      <c r="H1072" s="5"/>
    </row>
    <row r="1073" spans="8:8" x14ac:dyDescent="0.25">
      <c r="H1073" s="5"/>
    </row>
    <row r="1074" spans="8:8" x14ac:dyDescent="0.25">
      <c r="H1074" s="5"/>
    </row>
    <row r="1075" spans="8:8" x14ac:dyDescent="0.25">
      <c r="H1075" s="5"/>
    </row>
    <row r="1076" spans="8:8" x14ac:dyDescent="0.25">
      <c r="H1076" s="5"/>
    </row>
    <row r="1077" spans="8:8" x14ac:dyDescent="0.25">
      <c r="H1077" s="5"/>
    </row>
    <row r="1078" spans="8:8" x14ac:dyDescent="0.25">
      <c r="H1078" s="5"/>
    </row>
    <row r="1079" spans="8:8" x14ac:dyDescent="0.25">
      <c r="H1079" s="5"/>
    </row>
    <row r="1080" spans="8:8" x14ac:dyDescent="0.25">
      <c r="H1080" s="5"/>
    </row>
    <row r="1081" spans="8:8" x14ac:dyDescent="0.25">
      <c r="H1081" s="5"/>
    </row>
    <row r="1082" spans="8:8" x14ac:dyDescent="0.25">
      <c r="H1082" s="5"/>
    </row>
    <row r="1083" spans="8:8" x14ac:dyDescent="0.25">
      <c r="H1083" s="5"/>
    </row>
    <row r="1084" spans="8:8" x14ac:dyDescent="0.25">
      <c r="H1084" s="5"/>
    </row>
    <row r="1085" spans="8:8" x14ac:dyDescent="0.25">
      <c r="H1085" s="5"/>
    </row>
    <row r="1086" spans="8:8" x14ac:dyDescent="0.25">
      <c r="H1086" s="5"/>
    </row>
    <row r="1087" spans="8:8" x14ac:dyDescent="0.25">
      <c r="H1087" s="5"/>
    </row>
    <row r="1088" spans="8:8" x14ac:dyDescent="0.25">
      <c r="H1088" s="5"/>
    </row>
    <row r="1089" spans="8:8" x14ac:dyDescent="0.25">
      <c r="H1089" s="5"/>
    </row>
    <row r="1090" spans="8:8" x14ac:dyDescent="0.25">
      <c r="H1090" s="5"/>
    </row>
    <row r="1091" spans="8:8" x14ac:dyDescent="0.25">
      <c r="H1091" s="5"/>
    </row>
    <row r="1092" spans="8:8" x14ac:dyDescent="0.25">
      <c r="H1092" s="5"/>
    </row>
    <row r="1093" spans="8:8" x14ac:dyDescent="0.25">
      <c r="H1093" s="5"/>
    </row>
    <row r="1094" spans="8:8" x14ac:dyDescent="0.25">
      <c r="H1094" s="5"/>
    </row>
    <row r="1095" spans="8:8" x14ac:dyDescent="0.25">
      <c r="H1095" s="5"/>
    </row>
    <row r="1096" spans="8:8" x14ac:dyDescent="0.25">
      <c r="H1096" s="5"/>
    </row>
    <row r="1097" spans="8:8" x14ac:dyDescent="0.25">
      <c r="H1097" s="5"/>
    </row>
    <row r="1098" spans="8:8" x14ac:dyDescent="0.25">
      <c r="H1098" s="5"/>
    </row>
    <row r="1099" spans="8:8" x14ac:dyDescent="0.25">
      <c r="H1099" s="5"/>
    </row>
    <row r="1100" spans="8:8" x14ac:dyDescent="0.25">
      <c r="H1100" s="5"/>
    </row>
    <row r="1101" spans="8:8" x14ac:dyDescent="0.25">
      <c r="H1101" s="5"/>
    </row>
    <row r="1102" spans="8:8" x14ac:dyDescent="0.25">
      <c r="H1102" s="5"/>
    </row>
    <row r="1103" spans="8:8" x14ac:dyDescent="0.25">
      <c r="H1103" s="5"/>
    </row>
    <row r="1104" spans="8:8" x14ac:dyDescent="0.25">
      <c r="H1104" s="5"/>
    </row>
    <row r="1105" spans="8:8" x14ac:dyDescent="0.25">
      <c r="H1105" s="5"/>
    </row>
    <row r="1106" spans="8:8" x14ac:dyDescent="0.25">
      <c r="H1106" s="5"/>
    </row>
    <row r="1107" spans="8:8" x14ac:dyDescent="0.25">
      <c r="H1107" s="5"/>
    </row>
    <row r="1108" spans="8:8" x14ac:dyDescent="0.25">
      <c r="H1108" s="5"/>
    </row>
    <row r="1109" spans="8:8" x14ac:dyDescent="0.25">
      <c r="H1109" s="5"/>
    </row>
    <row r="1110" spans="8:8" x14ac:dyDescent="0.25">
      <c r="H1110" s="5"/>
    </row>
    <row r="1111" spans="8:8" x14ac:dyDescent="0.25">
      <c r="H1111" s="5"/>
    </row>
    <row r="1112" spans="8:8" x14ac:dyDescent="0.25">
      <c r="H1112" s="5"/>
    </row>
    <row r="1113" spans="8:8" x14ac:dyDescent="0.25">
      <c r="H1113" s="5"/>
    </row>
    <row r="1114" spans="8:8" x14ac:dyDescent="0.25">
      <c r="H1114" s="5"/>
    </row>
    <row r="1115" spans="8:8" x14ac:dyDescent="0.25">
      <c r="H1115" s="5"/>
    </row>
    <row r="1116" spans="8:8" x14ac:dyDescent="0.25">
      <c r="H1116" s="5"/>
    </row>
    <row r="1117" spans="8:8" x14ac:dyDescent="0.25">
      <c r="H1117" s="5"/>
    </row>
    <row r="1118" spans="8:8" x14ac:dyDescent="0.25">
      <c r="H1118" s="5"/>
    </row>
    <row r="1119" spans="8:8" x14ac:dyDescent="0.25">
      <c r="H1119" s="5"/>
    </row>
    <row r="1120" spans="8:8" x14ac:dyDescent="0.25">
      <c r="H1120" s="5"/>
    </row>
    <row r="1121" spans="8:8" x14ac:dyDescent="0.25">
      <c r="H1121" s="5"/>
    </row>
    <row r="1122" spans="8:8" x14ac:dyDescent="0.25">
      <c r="H1122" s="5"/>
    </row>
    <row r="1123" spans="8:8" x14ac:dyDescent="0.25">
      <c r="H1123" s="5"/>
    </row>
    <row r="1124" spans="8:8" x14ac:dyDescent="0.25">
      <c r="H1124" s="5"/>
    </row>
    <row r="1125" spans="8:8" x14ac:dyDescent="0.25">
      <c r="H1125" s="5"/>
    </row>
    <row r="1126" spans="8:8" x14ac:dyDescent="0.25">
      <c r="H1126" s="5"/>
    </row>
    <row r="1127" spans="8:8" x14ac:dyDescent="0.25">
      <c r="H1127" s="5"/>
    </row>
    <row r="1128" spans="8:8" x14ac:dyDescent="0.25">
      <c r="H1128" s="5"/>
    </row>
    <row r="1129" spans="8:8" x14ac:dyDescent="0.25">
      <c r="H1129" s="5"/>
    </row>
    <row r="1130" spans="8:8" x14ac:dyDescent="0.25">
      <c r="H1130" s="5"/>
    </row>
    <row r="1131" spans="8:8" x14ac:dyDescent="0.25">
      <c r="H1131" s="5"/>
    </row>
    <row r="1132" spans="8:8" x14ac:dyDescent="0.25">
      <c r="H1132" s="5"/>
    </row>
    <row r="1133" spans="8:8" x14ac:dyDescent="0.25">
      <c r="H1133" s="5"/>
    </row>
    <row r="1134" spans="8:8" x14ac:dyDescent="0.25">
      <c r="H1134" s="5"/>
    </row>
    <row r="1135" spans="8:8" x14ac:dyDescent="0.25">
      <c r="H1135" s="5"/>
    </row>
    <row r="1136" spans="8:8" x14ac:dyDescent="0.25">
      <c r="H1136" s="5"/>
    </row>
    <row r="1137" spans="8:8" x14ac:dyDescent="0.25">
      <c r="H1137" s="5"/>
    </row>
    <row r="1138" spans="8:8" x14ac:dyDescent="0.25">
      <c r="H1138" s="5"/>
    </row>
    <row r="1139" spans="8:8" x14ac:dyDescent="0.25">
      <c r="H1139" s="5"/>
    </row>
    <row r="1140" spans="8:8" x14ac:dyDescent="0.25">
      <c r="H1140" s="5"/>
    </row>
    <row r="1141" spans="8:8" x14ac:dyDescent="0.25">
      <c r="H1141" s="5"/>
    </row>
    <row r="1142" spans="8:8" x14ac:dyDescent="0.25">
      <c r="H1142" s="5"/>
    </row>
    <row r="1143" spans="8:8" x14ac:dyDescent="0.25">
      <c r="H1143" s="5"/>
    </row>
    <row r="1144" spans="8:8" x14ac:dyDescent="0.25">
      <c r="H1144" s="5"/>
    </row>
    <row r="1145" spans="8:8" x14ac:dyDescent="0.25">
      <c r="H1145" s="5"/>
    </row>
    <row r="1146" spans="8:8" x14ac:dyDescent="0.25">
      <c r="H1146" s="5"/>
    </row>
    <row r="1147" spans="8:8" x14ac:dyDescent="0.25">
      <c r="H1147" s="5"/>
    </row>
    <row r="1148" spans="8:8" x14ac:dyDescent="0.25">
      <c r="H1148" s="5"/>
    </row>
    <row r="1149" spans="8:8" x14ac:dyDescent="0.25">
      <c r="H1149" s="5"/>
    </row>
    <row r="1150" spans="8:8" x14ac:dyDescent="0.25">
      <c r="H1150" s="5"/>
    </row>
    <row r="1151" spans="8:8" x14ac:dyDescent="0.25">
      <c r="H1151" s="5"/>
    </row>
    <row r="1152" spans="8:8" x14ac:dyDescent="0.25">
      <c r="H1152" s="5"/>
    </row>
    <row r="1153" spans="8:8" x14ac:dyDescent="0.25">
      <c r="H1153" s="5"/>
    </row>
    <row r="1154" spans="8:8" x14ac:dyDescent="0.25">
      <c r="H1154" s="5"/>
    </row>
    <row r="1155" spans="8:8" x14ac:dyDescent="0.25">
      <c r="H1155" s="5"/>
    </row>
    <row r="1156" spans="8:8" x14ac:dyDescent="0.25">
      <c r="H1156" s="5"/>
    </row>
    <row r="1157" spans="8:8" x14ac:dyDescent="0.25">
      <c r="H1157" s="5"/>
    </row>
    <row r="1158" spans="8:8" x14ac:dyDescent="0.25">
      <c r="H1158" s="5"/>
    </row>
    <row r="1159" spans="8:8" x14ac:dyDescent="0.25">
      <c r="H1159" s="5"/>
    </row>
    <row r="1160" spans="8:8" x14ac:dyDescent="0.25">
      <c r="H1160" s="5"/>
    </row>
    <row r="1161" spans="8:8" x14ac:dyDescent="0.25">
      <c r="H1161" s="5"/>
    </row>
    <row r="1162" spans="8:8" x14ac:dyDescent="0.25">
      <c r="H1162" s="5"/>
    </row>
    <row r="1163" spans="8:8" x14ac:dyDescent="0.25">
      <c r="H1163" s="5"/>
    </row>
    <row r="1164" spans="8:8" x14ac:dyDescent="0.25">
      <c r="H1164" s="5"/>
    </row>
    <row r="1165" spans="8:8" x14ac:dyDescent="0.25">
      <c r="H1165" s="5"/>
    </row>
    <row r="1166" spans="8:8" x14ac:dyDescent="0.25">
      <c r="H1166" s="5"/>
    </row>
    <row r="1167" spans="8:8" x14ac:dyDescent="0.25">
      <c r="H1167" s="5"/>
    </row>
    <row r="1168" spans="8:8" x14ac:dyDescent="0.25">
      <c r="H1168" s="5"/>
    </row>
    <row r="1169" spans="8:8" x14ac:dyDescent="0.25">
      <c r="H1169" s="5"/>
    </row>
    <row r="1170" spans="8:8" x14ac:dyDescent="0.25">
      <c r="H1170" s="5"/>
    </row>
    <row r="1171" spans="8:8" x14ac:dyDescent="0.25">
      <c r="H1171" s="5"/>
    </row>
    <row r="1172" spans="8:8" x14ac:dyDescent="0.25">
      <c r="H1172" s="5"/>
    </row>
    <row r="1173" spans="8:8" x14ac:dyDescent="0.25">
      <c r="H1173" s="5"/>
    </row>
    <row r="1174" spans="8:8" x14ac:dyDescent="0.25">
      <c r="H1174" s="5"/>
    </row>
    <row r="1175" spans="8:8" x14ac:dyDescent="0.25">
      <c r="H1175" s="5"/>
    </row>
    <row r="1176" spans="8:8" x14ac:dyDescent="0.25">
      <c r="H1176" s="5"/>
    </row>
    <row r="1177" spans="8:8" x14ac:dyDescent="0.25">
      <c r="H1177" s="5"/>
    </row>
    <row r="1178" spans="8:8" x14ac:dyDescent="0.25">
      <c r="H1178" s="5"/>
    </row>
    <row r="1179" spans="8:8" x14ac:dyDescent="0.25">
      <c r="H1179" s="5"/>
    </row>
    <row r="1180" spans="8:8" x14ac:dyDescent="0.25">
      <c r="H1180" s="5"/>
    </row>
    <row r="1181" spans="8:8" x14ac:dyDescent="0.25">
      <c r="H1181" s="5"/>
    </row>
    <row r="1182" spans="8:8" x14ac:dyDescent="0.25">
      <c r="H1182" s="5"/>
    </row>
    <row r="1183" spans="8:8" x14ac:dyDescent="0.25">
      <c r="H1183" s="5"/>
    </row>
    <row r="1184" spans="8:8" x14ac:dyDescent="0.25">
      <c r="H1184" s="5"/>
    </row>
    <row r="1185" spans="8:8" x14ac:dyDescent="0.25">
      <c r="H1185" s="5"/>
    </row>
    <row r="1186" spans="8:8" x14ac:dyDescent="0.25">
      <c r="H1186" s="5"/>
    </row>
    <row r="1187" spans="8:8" x14ac:dyDescent="0.25">
      <c r="H1187" s="5"/>
    </row>
    <row r="1188" spans="8:8" x14ac:dyDescent="0.25">
      <c r="H1188" s="5"/>
    </row>
    <row r="1189" spans="8:8" x14ac:dyDescent="0.25">
      <c r="H1189" s="5"/>
    </row>
    <row r="1190" spans="8:8" x14ac:dyDescent="0.25">
      <c r="H1190" s="5"/>
    </row>
    <row r="1191" spans="8:8" x14ac:dyDescent="0.25">
      <c r="H1191" s="5"/>
    </row>
    <row r="1192" spans="8:8" x14ac:dyDescent="0.25">
      <c r="H1192" s="5"/>
    </row>
    <row r="1193" spans="8:8" x14ac:dyDescent="0.25">
      <c r="H1193" s="5"/>
    </row>
    <row r="1194" spans="8:8" x14ac:dyDescent="0.25">
      <c r="H1194" s="5"/>
    </row>
    <row r="1195" spans="8:8" x14ac:dyDescent="0.25">
      <c r="H1195" s="5"/>
    </row>
    <row r="1196" spans="8:8" x14ac:dyDescent="0.25">
      <c r="H1196" s="5"/>
    </row>
    <row r="1197" spans="8:8" x14ac:dyDescent="0.25">
      <c r="H1197" s="5"/>
    </row>
    <row r="1198" spans="8:8" x14ac:dyDescent="0.25">
      <c r="H1198" s="5"/>
    </row>
    <row r="1199" spans="8:8" x14ac:dyDescent="0.25">
      <c r="H1199" s="5"/>
    </row>
    <row r="1200" spans="8:8" x14ac:dyDescent="0.25">
      <c r="H1200" s="5"/>
    </row>
    <row r="1201" spans="8:8" x14ac:dyDescent="0.25">
      <c r="H1201" s="5"/>
    </row>
    <row r="1202" spans="8:8" x14ac:dyDescent="0.25">
      <c r="H1202" s="5"/>
    </row>
    <row r="1203" spans="8:8" x14ac:dyDescent="0.25">
      <c r="H1203" s="5"/>
    </row>
    <row r="1204" spans="8:8" x14ac:dyDescent="0.25">
      <c r="H1204" s="5"/>
    </row>
    <row r="1205" spans="8:8" x14ac:dyDescent="0.25">
      <c r="H1205" s="5"/>
    </row>
    <row r="1206" spans="8:8" x14ac:dyDescent="0.25">
      <c r="H1206" s="5"/>
    </row>
    <row r="1207" spans="8:8" x14ac:dyDescent="0.25">
      <c r="H1207" s="5"/>
    </row>
    <row r="1208" spans="8:8" x14ac:dyDescent="0.25">
      <c r="H1208" s="5"/>
    </row>
    <row r="1209" spans="8:8" x14ac:dyDescent="0.25">
      <c r="H1209" s="5"/>
    </row>
    <row r="1210" spans="8:8" x14ac:dyDescent="0.25">
      <c r="H1210" s="5"/>
    </row>
    <row r="1211" spans="8:8" x14ac:dyDescent="0.25">
      <c r="H1211" s="5"/>
    </row>
    <row r="1212" spans="8:8" x14ac:dyDescent="0.25">
      <c r="H1212" s="5"/>
    </row>
    <row r="1213" spans="8:8" x14ac:dyDescent="0.25">
      <c r="H1213" s="5"/>
    </row>
    <row r="1214" spans="8:8" x14ac:dyDescent="0.25">
      <c r="H1214" s="5"/>
    </row>
    <row r="1215" spans="8:8" x14ac:dyDescent="0.25">
      <c r="H1215" s="5"/>
    </row>
    <row r="1216" spans="8:8" x14ac:dyDescent="0.25">
      <c r="H1216" s="5"/>
    </row>
    <row r="1217" spans="8:8" x14ac:dyDescent="0.25">
      <c r="H1217" s="5"/>
    </row>
    <row r="1218" spans="8:8" x14ac:dyDescent="0.25">
      <c r="H1218" s="5"/>
    </row>
    <row r="1219" spans="8:8" x14ac:dyDescent="0.25">
      <c r="H1219" s="5"/>
    </row>
    <row r="1220" spans="8:8" x14ac:dyDescent="0.25">
      <c r="H1220" s="5"/>
    </row>
    <row r="1221" spans="8:8" x14ac:dyDescent="0.25">
      <c r="H1221" s="5"/>
    </row>
    <row r="1222" spans="8:8" x14ac:dyDescent="0.25">
      <c r="H1222" s="5"/>
    </row>
    <row r="1223" spans="8:8" x14ac:dyDescent="0.25">
      <c r="H1223" s="5"/>
    </row>
    <row r="1224" spans="8:8" x14ac:dyDescent="0.25">
      <c r="H1224" s="5"/>
    </row>
    <row r="1225" spans="8:8" x14ac:dyDescent="0.25">
      <c r="H1225" s="5"/>
    </row>
    <row r="1226" spans="8:8" x14ac:dyDescent="0.25">
      <c r="H1226" s="5"/>
    </row>
    <row r="1227" spans="8:8" x14ac:dyDescent="0.25">
      <c r="H1227" s="5"/>
    </row>
    <row r="1228" spans="8:8" x14ac:dyDescent="0.25">
      <c r="H1228" s="5"/>
    </row>
    <row r="1229" spans="8:8" x14ac:dyDescent="0.25">
      <c r="H1229" s="5"/>
    </row>
    <row r="1230" spans="8:8" x14ac:dyDescent="0.25">
      <c r="H1230" s="5"/>
    </row>
    <row r="1231" spans="8:8" x14ac:dyDescent="0.25">
      <c r="H1231" s="5"/>
    </row>
    <row r="1232" spans="8:8" x14ac:dyDescent="0.25">
      <c r="H1232" s="5"/>
    </row>
    <row r="1233" spans="8:8" x14ac:dyDescent="0.25">
      <c r="H1233" s="5"/>
    </row>
    <row r="1234" spans="8:8" x14ac:dyDescent="0.25">
      <c r="H1234" s="5"/>
    </row>
    <row r="1235" spans="8:8" x14ac:dyDescent="0.25">
      <c r="H1235" s="5"/>
    </row>
    <row r="1236" spans="8:8" x14ac:dyDescent="0.25">
      <c r="H1236" s="5"/>
    </row>
    <row r="1237" spans="8:8" x14ac:dyDescent="0.25">
      <c r="H1237" s="5"/>
    </row>
    <row r="1238" spans="8:8" x14ac:dyDescent="0.25">
      <c r="H1238" s="5"/>
    </row>
    <row r="1239" spans="8:8" x14ac:dyDescent="0.25">
      <c r="H1239" s="5"/>
    </row>
    <row r="1240" spans="8:8" x14ac:dyDescent="0.25">
      <c r="H1240" s="5"/>
    </row>
    <row r="1241" spans="8:8" x14ac:dyDescent="0.25">
      <c r="H1241" s="5"/>
    </row>
    <row r="1242" spans="8:8" x14ac:dyDescent="0.25">
      <c r="H1242" s="5"/>
    </row>
    <row r="1243" spans="8:8" x14ac:dyDescent="0.25">
      <c r="H1243" s="5"/>
    </row>
    <row r="1244" spans="8:8" x14ac:dyDescent="0.25">
      <c r="H1244" s="5"/>
    </row>
    <row r="1245" spans="8:8" x14ac:dyDescent="0.25">
      <c r="H1245" s="5"/>
    </row>
    <row r="1246" spans="8:8" x14ac:dyDescent="0.25">
      <c r="H1246" s="5"/>
    </row>
    <row r="1247" spans="8:8" x14ac:dyDescent="0.25">
      <c r="H1247" s="5"/>
    </row>
    <row r="1248" spans="8:8" x14ac:dyDescent="0.25">
      <c r="H1248" s="5"/>
    </row>
    <row r="1249" spans="8:8" x14ac:dyDescent="0.25">
      <c r="H1249" s="5"/>
    </row>
    <row r="1250" spans="8:8" x14ac:dyDescent="0.25">
      <c r="H1250" s="5"/>
    </row>
    <row r="1251" spans="8:8" x14ac:dyDescent="0.25">
      <c r="H1251" s="5"/>
    </row>
    <row r="1252" spans="8:8" x14ac:dyDescent="0.25">
      <c r="H1252" s="5"/>
    </row>
    <row r="1253" spans="8:8" x14ac:dyDescent="0.25">
      <c r="H1253" s="5"/>
    </row>
    <row r="1254" spans="8:8" x14ac:dyDescent="0.25">
      <c r="H1254" s="5"/>
    </row>
    <row r="1255" spans="8:8" x14ac:dyDescent="0.25">
      <c r="H1255" s="5"/>
    </row>
    <row r="1256" spans="8:8" x14ac:dyDescent="0.25">
      <c r="H1256" s="5"/>
    </row>
    <row r="1257" spans="8:8" x14ac:dyDescent="0.25">
      <c r="H1257" s="5"/>
    </row>
    <row r="1258" spans="8:8" x14ac:dyDescent="0.25">
      <c r="H1258" s="5"/>
    </row>
    <row r="1259" spans="8:8" x14ac:dyDescent="0.25">
      <c r="H1259" s="5"/>
    </row>
    <row r="1260" spans="8:8" x14ac:dyDescent="0.25">
      <c r="H1260" s="5"/>
    </row>
    <row r="1261" spans="8:8" x14ac:dyDescent="0.25">
      <c r="H1261" s="5"/>
    </row>
    <row r="1262" spans="8:8" x14ac:dyDescent="0.25">
      <c r="H1262" s="5"/>
    </row>
    <row r="1263" spans="8:8" x14ac:dyDescent="0.25">
      <c r="H1263" s="5"/>
    </row>
    <row r="1264" spans="8:8" x14ac:dyDescent="0.25">
      <c r="H1264" s="5"/>
    </row>
    <row r="1265" spans="8:8" x14ac:dyDescent="0.25">
      <c r="H1265" s="5"/>
    </row>
    <row r="1266" spans="8:8" x14ac:dyDescent="0.25">
      <c r="H1266" s="5"/>
    </row>
    <row r="1267" spans="8:8" x14ac:dyDescent="0.25">
      <c r="H1267" s="5"/>
    </row>
    <row r="1268" spans="8:8" x14ac:dyDescent="0.25">
      <c r="H1268" s="5"/>
    </row>
    <row r="1269" spans="8:8" x14ac:dyDescent="0.25">
      <c r="H1269" s="5"/>
    </row>
    <row r="1270" spans="8:8" x14ac:dyDescent="0.25">
      <c r="H1270" s="5"/>
    </row>
    <row r="1271" spans="8:8" x14ac:dyDescent="0.25">
      <c r="H1271" s="5"/>
    </row>
    <row r="1272" spans="8:8" x14ac:dyDescent="0.25">
      <c r="H1272" s="5"/>
    </row>
    <row r="1273" spans="8:8" x14ac:dyDescent="0.25">
      <c r="H1273" s="5"/>
    </row>
    <row r="1274" spans="8:8" x14ac:dyDescent="0.25">
      <c r="H1274" s="5"/>
    </row>
    <row r="1275" spans="8:8" x14ac:dyDescent="0.25">
      <c r="H1275" s="5"/>
    </row>
    <row r="1276" spans="8:8" x14ac:dyDescent="0.25">
      <c r="H1276" s="5"/>
    </row>
    <row r="1277" spans="8:8" x14ac:dyDescent="0.25">
      <c r="H1277" s="5"/>
    </row>
    <row r="1278" spans="8:8" x14ac:dyDescent="0.25">
      <c r="H1278" s="5"/>
    </row>
    <row r="1279" spans="8:8" x14ac:dyDescent="0.25">
      <c r="H1279" s="5"/>
    </row>
    <row r="1280" spans="8:8" x14ac:dyDescent="0.25">
      <c r="H1280" s="5"/>
    </row>
    <row r="1281" spans="8:8" x14ac:dyDescent="0.25">
      <c r="H1281" s="5"/>
    </row>
    <row r="1282" spans="8:8" x14ac:dyDescent="0.25">
      <c r="H1282" s="5"/>
    </row>
    <row r="1283" spans="8:8" x14ac:dyDescent="0.25">
      <c r="H1283" s="5"/>
    </row>
    <row r="1284" spans="8:8" x14ac:dyDescent="0.25">
      <c r="H1284" s="5"/>
    </row>
    <row r="1285" spans="8:8" x14ac:dyDescent="0.25">
      <c r="H1285" s="5"/>
    </row>
    <row r="1286" spans="8:8" x14ac:dyDescent="0.25">
      <c r="H1286" s="5"/>
    </row>
    <row r="1287" spans="8:8" x14ac:dyDescent="0.25">
      <c r="H1287" s="5"/>
    </row>
    <row r="1288" spans="8:8" x14ac:dyDescent="0.25">
      <c r="H1288" s="5"/>
    </row>
    <row r="1289" spans="8:8" x14ac:dyDescent="0.25">
      <c r="H1289" s="5"/>
    </row>
    <row r="1290" spans="8:8" x14ac:dyDescent="0.25">
      <c r="H1290" s="5"/>
    </row>
    <row r="1291" spans="8:8" x14ac:dyDescent="0.25">
      <c r="H1291" s="5"/>
    </row>
    <row r="1292" spans="8:8" x14ac:dyDescent="0.25">
      <c r="H1292" s="5"/>
    </row>
    <row r="1293" spans="8:8" x14ac:dyDescent="0.25">
      <c r="H1293" s="5"/>
    </row>
    <row r="1294" spans="8:8" x14ac:dyDescent="0.25">
      <c r="H1294" s="5"/>
    </row>
    <row r="1295" spans="8:8" x14ac:dyDescent="0.25">
      <c r="H1295" s="5"/>
    </row>
    <row r="1296" spans="8:8" x14ac:dyDescent="0.25">
      <c r="H1296" s="5"/>
    </row>
    <row r="1297" spans="8:8" x14ac:dyDescent="0.25">
      <c r="H1297" s="5"/>
    </row>
    <row r="1298" spans="8:8" x14ac:dyDescent="0.25">
      <c r="H1298" s="5"/>
    </row>
    <row r="1299" spans="8:8" x14ac:dyDescent="0.25">
      <c r="H1299" s="5"/>
    </row>
    <row r="1300" spans="8:8" x14ac:dyDescent="0.25">
      <c r="H1300" s="5"/>
    </row>
    <row r="1301" spans="8:8" x14ac:dyDescent="0.25">
      <c r="H1301" s="5"/>
    </row>
    <row r="1302" spans="8:8" x14ac:dyDescent="0.25">
      <c r="H1302" s="5"/>
    </row>
    <row r="1303" spans="8:8" x14ac:dyDescent="0.25">
      <c r="H1303" s="5"/>
    </row>
    <row r="1304" spans="8:8" x14ac:dyDescent="0.25">
      <c r="H1304" s="5"/>
    </row>
    <row r="1305" spans="8:8" x14ac:dyDescent="0.25">
      <c r="H1305" s="5"/>
    </row>
    <row r="1306" spans="8:8" x14ac:dyDescent="0.25">
      <c r="H1306" s="5"/>
    </row>
    <row r="1307" spans="8:8" x14ac:dyDescent="0.25">
      <c r="H1307" s="5"/>
    </row>
    <row r="1308" spans="8:8" x14ac:dyDescent="0.25">
      <c r="H1308" s="5"/>
    </row>
    <row r="1309" spans="8:8" x14ac:dyDescent="0.25">
      <c r="H1309" s="5"/>
    </row>
    <row r="1310" spans="8:8" x14ac:dyDescent="0.25">
      <c r="H1310" s="5"/>
    </row>
    <row r="1311" spans="8:8" x14ac:dyDescent="0.25">
      <c r="H1311" s="5"/>
    </row>
    <row r="1312" spans="8:8" x14ac:dyDescent="0.25">
      <c r="H1312" s="5"/>
    </row>
    <row r="1313" spans="8:8" x14ac:dyDescent="0.25">
      <c r="H1313" s="5"/>
    </row>
    <row r="1314" spans="8:8" x14ac:dyDescent="0.25">
      <c r="H1314" s="5"/>
    </row>
    <row r="1315" spans="8:8" x14ac:dyDescent="0.25">
      <c r="H1315" s="5"/>
    </row>
    <row r="1316" spans="8:8" x14ac:dyDescent="0.25">
      <c r="H1316" s="5"/>
    </row>
    <row r="1317" spans="8:8" x14ac:dyDescent="0.25">
      <c r="H1317" s="5"/>
    </row>
    <row r="1318" spans="8:8" x14ac:dyDescent="0.25">
      <c r="H1318" s="5"/>
    </row>
    <row r="1319" spans="8:8" x14ac:dyDescent="0.25">
      <c r="H1319" s="5"/>
    </row>
    <row r="1320" spans="8:8" x14ac:dyDescent="0.25">
      <c r="H1320" s="5"/>
    </row>
    <row r="1321" spans="8:8" x14ac:dyDescent="0.25">
      <c r="H1321" s="5"/>
    </row>
    <row r="1322" spans="8:8" x14ac:dyDescent="0.25">
      <c r="H1322" s="5"/>
    </row>
    <row r="1323" spans="8:8" x14ac:dyDescent="0.25">
      <c r="H1323" s="5"/>
    </row>
    <row r="1324" spans="8:8" x14ac:dyDescent="0.25">
      <c r="H1324" s="5"/>
    </row>
    <row r="1325" spans="8:8" x14ac:dyDescent="0.25">
      <c r="H1325" s="5"/>
    </row>
    <row r="1326" spans="8:8" x14ac:dyDescent="0.25">
      <c r="H1326" s="5"/>
    </row>
    <row r="1327" spans="8:8" x14ac:dyDescent="0.25">
      <c r="H1327" s="5"/>
    </row>
    <row r="1328" spans="8:8" x14ac:dyDescent="0.25">
      <c r="H1328" s="5"/>
    </row>
    <row r="1329" spans="8:8" x14ac:dyDescent="0.25">
      <c r="H1329" s="5"/>
    </row>
    <row r="1330" spans="8:8" x14ac:dyDescent="0.25">
      <c r="H1330" s="5"/>
    </row>
    <row r="1331" spans="8:8" x14ac:dyDescent="0.25">
      <c r="H1331" s="5"/>
    </row>
    <row r="1332" spans="8:8" x14ac:dyDescent="0.25">
      <c r="H1332" s="5"/>
    </row>
    <row r="1333" spans="8:8" x14ac:dyDescent="0.25">
      <c r="H1333" s="5"/>
    </row>
    <row r="1334" spans="8:8" x14ac:dyDescent="0.25">
      <c r="H1334" s="5"/>
    </row>
    <row r="1335" spans="8:8" x14ac:dyDescent="0.25">
      <c r="H1335" s="5"/>
    </row>
    <row r="1336" spans="8:8" x14ac:dyDescent="0.25">
      <c r="H1336" s="5"/>
    </row>
    <row r="1337" spans="8:8" x14ac:dyDescent="0.25">
      <c r="H1337" s="5"/>
    </row>
    <row r="1338" spans="8:8" x14ac:dyDescent="0.25">
      <c r="H1338" s="5"/>
    </row>
    <row r="1339" spans="8:8" x14ac:dyDescent="0.25">
      <c r="H1339" s="5"/>
    </row>
    <row r="1340" spans="8:8" x14ac:dyDescent="0.25">
      <c r="H1340" s="5"/>
    </row>
    <row r="1341" spans="8:8" x14ac:dyDescent="0.25">
      <c r="H1341" s="5"/>
    </row>
    <row r="1342" spans="8:8" x14ac:dyDescent="0.25">
      <c r="H1342" s="5"/>
    </row>
    <row r="1343" spans="8:8" x14ac:dyDescent="0.25">
      <c r="H1343" s="5"/>
    </row>
    <row r="1344" spans="8:8" x14ac:dyDescent="0.25">
      <c r="H1344" s="5"/>
    </row>
    <row r="1345" spans="8:8" x14ac:dyDescent="0.25">
      <c r="H1345" s="5"/>
    </row>
    <row r="1346" spans="8:8" x14ac:dyDescent="0.25">
      <c r="H1346" s="5"/>
    </row>
    <row r="1347" spans="8:8" x14ac:dyDescent="0.25">
      <c r="H1347" s="5"/>
    </row>
    <row r="1348" spans="8:8" x14ac:dyDescent="0.25">
      <c r="H1348" s="5"/>
    </row>
    <row r="1349" spans="8:8" x14ac:dyDescent="0.25">
      <c r="H1349" s="5"/>
    </row>
    <row r="1350" spans="8:8" x14ac:dyDescent="0.25">
      <c r="H1350" s="5"/>
    </row>
    <row r="1351" spans="8:8" x14ac:dyDescent="0.25">
      <c r="H1351" s="5"/>
    </row>
    <row r="1352" spans="8:8" x14ac:dyDescent="0.25">
      <c r="H1352" s="5"/>
    </row>
    <row r="1353" spans="8:8" x14ac:dyDescent="0.25">
      <c r="H1353" s="5"/>
    </row>
    <row r="1354" spans="8:8" x14ac:dyDescent="0.25">
      <c r="H1354" s="5"/>
    </row>
    <row r="1355" spans="8:8" x14ac:dyDescent="0.25">
      <c r="H1355" s="5"/>
    </row>
    <row r="1356" spans="8:8" x14ac:dyDescent="0.25">
      <c r="H1356" s="5"/>
    </row>
    <row r="1357" spans="8:8" x14ac:dyDescent="0.25">
      <c r="H1357" s="5"/>
    </row>
    <row r="1358" spans="8:8" x14ac:dyDescent="0.25">
      <c r="H1358" s="5"/>
    </row>
    <row r="1359" spans="8:8" x14ac:dyDescent="0.25">
      <c r="H1359" s="5"/>
    </row>
    <row r="1360" spans="8:8" x14ac:dyDescent="0.25">
      <c r="H1360" s="5"/>
    </row>
    <row r="1361" spans="8:8" x14ac:dyDescent="0.25">
      <c r="H1361" s="5"/>
    </row>
    <row r="1362" spans="8:8" x14ac:dyDescent="0.25">
      <c r="H1362" s="5"/>
    </row>
    <row r="1363" spans="8:8" x14ac:dyDescent="0.25">
      <c r="H1363" s="5"/>
    </row>
    <row r="1364" spans="8:8" x14ac:dyDescent="0.25">
      <c r="H1364" s="5"/>
    </row>
    <row r="1365" spans="8:8" x14ac:dyDescent="0.25">
      <c r="H1365" s="5"/>
    </row>
    <row r="1366" spans="8:8" x14ac:dyDescent="0.25">
      <c r="H1366" s="5"/>
    </row>
    <row r="1367" spans="8:8" x14ac:dyDescent="0.25">
      <c r="H1367" s="5"/>
    </row>
    <row r="1368" spans="8:8" x14ac:dyDescent="0.25">
      <c r="H1368" s="5"/>
    </row>
    <row r="1369" spans="8:8" x14ac:dyDescent="0.25">
      <c r="H1369" s="5"/>
    </row>
    <row r="1370" spans="8:8" x14ac:dyDescent="0.25">
      <c r="H1370" s="5"/>
    </row>
    <row r="1371" spans="8:8" x14ac:dyDescent="0.25">
      <c r="H1371" s="5"/>
    </row>
    <row r="1372" spans="8:8" x14ac:dyDescent="0.25">
      <c r="H1372" s="5"/>
    </row>
    <row r="1373" spans="8:8" x14ac:dyDescent="0.25">
      <c r="H1373" s="5"/>
    </row>
    <row r="1374" spans="8:8" x14ac:dyDescent="0.25">
      <c r="H1374" s="5"/>
    </row>
    <row r="1375" spans="8:8" x14ac:dyDescent="0.25">
      <c r="H1375" s="5"/>
    </row>
    <row r="1376" spans="8:8" x14ac:dyDescent="0.25">
      <c r="H1376" s="5"/>
    </row>
    <row r="1377" spans="8:8" x14ac:dyDescent="0.25">
      <c r="H1377" s="5"/>
    </row>
    <row r="1378" spans="8:8" x14ac:dyDescent="0.25">
      <c r="H1378" s="5"/>
    </row>
    <row r="1379" spans="8:8" x14ac:dyDescent="0.25">
      <c r="H1379" s="5"/>
    </row>
    <row r="1380" spans="8:8" x14ac:dyDescent="0.25">
      <c r="H1380" s="5"/>
    </row>
    <row r="1381" spans="8:8" x14ac:dyDescent="0.25">
      <c r="H1381" s="5"/>
    </row>
    <row r="1382" spans="8:8" x14ac:dyDescent="0.25">
      <c r="H1382" s="5"/>
    </row>
    <row r="1383" spans="8:8" x14ac:dyDescent="0.25">
      <c r="H1383" s="5"/>
    </row>
    <row r="1384" spans="8:8" x14ac:dyDescent="0.25">
      <c r="H1384" s="5"/>
    </row>
    <row r="1385" spans="8:8" x14ac:dyDescent="0.25">
      <c r="H1385" s="5"/>
    </row>
    <row r="1386" spans="8:8" x14ac:dyDescent="0.25">
      <c r="H1386" s="5"/>
    </row>
    <row r="1387" spans="8:8" x14ac:dyDescent="0.25">
      <c r="H1387" s="5"/>
    </row>
    <row r="1388" spans="8:8" x14ac:dyDescent="0.25">
      <c r="H1388" s="5"/>
    </row>
    <row r="1389" spans="8:8" x14ac:dyDescent="0.25">
      <c r="H1389" s="5"/>
    </row>
    <row r="1390" spans="8:8" x14ac:dyDescent="0.25">
      <c r="H1390" s="5"/>
    </row>
    <row r="1391" spans="8:8" x14ac:dyDescent="0.25">
      <c r="H1391" s="5"/>
    </row>
    <row r="1392" spans="8:8" x14ac:dyDescent="0.25">
      <c r="H1392" s="5"/>
    </row>
    <row r="1393" spans="8:8" x14ac:dyDescent="0.25">
      <c r="H1393" s="5"/>
    </row>
    <row r="1394" spans="8:8" x14ac:dyDescent="0.25">
      <c r="H1394" s="5"/>
    </row>
    <row r="1395" spans="8:8" x14ac:dyDescent="0.25">
      <c r="H1395" s="5"/>
    </row>
    <row r="1396" spans="8:8" x14ac:dyDescent="0.25">
      <c r="H1396" s="5"/>
    </row>
    <row r="1397" spans="8:8" x14ac:dyDescent="0.25">
      <c r="H1397" s="5"/>
    </row>
    <row r="1398" spans="8:8" x14ac:dyDescent="0.25">
      <c r="H1398" s="5"/>
    </row>
    <row r="1399" spans="8:8" x14ac:dyDescent="0.25">
      <c r="H1399" s="5"/>
    </row>
    <row r="1400" spans="8:8" x14ac:dyDescent="0.25">
      <c r="H1400" s="5"/>
    </row>
    <row r="1401" spans="8:8" x14ac:dyDescent="0.25">
      <c r="H1401" s="5"/>
    </row>
    <row r="1402" spans="8:8" x14ac:dyDescent="0.25">
      <c r="H1402" s="5"/>
    </row>
    <row r="1403" spans="8:8" x14ac:dyDescent="0.25">
      <c r="H1403" s="5"/>
    </row>
    <row r="1404" spans="8:8" x14ac:dyDescent="0.25">
      <c r="H1404" s="5"/>
    </row>
    <row r="1405" spans="8:8" x14ac:dyDescent="0.25">
      <c r="H1405" s="5"/>
    </row>
    <row r="1406" spans="8:8" x14ac:dyDescent="0.25">
      <c r="H1406" s="5"/>
    </row>
    <row r="1407" spans="8:8" x14ac:dyDescent="0.25">
      <c r="H1407" s="5"/>
    </row>
    <row r="1408" spans="8:8" x14ac:dyDescent="0.25">
      <c r="H1408" s="5"/>
    </row>
    <row r="1409" spans="8:8" x14ac:dyDescent="0.25">
      <c r="H1409" s="5"/>
    </row>
    <row r="1410" spans="8:8" x14ac:dyDescent="0.25">
      <c r="H1410" s="5"/>
    </row>
    <row r="1411" spans="8:8" x14ac:dyDescent="0.25">
      <c r="H1411" s="5"/>
    </row>
    <row r="1412" spans="8:8" x14ac:dyDescent="0.25">
      <c r="H1412" s="5"/>
    </row>
    <row r="1413" spans="8:8" x14ac:dyDescent="0.25">
      <c r="H1413" s="5"/>
    </row>
    <row r="1414" spans="8:8" x14ac:dyDescent="0.25">
      <c r="H1414" s="5"/>
    </row>
    <row r="1415" spans="8:8" x14ac:dyDescent="0.25">
      <c r="H1415" s="5"/>
    </row>
    <row r="1416" spans="8:8" x14ac:dyDescent="0.25">
      <c r="H1416" s="5"/>
    </row>
    <row r="1417" spans="8:8" x14ac:dyDescent="0.25">
      <c r="H1417" s="5"/>
    </row>
    <row r="1418" spans="8:8" x14ac:dyDescent="0.25">
      <c r="H1418" s="5"/>
    </row>
    <row r="1419" spans="8:8" x14ac:dyDescent="0.25">
      <c r="H1419" s="5"/>
    </row>
    <row r="1420" spans="8:8" x14ac:dyDescent="0.25">
      <c r="H1420" s="5"/>
    </row>
    <row r="1421" spans="8:8" x14ac:dyDescent="0.25">
      <c r="H1421" s="5"/>
    </row>
    <row r="1422" spans="8:8" x14ac:dyDescent="0.25">
      <c r="H1422" s="5"/>
    </row>
    <row r="1423" spans="8:8" x14ac:dyDescent="0.25">
      <c r="H1423" s="5"/>
    </row>
    <row r="1424" spans="8:8" x14ac:dyDescent="0.25">
      <c r="H1424" s="5"/>
    </row>
    <row r="1425" spans="8:8" x14ac:dyDescent="0.25">
      <c r="H1425" s="5"/>
    </row>
    <row r="1426" spans="8:8" x14ac:dyDescent="0.25">
      <c r="H1426" s="5"/>
    </row>
    <row r="1427" spans="8:8" x14ac:dyDescent="0.25">
      <c r="H1427" s="5"/>
    </row>
    <row r="1428" spans="8:8" x14ac:dyDescent="0.25">
      <c r="H1428" s="5"/>
    </row>
    <row r="1429" spans="8:8" x14ac:dyDescent="0.25">
      <c r="H1429" s="5"/>
    </row>
    <row r="1430" spans="8:8" x14ac:dyDescent="0.25">
      <c r="H1430" s="5"/>
    </row>
    <row r="1431" spans="8:8" x14ac:dyDescent="0.25">
      <c r="H1431" s="5"/>
    </row>
    <row r="1432" spans="8:8" x14ac:dyDescent="0.25">
      <c r="H1432" s="5"/>
    </row>
    <row r="1433" spans="8:8" x14ac:dyDescent="0.25">
      <c r="H1433" s="5"/>
    </row>
    <row r="1434" spans="8:8" x14ac:dyDescent="0.25">
      <c r="H1434" s="5"/>
    </row>
    <row r="1435" spans="8:8" x14ac:dyDescent="0.25">
      <c r="H1435" s="5"/>
    </row>
    <row r="1436" spans="8:8" x14ac:dyDescent="0.25">
      <c r="H1436" s="5"/>
    </row>
    <row r="1437" spans="8:8" x14ac:dyDescent="0.25">
      <c r="H1437" s="5"/>
    </row>
    <row r="1438" spans="8:8" x14ac:dyDescent="0.25">
      <c r="H1438" s="5"/>
    </row>
    <row r="1439" spans="8:8" x14ac:dyDescent="0.25">
      <c r="H1439" s="5"/>
    </row>
    <row r="1440" spans="8:8" x14ac:dyDescent="0.25">
      <c r="H1440" s="5"/>
    </row>
    <row r="1441" spans="8:8" x14ac:dyDescent="0.25">
      <c r="H1441" s="5"/>
    </row>
    <row r="1442" spans="8:8" x14ac:dyDescent="0.25">
      <c r="H1442" s="5"/>
    </row>
    <row r="1443" spans="8:8" x14ac:dyDescent="0.25">
      <c r="H1443" s="5"/>
    </row>
    <row r="1444" spans="8:8" x14ac:dyDescent="0.25">
      <c r="H1444" s="5"/>
    </row>
    <row r="1445" spans="8:8" x14ac:dyDescent="0.25">
      <c r="H1445" s="5"/>
    </row>
    <row r="1446" spans="8:8" x14ac:dyDescent="0.25">
      <c r="H1446" s="5"/>
    </row>
    <row r="1447" spans="8:8" x14ac:dyDescent="0.25">
      <c r="H1447" s="5"/>
    </row>
    <row r="1448" spans="8:8" x14ac:dyDescent="0.25">
      <c r="H1448" s="5"/>
    </row>
    <row r="1449" spans="8:8" x14ac:dyDescent="0.25">
      <c r="H1449" s="5"/>
    </row>
    <row r="1450" spans="8:8" x14ac:dyDescent="0.25">
      <c r="H1450" s="5"/>
    </row>
    <row r="1451" spans="8:8" x14ac:dyDescent="0.25">
      <c r="H1451" s="5"/>
    </row>
    <row r="1452" spans="8:8" x14ac:dyDescent="0.25">
      <c r="H1452" s="5"/>
    </row>
    <row r="1453" spans="8:8" x14ac:dyDescent="0.25">
      <c r="H1453" s="5"/>
    </row>
    <row r="1454" spans="8:8" x14ac:dyDescent="0.25">
      <c r="H1454" s="5"/>
    </row>
    <row r="1455" spans="8:8" x14ac:dyDescent="0.25">
      <c r="H1455" s="5"/>
    </row>
    <row r="1456" spans="8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  <row r="1684" spans="8:8" x14ac:dyDescent="0.25">
      <c r="H1684" s="5"/>
    </row>
    <row r="1685" spans="8:8" x14ac:dyDescent="0.25">
      <c r="H1685" s="5"/>
    </row>
    <row r="1686" spans="8:8" x14ac:dyDescent="0.25">
      <c r="H1686" s="5"/>
    </row>
    <row r="1687" spans="8:8" x14ac:dyDescent="0.25">
      <c r="H1687" s="5"/>
    </row>
    <row r="1688" spans="8:8" x14ac:dyDescent="0.25">
      <c r="H1688" s="5"/>
    </row>
    <row r="1689" spans="8:8" x14ac:dyDescent="0.25">
      <c r="H1689" s="5"/>
    </row>
    <row r="1690" spans="8:8" x14ac:dyDescent="0.25">
      <c r="H1690" s="5"/>
    </row>
    <row r="1691" spans="8:8" x14ac:dyDescent="0.25">
      <c r="H1691" s="5"/>
    </row>
    <row r="1692" spans="8:8" x14ac:dyDescent="0.25">
      <c r="H1692" s="5"/>
    </row>
    <row r="1693" spans="8:8" x14ac:dyDescent="0.25">
      <c r="H1693" s="5"/>
    </row>
    <row r="1694" spans="8:8" x14ac:dyDescent="0.25">
      <c r="H1694" s="5"/>
    </row>
    <row r="1695" spans="8:8" x14ac:dyDescent="0.25">
      <c r="H1695" s="5"/>
    </row>
    <row r="1696" spans="8:8" x14ac:dyDescent="0.25">
      <c r="H1696" s="5"/>
    </row>
    <row r="1697" spans="8:8" x14ac:dyDescent="0.25">
      <c r="H1697" s="5"/>
    </row>
    <row r="1698" spans="8:8" x14ac:dyDescent="0.25">
      <c r="H1698" s="5"/>
    </row>
    <row r="1699" spans="8:8" x14ac:dyDescent="0.25">
      <c r="H1699" s="5"/>
    </row>
    <row r="1700" spans="8:8" x14ac:dyDescent="0.25">
      <c r="H1700" s="5"/>
    </row>
    <row r="1701" spans="8:8" x14ac:dyDescent="0.25">
      <c r="H1701" s="5"/>
    </row>
    <row r="1702" spans="8:8" x14ac:dyDescent="0.25">
      <c r="H1702" s="5"/>
    </row>
    <row r="1703" spans="8:8" x14ac:dyDescent="0.25">
      <c r="H1703" s="5"/>
    </row>
    <row r="1704" spans="8:8" x14ac:dyDescent="0.25">
      <c r="H1704" s="5"/>
    </row>
    <row r="1705" spans="8:8" x14ac:dyDescent="0.25">
      <c r="H1705" s="5"/>
    </row>
    <row r="1706" spans="8:8" x14ac:dyDescent="0.25">
      <c r="H1706" s="5"/>
    </row>
    <row r="1707" spans="8:8" x14ac:dyDescent="0.25">
      <c r="H1707" s="5"/>
    </row>
    <row r="1708" spans="8:8" x14ac:dyDescent="0.25">
      <c r="H1708" s="5"/>
    </row>
    <row r="1709" spans="8:8" x14ac:dyDescent="0.25">
      <c r="H1709" s="5"/>
    </row>
    <row r="1710" spans="8:8" x14ac:dyDescent="0.25">
      <c r="H1710" s="5"/>
    </row>
    <row r="1711" spans="8:8" x14ac:dyDescent="0.25">
      <c r="H1711" s="5"/>
    </row>
    <row r="1712" spans="8:8" x14ac:dyDescent="0.25">
      <c r="H1712" s="5"/>
    </row>
    <row r="1713" spans="8:8" x14ac:dyDescent="0.25">
      <c r="H1713" s="5"/>
    </row>
    <row r="1714" spans="8:8" x14ac:dyDescent="0.25">
      <c r="H1714" s="5"/>
    </row>
    <row r="1715" spans="8:8" x14ac:dyDescent="0.25">
      <c r="H1715" s="5"/>
    </row>
    <row r="1716" spans="8:8" x14ac:dyDescent="0.25">
      <c r="H1716" s="5"/>
    </row>
    <row r="1717" spans="8:8" x14ac:dyDescent="0.25">
      <c r="H1717" s="5"/>
    </row>
    <row r="1718" spans="8:8" x14ac:dyDescent="0.25">
      <c r="H1718" s="5"/>
    </row>
    <row r="1719" spans="8:8" x14ac:dyDescent="0.25">
      <c r="H1719" s="5"/>
    </row>
    <row r="1720" spans="8:8" x14ac:dyDescent="0.25">
      <c r="H1720" s="5"/>
    </row>
    <row r="1721" spans="8:8" x14ac:dyDescent="0.25">
      <c r="H1721" s="5"/>
    </row>
    <row r="1722" spans="8:8" x14ac:dyDescent="0.25">
      <c r="H1722" s="5"/>
    </row>
    <row r="1723" spans="8:8" x14ac:dyDescent="0.25">
      <c r="H1723" s="5"/>
    </row>
    <row r="1724" spans="8:8" x14ac:dyDescent="0.25">
      <c r="H1724" s="5"/>
    </row>
    <row r="1725" spans="8:8" x14ac:dyDescent="0.25">
      <c r="H1725" s="5"/>
    </row>
    <row r="1726" spans="8:8" x14ac:dyDescent="0.25">
      <c r="H1726" s="5"/>
    </row>
    <row r="1727" spans="8:8" x14ac:dyDescent="0.25">
      <c r="H1727" s="5"/>
    </row>
    <row r="1728" spans="8:8" x14ac:dyDescent="0.25">
      <c r="H1728" s="5"/>
    </row>
    <row r="1729" spans="8:8" x14ac:dyDescent="0.25">
      <c r="H1729" s="5"/>
    </row>
    <row r="1730" spans="8:8" x14ac:dyDescent="0.25">
      <c r="H1730" s="5"/>
    </row>
    <row r="1731" spans="8:8" x14ac:dyDescent="0.25">
      <c r="H1731" s="5"/>
    </row>
    <row r="1732" spans="8:8" x14ac:dyDescent="0.25">
      <c r="H1732" s="5"/>
    </row>
    <row r="1733" spans="8:8" x14ac:dyDescent="0.25">
      <c r="H1733" s="5"/>
    </row>
    <row r="1734" spans="8:8" x14ac:dyDescent="0.25">
      <c r="H1734" s="5"/>
    </row>
    <row r="1735" spans="8:8" x14ac:dyDescent="0.25">
      <c r="H1735" s="5"/>
    </row>
    <row r="1736" spans="8:8" x14ac:dyDescent="0.25">
      <c r="H1736" s="5"/>
    </row>
    <row r="1737" spans="8:8" x14ac:dyDescent="0.25">
      <c r="H1737" s="5"/>
    </row>
    <row r="1738" spans="8:8" x14ac:dyDescent="0.25">
      <c r="H1738" s="5"/>
    </row>
    <row r="1739" spans="8:8" x14ac:dyDescent="0.25">
      <c r="H1739" s="5"/>
    </row>
    <row r="1740" spans="8:8" x14ac:dyDescent="0.25">
      <c r="H1740" s="5"/>
    </row>
    <row r="1741" spans="8:8" x14ac:dyDescent="0.25">
      <c r="H1741" s="5"/>
    </row>
    <row r="1742" spans="8:8" x14ac:dyDescent="0.25">
      <c r="H1742" s="5"/>
    </row>
    <row r="1743" spans="8:8" x14ac:dyDescent="0.25">
      <c r="H1743" s="5"/>
    </row>
    <row r="1744" spans="8:8" x14ac:dyDescent="0.25">
      <c r="H1744" s="5"/>
    </row>
    <row r="1745" spans="8:8" x14ac:dyDescent="0.25">
      <c r="H1745" s="5"/>
    </row>
    <row r="1746" spans="8:8" x14ac:dyDescent="0.25">
      <c r="H1746" s="5"/>
    </row>
    <row r="1747" spans="8:8" x14ac:dyDescent="0.25">
      <c r="H1747" s="5"/>
    </row>
    <row r="1748" spans="8:8" x14ac:dyDescent="0.25">
      <c r="H1748" s="5"/>
    </row>
    <row r="1749" spans="8:8" x14ac:dyDescent="0.25">
      <c r="H1749" s="5"/>
    </row>
    <row r="1750" spans="8:8" x14ac:dyDescent="0.25">
      <c r="H1750" s="5"/>
    </row>
    <row r="1751" spans="8:8" x14ac:dyDescent="0.25">
      <c r="H1751" s="5"/>
    </row>
    <row r="1752" spans="8:8" x14ac:dyDescent="0.25">
      <c r="H1752" s="5"/>
    </row>
    <row r="1753" spans="8:8" x14ac:dyDescent="0.25">
      <c r="H1753" s="5"/>
    </row>
    <row r="1754" spans="8:8" x14ac:dyDescent="0.25">
      <c r="H1754" s="5"/>
    </row>
    <row r="1755" spans="8:8" x14ac:dyDescent="0.25">
      <c r="H1755" s="5"/>
    </row>
    <row r="1756" spans="8:8" x14ac:dyDescent="0.25">
      <c r="H1756" s="5"/>
    </row>
    <row r="1757" spans="8:8" x14ac:dyDescent="0.25">
      <c r="H1757" s="5"/>
    </row>
    <row r="1758" spans="8:8" x14ac:dyDescent="0.25">
      <c r="H1758" s="5"/>
    </row>
    <row r="1759" spans="8:8" x14ac:dyDescent="0.25">
      <c r="H1759" s="5"/>
    </row>
    <row r="1760" spans="8:8" x14ac:dyDescent="0.25">
      <c r="H1760" s="5"/>
    </row>
    <row r="1761" spans="8:8" x14ac:dyDescent="0.25">
      <c r="H1761" s="5"/>
    </row>
    <row r="1762" spans="8:8" x14ac:dyDescent="0.25">
      <c r="H1762" s="5"/>
    </row>
    <row r="1763" spans="8:8" x14ac:dyDescent="0.25">
      <c r="H1763" s="5"/>
    </row>
    <row r="1764" spans="8:8" x14ac:dyDescent="0.25">
      <c r="H1764" s="5"/>
    </row>
    <row r="1765" spans="8:8" x14ac:dyDescent="0.25">
      <c r="H1765" s="5"/>
    </row>
    <row r="1766" spans="8:8" x14ac:dyDescent="0.25">
      <c r="H1766" s="5"/>
    </row>
    <row r="1767" spans="8:8" x14ac:dyDescent="0.25">
      <c r="H1767" s="5"/>
    </row>
    <row r="1768" spans="8:8" x14ac:dyDescent="0.25">
      <c r="H1768" s="5"/>
    </row>
    <row r="1769" spans="8:8" x14ac:dyDescent="0.25">
      <c r="H1769" s="5"/>
    </row>
    <row r="1770" spans="8:8" x14ac:dyDescent="0.25">
      <c r="H1770" s="5"/>
    </row>
    <row r="1771" spans="8:8" x14ac:dyDescent="0.25">
      <c r="H1771" s="5"/>
    </row>
    <row r="1772" spans="8:8" x14ac:dyDescent="0.25">
      <c r="H1772" s="5"/>
    </row>
    <row r="1773" spans="8:8" x14ac:dyDescent="0.25">
      <c r="H1773" s="5"/>
    </row>
    <row r="1774" spans="8:8" x14ac:dyDescent="0.25">
      <c r="H1774" s="5"/>
    </row>
    <row r="1775" spans="8:8" x14ac:dyDescent="0.25">
      <c r="H1775" s="5"/>
    </row>
    <row r="1776" spans="8:8" x14ac:dyDescent="0.25">
      <c r="H1776" s="5"/>
    </row>
    <row r="1777" spans="8:8" x14ac:dyDescent="0.25">
      <c r="H1777" s="5"/>
    </row>
    <row r="1778" spans="8:8" x14ac:dyDescent="0.25">
      <c r="H1778" s="5"/>
    </row>
    <row r="1779" spans="8:8" x14ac:dyDescent="0.25">
      <c r="H1779" s="5"/>
    </row>
    <row r="1780" spans="8:8" x14ac:dyDescent="0.25">
      <c r="H1780" s="5"/>
    </row>
    <row r="1781" spans="8:8" x14ac:dyDescent="0.25">
      <c r="H1781" s="5"/>
    </row>
    <row r="1782" spans="8:8" x14ac:dyDescent="0.25">
      <c r="H1782" s="5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7B28-2AD6-449D-B98A-D55461EA6BDB}">
  <dimension ref="A1:AN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10.42578125" bestFit="1" customWidth="1"/>
    <col min="2" max="2" width="56.42578125" bestFit="1" customWidth="1"/>
  </cols>
  <sheetData>
    <row r="1" spans="1:40" ht="48" x14ac:dyDescent="0.25">
      <c r="A1" t="s">
        <v>222</v>
      </c>
      <c r="B1" t="s">
        <v>223</v>
      </c>
      <c r="C1" s="23" t="s">
        <v>224</v>
      </c>
      <c r="D1" s="23" t="s">
        <v>225</v>
      </c>
      <c r="E1" s="23" t="s">
        <v>226</v>
      </c>
      <c r="F1" s="23" t="s">
        <v>227</v>
      </c>
      <c r="G1" s="23" t="s">
        <v>228</v>
      </c>
      <c r="H1" s="23" t="s">
        <v>229</v>
      </c>
      <c r="I1" s="23" t="s">
        <v>230</v>
      </c>
      <c r="J1" s="23" t="s">
        <v>231</v>
      </c>
      <c r="K1" s="23" t="s">
        <v>232</v>
      </c>
      <c r="L1" s="23" t="s">
        <v>233</v>
      </c>
      <c r="M1" s="23" t="s">
        <v>234</v>
      </c>
      <c r="N1" s="23" t="s">
        <v>235</v>
      </c>
      <c r="O1" s="23" t="s">
        <v>236</v>
      </c>
      <c r="P1" s="23" t="s">
        <v>237</v>
      </c>
      <c r="Q1" s="23" t="s">
        <v>238</v>
      </c>
      <c r="R1" s="23" t="s">
        <v>239</v>
      </c>
      <c r="S1" s="23" t="s">
        <v>240</v>
      </c>
      <c r="T1" s="23" t="s">
        <v>241</v>
      </c>
      <c r="U1" s="23" t="s">
        <v>242</v>
      </c>
      <c r="V1" s="23" t="s">
        <v>243</v>
      </c>
      <c r="W1" s="23" t="s">
        <v>244</v>
      </c>
      <c r="X1" s="23" t="s">
        <v>245</v>
      </c>
      <c r="Y1" s="23" t="s">
        <v>246</v>
      </c>
      <c r="Z1" s="23" t="s">
        <v>247</v>
      </c>
      <c r="AA1" s="23" t="s">
        <v>248</v>
      </c>
      <c r="AB1" s="23" t="s">
        <v>249</v>
      </c>
      <c r="AC1" s="23" t="s">
        <v>250</v>
      </c>
      <c r="AD1" s="23" t="s">
        <v>251</v>
      </c>
      <c r="AE1" s="23" t="s">
        <v>252</v>
      </c>
      <c r="AF1" s="23" t="s">
        <v>253</v>
      </c>
      <c r="AG1" s="23" t="s">
        <v>254</v>
      </c>
      <c r="AH1" s="23" t="s">
        <v>255</v>
      </c>
      <c r="AI1" s="23" t="s">
        <v>256</v>
      </c>
      <c r="AJ1" s="23" t="s">
        <v>257</v>
      </c>
      <c r="AK1" s="23" t="s">
        <v>258</v>
      </c>
      <c r="AL1" s="23" t="s">
        <v>259</v>
      </c>
      <c r="AM1" s="23" t="s">
        <v>260</v>
      </c>
      <c r="AN1" s="23" t="s">
        <v>261</v>
      </c>
    </row>
    <row r="2" spans="1:40" ht="264" customHeight="1" x14ac:dyDescent="0.25">
      <c r="C2" s="23" t="s">
        <v>83</v>
      </c>
      <c r="D2" s="23" t="s">
        <v>148</v>
      </c>
      <c r="E2" s="23" t="s">
        <v>87</v>
      </c>
      <c r="F2" s="23" t="s">
        <v>88</v>
      </c>
      <c r="G2" s="23" t="s">
        <v>149</v>
      </c>
      <c r="H2" s="23" t="s">
        <v>150</v>
      </c>
      <c r="I2" s="23" t="s">
        <v>89</v>
      </c>
      <c r="J2" s="23" t="s">
        <v>151</v>
      </c>
      <c r="K2" s="23" t="s">
        <v>91</v>
      </c>
      <c r="L2" s="23" t="s">
        <v>93</v>
      </c>
      <c r="M2" s="23" t="s">
        <v>94</v>
      </c>
      <c r="N2" s="23" t="s">
        <v>95</v>
      </c>
      <c r="O2" s="23" t="s">
        <v>96</v>
      </c>
      <c r="P2" s="23" t="s">
        <v>97</v>
      </c>
      <c r="Q2" s="23" t="s">
        <v>98</v>
      </c>
      <c r="R2" s="23" t="s">
        <v>99</v>
      </c>
      <c r="S2" s="23" t="s">
        <v>100</v>
      </c>
      <c r="T2" s="23" t="s">
        <v>101</v>
      </c>
      <c r="U2" s="23" t="s">
        <v>102</v>
      </c>
      <c r="V2" s="23" t="s">
        <v>152</v>
      </c>
      <c r="W2" s="23" t="s">
        <v>153</v>
      </c>
      <c r="X2" s="23" t="s">
        <v>154</v>
      </c>
      <c r="Y2" s="23" t="s">
        <v>155</v>
      </c>
      <c r="Z2" s="23" t="s">
        <v>156</v>
      </c>
      <c r="AA2" s="23" t="s">
        <v>157</v>
      </c>
      <c r="AB2" s="23" t="s">
        <v>103</v>
      </c>
      <c r="AC2" s="23" t="s">
        <v>158</v>
      </c>
      <c r="AD2" s="23" t="s">
        <v>159</v>
      </c>
      <c r="AE2" s="23" t="s">
        <v>160</v>
      </c>
      <c r="AF2" s="23" t="s">
        <v>161</v>
      </c>
      <c r="AG2" s="23" t="s">
        <v>162</v>
      </c>
      <c r="AH2" s="23" t="s">
        <v>177</v>
      </c>
      <c r="AI2" s="23" t="s">
        <v>179</v>
      </c>
      <c r="AJ2" s="23" t="s">
        <v>136</v>
      </c>
      <c r="AK2" s="23" t="s">
        <v>137</v>
      </c>
      <c r="AL2" s="23" t="s">
        <v>138</v>
      </c>
      <c r="AM2" s="23" t="s">
        <v>139</v>
      </c>
      <c r="AN2" s="23" t="s">
        <v>140</v>
      </c>
    </row>
    <row r="3" spans="1:40" ht="53.25" customHeight="1" x14ac:dyDescent="0.25">
      <c r="C3" s="24">
        <v>20060001</v>
      </c>
      <c r="D3" s="24">
        <v>20060004</v>
      </c>
      <c r="E3" s="24">
        <v>20060010</v>
      </c>
      <c r="F3" s="24">
        <v>20060011</v>
      </c>
      <c r="G3" s="24">
        <v>20060012</v>
      </c>
      <c r="H3" s="24">
        <v>20060013</v>
      </c>
      <c r="I3" s="24">
        <v>20060015</v>
      </c>
      <c r="J3" s="24">
        <v>20060016</v>
      </c>
      <c r="K3" s="24">
        <v>20060027</v>
      </c>
      <c r="L3" s="24">
        <v>20070001</v>
      </c>
      <c r="M3" s="24">
        <v>20070002</v>
      </c>
      <c r="N3" s="24">
        <v>20070006</v>
      </c>
      <c r="O3" s="24">
        <v>20070007</v>
      </c>
      <c r="P3" s="24">
        <v>20070008</v>
      </c>
      <c r="Q3" s="24">
        <v>20090001</v>
      </c>
      <c r="R3" s="24">
        <v>20090002</v>
      </c>
      <c r="S3" s="24">
        <v>20090004</v>
      </c>
      <c r="T3" s="24">
        <v>20090005</v>
      </c>
      <c r="U3" s="24">
        <v>20090010</v>
      </c>
      <c r="V3" s="24">
        <v>20110002</v>
      </c>
      <c r="W3" s="24">
        <v>20110004</v>
      </c>
      <c r="X3" s="24">
        <v>20110007</v>
      </c>
      <c r="Y3" s="24">
        <v>20110008</v>
      </c>
      <c r="Z3" s="24">
        <v>20110010</v>
      </c>
      <c r="AA3" s="24">
        <v>20110013</v>
      </c>
      <c r="AB3" s="24">
        <v>20110022</v>
      </c>
      <c r="AC3" s="24">
        <v>20110023</v>
      </c>
      <c r="AD3" s="24">
        <v>20110024</v>
      </c>
      <c r="AE3" s="24">
        <v>20110025</v>
      </c>
      <c r="AF3" s="24">
        <v>20110026</v>
      </c>
      <c r="AG3" s="24">
        <v>20110027</v>
      </c>
      <c r="AH3" s="24">
        <v>20200073</v>
      </c>
      <c r="AI3" s="24">
        <v>20200075</v>
      </c>
      <c r="AJ3" s="24">
        <v>20220018</v>
      </c>
      <c r="AK3" s="24">
        <v>20220019</v>
      </c>
      <c r="AL3" s="24">
        <v>20220020</v>
      </c>
      <c r="AM3" s="24">
        <v>20220021</v>
      </c>
      <c r="AN3" s="24">
        <v>20220022</v>
      </c>
    </row>
    <row r="4" spans="1:40" x14ac:dyDescent="0.25">
      <c r="A4" s="2">
        <v>20060001</v>
      </c>
      <c r="B4" s="3" t="s">
        <v>83</v>
      </c>
      <c r="C4" s="5">
        <v>0</v>
      </c>
    </row>
    <row r="5" spans="1:40" x14ac:dyDescent="0.25">
      <c r="A5" s="2">
        <v>20060004</v>
      </c>
      <c r="B5" s="3" t="s">
        <v>148</v>
      </c>
      <c r="D5" s="5">
        <v>0</v>
      </c>
    </row>
    <row r="6" spans="1:40" x14ac:dyDescent="0.25">
      <c r="A6" s="2">
        <v>20060010</v>
      </c>
      <c r="B6" s="3" t="s">
        <v>87</v>
      </c>
      <c r="E6" s="5">
        <v>0</v>
      </c>
    </row>
    <row r="7" spans="1:40" x14ac:dyDescent="0.25">
      <c r="A7" s="2">
        <v>20060011</v>
      </c>
      <c r="B7" s="3" t="s">
        <v>88</v>
      </c>
      <c r="F7" s="5">
        <v>0</v>
      </c>
    </row>
    <row r="8" spans="1:40" x14ac:dyDescent="0.25">
      <c r="A8" s="2">
        <v>20060012</v>
      </c>
      <c r="B8" s="3" t="s">
        <v>149</v>
      </c>
      <c r="G8" s="5">
        <v>0</v>
      </c>
    </row>
    <row r="9" spans="1:40" x14ac:dyDescent="0.25">
      <c r="A9" s="2">
        <v>20060013</v>
      </c>
      <c r="B9" s="3" t="s">
        <v>150</v>
      </c>
      <c r="H9" s="5">
        <v>0</v>
      </c>
    </row>
    <row r="10" spans="1:40" x14ac:dyDescent="0.25">
      <c r="A10" s="2">
        <v>20060015</v>
      </c>
      <c r="B10" s="3" t="s">
        <v>89</v>
      </c>
      <c r="I10" s="5">
        <v>0</v>
      </c>
    </row>
    <row r="11" spans="1:40" x14ac:dyDescent="0.25">
      <c r="A11" s="2">
        <v>20060016</v>
      </c>
      <c r="B11" s="3" t="s">
        <v>151</v>
      </c>
      <c r="J11" s="5">
        <v>0</v>
      </c>
    </row>
    <row r="12" spans="1:40" x14ac:dyDescent="0.25">
      <c r="A12" s="2">
        <v>20060027</v>
      </c>
      <c r="B12" s="3" t="s">
        <v>91</v>
      </c>
      <c r="K12" s="5">
        <v>0</v>
      </c>
    </row>
    <row r="13" spans="1:40" x14ac:dyDescent="0.25">
      <c r="A13" s="2">
        <v>20070001</v>
      </c>
      <c r="B13" s="3" t="s">
        <v>93</v>
      </c>
      <c r="L13" s="5">
        <v>0</v>
      </c>
    </row>
    <row r="14" spans="1:40" x14ac:dyDescent="0.25">
      <c r="A14" s="2">
        <v>20070002</v>
      </c>
      <c r="B14" s="3" t="s">
        <v>94</v>
      </c>
      <c r="M14" s="5">
        <v>0</v>
      </c>
    </row>
    <row r="15" spans="1:40" x14ac:dyDescent="0.25">
      <c r="A15" s="2">
        <v>20070006</v>
      </c>
      <c r="B15" s="3" t="s">
        <v>95</v>
      </c>
      <c r="N15" s="5">
        <v>0</v>
      </c>
    </row>
    <row r="16" spans="1:40" x14ac:dyDescent="0.25">
      <c r="A16" s="2">
        <v>20070007</v>
      </c>
      <c r="B16" s="3" t="s">
        <v>96</v>
      </c>
      <c r="O16" s="5">
        <v>0</v>
      </c>
    </row>
    <row r="17" spans="1:31" x14ac:dyDescent="0.25">
      <c r="A17" s="2">
        <v>20070008</v>
      </c>
      <c r="B17" s="3" t="s">
        <v>97</v>
      </c>
      <c r="P17" s="5">
        <v>0</v>
      </c>
    </row>
    <row r="18" spans="1:31" x14ac:dyDescent="0.25">
      <c r="A18" s="2">
        <v>20090001</v>
      </c>
      <c r="B18" s="3" t="s">
        <v>98</v>
      </c>
      <c r="Q18" s="5">
        <v>0</v>
      </c>
    </row>
    <row r="19" spans="1:31" x14ac:dyDescent="0.25">
      <c r="A19" s="2">
        <v>20090002</v>
      </c>
      <c r="B19" s="3" t="s">
        <v>99</v>
      </c>
      <c r="R19" s="5">
        <v>0</v>
      </c>
    </row>
    <row r="20" spans="1:31" x14ac:dyDescent="0.25">
      <c r="A20" s="2">
        <v>20090004</v>
      </c>
      <c r="B20" s="3" t="s">
        <v>100</v>
      </c>
      <c r="S20" s="5">
        <v>0</v>
      </c>
    </row>
    <row r="21" spans="1:31" x14ac:dyDescent="0.25">
      <c r="A21" s="2">
        <v>20090005</v>
      </c>
      <c r="B21" s="3" t="s">
        <v>101</v>
      </c>
      <c r="T21" s="5">
        <v>0</v>
      </c>
    </row>
    <row r="22" spans="1:31" x14ac:dyDescent="0.25">
      <c r="A22" s="2">
        <v>20090010</v>
      </c>
      <c r="B22" s="3" t="s">
        <v>102</v>
      </c>
      <c r="U22" s="5">
        <v>0</v>
      </c>
    </row>
    <row r="23" spans="1:31" x14ac:dyDescent="0.25">
      <c r="A23" s="2">
        <v>20110002</v>
      </c>
      <c r="B23" s="3" t="s">
        <v>152</v>
      </c>
      <c r="V23" s="5">
        <v>0</v>
      </c>
    </row>
    <row r="24" spans="1:31" x14ac:dyDescent="0.25">
      <c r="A24" s="2">
        <v>20110004</v>
      </c>
      <c r="B24" s="3" t="s">
        <v>153</v>
      </c>
      <c r="W24" s="5">
        <v>0</v>
      </c>
    </row>
    <row r="25" spans="1:31" x14ac:dyDescent="0.25">
      <c r="A25" s="2">
        <v>20110007</v>
      </c>
      <c r="B25" s="3" t="s">
        <v>154</v>
      </c>
      <c r="X25" s="5">
        <v>0</v>
      </c>
    </row>
    <row r="26" spans="1:31" x14ac:dyDescent="0.25">
      <c r="A26" s="2">
        <v>20110008</v>
      </c>
      <c r="B26" s="3" t="s">
        <v>155</v>
      </c>
      <c r="Y26" s="5">
        <v>0</v>
      </c>
    </row>
    <row r="27" spans="1:31" x14ac:dyDescent="0.25">
      <c r="A27" s="2">
        <v>20110010</v>
      </c>
      <c r="B27" s="3" t="s">
        <v>156</v>
      </c>
      <c r="Z27" s="5">
        <v>0</v>
      </c>
    </row>
    <row r="28" spans="1:31" x14ac:dyDescent="0.25">
      <c r="A28" s="2">
        <v>20110013</v>
      </c>
      <c r="B28" s="3" t="s">
        <v>157</v>
      </c>
      <c r="AA28" s="5">
        <v>0</v>
      </c>
    </row>
    <row r="29" spans="1:31" x14ac:dyDescent="0.25">
      <c r="A29" s="2">
        <v>20110022</v>
      </c>
      <c r="B29" s="3" t="s">
        <v>103</v>
      </c>
      <c r="AB29" s="5">
        <v>0</v>
      </c>
    </row>
    <row r="30" spans="1:31" x14ac:dyDescent="0.25">
      <c r="A30" s="2">
        <v>20110023</v>
      </c>
      <c r="B30" s="3" t="s">
        <v>158</v>
      </c>
      <c r="AC30" s="5">
        <v>0</v>
      </c>
    </row>
    <row r="31" spans="1:31" x14ac:dyDescent="0.25">
      <c r="A31" s="2">
        <v>20110024</v>
      </c>
      <c r="B31" s="3" t="s">
        <v>159</v>
      </c>
      <c r="AD31" s="5">
        <v>0</v>
      </c>
    </row>
    <row r="32" spans="1:31" x14ac:dyDescent="0.25">
      <c r="A32" s="2">
        <v>20110025</v>
      </c>
      <c r="B32" s="3" t="s">
        <v>160</v>
      </c>
      <c r="AE32" s="5">
        <v>0</v>
      </c>
    </row>
    <row r="33" spans="1:40" x14ac:dyDescent="0.25">
      <c r="A33" s="2">
        <v>20110026</v>
      </c>
      <c r="B33" s="3" t="s">
        <v>161</v>
      </c>
      <c r="AF33" s="5">
        <v>0</v>
      </c>
    </row>
    <row r="34" spans="1:40" x14ac:dyDescent="0.25">
      <c r="A34" s="2">
        <v>20110027</v>
      </c>
      <c r="B34" s="3" t="s">
        <v>162</v>
      </c>
      <c r="AG34" s="5">
        <v>0</v>
      </c>
    </row>
    <row r="35" spans="1:40" x14ac:dyDescent="0.25">
      <c r="A35" s="2">
        <v>20200073</v>
      </c>
      <c r="B35" s="3" t="s">
        <v>177</v>
      </c>
      <c r="AH35" s="5">
        <v>0</v>
      </c>
    </row>
    <row r="36" spans="1:40" x14ac:dyDescent="0.25">
      <c r="A36" s="2">
        <v>20200075</v>
      </c>
      <c r="B36" s="3" t="s">
        <v>179</v>
      </c>
      <c r="AI36" s="5">
        <v>0</v>
      </c>
    </row>
    <row r="37" spans="1:40" x14ac:dyDescent="0.25">
      <c r="A37" s="2">
        <v>20220018</v>
      </c>
      <c r="B37" s="3" t="s">
        <v>136</v>
      </c>
      <c r="AJ37" s="5">
        <v>0</v>
      </c>
    </row>
    <row r="38" spans="1:40" x14ac:dyDescent="0.25">
      <c r="A38" s="2">
        <v>20220019</v>
      </c>
      <c r="B38" s="3" t="s">
        <v>137</v>
      </c>
      <c r="AK38" s="5">
        <v>0</v>
      </c>
    </row>
    <row r="39" spans="1:40" x14ac:dyDescent="0.25">
      <c r="A39" s="2">
        <v>20220020</v>
      </c>
      <c r="B39" s="3" t="s">
        <v>138</v>
      </c>
      <c r="AL39" s="5">
        <v>0</v>
      </c>
    </row>
    <row r="40" spans="1:40" x14ac:dyDescent="0.25">
      <c r="A40" s="2">
        <v>20220021</v>
      </c>
      <c r="B40" s="3" t="s">
        <v>139</v>
      </c>
      <c r="AM40" s="5">
        <v>0</v>
      </c>
    </row>
    <row r="41" spans="1:40" x14ac:dyDescent="0.25">
      <c r="A41" s="2">
        <v>20220022</v>
      </c>
      <c r="B41" s="3" t="s">
        <v>140</v>
      </c>
      <c r="AN41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BF5B-E064-4CDC-8EC1-2117329821E8}">
  <dimension ref="A1:H1782"/>
  <sheetViews>
    <sheetView workbookViewId="0"/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06'!B:B)-1</f>
        <v>38</v>
      </c>
      <c r="B1">
        <f>COUNTA('Linha 06'!2:2)</f>
        <v>38</v>
      </c>
      <c r="C1">
        <f>A1*B1</f>
        <v>1444</v>
      </c>
    </row>
    <row r="3" spans="1:8" x14ac:dyDescent="0.25">
      <c r="A3" cm="1">
        <f t="array" ref="A3:A1446">_xlfn.SEQUENCE($C$1)</f>
        <v>1</v>
      </c>
      <c r="B3">
        <f>INT((A3-1)/$B$1)+1</f>
        <v>1</v>
      </c>
      <c r="C3">
        <f>MOD(A3-1,$B$1)+1</f>
        <v>1</v>
      </c>
      <c r="D3" cm="1">
        <f t="array" ref="D3">INDEX('Linha 06'!$A$4:$A$1000,B3)</f>
        <v>20060001</v>
      </c>
      <c r="E3" t="str" cm="1">
        <f t="array" ref="E3">INDEX('Linha 06'!$B$4:$B$1000,B3)</f>
        <v>Limp Perf Aquafast Magia Seducao Cx/12 X 500ml</v>
      </c>
      <c r="F3" cm="1">
        <f t="array" ref="F3">INDEX('Linha 06'!$C$3:$ZZ$3,C3)</f>
        <v>20060001</v>
      </c>
      <c r="G3" t="str" cm="1">
        <f t="array" ref="G3">INDEX('Linha 06'!$C$2:$ZZ$2,C3)</f>
        <v>Limp Perf Aquafast Magia Seducao Cx/12 X 500ml</v>
      </c>
      <c r="H3" s="5" cm="1">
        <f t="array" ref="H3">INDEX('Linha 06'!$C$4:$ZZ$1000,B3,C3)</f>
        <v>0</v>
      </c>
    </row>
    <row r="4" spans="1:8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06'!$A$4:$A$1000,B4)</f>
        <v>20060001</v>
      </c>
      <c r="E4" t="str" cm="1">
        <f t="array" ref="E4">INDEX('Linha 06'!$B$4:$B$1000,B4)</f>
        <v>Limp Perf Aquafast Magia Seducao Cx/12 X 500ml</v>
      </c>
      <c r="F4" cm="1">
        <f t="array" ref="F4">INDEX('Linha 06'!$C$3:$ZZ$3,C4)</f>
        <v>20060004</v>
      </c>
      <c r="G4" t="str" cm="1">
        <f t="array" ref="G4">INDEX('Linha 06'!$C$2:$ZZ$2,C4)</f>
        <v>Limp Perf Aquafast Magia Seducao Cx/12 X 1l</v>
      </c>
      <c r="H4" s="5" cm="1">
        <f t="array" ref="H4">INDEX('Linha 06'!$C$4:$ZZ$1000,B4,C4)</f>
        <v>0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06'!$A$4:$A$1000,B5)</f>
        <v>20060001</v>
      </c>
      <c r="E5" t="str" cm="1">
        <f t="array" ref="E5">INDEX('Linha 06'!$B$4:$B$1000,B5)</f>
        <v>Limp Perf Aquafast Magia Seducao Cx/12 X 500ml</v>
      </c>
      <c r="F5" cm="1">
        <f t="array" ref="F5">INDEX('Linha 06'!$C$3:$ZZ$3,C5)</f>
        <v>20060010</v>
      </c>
      <c r="G5" t="str" cm="1">
        <f t="array" ref="G5">INDEX('Linha 06'!$C$2:$ZZ$2,C5)</f>
        <v>Limp Perf Aquafast Magia Da Infancia Cx/12 X 500ml</v>
      </c>
      <c r="H5" s="5" cm="1">
        <f t="array" ref="H5">INDEX('Linha 06'!$C$4:$ZZ$1000,B5,C5)</f>
        <v>0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06'!$A$4:$A$1000,B6)</f>
        <v>20060001</v>
      </c>
      <c r="E6" t="str" cm="1">
        <f t="array" ref="E6">INDEX('Linha 06'!$B$4:$B$1000,B6)</f>
        <v>Limp Perf Aquafast Magia Seducao Cx/12 X 500ml</v>
      </c>
      <c r="F6" cm="1">
        <f t="array" ref="F6">INDEX('Linha 06'!$C$3:$ZZ$3,C6)</f>
        <v>20060011</v>
      </c>
      <c r="G6" t="str" cm="1">
        <f t="array" ref="G6">INDEX('Linha 06'!$C$2:$ZZ$2,C6)</f>
        <v>Limp Perf Aquafast Frescor Da Manha Cx/12 X 500ml</v>
      </c>
      <c r="H6" s="5" cm="1">
        <f t="array" ref="H6">INDEX('Linha 06'!$C$4:$ZZ$1000,B6,C6)</f>
        <v>0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06'!$A$4:$A$1000,B7)</f>
        <v>20060001</v>
      </c>
      <c r="E7" t="str" cm="1">
        <f t="array" ref="E7">INDEX('Linha 06'!$B$4:$B$1000,B7)</f>
        <v>Limp Perf Aquafast Magia Seducao Cx/12 X 500ml</v>
      </c>
      <c r="F7" cm="1">
        <f t="array" ref="F7">INDEX('Linha 06'!$C$3:$ZZ$3,C7)</f>
        <v>20060012</v>
      </c>
      <c r="G7" t="str" cm="1">
        <f t="array" ref="G7">INDEX('Linha 06'!$C$2:$ZZ$2,C7)</f>
        <v>Limp Perf Aquafast Magia Da Infancia Cx/12 X 1l</v>
      </c>
      <c r="H7" s="5" cm="1">
        <f t="array" ref="H7">INDEX('Linha 06'!$C$4:$ZZ$1000,B7,C7)</f>
        <v>0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06'!$A$4:$A$1000,B8)</f>
        <v>20060001</v>
      </c>
      <c r="E8" t="str" cm="1">
        <f t="array" ref="E8">INDEX('Linha 06'!$B$4:$B$1000,B8)</f>
        <v>Limp Perf Aquafast Magia Seducao Cx/12 X 500ml</v>
      </c>
      <c r="F8" cm="1">
        <f t="array" ref="F8">INDEX('Linha 06'!$C$3:$ZZ$3,C8)</f>
        <v>20060013</v>
      </c>
      <c r="G8" t="str" cm="1">
        <f t="array" ref="G8">INDEX('Linha 06'!$C$2:$ZZ$2,C8)</f>
        <v>Limp Perf Aquafast Frescor Da Manha Cx/12 X 1l</v>
      </c>
      <c r="H8" s="5" cm="1">
        <f t="array" ref="H8">INDEX('Linha 06'!$C$4:$ZZ$1000,B8,C8)</f>
        <v>0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06'!$A$4:$A$1000,B9)</f>
        <v>20060001</v>
      </c>
      <c r="E9" t="str" cm="1">
        <f t="array" ref="E9">INDEX('Linha 06'!$B$4:$B$1000,B9)</f>
        <v>Limp Perf Aquafast Magia Seducao Cx/12 X 500ml</v>
      </c>
      <c r="F9" cm="1">
        <f t="array" ref="F9">INDEX('Linha 06'!$C$3:$ZZ$3,C9)</f>
        <v>20060015</v>
      </c>
      <c r="G9" t="str" cm="1">
        <f t="array" ref="G9">INDEX('Linha 06'!$C$2:$ZZ$2,C9)</f>
        <v>Limp Perf Aquafast Doce Romance Cx/12 X 500ml</v>
      </c>
      <c r="H9" s="5" cm="1">
        <f t="array" ref="H9">INDEX('Linha 06'!$C$4:$ZZ$1000,B9,C9)</f>
        <v>0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06'!$A$4:$A$1000,B10)</f>
        <v>20060001</v>
      </c>
      <c r="E10" t="str" cm="1">
        <f t="array" ref="E10">INDEX('Linha 06'!$B$4:$B$1000,B10)</f>
        <v>Limp Perf Aquafast Magia Seducao Cx/12 X 500ml</v>
      </c>
      <c r="F10" cm="1">
        <f t="array" ref="F10">INDEX('Linha 06'!$C$3:$ZZ$3,C10)</f>
        <v>20060016</v>
      </c>
      <c r="G10" t="str" cm="1">
        <f t="array" ref="G10">INDEX('Linha 06'!$C$2:$ZZ$2,C10)</f>
        <v>Limp Perf Aquafast Doce Romance Cx/12 X 1l</v>
      </c>
      <c r="H10" s="5" cm="1">
        <f t="array" ref="H10">INDEX('Linha 06'!$C$4:$ZZ$1000,B10,C10)</f>
        <v>0</v>
      </c>
    </row>
    <row r="11" spans="1:8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06'!$A$4:$A$1000,B11)</f>
        <v>20060001</v>
      </c>
      <c r="E11" t="str" cm="1">
        <f t="array" ref="E11">INDEX('Linha 06'!$B$4:$B$1000,B11)</f>
        <v>Limp Perf Aquafast Magia Seducao Cx/12 X 500ml</v>
      </c>
      <c r="F11" cm="1">
        <f t="array" ref="F11">INDEX('Linha 06'!$C$3:$ZZ$3,C11)</f>
        <v>20060027</v>
      </c>
      <c r="G11" t="str" cm="1">
        <f t="array" ref="G11">INDEX('Linha 06'!$C$2:$ZZ$2,C11)</f>
        <v>Limp Perf Aquafast Essencia Natural Cx/12 X 1l</v>
      </c>
      <c r="H11" s="5" cm="1">
        <f t="array" ref="H11">INDEX('Linha 06'!$C$4:$ZZ$1000,B11,C11)</f>
        <v>0</v>
      </c>
    </row>
    <row r="12" spans="1:8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06'!$A$4:$A$1000,B12)</f>
        <v>20060001</v>
      </c>
      <c r="E12" t="str" cm="1">
        <f t="array" ref="E12">INDEX('Linha 06'!$B$4:$B$1000,B12)</f>
        <v>Limp Perf Aquafast Magia Seducao Cx/12 X 500ml</v>
      </c>
      <c r="F12" cm="1">
        <f t="array" ref="F12">INDEX('Linha 06'!$C$3:$ZZ$3,C12)</f>
        <v>20070001</v>
      </c>
      <c r="G12" t="str" cm="1">
        <f t="array" ref="G12">INDEX('Linha 06'!$C$2:$ZZ$2,C12)</f>
        <v>Limpa Vidros Aquafast Pulverizador Cx/12 X 500ml</v>
      </c>
      <c r="H12" s="5" cm="1">
        <f t="array" ref="H12">INDEX('Linha 06'!$C$4:$ZZ$1000,B12,C12)</f>
        <v>0</v>
      </c>
    </row>
    <row r="13" spans="1:8" x14ac:dyDescent="0.25">
      <c r="A13">
        <v>11</v>
      </c>
      <c r="B13">
        <f t="shared" si="0"/>
        <v>1</v>
      </c>
      <c r="C13">
        <f t="shared" si="1"/>
        <v>11</v>
      </c>
      <c r="D13" cm="1">
        <f t="array" ref="D13">INDEX('Linha 06'!$A$4:$A$1000,B13)</f>
        <v>20060001</v>
      </c>
      <c r="E13" t="str" cm="1">
        <f t="array" ref="E13">INDEX('Linha 06'!$B$4:$B$1000,B13)</f>
        <v>Limp Perf Aquafast Magia Seducao Cx/12 X 500ml</v>
      </c>
      <c r="F13" cm="1">
        <f t="array" ref="F13">INDEX('Linha 06'!$C$3:$ZZ$3,C13)</f>
        <v>20070002</v>
      </c>
      <c r="G13" t="str" cm="1">
        <f t="array" ref="G13">INDEX('Linha 06'!$C$2:$ZZ$2,C13)</f>
        <v>Limpa Vidros Aquafast Recarga Cx/12 X 500ml</v>
      </c>
      <c r="H13" s="5" cm="1">
        <f t="array" ref="H13">INDEX('Linha 06'!$C$4:$ZZ$1000,B13,C13)</f>
        <v>0</v>
      </c>
    </row>
    <row r="14" spans="1:8" x14ac:dyDescent="0.25">
      <c r="A14">
        <v>12</v>
      </c>
      <c r="B14">
        <f t="shared" si="0"/>
        <v>1</v>
      </c>
      <c r="C14">
        <f t="shared" si="1"/>
        <v>12</v>
      </c>
      <c r="D14" cm="1">
        <f t="array" ref="D14">INDEX('Linha 06'!$A$4:$A$1000,B14)</f>
        <v>20060001</v>
      </c>
      <c r="E14" t="str" cm="1">
        <f t="array" ref="E14">INDEX('Linha 06'!$B$4:$B$1000,B14)</f>
        <v>Limp Perf Aquafast Magia Seducao Cx/12 X 500ml</v>
      </c>
      <c r="F14" cm="1">
        <f t="array" ref="F14">INDEX('Linha 06'!$C$3:$ZZ$3,C14)</f>
        <v>20070006</v>
      </c>
      <c r="G14" t="str" cm="1">
        <f t="array" ref="G14">INDEX('Linha 06'!$C$2:$ZZ$2,C14)</f>
        <v>Limpa Vidros Ito Pulverizador Cx/12 X 500ml</v>
      </c>
      <c r="H14" s="5" cm="1">
        <f t="array" ref="H14">INDEX('Linha 06'!$C$4:$ZZ$1000,B14,C14)</f>
        <v>0</v>
      </c>
    </row>
    <row r="15" spans="1:8" x14ac:dyDescent="0.25">
      <c r="A15">
        <v>13</v>
      </c>
      <c r="B15">
        <f t="shared" si="0"/>
        <v>1</v>
      </c>
      <c r="C15">
        <f t="shared" si="1"/>
        <v>13</v>
      </c>
      <c r="D15" cm="1">
        <f t="array" ref="D15">INDEX('Linha 06'!$A$4:$A$1000,B15)</f>
        <v>20060001</v>
      </c>
      <c r="E15" t="str" cm="1">
        <f t="array" ref="E15">INDEX('Linha 06'!$B$4:$B$1000,B15)</f>
        <v>Limp Perf Aquafast Magia Seducao Cx/12 X 500ml</v>
      </c>
      <c r="F15" cm="1">
        <f t="array" ref="F15">INDEX('Linha 06'!$C$3:$ZZ$3,C15)</f>
        <v>20070007</v>
      </c>
      <c r="G15" t="str" cm="1">
        <f t="array" ref="G15">INDEX('Linha 06'!$C$2:$ZZ$2,C15)</f>
        <v>Limpa Vidros Ito Recarga Cx/12 X 500ml</v>
      </c>
      <c r="H15" s="5" cm="1">
        <f t="array" ref="H15">INDEX('Linha 06'!$C$4:$ZZ$1000,B15,C15)</f>
        <v>0</v>
      </c>
    </row>
    <row r="16" spans="1:8" x14ac:dyDescent="0.25">
      <c r="A16">
        <v>14</v>
      </c>
      <c r="B16">
        <f t="shared" si="0"/>
        <v>1</v>
      </c>
      <c r="C16">
        <f t="shared" si="1"/>
        <v>14</v>
      </c>
      <c r="D16" cm="1">
        <f t="array" ref="D16">INDEX('Linha 06'!$A$4:$A$1000,B16)</f>
        <v>20060001</v>
      </c>
      <c r="E16" t="str" cm="1">
        <f t="array" ref="E16">INDEX('Linha 06'!$B$4:$B$1000,B16)</f>
        <v>Limp Perf Aquafast Magia Seducao Cx/12 X 500ml</v>
      </c>
      <c r="F16" cm="1">
        <f t="array" ref="F16">INDEX('Linha 06'!$C$3:$ZZ$3,C16)</f>
        <v>20070008</v>
      </c>
      <c r="G16" t="str" cm="1">
        <f t="array" ref="G16">INDEX('Linha 06'!$C$2:$ZZ$2,C16)</f>
        <v>Limpa Vidros Aquafast Squeeze Cx/12 X 500ml</v>
      </c>
      <c r="H16" s="5" cm="1">
        <f t="array" ref="H16">INDEX('Linha 06'!$C$4:$ZZ$1000,B16,C16)</f>
        <v>0</v>
      </c>
    </row>
    <row r="17" spans="1:8" x14ac:dyDescent="0.25">
      <c r="A17">
        <v>15</v>
      </c>
      <c r="B17">
        <f t="shared" si="0"/>
        <v>1</v>
      </c>
      <c r="C17">
        <f t="shared" si="1"/>
        <v>15</v>
      </c>
      <c r="D17" cm="1">
        <f t="array" ref="D17">INDEX('Linha 06'!$A$4:$A$1000,B17)</f>
        <v>20060001</v>
      </c>
      <c r="E17" t="str" cm="1">
        <f t="array" ref="E17">INDEX('Linha 06'!$B$4:$B$1000,B17)</f>
        <v>Limp Perf Aquafast Magia Seducao Cx/12 X 500ml</v>
      </c>
      <c r="F17" cm="1">
        <f t="array" ref="F17">INDEX('Linha 06'!$C$3:$ZZ$3,C17)</f>
        <v>20090001</v>
      </c>
      <c r="G17" t="str" cm="1">
        <f t="array" ref="G17">INDEX('Linha 06'!$C$2:$ZZ$2,C17)</f>
        <v>Desengordurante Aquafast Pulverizador Cx/12 X 500ml</v>
      </c>
      <c r="H17" s="5" cm="1">
        <f t="array" ref="H17">INDEX('Linha 06'!$C$4:$ZZ$1000,B17,C17)</f>
        <v>0</v>
      </c>
    </row>
    <row r="18" spans="1:8" x14ac:dyDescent="0.25">
      <c r="A18">
        <v>16</v>
      </c>
      <c r="B18">
        <f t="shared" si="0"/>
        <v>1</v>
      </c>
      <c r="C18">
        <f t="shared" si="1"/>
        <v>16</v>
      </c>
      <c r="D18" cm="1">
        <f t="array" ref="D18">INDEX('Linha 06'!$A$4:$A$1000,B18)</f>
        <v>20060001</v>
      </c>
      <c r="E18" t="str" cm="1">
        <f t="array" ref="E18">INDEX('Linha 06'!$B$4:$B$1000,B18)</f>
        <v>Limp Perf Aquafast Magia Seducao Cx/12 X 500ml</v>
      </c>
      <c r="F18" cm="1">
        <f t="array" ref="F18">INDEX('Linha 06'!$C$3:$ZZ$3,C18)</f>
        <v>20090002</v>
      </c>
      <c r="G18" t="str" cm="1">
        <f t="array" ref="G18">INDEX('Linha 06'!$C$2:$ZZ$2,C18)</f>
        <v>Desengordurante Aquafast Recarga Cx/12 X 500ml</v>
      </c>
      <c r="H18" s="5" cm="1">
        <f t="array" ref="H18">INDEX('Linha 06'!$C$4:$ZZ$1000,B18,C18)</f>
        <v>0</v>
      </c>
    </row>
    <row r="19" spans="1:8" x14ac:dyDescent="0.25">
      <c r="A19">
        <v>17</v>
      </c>
      <c r="B19">
        <f t="shared" si="0"/>
        <v>1</v>
      </c>
      <c r="C19">
        <f t="shared" si="1"/>
        <v>17</v>
      </c>
      <c r="D19" cm="1">
        <f t="array" ref="D19">INDEX('Linha 06'!$A$4:$A$1000,B19)</f>
        <v>20060001</v>
      </c>
      <c r="E19" t="str" cm="1">
        <f t="array" ref="E19">INDEX('Linha 06'!$B$4:$B$1000,B19)</f>
        <v>Limp Perf Aquafast Magia Seducao Cx/12 X 500ml</v>
      </c>
      <c r="F19" cm="1">
        <f t="array" ref="F19">INDEX('Linha 06'!$C$3:$ZZ$3,C19)</f>
        <v>20090004</v>
      </c>
      <c r="G19" t="str" cm="1">
        <f t="array" ref="G19">INDEX('Linha 06'!$C$2:$ZZ$2,C19)</f>
        <v>Desengordurante Aquafast Squeeze Cx C/12 X 500ml</v>
      </c>
      <c r="H19" s="5" cm="1">
        <f t="array" ref="H19">INDEX('Linha 06'!$C$4:$ZZ$1000,B19,C19)</f>
        <v>0</v>
      </c>
    </row>
    <row r="20" spans="1:8" x14ac:dyDescent="0.25">
      <c r="A20">
        <v>18</v>
      </c>
      <c r="B20">
        <f t="shared" si="0"/>
        <v>1</v>
      </c>
      <c r="C20">
        <f t="shared" si="1"/>
        <v>18</v>
      </c>
      <c r="D20" cm="1">
        <f t="array" ref="D20">INDEX('Linha 06'!$A$4:$A$1000,B20)</f>
        <v>20060001</v>
      </c>
      <c r="E20" t="str" cm="1">
        <f t="array" ref="E20">INDEX('Linha 06'!$B$4:$B$1000,B20)</f>
        <v>Limp Perf Aquafast Magia Seducao Cx/12 X 500ml</v>
      </c>
      <c r="F20" cm="1">
        <f t="array" ref="F20">INDEX('Linha 06'!$C$3:$ZZ$3,C20)</f>
        <v>20090005</v>
      </c>
      <c r="G20" t="str" cm="1">
        <f t="array" ref="G20">INDEX('Linha 06'!$C$2:$ZZ$2,C20)</f>
        <v>Desengordurante Aquafast Squeeze Cx C/12 X 1l</v>
      </c>
      <c r="H20" s="5" cm="1">
        <f t="array" ref="H20">INDEX('Linha 06'!$C$4:$ZZ$1000,B20,C20)</f>
        <v>0</v>
      </c>
    </row>
    <row r="21" spans="1:8" x14ac:dyDescent="0.25">
      <c r="A21">
        <v>19</v>
      </c>
      <c r="B21">
        <f t="shared" si="0"/>
        <v>1</v>
      </c>
      <c r="C21">
        <f t="shared" si="1"/>
        <v>19</v>
      </c>
      <c r="D21" cm="1">
        <f t="array" ref="D21">INDEX('Linha 06'!$A$4:$A$1000,B21)</f>
        <v>20060001</v>
      </c>
      <c r="E21" t="str" cm="1">
        <f t="array" ref="E21">INDEX('Linha 06'!$B$4:$B$1000,B21)</f>
        <v>Limp Perf Aquafast Magia Seducao Cx/12 X 500ml</v>
      </c>
      <c r="F21" cm="1">
        <f t="array" ref="F21">INDEX('Linha 06'!$C$3:$ZZ$3,C21)</f>
        <v>20090010</v>
      </c>
      <c r="G21" t="str" cm="1">
        <f t="array" ref="G21">INDEX('Linha 06'!$C$2:$ZZ$2,C21)</f>
        <v>Intermed Pack Desengord Squeeze Cx C/18 X 500ml</v>
      </c>
      <c r="H21" s="5" cm="1">
        <f t="array" ref="H21">INDEX('Linha 06'!$C$4:$ZZ$1000,B21,C21)</f>
        <v>0</v>
      </c>
    </row>
    <row r="22" spans="1:8" x14ac:dyDescent="0.25">
      <c r="A22">
        <v>20</v>
      </c>
      <c r="B22">
        <f t="shared" si="0"/>
        <v>1</v>
      </c>
      <c r="C22">
        <f t="shared" si="1"/>
        <v>20</v>
      </c>
      <c r="D22" cm="1">
        <f t="array" ref="D22">INDEX('Linha 06'!$A$4:$A$1000,B22)</f>
        <v>20060001</v>
      </c>
      <c r="E22" t="str" cm="1">
        <f t="array" ref="E22">INDEX('Linha 06'!$B$4:$B$1000,B22)</f>
        <v>Limp Perf Aquafast Magia Seducao Cx/12 X 500ml</v>
      </c>
      <c r="F22" cm="1">
        <f t="array" ref="F22">INDEX('Linha 06'!$C$3:$ZZ$3,C22)</f>
        <v>20110002</v>
      </c>
      <c r="G22" t="str" cm="1">
        <f t="array" ref="G22">INDEX('Linha 06'!$C$2:$ZZ$2,C22)</f>
        <v>Multi Uso Aquafast Squeeze Original Cx/12 X 500ml</v>
      </c>
      <c r="H22" s="5" cm="1">
        <f t="array" ref="H22">INDEX('Linha 06'!$C$4:$ZZ$1000,B22,C22)</f>
        <v>0</v>
      </c>
    </row>
    <row r="23" spans="1:8" x14ac:dyDescent="0.25">
      <c r="A23">
        <v>21</v>
      </c>
      <c r="B23">
        <f t="shared" si="0"/>
        <v>1</v>
      </c>
      <c r="C23">
        <f t="shared" si="1"/>
        <v>21</v>
      </c>
      <c r="D23" cm="1">
        <f t="array" ref="D23">INDEX('Linha 06'!$A$4:$A$1000,B23)</f>
        <v>20060001</v>
      </c>
      <c r="E23" t="str" cm="1">
        <f t="array" ref="E23">INDEX('Linha 06'!$B$4:$B$1000,B23)</f>
        <v>Limp Perf Aquafast Magia Seducao Cx/12 X 500ml</v>
      </c>
      <c r="F23" cm="1">
        <f t="array" ref="F23">INDEX('Linha 06'!$C$3:$ZZ$3,C23)</f>
        <v>20110004</v>
      </c>
      <c r="G23" t="str" cm="1">
        <f t="array" ref="G23">INDEX('Linha 06'!$C$2:$ZZ$2,C23)</f>
        <v>Multi Uso Aquafast Squeeze Lavanda Cx/12 X 500ml</v>
      </c>
      <c r="H23" s="5" cm="1">
        <f t="array" ref="H23">INDEX('Linha 06'!$C$4:$ZZ$1000,B23,C23)</f>
        <v>0</v>
      </c>
    </row>
    <row r="24" spans="1:8" x14ac:dyDescent="0.25">
      <c r="A24">
        <v>22</v>
      </c>
      <c r="B24">
        <f t="shared" si="0"/>
        <v>1</v>
      </c>
      <c r="C24">
        <f t="shared" si="1"/>
        <v>22</v>
      </c>
      <c r="D24" cm="1">
        <f t="array" ref="D24">INDEX('Linha 06'!$A$4:$A$1000,B24)</f>
        <v>20060001</v>
      </c>
      <c r="E24" t="str" cm="1">
        <f t="array" ref="E24">INDEX('Linha 06'!$B$4:$B$1000,B24)</f>
        <v>Limp Perf Aquafast Magia Seducao Cx/12 X 500ml</v>
      </c>
      <c r="F24" cm="1">
        <f t="array" ref="F24">INDEX('Linha 06'!$C$3:$ZZ$3,C24)</f>
        <v>20110007</v>
      </c>
      <c r="G24" t="str" cm="1">
        <f t="array" ref="G24">INDEX('Linha 06'!$C$2:$ZZ$2,C24)</f>
        <v>Multi Uso Aquafast Squeeze Seducao Cx/12 X 500ml</v>
      </c>
      <c r="H24" s="5" cm="1">
        <f t="array" ref="H24">INDEX('Linha 06'!$C$4:$ZZ$1000,B24,C24)</f>
        <v>0</v>
      </c>
    </row>
    <row r="25" spans="1:8" x14ac:dyDescent="0.25">
      <c r="A25">
        <v>23</v>
      </c>
      <c r="B25">
        <f t="shared" si="0"/>
        <v>1</v>
      </c>
      <c r="C25">
        <f t="shared" si="1"/>
        <v>23</v>
      </c>
      <c r="D25" cm="1">
        <f t="array" ref="D25">INDEX('Linha 06'!$A$4:$A$1000,B25)</f>
        <v>20060001</v>
      </c>
      <c r="E25" t="str" cm="1">
        <f t="array" ref="E25">INDEX('Linha 06'!$B$4:$B$1000,B25)</f>
        <v>Limp Perf Aquafast Magia Seducao Cx/12 X 500ml</v>
      </c>
      <c r="F25" cm="1">
        <f t="array" ref="F25">INDEX('Linha 06'!$C$3:$ZZ$3,C25)</f>
        <v>20110008</v>
      </c>
      <c r="G25" t="str" cm="1">
        <f t="array" ref="G25">INDEX('Linha 06'!$C$2:$ZZ$2,C25)</f>
        <v>Multi Uso Aquafast Squeeze Original Cx/12 X 1l</v>
      </c>
      <c r="H25" s="5" cm="1">
        <f t="array" ref="H25">INDEX('Linha 06'!$C$4:$ZZ$1000,B25,C25)</f>
        <v>0</v>
      </c>
    </row>
    <row r="26" spans="1:8" x14ac:dyDescent="0.25">
      <c r="A26">
        <v>24</v>
      </c>
      <c r="B26">
        <f t="shared" si="0"/>
        <v>1</v>
      </c>
      <c r="C26">
        <f t="shared" si="1"/>
        <v>24</v>
      </c>
      <c r="D26" cm="1">
        <f t="array" ref="D26">INDEX('Linha 06'!$A$4:$A$1000,B26)</f>
        <v>20060001</v>
      </c>
      <c r="E26" t="str" cm="1">
        <f t="array" ref="E26">INDEX('Linha 06'!$B$4:$B$1000,B26)</f>
        <v>Limp Perf Aquafast Magia Seducao Cx/12 X 500ml</v>
      </c>
      <c r="F26" cm="1">
        <f t="array" ref="F26">INDEX('Linha 06'!$C$3:$ZZ$3,C26)</f>
        <v>20110010</v>
      </c>
      <c r="G26" t="str" cm="1">
        <f t="array" ref="G26">INDEX('Linha 06'!$C$2:$ZZ$2,C26)</f>
        <v>Multi Uso Aquafast Squeeze Seducao Cx/12 1l</v>
      </c>
      <c r="H26" s="5" cm="1">
        <f t="array" ref="H26">INDEX('Linha 06'!$C$4:$ZZ$1000,B26,C26)</f>
        <v>0</v>
      </c>
    </row>
    <row r="27" spans="1:8" x14ac:dyDescent="0.25">
      <c r="A27">
        <v>25</v>
      </c>
      <c r="B27">
        <f t="shared" si="0"/>
        <v>1</v>
      </c>
      <c r="C27">
        <f t="shared" si="1"/>
        <v>25</v>
      </c>
      <c r="D27" cm="1">
        <f t="array" ref="D27">INDEX('Linha 06'!$A$4:$A$1000,B27)</f>
        <v>20060001</v>
      </c>
      <c r="E27" t="str" cm="1">
        <f t="array" ref="E27">INDEX('Linha 06'!$B$4:$B$1000,B27)</f>
        <v>Limp Perf Aquafast Magia Seducao Cx/12 X 500ml</v>
      </c>
      <c r="F27" cm="1">
        <f t="array" ref="F27">INDEX('Linha 06'!$C$3:$ZZ$3,C27)</f>
        <v>20110013</v>
      </c>
      <c r="G27" t="str" cm="1">
        <f t="array" ref="G27">INDEX('Linha 06'!$C$2:$ZZ$2,C27)</f>
        <v>Multi Uso Aquafast Squeeze Lavanda Cx/12 X 1l</v>
      </c>
      <c r="H27" s="5" cm="1">
        <f t="array" ref="H27">INDEX('Linha 06'!$C$4:$ZZ$1000,B27,C27)</f>
        <v>0</v>
      </c>
    </row>
    <row r="28" spans="1:8" x14ac:dyDescent="0.25">
      <c r="A28">
        <v>26</v>
      </c>
      <c r="B28">
        <f t="shared" si="0"/>
        <v>1</v>
      </c>
      <c r="C28">
        <f t="shared" si="1"/>
        <v>26</v>
      </c>
      <c r="D28" cm="1">
        <f t="array" ref="D28">INDEX('Linha 06'!$A$4:$A$1000,B28)</f>
        <v>20060001</v>
      </c>
      <c r="E28" t="str" cm="1">
        <f t="array" ref="E28">INDEX('Linha 06'!$B$4:$B$1000,B28)</f>
        <v>Limp Perf Aquafast Magia Seducao Cx/12 X 500ml</v>
      </c>
      <c r="F28" cm="1">
        <f t="array" ref="F28">INDEX('Linha 06'!$C$3:$ZZ$3,C28)</f>
        <v>20110022</v>
      </c>
      <c r="G28" t="str" cm="1">
        <f t="array" ref="G28">INDEX('Linha 06'!$C$2:$ZZ$2,C28)</f>
        <v>Intermed Pack Multi Uso Lavand C/Alcool Cx/18 X 500ml</v>
      </c>
      <c r="H28" s="5" cm="1">
        <f t="array" ref="H28">INDEX('Linha 06'!$C$4:$ZZ$1000,B28,C28)</f>
        <v>0</v>
      </c>
    </row>
    <row r="29" spans="1:8" x14ac:dyDescent="0.25">
      <c r="A29">
        <v>27</v>
      </c>
      <c r="B29">
        <f t="shared" si="0"/>
        <v>1</v>
      </c>
      <c r="C29">
        <f t="shared" si="1"/>
        <v>27</v>
      </c>
      <c r="D29" cm="1">
        <f t="array" ref="D29">INDEX('Linha 06'!$A$4:$A$1000,B29)</f>
        <v>20060001</v>
      </c>
      <c r="E29" t="str" cm="1">
        <f t="array" ref="E29">INDEX('Linha 06'!$B$4:$B$1000,B29)</f>
        <v>Limp Perf Aquafast Magia Seducao Cx/12 X 500ml</v>
      </c>
      <c r="F29" cm="1">
        <f t="array" ref="F29">INDEX('Linha 06'!$C$3:$ZZ$3,C29)</f>
        <v>20110023</v>
      </c>
      <c r="G29" t="str" cm="1">
        <f t="array" ref="G29">INDEX('Linha 06'!$C$2:$ZZ$2,C29)</f>
        <v>Multi Uso Aquafast Squeeze Cha Branco  Cx/12 X 500ml</v>
      </c>
      <c r="H29" s="5" cm="1">
        <f t="array" ref="H29">INDEX('Linha 06'!$C$4:$ZZ$1000,B29,C29)</f>
        <v>0</v>
      </c>
    </row>
    <row r="30" spans="1:8" x14ac:dyDescent="0.25">
      <c r="A30">
        <v>28</v>
      </c>
      <c r="B30">
        <f t="shared" si="0"/>
        <v>1</v>
      </c>
      <c r="C30">
        <f t="shared" si="1"/>
        <v>28</v>
      </c>
      <c r="D30" cm="1">
        <f t="array" ref="D30">INDEX('Linha 06'!$A$4:$A$1000,B30)</f>
        <v>20060001</v>
      </c>
      <c r="E30" t="str" cm="1">
        <f t="array" ref="E30">INDEX('Linha 06'!$B$4:$B$1000,B30)</f>
        <v>Limp Perf Aquafast Magia Seducao Cx/12 X 500ml</v>
      </c>
      <c r="F30" cm="1">
        <f t="array" ref="F30">INDEX('Linha 06'!$C$3:$ZZ$3,C30)</f>
        <v>20110024</v>
      </c>
      <c r="G30" t="str" cm="1">
        <f t="array" ref="G30">INDEX('Linha 06'!$C$2:$ZZ$2,C30)</f>
        <v>Multi Uso Aquafast Squeeze Cha Branco Cx12 X 1l</v>
      </c>
      <c r="H30" s="5" cm="1">
        <f t="array" ref="H30">INDEX('Linha 06'!$C$4:$ZZ$1000,B30,C30)</f>
        <v>0</v>
      </c>
    </row>
    <row r="31" spans="1:8" x14ac:dyDescent="0.25">
      <c r="A31">
        <v>29</v>
      </c>
      <c r="B31">
        <f t="shared" si="0"/>
        <v>1</v>
      </c>
      <c r="C31">
        <f t="shared" si="1"/>
        <v>29</v>
      </c>
      <c r="D31" cm="1">
        <f t="array" ref="D31">INDEX('Linha 06'!$A$4:$A$1000,B31)</f>
        <v>20060001</v>
      </c>
      <c r="E31" t="str" cm="1">
        <f t="array" ref="E31">INDEX('Linha 06'!$B$4:$B$1000,B31)</f>
        <v>Limp Perf Aquafast Magia Seducao Cx/12 X 500ml</v>
      </c>
      <c r="F31" cm="1">
        <f t="array" ref="F31">INDEX('Linha 06'!$C$3:$ZZ$3,C31)</f>
        <v>20110025</v>
      </c>
      <c r="G31" t="str" cm="1">
        <f t="array" ref="G31">INDEX('Linha 06'!$C$2:$ZZ$2,C31)</f>
        <v>Multi Uso Aquafast Pulverizador Original Cx/12 X 1l</v>
      </c>
      <c r="H31" s="5" cm="1">
        <f t="array" ref="H31">INDEX('Linha 06'!$C$4:$ZZ$1000,B31,C31)</f>
        <v>0</v>
      </c>
    </row>
    <row r="32" spans="1:8" x14ac:dyDescent="0.25">
      <c r="A32">
        <v>30</v>
      </c>
      <c r="B32">
        <f t="shared" si="0"/>
        <v>1</v>
      </c>
      <c r="C32">
        <f t="shared" si="1"/>
        <v>30</v>
      </c>
      <c r="D32" cm="1">
        <f t="array" ref="D32">INDEX('Linha 06'!$A$4:$A$1000,B32)</f>
        <v>20060001</v>
      </c>
      <c r="E32" t="str" cm="1">
        <f t="array" ref="E32">INDEX('Linha 06'!$B$4:$B$1000,B32)</f>
        <v>Limp Perf Aquafast Magia Seducao Cx/12 X 500ml</v>
      </c>
      <c r="F32" cm="1">
        <f t="array" ref="F32">INDEX('Linha 06'!$C$3:$ZZ$3,C32)</f>
        <v>20110026</v>
      </c>
      <c r="G32" t="str" cm="1">
        <f t="array" ref="G32">INDEX('Linha 06'!$C$2:$ZZ$2,C32)</f>
        <v>Multi Uso Aquafast Pulverizador Poder O2 Cx/12 X 1l</v>
      </c>
      <c r="H32" s="5" cm="1">
        <f t="array" ref="H32">INDEX('Linha 06'!$C$4:$ZZ$1000,B32,C32)</f>
        <v>0</v>
      </c>
    </row>
    <row r="33" spans="1:8" x14ac:dyDescent="0.25">
      <c r="A33">
        <v>31</v>
      </c>
      <c r="B33">
        <f t="shared" si="0"/>
        <v>1</v>
      </c>
      <c r="C33">
        <f t="shared" si="1"/>
        <v>31</v>
      </c>
      <c r="D33" cm="1">
        <f t="array" ref="D33">INDEX('Linha 06'!$A$4:$A$1000,B33)</f>
        <v>20060001</v>
      </c>
      <c r="E33" t="str" cm="1">
        <f t="array" ref="E33">INDEX('Linha 06'!$B$4:$B$1000,B33)</f>
        <v>Limp Perf Aquafast Magia Seducao Cx/12 X 500ml</v>
      </c>
      <c r="F33" cm="1">
        <f t="array" ref="F33">INDEX('Linha 06'!$C$3:$ZZ$3,C33)</f>
        <v>20110027</v>
      </c>
      <c r="G33" t="str" cm="1">
        <f t="array" ref="G33">INDEX('Linha 06'!$C$2:$ZZ$2,C33)</f>
        <v>Multi Uso Aquafast Pulverizador Poder O2 Cx/12 X 500ml</v>
      </c>
      <c r="H33" s="5" cm="1">
        <f t="array" ref="H33">INDEX('Linha 06'!$C$4:$ZZ$1000,B33,C33)</f>
        <v>0</v>
      </c>
    </row>
    <row r="34" spans="1:8" x14ac:dyDescent="0.25">
      <c r="A34">
        <v>32</v>
      </c>
      <c r="B34">
        <f t="shared" si="0"/>
        <v>1</v>
      </c>
      <c r="C34">
        <f t="shared" si="1"/>
        <v>32</v>
      </c>
      <c r="D34" cm="1">
        <f t="array" ref="D34">INDEX('Linha 06'!$A$4:$A$1000,B34)</f>
        <v>20060001</v>
      </c>
      <c r="E34" t="str" cm="1">
        <f t="array" ref="E34">INDEX('Linha 06'!$B$4:$B$1000,B34)</f>
        <v>Limp Perf Aquafast Magia Seducao Cx/12 X 500ml</v>
      </c>
      <c r="F34" cm="1">
        <f t="array" ref="F34">INDEX('Linha 06'!$C$3:$ZZ$3,C34)</f>
        <v>20200073</v>
      </c>
      <c r="G34" t="str" cm="1">
        <f t="array" ref="G34">INDEX('Linha 06'!$C$2:$ZZ$2,C34)</f>
        <v>Lava Roupas Aquafast Lavagem Rapida Total Clean Cx/9 X 1,5l</v>
      </c>
      <c r="H34" s="5" cm="1">
        <f t="array" ref="H34">INDEX('Linha 06'!$C$4:$ZZ$1000,B34,C34)</f>
        <v>0</v>
      </c>
    </row>
    <row r="35" spans="1:8" x14ac:dyDescent="0.25">
      <c r="A35">
        <v>33</v>
      </c>
      <c r="B35">
        <f t="shared" si="0"/>
        <v>1</v>
      </c>
      <c r="C35">
        <f t="shared" si="1"/>
        <v>33</v>
      </c>
      <c r="D35" cm="1">
        <f t="array" ref="D35">INDEX('Linha 06'!$A$4:$A$1000,B35)</f>
        <v>20060001</v>
      </c>
      <c r="E35" t="str" cm="1">
        <f t="array" ref="E35">INDEX('Linha 06'!$B$4:$B$1000,B35)</f>
        <v>Limp Perf Aquafast Magia Seducao Cx/12 X 500ml</v>
      </c>
      <c r="F35" cm="1">
        <f t="array" ref="F35">INDEX('Linha 06'!$C$3:$ZZ$3,C35)</f>
        <v>20200075</v>
      </c>
      <c r="G35" t="str" cm="1">
        <f t="array" ref="G35">INDEX('Linha 06'!$C$2:$ZZ$2,C35)</f>
        <v>Lava Roupas Aquafast Lavagem Rapida Fresh Clean Cx/9 X 1,5l</v>
      </c>
      <c r="H35" s="5" cm="1">
        <f t="array" ref="H35">INDEX('Linha 06'!$C$4:$ZZ$1000,B35,C35)</f>
        <v>0</v>
      </c>
    </row>
    <row r="36" spans="1:8" x14ac:dyDescent="0.25">
      <c r="A36">
        <v>34</v>
      </c>
      <c r="B36">
        <f t="shared" si="0"/>
        <v>1</v>
      </c>
      <c r="C36">
        <f t="shared" si="1"/>
        <v>34</v>
      </c>
      <c r="D36" cm="1">
        <f t="array" ref="D36">INDEX('Linha 06'!$A$4:$A$1000,B36)</f>
        <v>20060001</v>
      </c>
      <c r="E36" t="str" cm="1">
        <f t="array" ref="E36">INDEX('Linha 06'!$B$4:$B$1000,B36)</f>
        <v>Limp Perf Aquafast Magia Seducao Cx/12 X 500ml</v>
      </c>
      <c r="F36" cm="1">
        <f t="array" ref="F36">INDEX('Linha 06'!$C$3:$ZZ$3,C36)</f>
        <v>20220018</v>
      </c>
      <c r="G36" t="str" cm="1">
        <f t="array" ref="G36">INDEX('Linha 06'!$C$2:$ZZ$2,C36)</f>
        <v>Intermed. Aromat. Amoras E Baunilha Cx C/ 12un 250ml</v>
      </c>
      <c r="H36" s="5" cm="1">
        <f t="array" ref="H36">INDEX('Linha 06'!$C$4:$ZZ$1000,B36,C36)</f>
        <v>0</v>
      </c>
    </row>
    <row r="37" spans="1:8" x14ac:dyDescent="0.25">
      <c r="A37">
        <v>35</v>
      </c>
      <c r="B37">
        <f t="shared" si="0"/>
        <v>1</v>
      </c>
      <c r="C37">
        <f t="shared" si="1"/>
        <v>35</v>
      </c>
      <c r="D37" cm="1">
        <f t="array" ref="D37">INDEX('Linha 06'!$A$4:$A$1000,B37)</f>
        <v>20060001</v>
      </c>
      <c r="E37" t="str" cm="1">
        <f t="array" ref="E37">INDEX('Linha 06'!$B$4:$B$1000,B37)</f>
        <v>Limp Perf Aquafast Magia Seducao Cx/12 X 500ml</v>
      </c>
      <c r="F37" cm="1">
        <f t="array" ref="F37">INDEX('Linha 06'!$C$3:$ZZ$3,C37)</f>
        <v>20220019</v>
      </c>
      <c r="G37" t="str" cm="1">
        <f t="array" ref="G37">INDEX('Linha 06'!$C$2:$ZZ$2,C37)</f>
        <v>Intermed. Aromat. Figo E Cedro Cx C/ 12un 250ml</v>
      </c>
      <c r="H37" s="5" cm="1">
        <f t="array" ref="H37">INDEX('Linha 06'!$C$4:$ZZ$1000,B37,C37)</f>
        <v>0</v>
      </c>
    </row>
    <row r="38" spans="1:8" x14ac:dyDescent="0.25">
      <c r="A38">
        <v>36</v>
      </c>
      <c r="B38">
        <f t="shared" si="0"/>
        <v>1</v>
      </c>
      <c r="C38">
        <f t="shared" si="1"/>
        <v>36</v>
      </c>
      <c r="D38" cm="1">
        <f t="array" ref="D38">INDEX('Linha 06'!$A$4:$A$1000,B38)</f>
        <v>20060001</v>
      </c>
      <c r="E38" t="str" cm="1">
        <f t="array" ref="E38">INDEX('Linha 06'!$B$4:$B$1000,B38)</f>
        <v>Limp Perf Aquafast Magia Seducao Cx/12 X 500ml</v>
      </c>
      <c r="F38" cm="1">
        <f t="array" ref="F38">INDEX('Linha 06'!$C$3:$ZZ$3,C38)</f>
        <v>20220020</v>
      </c>
      <c r="G38" t="str" cm="1">
        <f t="array" ref="G38">INDEX('Linha 06'!$C$2:$ZZ$2,C38)</f>
        <v>Intermed. Aromat. Rosas E Magnolias Cx C/ 12un 250ml</v>
      </c>
      <c r="H38" s="5" cm="1">
        <f t="array" ref="H38">INDEX('Linha 06'!$C$4:$ZZ$1000,B38,C38)</f>
        <v>0</v>
      </c>
    </row>
    <row r="39" spans="1:8" x14ac:dyDescent="0.25">
      <c r="A39">
        <v>37</v>
      </c>
      <c r="B39">
        <f t="shared" si="0"/>
        <v>1</v>
      </c>
      <c r="C39">
        <f t="shared" si="1"/>
        <v>37</v>
      </c>
      <c r="D39" cm="1">
        <f t="array" ref="D39">INDEX('Linha 06'!$A$4:$A$1000,B39)</f>
        <v>20060001</v>
      </c>
      <c r="E39" t="str" cm="1">
        <f t="array" ref="E39">INDEX('Linha 06'!$B$4:$B$1000,B39)</f>
        <v>Limp Perf Aquafast Magia Seducao Cx/12 X 500ml</v>
      </c>
      <c r="F39" cm="1">
        <f t="array" ref="F39">INDEX('Linha 06'!$C$3:$ZZ$3,C39)</f>
        <v>20220021</v>
      </c>
      <c r="G39" t="str" cm="1">
        <f t="array" ref="G39">INDEX('Linha 06'!$C$2:$ZZ$2,C39)</f>
        <v>Intermed. Aromat. Flores Exoticas Cx C/ 12un 250ml</v>
      </c>
      <c r="H39" s="5" cm="1">
        <f t="array" ref="H39">INDEX('Linha 06'!$C$4:$ZZ$1000,B39,C39)</f>
        <v>0</v>
      </c>
    </row>
    <row r="40" spans="1:8" x14ac:dyDescent="0.25">
      <c r="A40">
        <v>38</v>
      </c>
      <c r="B40">
        <f t="shared" si="0"/>
        <v>1</v>
      </c>
      <c r="C40">
        <f t="shared" si="1"/>
        <v>38</v>
      </c>
      <c r="D40" cm="1">
        <f t="array" ref="D40">INDEX('Linha 06'!$A$4:$A$1000,B40)</f>
        <v>20060001</v>
      </c>
      <c r="E40" t="str" cm="1">
        <f t="array" ref="E40">INDEX('Linha 06'!$B$4:$B$1000,B40)</f>
        <v>Limp Perf Aquafast Magia Seducao Cx/12 X 500ml</v>
      </c>
      <c r="F40" cm="1">
        <f t="array" ref="F40">INDEX('Linha 06'!$C$3:$ZZ$3,C40)</f>
        <v>20220022</v>
      </c>
      <c r="G40" t="str" cm="1">
        <f t="array" ref="G40">INDEX('Linha 06'!$C$2:$ZZ$2,C40)</f>
        <v>Intermed. Aromat. Cha Verde E Grapef Cx C/ 12un 250ml</v>
      </c>
      <c r="H40" s="5" cm="1">
        <f t="array" ref="H40">INDEX('Linha 06'!$C$4:$ZZ$1000,B40,C40)</f>
        <v>0</v>
      </c>
    </row>
    <row r="41" spans="1:8" x14ac:dyDescent="0.25">
      <c r="A41">
        <v>39</v>
      </c>
      <c r="B41">
        <f t="shared" si="0"/>
        <v>2</v>
      </c>
      <c r="C41">
        <f t="shared" si="1"/>
        <v>1</v>
      </c>
      <c r="D41" cm="1">
        <f t="array" ref="D41">INDEX('Linha 06'!$A$4:$A$1000,B41)</f>
        <v>20060004</v>
      </c>
      <c r="E41" t="str" cm="1">
        <f t="array" ref="E41">INDEX('Linha 06'!$B$4:$B$1000,B41)</f>
        <v>Limp Perf Aquafast Magia Seducao Cx/12 X 1l</v>
      </c>
      <c r="F41" cm="1">
        <f t="array" ref="F41">INDEX('Linha 06'!$C$3:$ZZ$3,C41)</f>
        <v>20060001</v>
      </c>
      <c r="G41" t="str" cm="1">
        <f t="array" ref="G41">INDEX('Linha 06'!$C$2:$ZZ$2,C41)</f>
        <v>Limp Perf Aquafast Magia Seducao Cx/12 X 500ml</v>
      </c>
      <c r="H41" s="5" cm="1">
        <f t="array" ref="H41">INDEX('Linha 06'!$C$4:$ZZ$1000,B41,C41)</f>
        <v>0</v>
      </c>
    </row>
    <row r="42" spans="1:8" x14ac:dyDescent="0.25">
      <c r="A42">
        <v>40</v>
      </c>
      <c r="B42">
        <f t="shared" si="0"/>
        <v>2</v>
      </c>
      <c r="C42">
        <f t="shared" si="1"/>
        <v>2</v>
      </c>
      <c r="D42" cm="1">
        <f t="array" ref="D42">INDEX('Linha 06'!$A$4:$A$1000,B42)</f>
        <v>20060004</v>
      </c>
      <c r="E42" t="str" cm="1">
        <f t="array" ref="E42">INDEX('Linha 06'!$B$4:$B$1000,B42)</f>
        <v>Limp Perf Aquafast Magia Seducao Cx/12 X 1l</v>
      </c>
      <c r="F42" cm="1">
        <f t="array" ref="F42">INDEX('Linha 06'!$C$3:$ZZ$3,C42)</f>
        <v>20060004</v>
      </c>
      <c r="G42" t="str" cm="1">
        <f t="array" ref="G42">INDEX('Linha 06'!$C$2:$ZZ$2,C42)</f>
        <v>Limp Perf Aquafast Magia Seducao Cx/12 X 1l</v>
      </c>
      <c r="H42" s="5" cm="1">
        <f t="array" ref="H42">INDEX('Linha 06'!$C$4:$ZZ$1000,B42,C42)</f>
        <v>0</v>
      </c>
    </row>
    <row r="43" spans="1:8" x14ac:dyDescent="0.25">
      <c r="A43">
        <v>41</v>
      </c>
      <c r="B43">
        <f t="shared" si="0"/>
        <v>2</v>
      </c>
      <c r="C43">
        <f t="shared" si="1"/>
        <v>3</v>
      </c>
      <c r="D43" cm="1">
        <f t="array" ref="D43">INDEX('Linha 06'!$A$4:$A$1000,B43)</f>
        <v>20060004</v>
      </c>
      <c r="E43" t="str" cm="1">
        <f t="array" ref="E43">INDEX('Linha 06'!$B$4:$B$1000,B43)</f>
        <v>Limp Perf Aquafast Magia Seducao Cx/12 X 1l</v>
      </c>
      <c r="F43" cm="1">
        <f t="array" ref="F43">INDEX('Linha 06'!$C$3:$ZZ$3,C43)</f>
        <v>20060010</v>
      </c>
      <c r="G43" t="str" cm="1">
        <f t="array" ref="G43">INDEX('Linha 06'!$C$2:$ZZ$2,C43)</f>
        <v>Limp Perf Aquafast Magia Da Infancia Cx/12 X 500ml</v>
      </c>
      <c r="H43" s="5" cm="1">
        <f t="array" ref="H43">INDEX('Linha 06'!$C$4:$ZZ$1000,B43,C43)</f>
        <v>0</v>
      </c>
    </row>
    <row r="44" spans="1:8" x14ac:dyDescent="0.25">
      <c r="A44">
        <v>42</v>
      </c>
      <c r="B44">
        <f t="shared" si="0"/>
        <v>2</v>
      </c>
      <c r="C44">
        <f t="shared" si="1"/>
        <v>4</v>
      </c>
      <c r="D44" cm="1">
        <f t="array" ref="D44">INDEX('Linha 06'!$A$4:$A$1000,B44)</f>
        <v>20060004</v>
      </c>
      <c r="E44" t="str" cm="1">
        <f t="array" ref="E44">INDEX('Linha 06'!$B$4:$B$1000,B44)</f>
        <v>Limp Perf Aquafast Magia Seducao Cx/12 X 1l</v>
      </c>
      <c r="F44" cm="1">
        <f t="array" ref="F44">INDEX('Linha 06'!$C$3:$ZZ$3,C44)</f>
        <v>20060011</v>
      </c>
      <c r="G44" t="str" cm="1">
        <f t="array" ref="G44">INDEX('Linha 06'!$C$2:$ZZ$2,C44)</f>
        <v>Limp Perf Aquafast Frescor Da Manha Cx/12 X 500ml</v>
      </c>
      <c r="H44" s="5" cm="1">
        <f t="array" ref="H44">INDEX('Linha 06'!$C$4:$ZZ$1000,B44,C44)</f>
        <v>0</v>
      </c>
    </row>
    <row r="45" spans="1:8" x14ac:dyDescent="0.25">
      <c r="A45">
        <v>43</v>
      </c>
      <c r="B45">
        <f t="shared" si="0"/>
        <v>2</v>
      </c>
      <c r="C45">
        <f t="shared" si="1"/>
        <v>5</v>
      </c>
      <c r="D45" cm="1">
        <f t="array" ref="D45">INDEX('Linha 06'!$A$4:$A$1000,B45)</f>
        <v>20060004</v>
      </c>
      <c r="E45" t="str" cm="1">
        <f t="array" ref="E45">INDEX('Linha 06'!$B$4:$B$1000,B45)</f>
        <v>Limp Perf Aquafast Magia Seducao Cx/12 X 1l</v>
      </c>
      <c r="F45" cm="1">
        <f t="array" ref="F45">INDEX('Linha 06'!$C$3:$ZZ$3,C45)</f>
        <v>20060012</v>
      </c>
      <c r="G45" t="str" cm="1">
        <f t="array" ref="G45">INDEX('Linha 06'!$C$2:$ZZ$2,C45)</f>
        <v>Limp Perf Aquafast Magia Da Infancia Cx/12 X 1l</v>
      </c>
      <c r="H45" s="5" cm="1">
        <f t="array" ref="H45">INDEX('Linha 06'!$C$4:$ZZ$1000,B45,C45)</f>
        <v>0</v>
      </c>
    </row>
    <row r="46" spans="1:8" x14ac:dyDescent="0.25">
      <c r="A46">
        <v>44</v>
      </c>
      <c r="B46">
        <f t="shared" si="0"/>
        <v>2</v>
      </c>
      <c r="C46">
        <f t="shared" si="1"/>
        <v>6</v>
      </c>
      <c r="D46" cm="1">
        <f t="array" ref="D46">INDEX('Linha 06'!$A$4:$A$1000,B46)</f>
        <v>20060004</v>
      </c>
      <c r="E46" t="str" cm="1">
        <f t="array" ref="E46">INDEX('Linha 06'!$B$4:$B$1000,B46)</f>
        <v>Limp Perf Aquafast Magia Seducao Cx/12 X 1l</v>
      </c>
      <c r="F46" cm="1">
        <f t="array" ref="F46">INDEX('Linha 06'!$C$3:$ZZ$3,C46)</f>
        <v>20060013</v>
      </c>
      <c r="G46" t="str" cm="1">
        <f t="array" ref="G46">INDEX('Linha 06'!$C$2:$ZZ$2,C46)</f>
        <v>Limp Perf Aquafast Frescor Da Manha Cx/12 X 1l</v>
      </c>
      <c r="H46" s="5" cm="1">
        <f t="array" ref="H46">INDEX('Linha 06'!$C$4:$ZZ$1000,B46,C46)</f>
        <v>0</v>
      </c>
    </row>
    <row r="47" spans="1:8" x14ac:dyDescent="0.25">
      <c r="A47">
        <v>45</v>
      </c>
      <c r="B47">
        <f t="shared" si="0"/>
        <v>2</v>
      </c>
      <c r="C47">
        <f t="shared" si="1"/>
        <v>7</v>
      </c>
      <c r="D47" cm="1">
        <f t="array" ref="D47">INDEX('Linha 06'!$A$4:$A$1000,B47)</f>
        <v>20060004</v>
      </c>
      <c r="E47" t="str" cm="1">
        <f t="array" ref="E47">INDEX('Linha 06'!$B$4:$B$1000,B47)</f>
        <v>Limp Perf Aquafast Magia Seducao Cx/12 X 1l</v>
      </c>
      <c r="F47" cm="1">
        <f t="array" ref="F47">INDEX('Linha 06'!$C$3:$ZZ$3,C47)</f>
        <v>20060015</v>
      </c>
      <c r="G47" t="str" cm="1">
        <f t="array" ref="G47">INDEX('Linha 06'!$C$2:$ZZ$2,C47)</f>
        <v>Limp Perf Aquafast Doce Romance Cx/12 X 500ml</v>
      </c>
      <c r="H47" s="5" cm="1">
        <f t="array" ref="H47">INDEX('Linha 06'!$C$4:$ZZ$1000,B47,C47)</f>
        <v>0</v>
      </c>
    </row>
    <row r="48" spans="1:8" x14ac:dyDescent="0.25">
      <c r="A48">
        <v>46</v>
      </c>
      <c r="B48">
        <f t="shared" si="0"/>
        <v>2</v>
      </c>
      <c r="C48">
        <f t="shared" si="1"/>
        <v>8</v>
      </c>
      <c r="D48" cm="1">
        <f t="array" ref="D48">INDEX('Linha 06'!$A$4:$A$1000,B48)</f>
        <v>20060004</v>
      </c>
      <c r="E48" t="str" cm="1">
        <f t="array" ref="E48">INDEX('Linha 06'!$B$4:$B$1000,B48)</f>
        <v>Limp Perf Aquafast Magia Seducao Cx/12 X 1l</v>
      </c>
      <c r="F48" cm="1">
        <f t="array" ref="F48">INDEX('Linha 06'!$C$3:$ZZ$3,C48)</f>
        <v>20060016</v>
      </c>
      <c r="G48" t="str" cm="1">
        <f t="array" ref="G48">INDEX('Linha 06'!$C$2:$ZZ$2,C48)</f>
        <v>Limp Perf Aquafast Doce Romance Cx/12 X 1l</v>
      </c>
      <c r="H48" s="5" cm="1">
        <f t="array" ref="H48">INDEX('Linha 06'!$C$4:$ZZ$1000,B48,C48)</f>
        <v>0</v>
      </c>
    </row>
    <row r="49" spans="1:8" x14ac:dyDescent="0.25">
      <c r="A49">
        <v>47</v>
      </c>
      <c r="B49">
        <f t="shared" si="0"/>
        <v>2</v>
      </c>
      <c r="C49">
        <f t="shared" si="1"/>
        <v>9</v>
      </c>
      <c r="D49" cm="1">
        <f t="array" ref="D49">INDEX('Linha 06'!$A$4:$A$1000,B49)</f>
        <v>20060004</v>
      </c>
      <c r="E49" t="str" cm="1">
        <f t="array" ref="E49">INDEX('Linha 06'!$B$4:$B$1000,B49)</f>
        <v>Limp Perf Aquafast Magia Seducao Cx/12 X 1l</v>
      </c>
      <c r="F49" cm="1">
        <f t="array" ref="F49">INDEX('Linha 06'!$C$3:$ZZ$3,C49)</f>
        <v>20060027</v>
      </c>
      <c r="G49" t="str" cm="1">
        <f t="array" ref="G49">INDEX('Linha 06'!$C$2:$ZZ$2,C49)</f>
        <v>Limp Perf Aquafast Essencia Natural Cx/12 X 1l</v>
      </c>
      <c r="H49" s="5" cm="1">
        <f t="array" ref="H49">INDEX('Linha 06'!$C$4:$ZZ$1000,B49,C49)</f>
        <v>0</v>
      </c>
    </row>
    <row r="50" spans="1:8" x14ac:dyDescent="0.25">
      <c r="A50">
        <v>48</v>
      </c>
      <c r="B50">
        <f t="shared" si="0"/>
        <v>2</v>
      </c>
      <c r="C50">
        <f t="shared" si="1"/>
        <v>10</v>
      </c>
      <c r="D50" cm="1">
        <f t="array" ref="D50">INDEX('Linha 06'!$A$4:$A$1000,B50)</f>
        <v>20060004</v>
      </c>
      <c r="E50" t="str" cm="1">
        <f t="array" ref="E50">INDEX('Linha 06'!$B$4:$B$1000,B50)</f>
        <v>Limp Perf Aquafast Magia Seducao Cx/12 X 1l</v>
      </c>
      <c r="F50" cm="1">
        <f t="array" ref="F50">INDEX('Linha 06'!$C$3:$ZZ$3,C50)</f>
        <v>20070001</v>
      </c>
      <c r="G50" t="str" cm="1">
        <f t="array" ref="G50">INDEX('Linha 06'!$C$2:$ZZ$2,C50)</f>
        <v>Limpa Vidros Aquafast Pulverizador Cx/12 X 500ml</v>
      </c>
      <c r="H50" s="5" cm="1">
        <f t="array" ref="H50">INDEX('Linha 06'!$C$4:$ZZ$1000,B50,C50)</f>
        <v>0</v>
      </c>
    </row>
    <row r="51" spans="1:8" x14ac:dyDescent="0.25">
      <c r="A51">
        <v>49</v>
      </c>
      <c r="B51">
        <f t="shared" si="0"/>
        <v>2</v>
      </c>
      <c r="C51">
        <f t="shared" si="1"/>
        <v>11</v>
      </c>
      <c r="D51" cm="1">
        <f t="array" ref="D51">INDEX('Linha 06'!$A$4:$A$1000,B51)</f>
        <v>20060004</v>
      </c>
      <c r="E51" t="str" cm="1">
        <f t="array" ref="E51">INDEX('Linha 06'!$B$4:$B$1000,B51)</f>
        <v>Limp Perf Aquafast Magia Seducao Cx/12 X 1l</v>
      </c>
      <c r="F51" cm="1">
        <f t="array" ref="F51">INDEX('Linha 06'!$C$3:$ZZ$3,C51)</f>
        <v>20070002</v>
      </c>
      <c r="G51" t="str" cm="1">
        <f t="array" ref="G51">INDEX('Linha 06'!$C$2:$ZZ$2,C51)</f>
        <v>Limpa Vidros Aquafast Recarga Cx/12 X 500ml</v>
      </c>
      <c r="H51" s="5" cm="1">
        <f t="array" ref="H51">INDEX('Linha 06'!$C$4:$ZZ$1000,B51,C51)</f>
        <v>0</v>
      </c>
    </row>
    <row r="52" spans="1:8" x14ac:dyDescent="0.25">
      <c r="A52">
        <v>50</v>
      </c>
      <c r="B52">
        <f t="shared" si="0"/>
        <v>2</v>
      </c>
      <c r="C52">
        <f t="shared" si="1"/>
        <v>12</v>
      </c>
      <c r="D52" cm="1">
        <f t="array" ref="D52">INDEX('Linha 06'!$A$4:$A$1000,B52)</f>
        <v>20060004</v>
      </c>
      <c r="E52" t="str" cm="1">
        <f t="array" ref="E52">INDEX('Linha 06'!$B$4:$B$1000,B52)</f>
        <v>Limp Perf Aquafast Magia Seducao Cx/12 X 1l</v>
      </c>
      <c r="F52" cm="1">
        <f t="array" ref="F52">INDEX('Linha 06'!$C$3:$ZZ$3,C52)</f>
        <v>20070006</v>
      </c>
      <c r="G52" t="str" cm="1">
        <f t="array" ref="G52">INDEX('Linha 06'!$C$2:$ZZ$2,C52)</f>
        <v>Limpa Vidros Ito Pulverizador Cx/12 X 500ml</v>
      </c>
      <c r="H52" s="5" cm="1">
        <f t="array" ref="H52">INDEX('Linha 06'!$C$4:$ZZ$1000,B52,C52)</f>
        <v>0</v>
      </c>
    </row>
    <row r="53" spans="1:8" x14ac:dyDescent="0.25">
      <c r="A53">
        <v>51</v>
      </c>
      <c r="B53">
        <f t="shared" si="0"/>
        <v>2</v>
      </c>
      <c r="C53">
        <f t="shared" si="1"/>
        <v>13</v>
      </c>
      <c r="D53" cm="1">
        <f t="array" ref="D53">INDEX('Linha 06'!$A$4:$A$1000,B53)</f>
        <v>20060004</v>
      </c>
      <c r="E53" t="str" cm="1">
        <f t="array" ref="E53">INDEX('Linha 06'!$B$4:$B$1000,B53)</f>
        <v>Limp Perf Aquafast Magia Seducao Cx/12 X 1l</v>
      </c>
      <c r="F53" cm="1">
        <f t="array" ref="F53">INDEX('Linha 06'!$C$3:$ZZ$3,C53)</f>
        <v>20070007</v>
      </c>
      <c r="G53" t="str" cm="1">
        <f t="array" ref="G53">INDEX('Linha 06'!$C$2:$ZZ$2,C53)</f>
        <v>Limpa Vidros Ito Recarga Cx/12 X 500ml</v>
      </c>
      <c r="H53" s="5" cm="1">
        <f t="array" ref="H53">INDEX('Linha 06'!$C$4:$ZZ$1000,B53,C53)</f>
        <v>0</v>
      </c>
    </row>
    <row r="54" spans="1:8" x14ac:dyDescent="0.25">
      <c r="A54">
        <v>52</v>
      </c>
      <c r="B54">
        <f t="shared" si="0"/>
        <v>2</v>
      </c>
      <c r="C54">
        <f t="shared" si="1"/>
        <v>14</v>
      </c>
      <c r="D54" cm="1">
        <f t="array" ref="D54">INDEX('Linha 06'!$A$4:$A$1000,B54)</f>
        <v>20060004</v>
      </c>
      <c r="E54" t="str" cm="1">
        <f t="array" ref="E54">INDEX('Linha 06'!$B$4:$B$1000,B54)</f>
        <v>Limp Perf Aquafast Magia Seducao Cx/12 X 1l</v>
      </c>
      <c r="F54" cm="1">
        <f t="array" ref="F54">INDEX('Linha 06'!$C$3:$ZZ$3,C54)</f>
        <v>20070008</v>
      </c>
      <c r="G54" t="str" cm="1">
        <f t="array" ref="G54">INDEX('Linha 06'!$C$2:$ZZ$2,C54)</f>
        <v>Limpa Vidros Aquafast Squeeze Cx/12 X 500ml</v>
      </c>
      <c r="H54" s="5" cm="1">
        <f t="array" ref="H54">INDEX('Linha 06'!$C$4:$ZZ$1000,B54,C54)</f>
        <v>0</v>
      </c>
    </row>
    <row r="55" spans="1:8" x14ac:dyDescent="0.25">
      <c r="A55">
        <v>53</v>
      </c>
      <c r="B55">
        <f t="shared" si="0"/>
        <v>2</v>
      </c>
      <c r="C55">
        <f t="shared" si="1"/>
        <v>15</v>
      </c>
      <c r="D55" cm="1">
        <f t="array" ref="D55">INDEX('Linha 06'!$A$4:$A$1000,B55)</f>
        <v>20060004</v>
      </c>
      <c r="E55" t="str" cm="1">
        <f t="array" ref="E55">INDEX('Linha 06'!$B$4:$B$1000,B55)</f>
        <v>Limp Perf Aquafast Magia Seducao Cx/12 X 1l</v>
      </c>
      <c r="F55" cm="1">
        <f t="array" ref="F55">INDEX('Linha 06'!$C$3:$ZZ$3,C55)</f>
        <v>20090001</v>
      </c>
      <c r="G55" t="str" cm="1">
        <f t="array" ref="G55">INDEX('Linha 06'!$C$2:$ZZ$2,C55)</f>
        <v>Desengordurante Aquafast Pulverizador Cx/12 X 500ml</v>
      </c>
      <c r="H55" s="5" cm="1">
        <f t="array" ref="H55">INDEX('Linha 06'!$C$4:$ZZ$1000,B55,C55)</f>
        <v>0</v>
      </c>
    </row>
    <row r="56" spans="1:8" x14ac:dyDescent="0.25">
      <c r="A56">
        <v>54</v>
      </c>
      <c r="B56">
        <f t="shared" si="0"/>
        <v>2</v>
      </c>
      <c r="C56">
        <f t="shared" si="1"/>
        <v>16</v>
      </c>
      <c r="D56" cm="1">
        <f t="array" ref="D56">INDEX('Linha 06'!$A$4:$A$1000,B56)</f>
        <v>20060004</v>
      </c>
      <c r="E56" t="str" cm="1">
        <f t="array" ref="E56">INDEX('Linha 06'!$B$4:$B$1000,B56)</f>
        <v>Limp Perf Aquafast Magia Seducao Cx/12 X 1l</v>
      </c>
      <c r="F56" cm="1">
        <f t="array" ref="F56">INDEX('Linha 06'!$C$3:$ZZ$3,C56)</f>
        <v>20090002</v>
      </c>
      <c r="G56" t="str" cm="1">
        <f t="array" ref="G56">INDEX('Linha 06'!$C$2:$ZZ$2,C56)</f>
        <v>Desengordurante Aquafast Recarga Cx/12 X 500ml</v>
      </c>
      <c r="H56" s="5" cm="1">
        <f t="array" ref="H56">INDEX('Linha 06'!$C$4:$ZZ$1000,B56,C56)</f>
        <v>0</v>
      </c>
    </row>
    <row r="57" spans="1:8" x14ac:dyDescent="0.25">
      <c r="A57">
        <v>55</v>
      </c>
      <c r="B57">
        <f t="shared" si="0"/>
        <v>2</v>
      </c>
      <c r="C57">
        <f t="shared" si="1"/>
        <v>17</v>
      </c>
      <c r="D57" cm="1">
        <f t="array" ref="D57">INDEX('Linha 06'!$A$4:$A$1000,B57)</f>
        <v>20060004</v>
      </c>
      <c r="E57" t="str" cm="1">
        <f t="array" ref="E57">INDEX('Linha 06'!$B$4:$B$1000,B57)</f>
        <v>Limp Perf Aquafast Magia Seducao Cx/12 X 1l</v>
      </c>
      <c r="F57" cm="1">
        <f t="array" ref="F57">INDEX('Linha 06'!$C$3:$ZZ$3,C57)</f>
        <v>20090004</v>
      </c>
      <c r="G57" t="str" cm="1">
        <f t="array" ref="G57">INDEX('Linha 06'!$C$2:$ZZ$2,C57)</f>
        <v>Desengordurante Aquafast Squeeze Cx C/12 X 500ml</v>
      </c>
      <c r="H57" s="5" cm="1">
        <f t="array" ref="H57">INDEX('Linha 06'!$C$4:$ZZ$1000,B57,C57)</f>
        <v>0</v>
      </c>
    </row>
    <row r="58" spans="1:8" x14ac:dyDescent="0.25">
      <c r="A58">
        <v>56</v>
      </c>
      <c r="B58">
        <f t="shared" si="0"/>
        <v>2</v>
      </c>
      <c r="C58">
        <f t="shared" si="1"/>
        <v>18</v>
      </c>
      <c r="D58" cm="1">
        <f t="array" ref="D58">INDEX('Linha 06'!$A$4:$A$1000,B58)</f>
        <v>20060004</v>
      </c>
      <c r="E58" t="str" cm="1">
        <f t="array" ref="E58">INDEX('Linha 06'!$B$4:$B$1000,B58)</f>
        <v>Limp Perf Aquafast Magia Seducao Cx/12 X 1l</v>
      </c>
      <c r="F58" cm="1">
        <f t="array" ref="F58">INDEX('Linha 06'!$C$3:$ZZ$3,C58)</f>
        <v>20090005</v>
      </c>
      <c r="G58" t="str" cm="1">
        <f t="array" ref="G58">INDEX('Linha 06'!$C$2:$ZZ$2,C58)</f>
        <v>Desengordurante Aquafast Squeeze Cx C/12 X 1l</v>
      </c>
      <c r="H58" s="5" cm="1">
        <f t="array" ref="H58">INDEX('Linha 06'!$C$4:$ZZ$1000,B58,C58)</f>
        <v>0</v>
      </c>
    </row>
    <row r="59" spans="1:8" x14ac:dyDescent="0.25">
      <c r="A59">
        <v>57</v>
      </c>
      <c r="B59">
        <f t="shared" si="0"/>
        <v>2</v>
      </c>
      <c r="C59">
        <f t="shared" si="1"/>
        <v>19</v>
      </c>
      <c r="D59" cm="1">
        <f t="array" ref="D59">INDEX('Linha 06'!$A$4:$A$1000,B59)</f>
        <v>20060004</v>
      </c>
      <c r="E59" t="str" cm="1">
        <f t="array" ref="E59">INDEX('Linha 06'!$B$4:$B$1000,B59)</f>
        <v>Limp Perf Aquafast Magia Seducao Cx/12 X 1l</v>
      </c>
      <c r="F59" cm="1">
        <f t="array" ref="F59">INDEX('Linha 06'!$C$3:$ZZ$3,C59)</f>
        <v>20090010</v>
      </c>
      <c r="G59" t="str" cm="1">
        <f t="array" ref="G59">INDEX('Linha 06'!$C$2:$ZZ$2,C59)</f>
        <v>Intermed Pack Desengord Squeeze Cx C/18 X 500ml</v>
      </c>
      <c r="H59" s="5" cm="1">
        <f t="array" ref="H59">INDEX('Linha 06'!$C$4:$ZZ$1000,B59,C59)</f>
        <v>0</v>
      </c>
    </row>
    <row r="60" spans="1:8" x14ac:dyDescent="0.25">
      <c r="A60">
        <v>58</v>
      </c>
      <c r="B60">
        <f t="shared" si="0"/>
        <v>2</v>
      </c>
      <c r="C60">
        <f t="shared" si="1"/>
        <v>20</v>
      </c>
      <c r="D60" cm="1">
        <f t="array" ref="D60">INDEX('Linha 06'!$A$4:$A$1000,B60)</f>
        <v>20060004</v>
      </c>
      <c r="E60" t="str" cm="1">
        <f t="array" ref="E60">INDEX('Linha 06'!$B$4:$B$1000,B60)</f>
        <v>Limp Perf Aquafast Magia Seducao Cx/12 X 1l</v>
      </c>
      <c r="F60" cm="1">
        <f t="array" ref="F60">INDEX('Linha 06'!$C$3:$ZZ$3,C60)</f>
        <v>20110002</v>
      </c>
      <c r="G60" t="str" cm="1">
        <f t="array" ref="G60">INDEX('Linha 06'!$C$2:$ZZ$2,C60)</f>
        <v>Multi Uso Aquafast Squeeze Original Cx/12 X 500ml</v>
      </c>
      <c r="H60" s="5" cm="1">
        <f t="array" ref="H60">INDEX('Linha 06'!$C$4:$ZZ$1000,B60,C60)</f>
        <v>0</v>
      </c>
    </row>
    <row r="61" spans="1:8" x14ac:dyDescent="0.25">
      <c r="A61">
        <v>59</v>
      </c>
      <c r="B61">
        <f t="shared" si="0"/>
        <v>2</v>
      </c>
      <c r="C61">
        <f t="shared" si="1"/>
        <v>21</v>
      </c>
      <c r="D61" cm="1">
        <f t="array" ref="D61">INDEX('Linha 06'!$A$4:$A$1000,B61)</f>
        <v>20060004</v>
      </c>
      <c r="E61" t="str" cm="1">
        <f t="array" ref="E61">INDEX('Linha 06'!$B$4:$B$1000,B61)</f>
        <v>Limp Perf Aquafast Magia Seducao Cx/12 X 1l</v>
      </c>
      <c r="F61" cm="1">
        <f t="array" ref="F61">INDEX('Linha 06'!$C$3:$ZZ$3,C61)</f>
        <v>20110004</v>
      </c>
      <c r="G61" t="str" cm="1">
        <f t="array" ref="G61">INDEX('Linha 06'!$C$2:$ZZ$2,C61)</f>
        <v>Multi Uso Aquafast Squeeze Lavanda Cx/12 X 500ml</v>
      </c>
      <c r="H61" s="5" cm="1">
        <f t="array" ref="H61">INDEX('Linha 06'!$C$4:$ZZ$1000,B61,C61)</f>
        <v>0</v>
      </c>
    </row>
    <row r="62" spans="1:8" x14ac:dyDescent="0.25">
      <c r="A62">
        <v>60</v>
      </c>
      <c r="B62">
        <f t="shared" si="0"/>
        <v>2</v>
      </c>
      <c r="C62">
        <f t="shared" si="1"/>
        <v>22</v>
      </c>
      <c r="D62" cm="1">
        <f t="array" ref="D62">INDEX('Linha 06'!$A$4:$A$1000,B62)</f>
        <v>20060004</v>
      </c>
      <c r="E62" t="str" cm="1">
        <f t="array" ref="E62">INDEX('Linha 06'!$B$4:$B$1000,B62)</f>
        <v>Limp Perf Aquafast Magia Seducao Cx/12 X 1l</v>
      </c>
      <c r="F62" cm="1">
        <f t="array" ref="F62">INDEX('Linha 06'!$C$3:$ZZ$3,C62)</f>
        <v>20110007</v>
      </c>
      <c r="G62" t="str" cm="1">
        <f t="array" ref="G62">INDEX('Linha 06'!$C$2:$ZZ$2,C62)</f>
        <v>Multi Uso Aquafast Squeeze Seducao Cx/12 X 500ml</v>
      </c>
      <c r="H62" s="5" cm="1">
        <f t="array" ref="H62">INDEX('Linha 06'!$C$4:$ZZ$1000,B62,C62)</f>
        <v>0</v>
      </c>
    </row>
    <row r="63" spans="1:8" x14ac:dyDescent="0.25">
      <c r="A63">
        <v>61</v>
      </c>
      <c r="B63">
        <f t="shared" si="0"/>
        <v>2</v>
      </c>
      <c r="C63">
        <f t="shared" si="1"/>
        <v>23</v>
      </c>
      <c r="D63" cm="1">
        <f t="array" ref="D63">INDEX('Linha 06'!$A$4:$A$1000,B63)</f>
        <v>20060004</v>
      </c>
      <c r="E63" t="str" cm="1">
        <f t="array" ref="E63">INDEX('Linha 06'!$B$4:$B$1000,B63)</f>
        <v>Limp Perf Aquafast Magia Seducao Cx/12 X 1l</v>
      </c>
      <c r="F63" cm="1">
        <f t="array" ref="F63">INDEX('Linha 06'!$C$3:$ZZ$3,C63)</f>
        <v>20110008</v>
      </c>
      <c r="G63" t="str" cm="1">
        <f t="array" ref="G63">INDEX('Linha 06'!$C$2:$ZZ$2,C63)</f>
        <v>Multi Uso Aquafast Squeeze Original Cx/12 X 1l</v>
      </c>
      <c r="H63" s="5" cm="1">
        <f t="array" ref="H63">INDEX('Linha 06'!$C$4:$ZZ$1000,B63,C63)</f>
        <v>0</v>
      </c>
    </row>
    <row r="64" spans="1:8" x14ac:dyDescent="0.25">
      <c r="A64">
        <v>62</v>
      </c>
      <c r="B64">
        <f t="shared" si="0"/>
        <v>2</v>
      </c>
      <c r="C64">
        <f t="shared" si="1"/>
        <v>24</v>
      </c>
      <c r="D64" cm="1">
        <f t="array" ref="D64">INDEX('Linha 06'!$A$4:$A$1000,B64)</f>
        <v>20060004</v>
      </c>
      <c r="E64" t="str" cm="1">
        <f t="array" ref="E64">INDEX('Linha 06'!$B$4:$B$1000,B64)</f>
        <v>Limp Perf Aquafast Magia Seducao Cx/12 X 1l</v>
      </c>
      <c r="F64" cm="1">
        <f t="array" ref="F64">INDEX('Linha 06'!$C$3:$ZZ$3,C64)</f>
        <v>20110010</v>
      </c>
      <c r="G64" t="str" cm="1">
        <f t="array" ref="G64">INDEX('Linha 06'!$C$2:$ZZ$2,C64)</f>
        <v>Multi Uso Aquafast Squeeze Seducao Cx/12 1l</v>
      </c>
      <c r="H64" s="5" cm="1">
        <f t="array" ref="H64">INDEX('Linha 06'!$C$4:$ZZ$1000,B64,C64)</f>
        <v>0</v>
      </c>
    </row>
    <row r="65" spans="1:8" x14ac:dyDescent="0.25">
      <c r="A65">
        <v>63</v>
      </c>
      <c r="B65">
        <f t="shared" si="0"/>
        <v>2</v>
      </c>
      <c r="C65">
        <f t="shared" si="1"/>
        <v>25</v>
      </c>
      <c r="D65" cm="1">
        <f t="array" ref="D65">INDEX('Linha 06'!$A$4:$A$1000,B65)</f>
        <v>20060004</v>
      </c>
      <c r="E65" t="str" cm="1">
        <f t="array" ref="E65">INDEX('Linha 06'!$B$4:$B$1000,B65)</f>
        <v>Limp Perf Aquafast Magia Seducao Cx/12 X 1l</v>
      </c>
      <c r="F65" cm="1">
        <f t="array" ref="F65">INDEX('Linha 06'!$C$3:$ZZ$3,C65)</f>
        <v>20110013</v>
      </c>
      <c r="G65" t="str" cm="1">
        <f t="array" ref="G65">INDEX('Linha 06'!$C$2:$ZZ$2,C65)</f>
        <v>Multi Uso Aquafast Squeeze Lavanda Cx/12 X 1l</v>
      </c>
      <c r="H65" s="5" cm="1">
        <f t="array" ref="H65">INDEX('Linha 06'!$C$4:$ZZ$1000,B65,C65)</f>
        <v>0</v>
      </c>
    </row>
    <row r="66" spans="1:8" x14ac:dyDescent="0.25">
      <c r="A66">
        <v>64</v>
      </c>
      <c r="B66">
        <f t="shared" si="0"/>
        <v>2</v>
      </c>
      <c r="C66">
        <f t="shared" si="1"/>
        <v>26</v>
      </c>
      <c r="D66" cm="1">
        <f t="array" ref="D66">INDEX('Linha 06'!$A$4:$A$1000,B66)</f>
        <v>20060004</v>
      </c>
      <c r="E66" t="str" cm="1">
        <f t="array" ref="E66">INDEX('Linha 06'!$B$4:$B$1000,B66)</f>
        <v>Limp Perf Aquafast Magia Seducao Cx/12 X 1l</v>
      </c>
      <c r="F66" cm="1">
        <f t="array" ref="F66">INDEX('Linha 06'!$C$3:$ZZ$3,C66)</f>
        <v>20110022</v>
      </c>
      <c r="G66" t="str" cm="1">
        <f t="array" ref="G66">INDEX('Linha 06'!$C$2:$ZZ$2,C66)</f>
        <v>Intermed Pack Multi Uso Lavand C/Alcool Cx/18 X 500ml</v>
      </c>
      <c r="H66" s="5" cm="1">
        <f t="array" ref="H66">INDEX('Linha 06'!$C$4:$ZZ$1000,B66,C66)</f>
        <v>0</v>
      </c>
    </row>
    <row r="67" spans="1:8" x14ac:dyDescent="0.25">
      <c r="A67">
        <v>65</v>
      </c>
      <c r="B67">
        <f t="shared" si="0"/>
        <v>2</v>
      </c>
      <c r="C67">
        <f t="shared" si="1"/>
        <v>27</v>
      </c>
      <c r="D67" cm="1">
        <f t="array" ref="D67">INDEX('Linha 06'!$A$4:$A$1000,B67)</f>
        <v>20060004</v>
      </c>
      <c r="E67" t="str" cm="1">
        <f t="array" ref="E67">INDEX('Linha 06'!$B$4:$B$1000,B67)</f>
        <v>Limp Perf Aquafast Magia Seducao Cx/12 X 1l</v>
      </c>
      <c r="F67" cm="1">
        <f t="array" ref="F67">INDEX('Linha 06'!$C$3:$ZZ$3,C67)</f>
        <v>20110023</v>
      </c>
      <c r="G67" t="str" cm="1">
        <f t="array" ref="G67">INDEX('Linha 06'!$C$2:$ZZ$2,C67)</f>
        <v>Multi Uso Aquafast Squeeze Cha Branco  Cx/12 X 500ml</v>
      </c>
      <c r="H67" s="5" cm="1">
        <f t="array" ref="H67">INDEX('Linha 06'!$C$4:$ZZ$1000,B67,C67)</f>
        <v>0</v>
      </c>
    </row>
    <row r="68" spans="1:8" x14ac:dyDescent="0.25">
      <c r="A68">
        <v>66</v>
      </c>
      <c r="B68">
        <f t="shared" ref="B68:B131" si="2">INT((A68-1)/$B$1)+1</f>
        <v>2</v>
      </c>
      <c r="C68">
        <f t="shared" ref="C68:C131" si="3">MOD(A68-1,$B$1)+1</f>
        <v>28</v>
      </c>
      <c r="D68" cm="1">
        <f t="array" ref="D68">INDEX('Linha 06'!$A$4:$A$1000,B68)</f>
        <v>20060004</v>
      </c>
      <c r="E68" t="str" cm="1">
        <f t="array" ref="E68">INDEX('Linha 06'!$B$4:$B$1000,B68)</f>
        <v>Limp Perf Aquafast Magia Seducao Cx/12 X 1l</v>
      </c>
      <c r="F68" cm="1">
        <f t="array" ref="F68">INDEX('Linha 06'!$C$3:$ZZ$3,C68)</f>
        <v>20110024</v>
      </c>
      <c r="G68" t="str" cm="1">
        <f t="array" ref="G68">INDEX('Linha 06'!$C$2:$ZZ$2,C68)</f>
        <v>Multi Uso Aquafast Squeeze Cha Branco Cx12 X 1l</v>
      </c>
      <c r="H68" s="5" cm="1">
        <f t="array" ref="H68">INDEX('Linha 06'!$C$4:$ZZ$1000,B68,C68)</f>
        <v>0</v>
      </c>
    </row>
    <row r="69" spans="1:8" x14ac:dyDescent="0.25">
      <c r="A69">
        <v>67</v>
      </c>
      <c r="B69">
        <f t="shared" si="2"/>
        <v>2</v>
      </c>
      <c r="C69">
        <f t="shared" si="3"/>
        <v>29</v>
      </c>
      <c r="D69" cm="1">
        <f t="array" ref="D69">INDEX('Linha 06'!$A$4:$A$1000,B69)</f>
        <v>20060004</v>
      </c>
      <c r="E69" t="str" cm="1">
        <f t="array" ref="E69">INDEX('Linha 06'!$B$4:$B$1000,B69)</f>
        <v>Limp Perf Aquafast Magia Seducao Cx/12 X 1l</v>
      </c>
      <c r="F69" cm="1">
        <f t="array" ref="F69">INDEX('Linha 06'!$C$3:$ZZ$3,C69)</f>
        <v>20110025</v>
      </c>
      <c r="G69" t="str" cm="1">
        <f t="array" ref="G69">INDEX('Linha 06'!$C$2:$ZZ$2,C69)</f>
        <v>Multi Uso Aquafast Pulverizador Original Cx/12 X 1l</v>
      </c>
      <c r="H69" s="5" cm="1">
        <f t="array" ref="H69">INDEX('Linha 06'!$C$4:$ZZ$1000,B69,C69)</f>
        <v>0</v>
      </c>
    </row>
    <row r="70" spans="1:8" x14ac:dyDescent="0.25">
      <c r="A70">
        <v>68</v>
      </c>
      <c r="B70">
        <f t="shared" si="2"/>
        <v>2</v>
      </c>
      <c r="C70">
        <f t="shared" si="3"/>
        <v>30</v>
      </c>
      <c r="D70" cm="1">
        <f t="array" ref="D70">INDEX('Linha 06'!$A$4:$A$1000,B70)</f>
        <v>20060004</v>
      </c>
      <c r="E70" t="str" cm="1">
        <f t="array" ref="E70">INDEX('Linha 06'!$B$4:$B$1000,B70)</f>
        <v>Limp Perf Aquafast Magia Seducao Cx/12 X 1l</v>
      </c>
      <c r="F70" cm="1">
        <f t="array" ref="F70">INDEX('Linha 06'!$C$3:$ZZ$3,C70)</f>
        <v>20110026</v>
      </c>
      <c r="G70" t="str" cm="1">
        <f t="array" ref="G70">INDEX('Linha 06'!$C$2:$ZZ$2,C70)</f>
        <v>Multi Uso Aquafast Pulverizador Poder O2 Cx/12 X 1l</v>
      </c>
      <c r="H70" s="5" cm="1">
        <f t="array" ref="H70">INDEX('Linha 06'!$C$4:$ZZ$1000,B70,C70)</f>
        <v>0</v>
      </c>
    </row>
    <row r="71" spans="1:8" x14ac:dyDescent="0.25">
      <c r="A71">
        <v>69</v>
      </c>
      <c r="B71">
        <f t="shared" si="2"/>
        <v>2</v>
      </c>
      <c r="C71">
        <f t="shared" si="3"/>
        <v>31</v>
      </c>
      <c r="D71" cm="1">
        <f t="array" ref="D71">INDEX('Linha 06'!$A$4:$A$1000,B71)</f>
        <v>20060004</v>
      </c>
      <c r="E71" t="str" cm="1">
        <f t="array" ref="E71">INDEX('Linha 06'!$B$4:$B$1000,B71)</f>
        <v>Limp Perf Aquafast Magia Seducao Cx/12 X 1l</v>
      </c>
      <c r="F71" cm="1">
        <f t="array" ref="F71">INDEX('Linha 06'!$C$3:$ZZ$3,C71)</f>
        <v>20110027</v>
      </c>
      <c r="G71" t="str" cm="1">
        <f t="array" ref="G71">INDEX('Linha 06'!$C$2:$ZZ$2,C71)</f>
        <v>Multi Uso Aquafast Pulverizador Poder O2 Cx/12 X 500ml</v>
      </c>
      <c r="H71" s="5" cm="1">
        <f t="array" ref="H71">INDEX('Linha 06'!$C$4:$ZZ$1000,B71,C71)</f>
        <v>0</v>
      </c>
    </row>
    <row r="72" spans="1:8" x14ac:dyDescent="0.25">
      <c r="A72">
        <v>70</v>
      </c>
      <c r="B72">
        <f t="shared" si="2"/>
        <v>2</v>
      </c>
      <c r="C72">
        <f t="shared" si="3"/>
        <v>32</v>
      </c>
      <c r="D72" cm="1">
        <f t="array" ref="D72">INDEX('Linha 06'!$A$4:$A$1000,B72)</f>
        <v>20060004</v>
      </c>
      <c r="E72" t="str" cm="1">
        <f t="array" ref="E72">INDEX('Linha 06'!$B$4:$B$1000,B72)</f>
        <v>Limp Perf Aquafast Magia Seducao Cx/12 X 1l</v>
      </c>
      <c r="F72" cm="1">
        <f t="array" ref="F72">INDEX('Linha 06'!$C$3:$ZZ$3,C72)</f>
        <v>20200073</v>
      </c>
      <c r="G72" t="str" cm="1">
        <f t="array" ref="G72">INDEX('Linha 06'!$C$2:$ZZ$2,C72)</f>
        <v>Lava Roupas Aquafast Lavagem Rapida Total Clean Cx/9 X 1,5l</v>
      </c>
      <c r="H72" s="5" cm="1">
        <f t="array" ref="H72">INDEX('Linha 06'!$C$4:$ZZ$1000,B72,C72)</f>
        <v>0</v>
      </c>
    </row>
    <row r="73" spans="1:8" x14ac:dyDescent="0.25">
      <c r="A73">
        <v>71</v>
      </c>
      <c r="B73">
        <f t="shared" si="2"/>
        <v>2</v>
      </c>
      <c r="C73">
        <f t="shared" si="3"/>
        <v>33</v>
      </c>
      <c r="D73" cm="1">
        <f t="array" ref="D73">INDEX('Linha 06'!$A$4:$A$1000,B73)</f>
        <v>20060004</v>
      </c>
      <c r="E73" t="str" cm="1">
        <f t="array" ref="E73">INDEX('Linha 06'!$B$4:$B$1000,B73)</f>
        <v>Limp Perf Aquafast Magia Seducao Cx/12 X 1l</v>
      </c>
      <c r="F73" cm="1">
        <f t="array" ref="F73">INDEX('Linha 06'!$C$3:$ZZ$3,C73)</f>
        <v>20200075</v>
      </c>
      <c r="G73" t="str" cm="1">
        <f t="array" ref="G73">INDEX('Linha 06'!$C$2:$ZZ$2,C73)</f>
        <v>Lava Roupas Aquafast Lavagem Rapida Fresh Clean Cx/9 X 1,5l</v>
      </c>
      <c r="H73" s="5" cm="1">
        <f t="array" ref="H73">INDEX('Linha 06'!$C$4:$ZZ$1000,B73,C73)</f>
        <v>0</v>
      </c>
    </row>
    <row r="74" spans="1:8" x14ac:dyDescent="0.25">
      <c r="A74">
        <v>72</v>
      </c>
      <c r="B74">
        <f t="shared" si="2"/>
        <v>2</v>
      </c>
      <c r="C74">
        <f t="shared" si="3"/>
        <v>34</v>
      </c>
      <c r="D74" cm="1">
        <f t="array" ref="D74">INDEX('Linha 06'!$A$4:$A$1000,B74)</f>
        <v>20060004</v>
      </c>
      <c r="E74" t="str" cm="1">
        <f t="array" ref="E74">INDEX('Linha 06'!$B$4:$B$1000,B74)</f>
        <v>Limp Perf Aquafast Magia Seducao Cx/12 X 1l</v>
      </c>
      <c r="F74" cm="1">
        <f t="array" ref="F74">INDEX('Linha 06'!$C$3:$ZZ$3,C74)</f>
        <v>20220018</v>
      </c>
      <c r="G74" t="str" cm="1">
        <f t="array" ref="G74">INDEX('Linha 06'!$C$2:$ZZ$2,C74)</f>
        <v>Intermed. Aromat. Amoras E Baunilha Cx C/ 12un 250ml</v>
      </c>
      <c r="H74" s="5" cm="1">
        <f t="array" ref="H74">INDEX('Linha 06'!$C$4:$ZZ$1000,B74,C74)</f>
        <v>0</v>
      </c>
    </row>
    <row r="75" spans="1:8" x14ac:dyDescent="0.25">
      <c r="A75">
        <v>73</v>
      </c>
      <c r="B75">
        <f t="shared" si="2"/>
        <v>2</v>
      </c>
      <c r="C75">
        <f t="shared" si="3"/>
        <v>35</v>
      </c>
      <c r="D75" cm="1">
        <f t="array" ref="D75">INDEX('Linha 06'!$A$4:$A$1000,B75)</f>
        <v>20060004</v>
      </c>
      <c r="E75" t="str" cm="1">
        <f t="array" ref="E75">INDEX('Linha 06'!$B$4:$B$1000,B75)</f>
        <v>Limp Perf Aquafast Magia Seducao Cx/12 X 1l</v>
      </c>
      <c r="F75" cm="1">
        <f t="array" ref="F75">INDEX('Linha 06'!$C$3:$ZZ$3,C75)</f>
        <v>20220019</v>
      </c>
      <c r="G75" t="str" cm="1">
        <f t="array" ref="G75">INDEX('Linha 06'!$C$2:$ZZ$2,C75)</f>
        <v>Intermed. Aromat. Figo E Cedro Cx C/ 12un 250ml</v>
      </c>
      <c r="H75" s="5" cm="1">
        <f t="array" ref="H75">INDEX('Linha 06'!$C$4:$ZZ$1000,B75,C75)</f>
        <v>0</v>
      </c>
    </row>
    <row r="76" spans="1:8" x14ac:dyDescent="0.25">
      <c r="A76">
        <v>74</v>
      </c>
      <c r="B76">
        <f t="shared" si="2"/>
        <v>2</v>
      </c>
      <c r="C76">
        <f t="shared" si="3"/>
        <v>36</v>
      </c>
      <c r="D76" cm="1">
        <f t="array" ref="D76">INDEX('Linha 06'!$A$4:$A$1000,B76)</f>
        <v>20060004</v>
      </c>
      <c r="E76" t="str" cm="1">
        <f t="array" ref="E76">INDEX('Linha 06'!$B$4:$B$1000,B76)</f>
        <v>Limp Perf Aquafast Magia Seducao Cx/12 X 1l</v>
      </c>
      <c r="F76" cm="1">
        <f t="array" ref="F76">INDEX('Linha 06'!$C$3:$ZZ$3,C76)</f>
        <v>20220020</v>
      </c>
      <c r="G76" t="str" cm="1">
        <f t="array" ref="G76">INDEX('Linha 06'!$C$2:$ZZ$2,C76)</f>
        <v>Intermed. Aromat. Rosas E Magnolias Cx C/ 12un 250ml</v>
      </c>
      <c r="H76" s="5" cm="1">
        <f t="array" ref="H76">INDEX('Linha 06'!$C$4:$ZZ$1000,B76,C76)</f>
        <v>0</v>
      </c>
    </row>
    <row r="77" spans="1:8" x14ac:dyDescent="0.25">
      <c r="A77">
        <v>75</v>
      </c>
      <c r="B77">
        <f t="shared" si="2"/>
        <v>2</v>
      </c>
      <c r="C77">
        <f t="shared" si="3"/>
        <v>37</v>
      </c>
      <c r="D77" cm="1">
        <f t="array" ref="D77">INDEX('Linha 06'!$A$4:$A$1000,B77)</f>
        <v>20060004</v>
      </c>
      <c r="E77" t="str" cm="1">
        <f t="array" ref="E77">INDEX('Linha 06'!$B$4:$B$1000,B77)</f>
        <v>Limp Perf Aquafast Magia Seducao Cx/12 X 1l</v>
      </c>
      <c r="F77" cm="1">
        <f t="array" ref="F77">INDEX('Linha 06'!$C$3:$ZZ$3,C77)</f>
        <v>20220021</v>
      </c>
      <c r="G77" t="str" cm="1">
        <f t="array" ref="G77">INDEX('Linha 06'!$C$2:$ZZ$2,C77)</f>
        <v>Intermed. Aromat. Flores Exoticas Cx C/ 12un 250ml</v>
      </c>
      <c r="H77" s="5" cm="1">
        <f t="array" ref="H77">INDEX('Linha 06'!$C$4:$ZZ$1000,B77,C77)</f>
        <v>0</v>
      </c>
    </row>
    <row r="78" spans="1:8" x14ac:dyDescent="0.25">
      <c r="A78">
        <v>76</v>
      </c>
      <c r="B78">
        <f t="shared" si="2"/>
        <v>2</v>
      </c>
      <c r="C78">
        <f t="shared" si="3"/>
        <v>38</v>
      </c>
      <c r="D78" cm="1">
        <f t="array" ref="D78">INDEX('Linha 06'!$A$4:$A$1000,B78)</f>
        <v>20060004</v>
      </c>
      <c r="E78" t="str" cm="1">
        <f t="array" ref="E78">INDEX('Linha 06'!$B$4:$B$1000,B78)</f>
        <v>Limp Perf Aquafast Magia Seducao Cx/12 X 1l</v>
      </c>
      <c r="F78" cm="1">
        <f t="array" ref="F78">INDEX('Linha 06'!$C$3:$ZZ$3,C78)</f>
        <v>20220022</v>
      </c>
      <c r="G78" t="str" cm="1">
        <f t="array" ref="G78">INDEX('Linha 06'!$C$2:$ZZ$2,C78)</f>
        <v>Intermed. Aromat. Cha Verde E Grapef Cx C/ 12un 250ml</v>
      </c>
      <c r="H78" s="5" cm="1">
        <f t="array" ref="H78">INDEX('Linha 06'!$C$4:$ZZ$1000,B78,C78)</f>
        <v>0</v>
      </c>
    </row>
    <row r="79" spans="1:8" x14ac:dyDescent="0.25">
      <c r="A79">
        <v>77</v>
      </c>
      <c r="B79">
        <f t="shared" si="2"/>
        <v>3</v>
      </c>
      <c r="C79">
        <f t="shared" si="3"/>
        <v>1</v>
      </c>
      <c r="D79" cm="1">
        <f t="array" ref="D79">INDEX('Linha 06'!$A$4:$A$1000,B79)</f>
        <v>20060010</v>
      </c>
      <c r="E79" t="str" cm="1">
        <f t="array" ref="E79">INDEX('Linha 06'!$B$4:$B$1000,B79)</f>
        <v>Limp Perf Aquafast Magia Da Infancia Cx/12 X 500ml</v>
      </c>
      <c r="F79" cm="1">
        <f t="array" ref="F79">INDEX('Linha 06'!$C$3:$ZZ$3,C79)</f>
        <v>20060001</v>
      </c>
      <c r="G79" t="str" cm="1">
        <f t="array" ref="G79">INDEX('Linha 06'!$C$2:$ZZ$2,C79)</f>
        <v>Limp Perf Aquafast Magia Seducao Cx/12 X 500ml</v>
      </c>
      <c r="H79" s="5" cm="1">
        <f t="array" ref="H79">INDEX('Linha 06'!$C$4:$ZZ$1000,B79,C79)</f>
        <v>0</v>
      </c>
    </row>
    <row r="80" spans="1:8" x14ac:dyDescent="0.25">
      <c r="A80">
        <v>78</v>
      </c>
      <c r="B80">
        <f t="shared" si="2"/>
        <v>3</v>
      </c>
      <c r="C80">
        <f t="shared" si="3"/>
        <v>2</v>
      </c>
      <c r="D80" cm="1">
        <f t="array" ref="D80">INDEX('Linha 06'!$A$4:$A$1000,B80)</f>
        <v>20060010</v>
      </c>
      <c r="E80" t="str" cm="1">
        <f t="array" ref="E80">INDEX('Linha 06'!$B$4:$B$1000,B80)</f>
        <v>Limp Perf Aquafast Magia Da Infancia Cx/12 X 500ml</v>
      </c>
      <c r="F80" cm="1">
        <f t="array" ref="F80">INDEX('Linha 06'!$C$3:$ZZ$3,C80)</f>
        <v>20060004</v>
      </c>
      <c r="G80" t="str" cm="1">
        <f t="array" ref="G80">INDEX('Linha 06'!$C$2:$ZZ$2,C80)</f>
        <v>Limp Perf Aquafast Magia Seducao Cx/12 X 1l</v>
      </c>
      <c r="H80" s="5" cm="1">
        <f t="array" ref="H80">INDEX('Linha 06'!$C$4:$ZZ$1000,B80,C80)</f>
        <v>0</v>
      </c>
    </row>
    <row r="81" spans="1:8" x14ac:dyDescent="0.25">
      <c r="A81">
        <v>79</v>
      </c>
      <c r="B81">
        <f t="shared" si="2"/>
        <v>3</v>
      </c>
      <c r="C81">
        <f t="shared" si="3"/>
        <v>3</v>
      </c>
      <c r="D81" cm="1">
        <f t="array" ref="D81">INDEX('Linha 06'!$A$4:$A$1000,B81)</f>
        <v>20060010</v>
      </c>
      <c r="E81" t="str" cm="1">
        <f t="array" ref="E81">INDEX('Linha 06'!$B$4:$B$1000,B81)</f>
        <v>Limp Perf Aquafast Magia Da Infancia Cx/12 X 500ml</v>
      </c>
      <c r="F81" cm="1">
        <f t="array" ref="F81">INDEX('Linha 06'!$C$3:$ZZ$3,C81)</f>
        <v>20060010</v>
      </c>
      <c r="G81" t="str" cm="1">
        <f t="array" ref="G81">INDEX('Linha 06'!$C$2:$ZZ$2,C81)</f>
        <v>Limp Perf Aquafast Magia Da Infancia Cx/12 X 500ml</v>
      </c>
      <c r="H81" s="5" cm="1">
        <f t="array" ref="H81">INDEX('Linha 06'!$C$4:$ZZ$1000,B81,C81)</f>
        <v>0</v>
      </c>
    </row>
    <row r="82" spans="1:8" x14ac:dyDescent="0.25">
      <c r="A82">
        <v>80</v>
      </c>
      <c r="B82">
        <f t="shared" si="2"/>
        <v>3</v>
      </c>
      <c r="C82">
        <f t="shared" si="3"/>
        <v>4</v>
      </c>
      <c r="D82" cm="1">
        <f t="array" ref="D82">INDEX('Linha 06'!$A$4:$A$1000,B82)</f>
        <v>20060010</v>
      </c>
      <c r="E82" t="str" cm="1">
        <f t="array" ref="E82">INDEX('Linha 06'!$B$4:$B$1000,B82)</f>
        <v>Limp Perf Aquafast Magia Da Infancia Cx/12 X 500ml</v>
      </c>
      <c r="F82" cm="1">
        <f t="array" ref="F82">INDEX('Linha 06'!$C$3:$ZZ$3,C82)</f>
        <v>20060011</v>
      </c>
      <c r="G82" t="str" cm="1">
        <f t="array" ref="G82">INDEX('Linha 06'!$C$2:$ZZ$2,C82)</f>
        <v>Limp Perf Aquafast Frescor Da Manha Cx/12 X 500ml</v>
      </c>
      <c r="H82" s="5" cm="1">
        <f t="array" ref="H82">INDEX('Linha 06'!$C$4:$ZZ$1000,B82,C82)</f>
        <v>0</v>
      </c>
    </row>
    <row r="83" spans="1:8" x14ac:dyDescent="0.25">
      <c r="A83">
        <v>81</v>
      </c>
      <c r="B83">
        <f t="shared" si="2"/>
        <v>3</v>
      </c>
      <c r="C83">
        <f t="shared" si="3"/>
        <v>5</v>
      </c>
      <c r="D83" cm="1">
        <f t="array" ref="D83">INDEX('Linha 06'!$A$4:$A$1000,B83)</f>
        <v>20060010</v>
      </c>
      <c r="E83" t="str" cm="1">
        <f t="array" ref="E83">INDEX('Linha 06'!$B$4:$B$1000,B83)</f>
        <v>Limp Perf Aquafast Magia Da Infancia Cx/12 X 500ml</v>
      </c>
      <c r="F83" cm="1">
        <f t="array" ref="F83">INDEX('Linha 06'!$C$3:$ZZ$3,C83)</f>
        <v>20060012</v>
      </c>
      <c r="G83" t="str" cm="1">
        <f t="array" ref="G83">INDEX('Linha 06'!$C$2:$ZZ$2,C83)</f>
        <v>Limp Perf Aquafast Magia Da Infancia Cx/12 X 1l</v>
      </c>
      <c r="H83" s="5" cm="1">
        <f t="array" ref="H83">INDEX('Linha 06'!$C$4:$ZZ$1000,B83,C83)</f>
        <v>0</v>
      </c>
    </row>
    <row r="84" spans="1:8" x14ac:dyDescent="0.25">
      <c r="A84">
        <v>82</v>
      </c>
      <c r="B84">
        <f t="shared" si="2"/>
        <v>3</v>
      </c>
      <c r="C84">
        <f t="shared" si="3"/>
        <v>6</v>
      </c>
      <c r="D84" cm="1">
        <f t="array" ref="D84">INDEX('Linha 06'!$A$4:$A$1000,B84)</f>
        <v>20060010</v>
      </c>
      <c r="E84" t="str" cm="1">
        <f t="array" ref="E84">INDEX('Linha 06'!$B$4:$B$1000,B84)</f>
        <v>Limp Perf Aquafast Magia Da Infancia Cx/12 X 500ml</v>
      </c>
      <c r="F84" cm="1">
        <f t="array" ref="F84">INDEX('Linha 06'!$C$3:$ZZ$3,C84)</f>
        <v>20060013</v>
      </c>
      <c r="G84" t="str" cm="1">
        <f t="array" ref="G84">INDEX('Linha 06'!$C$2:$ZZ$2,C84)</f>
        <v>Limp Perf Aquafast Frescor Da Manha Cx/12 X 1l</v>
      </c>
      <c r="H84" s="5" cm="1">
        <f t="array" ref="H84">INDEX('Linha 06'!$C$4:$ZZ$1000,B84,C84)</f>
        <v>0</v>
      </c>
    </row>
    <row r="85" spans="1:8" x14ac:dyDescent="0.25">
      <c r="A85">
        <v>83</v>
      </c>
      <c r="B85">
        <f t="shared" si="2"/>
        <v>3</v>
      </c>
      <c r="C85">
        <f t="shared" si="3"/>
        <v>7</v>
      </c>
      <c r="D85" cm="1">
        <f t="array" ref="D85">INDEX('Linha 06'!$A$4:$A$1000,B85)</f>
        <v>20060010</v>
      </c>
      <c r="E85" t="str" cm="1">
        <f t="array" ref="E85">INDEX('Linha 06'!$B$4:$B$1000,B85)</f>
        <v>Limp Perf Aquafast Magia Da Infancia Cx/12 X 500ml</v>
      </c>
      <c r="F85" cm="1">
        <f t="array" ref="F85">INDEX('Linha 06'!$C$3:$ZZ$3,C85)</f>
        <v>20060015</v>
      </c>
      <c r="G85" t="str" cm="1">
        <f t="array" ref="G85">INDEX('Linha 06'!$C$2:$ZZ$2,C85)</f>
        <v>Limp Perf Aquafast Doce Romance Cx/12 X 500ml</v>
      </c>
      <c r="H85" s="5" cm="1">
        <f t="array" ref="H85">INDEX('Linha 06'!$C$4:$ZZ$1000,B85,C85)</f>
        <v>0</v>
      </c>
    </row>
    <row r="86" spans="1:8" x14ac:dyDescent="0.25">
      <c r="A86">
        <v>84</v>
      </c>
      <c r="B86">
        <f t="shared" si="2"/>
        <v>3</v>
      </c>
      <c r="C86">
        <f t="shared" si="3"/>
        <v>8</v>
      </c>
      <c r="D86" cm="1">
        <f t="array" ref="D86">INDEX('Linha 06'!$A$4:$A$1000,B86)</f>
        <v>20060010</v>
      </c>
      <c r="E86" t="str" cm="1">
        <f t="array" ref="E86">INDEX('Linha 06'!$B$4:$B$1000,B86)</f>
        <v>Limp Perf Aquafast Magia Da Infancia Cx/12 X 500ml</v>
      </c>
      <c r="F86" cm="1">
        <f t="array" ref="F86">INDEX('Linha 06'!$C$3:$ZZ$3,C86)</f>
        <v>20060016</v>
      </c>
      <c r="G86" t="str" cm="1">
        <f t="array" ref="G86">INDEX('Linha 06'!$C$2:$ZZ$2,C86)</f>
        <v>Limp Perf Aquafast Doce Romance Cx/12 X 1l</v>
      </c>
      <c r="H86" s="5" cm="1">
        <f t="array" ref="H86">INDEX('Linha 06'!$C$4:$ZZ$1000,B86,C86)</f>
        <v>0</v>
      </c>
    </row>
    <row r="87" spans="1:8" x14ac:dyDescent="0.25">
      <c r="A87">
        <v>85</v>
      </c>
      <c r="B87">
        <f t="shared" si="2"/>
        <v>3</v>
      </c>
      <c r="C87">
        <f t="shared" si="3"/>
        <v>9</v>
      </c>
      <c r="D87" cm="1">
        <f t="array" ref="D87">INDEX('Linha 06'!$A$4:$A$1000,B87)</f>
        <v>20060010</v>
      </c>
      <c r="E87" t="str" cm="1">
        <f t="array" ref="E87">INDEX('Linha 06'!$B$4:$B$1000,B87)</f>
        <v>Limp Perf Aquafast Magia Da Infancia Cx/12 X 500ml</v>
      </c>
      <c r="F87" cm="1">
        <f t="array" ref="F87">INDEX('Linha 06'!$C$3:$ZZ$3,C87)</f>
        <v>20060027</v>
      </c>
      <c r="G87" t="str" cm="1">
        <f t="array" ref="G87">INDEX('Linha 06'!$C$2:$ZZ$2,C87)</f>
        <v>Limp Perf Aquafast Essencia Natural Cx/12 X 1l</v>
      </c>
      <c r="H87" s="5" cm="1">
        <f t="array" ref="H87">INDEX('Linha 06'!$C$4:$ZZ$1000,B87,C87)</f>
        <v>0</v>
      </c>
    </row>
    <row r="88" spans="1:8" x14ac:dyDescent="0.25">
      <c r="A88">
        <v>86</v>
      </c>
      <c r="B88">
        <f t="shared" si="2"/>
        <v>3</v>
      </c>
      <c r="C88">
        <f t="shared" si="3"/>
        <v>10</v>
      </c>
      <c r="D88" cm="1">
        <f t="array" ref="D88">INDEX('Linha 06'!$A$4:$A$1000,B88)</f>
        <v>20060010</v>
      </c>
      <c r="E88" t="str" cm="1">
        <f t="array" ref="E88">INDEX('Linha 06'!$B$4:$B$1000,B88)</f>
        <v>Limp Perf Aquafast Magia Da Infancia Cx/12 X 500ml</v>
      </c>
      <c r="F88" cm="1">
        <f t="array" ref="F88">INDEX('Linha 06'!$C$3:$ZZ$3,C88)</f>
        <v>20070001</v>
      </c>
      <c r="G88" t="str" cm="1">
        <f t="array" ref="G88">INDEX('Linha 06'!$C$2:$ZZ$2,C88)</f>
        <v>Limpa Vidros Aquafast Pulverizador Cx/12 X 500ml</v>
      </c>
      <c r="H88" s="5" cm="1">
        <f t="array" ref="H88">INDEX('Linha 06'!$C$4:$ZZ$1000,B88,C88)</f>
        <v>0</v>
      </c>
    </row>
    <row r="89" spans="1:8" x14ac:dyDescent="0.25">
      <c r="A89">
        <v>87</v>
      </c>
      <c r="B89">
        <f t="shared" si="2"/>
        <v>3</v>
      </c>
      <c r="C89">
        <f t="shared" si="3"/>
        <v>11</v>
      </c>
      <c r="D89" cm="1">
        <f t="array" ref="D89">INDEX('Linha 06'!$A$4:$A$1000,B89)</f>
        <v>20060010</v>
      </c>
      <c r="E89" t="str" cm="1">
        <f t="array" ref="E89">INDEX('Linha 06'!$B$4:$B$1000,B89)</f>
        <v>Limp Perf Aquafast Magia Da Infancia Cx/12 X 500ml</v>
      </c>
      <c r="F89" cm="1">
        <f t="array" ref="F89">INDEX('Linha 06'!$C$3:$ZZ$3,C89)</f>
        <v>20070002</v>
      </c>
      <c r="G89" t="str" cm="1">
        <f t="array" ref="G89">INDEX('Linha 06'!$C$2:$ZZ$2,C89)</f>
        <v>Limpa Vidros Aquafast Recarga Cx/12 X 500ml</v>
      </c>
      <c r="H89" s="5" cm="1">
        <f t="array" ref="H89">INDEX('Linha 06'!$C$4:$ZZ$1000,B89,C89)</f>
        <v>0</v>
      </c>
    </row>
    <row r="90" spans="1:8" x14ac:dyDescent="0.25">
      <c r="A90">
        <v>88</v>
      </c>
      <c r="B90">
        <f t="shared" si="2"/>
        <v>3</v>
      </c>
      <c r="C90">
        <f t="shared" si="3"/>
        <v>12</v>
      </c>
      <c r="D90" cm="1">
        <f t="array" ref="D90">INDEX('Linha 06'!$A$4:$A$1000,B90)</f>
        <v>20060010</v>
      </c>
      <c r="E90" t="str" cm="1">
        <f t="array" ref="E90">INDEX('Linha 06'!$B$4:$B$1000,B90)</f>
        <v>Limp Perf Aquafast Magia Da Infancia Cx/12 X 500ml</v>
      </c>
      <c r="F90" cm="1">
        <f t="array" ref="F90">INDEX('Linha 06'!$C$3:$ZZ$3,C90)</f>
        <v>20070006</v>
      </c>
      <c r="G90" t="str" cm="1">
        <f t="array" ref="G90">INDEX('Linha 06'!$C$2:$ZZ$2,C90)</f>
        <v>Limpa Vidros Ito Pulverizador Cx/12 X 500ml</v>
      </c>
      <c r="H90" s="5" cm="1">
        <f t="array" ref="H90">INDEX('Linha 06'!$C$4:$ZZ$1000,B90,C90)</f>
        <v>0</v>
      </c>
    </row>
    <row r="91" spans="1:8" x14ac:dyDescent="0.25">
      <c r="A91">
        <v>89</v>
      </c>
      <c r="B91">
        <f t="shared" si="2"/>
        <v>3</v>
      </c>
      <c r="C91">
        <f t="shared" si="3"/>
        <v>13</v>
      </c>
      <c r="D91" cm="1">
        <f t="array" ref="D91">INDEX('Linha 06'!$A$4:$A$1000,B91)</f>
        <v>20060010</v>
      </c>
      <c r="E91" t="str" cm="1">
        <f t="array" ref="E91">INDEX('Linha 06'!$B$4:$B$1000,B91)</f>
        <v>Limp Perf Aquafast Magia Da Infancia Cx/12 X 500ml</v>
      </c>
      <c r="F91" cm="1">
        <f t="array" ref="F91">INDEX('Linha 06'!$C$3:$ZZ$3,C91)</f>
        <v>20070007</v>
      </c>
      <c r="G91" t="str" cm="1">
        <f t="array" ref="G91">INDEX('Linha 06'!$C$2:$ZZ$2,C91)</f>
        <v>Limpa Vidros Ito Recarga Cx/12 X 500ml</v>
      </c>
      <c r="H91" s="5" cm="1">
        <f t="array" ref="H91">INDEX('Linha 06'!$C$4:$ZZ$1000,B91,C91)</f>
        <v>0</v>
      </c>
    </row>
    <row r="92" spans="1:8" x14ac:dyDescent="0.25">
      <c r="A92">
        <v>90</v>
      </c>
      <c r="B92">
        <f t="shared" si="2"/>
        <v>3</v>
      </c>
      <c r="C92">
        <f t="shared" si="3"/>
        <v>14</v>
      </c>
      <c r="D92" cm="1">
        <f t="array" ref="D92">INDEX('Linha 06'!$A$4:$A$1000,B92)</f>
        <v>20060010</v>
      </c>
      <c r="E92" t="str" cm="1">
        <f t="array" ref="E92">INDEX('Linha 06'!$B$4:$B$1000,B92)</f>
        <v>Limp Perf Aquafast Magia Da Infancia Cx/12 X 500ml</v>
      </c>
      <c r="F92" cm="1">
        <f t="array" ref="F92">INDEX('Linha 06'!$C$3:$ZZ$3,C92)</f>
        <v>20070008</v>
      </c>
      <c r="G92" t="str" cm="1">
        <f t="array" ref="G92">INDEX('Linha 06'!$C$2:$ZZ$2,C92)</f>
        <v>Limpa Vidros Aquafast Squeeze Cx/12 X 500ml</v>
      </c>
      <c r="H92" s="5" cm="1">
        <f t="array" ref="H92">INDEX('Linha 06'!$C$4:$ZZ$1000,B92,C92)</f>
        <v>0</v>
      </c>
    </row>
    <row r="93" spans="1:8" x14ac:dyDescent="0.25">
      <c r="A93">
        <v>91</v>
      </c>
      <c r="B93">
        <f t="shared" si="2"/>
        <v>3</v>
      </c>
      <c r="C93">
        <f t="shared" si="3"/>
        <v>15</v>
      </c>
      <c r="D93" cm="1">
        <f t="array" ref="D93">INDEX('Linha 06'!$A$4:$A$1000,B93)</f>
        <v>20060010</v>
      </c>
      <c r="E93" t="str" cm="1">
        <f t="array" ref="E93">INDEX('Linha 06'!$B$4:$B$1000,B93)</f>
        <v>Limp Perf Aquafast Magia Da Infancia Cx/12 X 500ml</v>
      </c>
      <c r="F93" cm="1">
        <f t="array" ref="F93">INDEX('Linha 06'!$C$3:$ZZ$3,C93)</f>
        <v>20090001</v>
      </c>
      <c r="G93" t="str" cm="1">
        <f t="array" ref="G93">INDEX('Linha 06'!$C$2:$ZZ$2,C93)</f>
        <v>Desengordurante Aquafast Pulverizador Cx/12 X 500ml</v>
      </c>
      <c r="H93" s="5" cm="1">
        <f t="array" ref="H93">INDEX('Linha 06'!$C$4:$ZZ$1000,B93,C93)</f>
        <v>0</v>
      </c>
    </row>
    <row r="94" spans="1:8" x14ac:dyDescent="0.25">
      <c r="A94">
        <v>92</v>
      </c>
      <c r="B94">
        <f t="shared" si="2"/>
        <v>3</v>
      </c>
      <c r="C94">
        <f t="shared" si="3"/>
        <v>16</v>
      </c>
      <c r="D94" cm="1">
        <f t="array" ref="D94">INDEX('Linha 06'!$A$4:$A$1000,B94)</f>
        <v>20060010</v>
      </c>
      <c r="E94" t="str" cm="1">
        <f t="array" ref="E94">INDEX('Linha 06'!$B$4:$B$1000,B94)</f>
        <v>Limp Perf Aquafast Magia Da Infancia Cx/12 X 500ml</v>
      </c>
      <c r="F94" cm="1">
        <f t="array" ref="F94">INDEX('Linha 06'!$C$3:$ZZ$3,C94)</f>
        <v>20090002</v>
      </c>
      <c r="G94" t="str" cm="1">
        <f t="array" ref="G94">INDEX('Linha 06'!$C$2:$ZZ$2,C94)</f>
        <v>Desengordurante Aquafast Recarga Cx/12 X 500ml</v>
      </c>
      <c r="H94" s="5" cm="1">
        <f t="array" ref="H94">INDEX('Linha 06'!$C$4:$ZZ$1000,B94,C94)</f>
        <v>0</v>
      </c>
    </row>
    <row r="95" spans="1:8" x14ac:dyDescent="0.25">
      <c r="A95">
        <v>93</v>
      </c>
      <c r="B95">
        <f t="shared" si="2"/>
        <v>3</v>
      </c>
      <c r="C95">
        <f t="shared" si="3"/>
        <v>17</v>
      </c>
      <c r="D95" cm="1">
        <f t="array" ref="D95">INDEX('Linha 06'!$A$4:$A$1000,B95)</f>
        <v>20060010</v>
      </c>
      <c r="E95" t="str" cm="1">
        <f t="array" ref="E95">INDEX('Linha 06'!$B$4:$B$1000,B95)</f>
        <v>Limp Perf Aquafast Magia Da Infancia Cx/12 X 500ml</v>
      </c>
      <c r="F95" cm="1">
        <f t="array" ref="F95">INDEX('Linha 06'!$C$3:$ZZ$3,C95)</f>
        <v>20090004</v>
      </c>
      <c r="G95" t="str" cm="1">
        <f t="array" ref="G95">INDEX('Linha 06'!$C$2:$ZZ$2,C95)</f>
        <v>Desengordurante Aquafast Squeeze Cx C/12 X 500ml</v>
      </c>
      <c r="H95" s="5" cm="1">
        <f t="array" ref="H95">INDEX('Linha 06'!$C$4:$ZZ$1000,B95,C95)</f>
        <v>0</v>
      </c>
    </row>
    <row r="96" spans="1:8" x14ac:dyDescent="0.25">
      <c r="A96">
        <v>94</v>
      </c>
      <c r="B96">
        <f t="shared" si="2"/>
        <v>3</v>
      </c>
      <c r="C96">
        <f t="shared" si="3"/>
        <v>18</v>
      </c>
      <c r="D96" cm="1">
        <f t="array" ref="D96">INDEX('Linha 06'!$A$4:$A$1000,B96)</f>
        <v>20060010</v>
      </c>
      <c r="E96" t="str" cm="1">
        <f t="array" ref="E96">INDEX('Linha 06'!$B$4:$B$1000,B96)</f>
        <v>Limp Perf Aquafast Magia Da Infancia Cx/12 X 500ml</v>
      </c>
      <c r="F96" cm="1">
        <f t="array" ref="F96">INDEX('Linha 06'!$C$3:$ZZ$3,C96)</f>
        <v>20090005</v>
      </c>
      <c r="G96" t="str" cm="1">
        <f t="array" ref="G96">INDEX('Linha 06'!$C$2:$ZZ$2,C96)</f>
        <v>Desengordurante Aquafast Squeeze Cx C/12 X 1l</v>
      </c>
      <c r="H96" s="5" cm="1">
        <f t="array" ref="H96">INDEX('Linha 06'!$C$4:$ZZ$1000,B96,C96)</f>
        <v>0</v>
      </c>
    </row>
    <row r="97" spans="1:8" x14ac:dyDescent="0.25">
      <c r="A97">
        <v>95</v>
      </c>
      <c r="B97">
        <f t="shared" si="2"/>
        <v>3</v>
      </c>
      <c r="C97">
        <f t="shared" si="3"/>
        <v>19</v>
      </c>
      <c r="D97" cm="1">
        <f t="array" ref="D97">INDEX('Linha 06'!$A$4:$A$1000,B97)</f>
        <v>20060010</v>
      </c>
      <c r="E97" t="str" cm="1">
        <f t="array" ref="E97">INDEX('Linha 06'!$B$4:$B$1000,B97)</f>
        <v>Limp Perf Aquafast Magia Da Infancia Cx/12 X 500ml</v>
      </c>
      <c r="F97" cm="1">
        <f t="array" ref="F97">INDEX('Linha 06'!$C$3:$ZZ$3,C97)</f>
        <v>20090010</v>
      </c>
      <c r="G97" t="str" cm="1">
        <f t="array" ref="G97">INDEX('Linha 06'!$C$2:$ZZ$2,C97)</f>
        <v>Intermed Pack Desengord Squeeze Cx C/18 X 500ml</v>
      </c>
      <c r="H97" s="5" cm="1">
        <f t="array" ref="H97">INDEX('Linha 06'!$C$4:$ZZ$1000,B97,C97)</f>
        <v>0</v>
      </c>
    </row>
    <row r="98" spans="1:8" x14ac:dyDescent="0.25">
      <c r="A98">
        <v>96</v>
      </c>
      <c r="B98">
        <f t="shared" si="2"/>
        <v>3</v>
      </c>
      <c r="C98">
        <f t="shared" si="3"/>
        <v>20</v>
      </c>
      <c r="D98" cm="1">
        <f t="array" ref="D98">INDEX('Linha 06'!$A$4:$A$1000,B98)</f>
        <v>20060010</v>
      </c>
      <c r="E98" t="str" cm="1">
        <f t="array" ref="E98">INDEX('Linha 06'!$B$4:$B$1000,B98)</f>
        <v>Limp Perf Aquafast Magia Da Infancia Cx/12 X 500ml</v>
      </c>
      <c r="F98" cm="1">
        <f t="array" ref="F98">INDEX('Linha 06'!$C$3:$ZZ$3,C98)</f>
        <v>20110002</v>
      </c>
      <c r="G98" t="str" cm="1">
        <f t="array" ref="G98">INDEX('Linha 06'!$C$2:$ZZ$2,C98)</f>
        <v>Multi Uso Aquafast Squeeze Original Cx/12 X 500ml</v>
      </c>
      <c r="H98" s="5" cm="1">
        <f t="array" ref="H98">INDEX('Linha 06'!$C$4:$ZZ$1000,B98,C98)</f>
        <v>0</v>
      </c>
    </row>
    <row r="99" spans="1:8" x14ac:dyDescent="0.25">
      <c r="A99">
        <v>97</v>
      </c>
      <c r="B99">
        <f t="shared" si="2"/>
        <v>3</v>
      </c>
      <c r="C99">
        <f t="shared" si="3"/>
        <v>21</v>
      </c>
      <c r="D99" cm="1">
        <f t="array" ref="D99">INDEX('Linha 06'!$A$4:$A$1000,B99)</f>
        <v>20060010</v>
      </c>
      <c r="E99" t="str" cm="1">
        <f t="array" ref="E99">INDEX('Linha 06'!$B$4:$B$1000,B99)</f>
        <v>Limp Perf Aquafast Magia Da Infancia Cx/12 X 500ml</v>
      </c>
      <c r="F99" cm="1">
        <f t="array" ref="F99">INDEX('Linha 06'!$C$3:$ZZ$3,C99)</f>
        <v>20110004</v>
      </c>
      <c r="G99" t="str" cm="1">
        <f t="array" ref="G99">INDEX('Linha 06'!$C$2:$ZZ$2,C99)</f>
        <v>Multi Uso Aquafast Squeeze Lavanda Cx/12 X 500ml</v>
      </c>
      <c r="H99" s="5" cm="1">
        <f t="array" ref="H99">INDEX('Linha 06'!$C$4:$ZZ$1000,B99,C99)</f>
        <v>0</v>
      </c>
    </row>
    <row r="100" spans="1:8" x14ac:dyDescent="0.25">
      <c r="A100">
        <v>98</v>
      </c>
      <c r="B100">
        <f t="shared" si="2"/>
        <v>3</v>
      </c>
      <c r="C100">
        <f t="shared" si="3"/>
        <v>22</v>
      </c>
      <c r="D100" cm="1">
        <f t="array" ref="D100">INDEX('Linha 06'!$A$4:$A$1000,B100)</f>
        <v>20060010</v>
      </c>
      <c r="E100" t="str" cm="1">
        <f t="array" ref="E100">INDEX('Linha 06'!$B$4:$B$1000,B100)</f>
        <v>Limp Perf Aquafast Magia Da Infancia Cx/12 X 500ml</v>
      </c>
      <c r="F100" cm="1">
        <f t="array" ref="F100">INDEX('Linha 06'!$C$3:$ZZ$3,C100)</f>
        <v>20110007</v>
      </c>
      <c r="G100" t="str" cm="1">
        <f t="array" ref="G100">INDEX('Linha 06'!$C$2:$ZZ$2,C100)</f>
        <v>Multi Uso Aquafast Squeeze Seducao Cx/12 X 500ml</v>
      </c>
      <c r="H100" s="5" cm="1">
        <f t="array" ref="H100">INDEX('Linha 06'!$C$4:$ZZ$1000,B100,C100)</f>
        <v>0</v>
      </c>
    </row>
    <row r="101" spans="1:8" x14ac:dyDescent="0.25">
      <c r="A101">
        <v>99</v>
      </c>
      <c r="B101">
        <f t="shared" si="2"/>
        <v>3</v>
      </c>
      <c r="C101">
        <f t="shared" si="3"/>
        <v>23</v>
      </c>
      <c r="D101" cm="1">
        <f t="array" ref="D101">INDEX('Linha 06'!$A$4:$A$1000,B101)</f>
        <v>20060010</v>
      </c>
      <c r="E101" t="str" cm="1">
        <f t="array" ref="E101">INDEX('Linha 06'!$B$4:$B$1000,B101)</f>
        <v>Limp Perf Aquafast Magia Da Infancia Cx/12 X 500ml</v>
      </c>
      <c r="F101" cm="1">
        <f t="array" ref="F101">INDEX('Linha 06'!$C$3:$ZZ$3,C101)</f>
        <v>20110008</v>
      </c>
      <c r="G101" t="str" cm="1">
        <f t="array" ref="G101">INDEX('Linha 06'!$C$2:$ZZ$2,C101)</f>
        <v>Multi Uso Aquafast Squeeze Original Cx/12 X 1l</v>
      </c>
      <c r="H101" s="5" cm="1">
        <f t="array" ref="H101">INDEX('Linha 06'!$C$4:$ZZ$1000,B101,C101)</f>
        <v>0</v>
      </c>
    </row>
    <row r="102" spans="1:8" x14ac:dyDescent="0.25">
      <c r="A102">
        <v>100</v>
      </c>
      <c r="B102">
        <f t="shared" si="2"/>
        <v>3</v>
      </c>
      <c r="C102">
        <f t="shared" si="3"/>
        <v>24</v>
      </c>
      <c r="D102" cm="1">
        <f t="array" ref="D102">INDEX('Linha 06'!$A$4:$A$1000,B102)</f>
        <v>20060010</v>
      </c>
      <c r="E102" t="str" cm="1">
        <f t="array" ref="E102">INDEX('Linha 06'!$B$4:$B$1000,B102)</f>
        <v>Limp Perf Aquafast Magia Da Infancia Cx/12 X 500ml</v>
      </c>
      <c r="F102" cm="1">
        <f t="array" ref="F102">INDEX('Linha 06'!$C$3:$ZZ$3,C102)</f>
        <v>20110010</v>
      </c>
      <c r="G102" t="str" cm="1">
        <f t="array" ref="G102">INDEX('Linha 06'!$C$2:$ZZ$2,C102)</f>
        <v>Multi Uso Aquafast Squeeze Seducao Cx/12 1l</v>
      </c>
      <c r="H102" s="5" cm="1">
        <f t="array" ref="H102">INDEX('Linha 06'!$C$4:$ZZ$1000,B102,C102)</f>
        <v>0</v>
      </c>
    </row>
    <row r="103" spans="1:8" x14ac:dyDescent="0.25">
      <c r="A103">
        <v>101</v>
      </c>
      <c r="B103">
        <f t="shared" si="2"/>
        <v>3</v>
      </c>
      <c r="C103">
        <f t="shared" si="3"/>
        <v>25</v>
      </c>
      <c r="D103" cm="1">
        <f t="array" ref="D103">INDEX('Linha 06'!$A$4:$A$1000,B103)</f>
        <v>20060010</v>
      </c>
      <c r="E103" t="str" cm="1">
        <f t="array" ref="E103">INDEX('Linha 06'!$B$4:$B$1000,B103)</f>
        <v>Limp Perf Aquafast Magia Da Infancia Cx/12 X 500ml</v>
      </c>
      <c r="F103" cm="1">
        <f t="array" ref="F103">INDEX('Linha 06'!$C$3:$ZZ$3,C103)</f>
        <v>20110013</v>
      </c>
      <c r="G103" t="str" cm="1">
        <f t="array" ref="G103">INDEX('Linha 06'!$C$2:$ZZ$2,C103)</f>
        <v>Multi Uso Aquafast Squeeze Lavanda Cx/12 X 1l</v>
      </c>
      <c r="H103" s="5" cm="1">
        <f t="array" ref="H103">INDEX('Linha 06'!$C$4:$ZZ$1000,B103,C103)</f>
        <v>0</v>
      </c>
    </row>
    <row r="104" spans="1:8" x14ac:dyDescent="0.25">
      <c r="A104">
        <v>102</v>
      </c>
      <c r="B104">
        <f t="shared" si="2"/>
        <v>3</v>
      </c>
      <c r="C104">
        <f t="shared" si="3"/>
        <v>26</v>
      </c>
      <c r="D104" cm="1">
        <f t="array" ref="D104">INDEX('Linha 06'!$A$4:$A$1000,B104)</f>
        <v>20060010</v>
      </c>
      <c r="E104" t="str" cm="1">
        <f t="array" ref="E104">INDEX('Linha 06'!$B$4:$B$1000,B104)</f>
        <v>Limp Perf Aquafast Magia Da Infancia Cx/12 X 500ml</v>
      </c>
      <c r="F104" cm="1">
        <f t="array" ref="F104">INDEX('Linha 06'!$C$3:$ZZ$3,C104)</f>
        <v>20110022</v>
      </c>
      <c r="G104" t="str" cm="1">
        <f t="array" ref="G104">INDEX('Linha 06'!$C$2:$ZZ$2,C104)</f>
        <v>Intermed Pack Multi Uso Lavand C/Alcool Cx/18 X 500ml</v>
      </c>
      <c r="H104" s="5" cm="1">
        <f t="array" ref="H104">INDEX('Linha 06'!$C$4:$ZZ$1000,B104,C104)</f>
        <v>0</v>
      </c>
    </row>
    <row r="105" spans="1:8" x14ac:dyDescent="0.25">
      <c r="A105">
        <v>103</v>
      </c>
      <c r="B105">
        <f t="shared" si="2"/>
        <v>3</v>
      </c>
      <c r="C105">
        <f t="shared" si="3"/>
        <v>27</v>
      </c>
      <c r="D105" cm="1">
        <f t="array" ref="D105">INDEX('Linha 06'!$A$4:$A$1000,B105)</f>
        <v>20060010</v>
      </c>
      <c r="E105" t="str" cm="1">
        <f t="array" ref="E105">INDEX('Linha 06'!$B$4:$B$1000,B105)</f>
        <v>Limp Perf Aquafast Magia Da Infancia Cx/12 X 500ml</v>
      </c>
      <c r="F105" cm="1">
        <f t="array" ref="F105">INDEX('Linha 06'!$C$3:$ZZ$3,C105)</f>
        <v>20110023</v>
      </c>
      <c r="G105" t="str" cm="1">
        <f t="array" ref="G105">INDEX('Linha 06'!$C$2:$ZZ$2,C105)</f>
        <v>Multi Uso Aquafast Squeeze Cha Branco  Cx/12 X 500ml</v>
      </c>
      <c r="H105" s="5" cm="1">
        <f t="array" ref="H105">INDEX('Linha 06'!$C$4:$ZZ$1000,B105,C105)</f>
        <v>0</v>
      </c>
    </row>
    <row r="106" spans="1:8" x14ac:dyDescent="0.25">
      <c r="A106">
        <v>104</v>
      </c>
      <c r="B106">
        <f t="shared" si="2"/>
        <v>3</v>
      </c>
      <c r="C106">
        <f t="shared" si="3"/>
        <v>28</v>
      </c>
      <c r="D106" cm="1">
        <f t="array" ref="D106">INDEX('Linha 06'!$A$4:$A$1000,B106)</f>
        <v>20060010</v>
      </c>
      <c r="E106" t="str" cm="1">
        <f t="array" ref="E106">INDEX('Linha 06'!$B$4:$B$1000,B106)</f>
        <v>Limp Perf Aquafast Magia Da Infancia Cx/12 X 500ml</v>
      </c>
      <c r="F106" cm="1">
        <f t="array" ref="F106">INDEX('Linha 06'!$C$3:$ZZ$3,C106)</f>
        <v>20110024</v>
      </c>
      <c r="G106" t="str" cm="1">
        <f t="array" ref="G106">INDEX('Linha 06'!$C$2:$ZZ$2,C106)</f>
        <v>Multi Uso Aquafast Squeeze Cha Branco Cx12 X 1l</v>
      </c>
      <c r="H106" s="5" cm="1">
        <f t="array" ref="H106">INDEX('Linha 06'!$C$4:$ZZ$1000,B106,C106)</f>
        <v>0</v>
      </c>
    </row>
    <row r="107" spans="1:8" x14ac:dyDescent="0.25">
      <c r="A107">
        <v>105</v>
      </c>
      <c r="B107">
        <f t="shared" si="2"/>
        <v>3</v>
      </c>
      <c r="C107">
        <f t="shared" si="3"/>
        <v>29</v>
      </c>
      <c r="D107" cm="1">
        <f t="array" ref="D107">INDEX('Linha 06'!$A$4:$A$1000,B107)</f>
        <v>20060010</v>
      </c>
      <c r="E107" t="str" cm="1">
        <f t="array" ref="E107">INDEX('Linha 06'!$B$4:$B$1000,B107)</f>
        <v>Limp Perf Aquafast Magia Da Infancia Cx/12 X 500ml</v>
      </c>
      <c r="F107" cm="1">
        <f t="array" ref="F107">INDEX('Linha 06'!$C$3:$ZZ$3,C107)</f>
        <v>20110025</v>
      </c>
      <c r="G107" t="str" cm="1">
        <f t="array" ref="G107">INDEX('Linha 06'!$C$2:$ZZ$2,C107)</f>
        <v>Multi Uso Aquafast Pulverizador Original Cx/12 X 1l</v>
      </c>
      <c r="H107" s="5" cm="1">
        <f t="array" ref="H107">INDEX('Linha 06'!$C$4:$ZZ$1000,B107,C107)</f>
        <v>0</v>
      </c>
    </row>
    <row r="108" spans="1:8" x14ac:dyDescent="0.25">
      <c r="A108">
        <v>106</v>
      </c>
      <c r="B108">
        <f t="shared" si="2"/>
        <v>3</v>
      </c>
      <c r="C108">
        <f t="shared" si="3"/>
        <v>30</v>
      </c>
      <c r="D108" cm="1">
        <f t="array" ref="D108">INDEX('Linha 06'!$A$4:$A$1000,B108)</f>
        <v>20060010</v>
      </c>
      <c r="E108" t="str" cm="1">
        <f t="array" ref="E108">INDEX('Linha 06'!$B$4:$B$1000,B108)</f>
        <v>Limp Perf Aquafast Magia Da Infancia Cx/12 X 500ml</v>
      </c>
      <c r="F108" cm="1">
        <f t="array" ref="F108">INDEX('Linha 06'!$C$3:$ZZ$3,C108)</f>
        <v>20110026</v>
      </c>
      <c r="G108" t="str" cm="1">
        <f t="array" ref="G108">INDEX('Linha 06'!$C$2:$ZZ$2,C108)</f>
        <v>Multi Uso Aquafast Pulverizador Poder O2 Cx/12 X 1l</v>
      </c>
      <c r="H108" s="5" cm="1">
        <f t="array" ref="H108">INDEX('Linha 06'!$C$4:$ZZ$1000,B108,C108)</f>
        <v>0</v>
      </c>
    </row>
    <row r="109" spans="1:8" x14ac:dyDescent="0.25">
      <c r="A109">
        <v>107</v>
      </c>
      <c r="B109">
        <f t="shared" si="2"/>
        <v>3</v>
      </c>
      <c r="C109">
        <f t="shared" si="3"/>
        <v>31</v>
      </c>
      <c r="D109" cm="1">
        <f t="array" ref="D109">INDEX('Linha 06'!$A$4:$A$1000,B109)</f>
        <v>20060010</v>
      </c>
      <c r="E109" t="str" cm="1">
        <f t="array" ref="E109">INDEX('Linha 06'!$B$4:$B$1000,B109)</f>
        <v>Limp Perf Aquafast Magia Da Infancia Cx/12 X 500ml</v>
      </c>
      <c r="F109" cm="1">
        <f t="array" ref="F109">INDEX('Linha 06'!$C$3:$ZZ$3,C109)</f>
        <v>20110027</v>
      </c>
      <c r="G109" t="str" cm="1">
        <f t="array" ref="G109">INDEX('Linha 06'!$C$2:$ZZ$2,C109)</f>
        <v>Multi Uso Aquafast Pulverizador Poder O2 Cx/12 X 500ml</v>
      </c>
      <c r="H109" s="5" cm="1">
        <f t="array" ref="H109">INDEX('Linha 06'!$C$4:$ZZ$1000,B109,C109)</f>
        <v>0</v>
      </c>
    </row>
    <row r="110" spans="1:8" x14ac:dyDescent="0.25">
      <c r="A110">
        <v>108</v>
      </c>
      <c r="B110">
        <f t="shared" si="2"/>
        <v>3</v>
      </c>
      <c r="C110">
        <f t="shared" si="3"/>
        <v>32</v>
      </c>
      <c r="D110" cm="1">
        <f t="array" ref="D110">INDEX('Linha 06'!$A$4:$A$1000,B110)</f>
        <v>20060010</v>
      </c>
      <c r="E110" t="str" cm="1">
        <f t="array" ref="E110">INDEX('Linha 06'!$B$4:$B$1000,B110)</f>
        <v>Limp Perf Aquafast Magia Da Infancia Cx/12 X 500ml</v>
      </c>
      <c r="F110" cm="1">
        <f t="array" ref="F110">INDEX('Linha 06'!$C$3:$ZZ$3,C110)</f>
        <v>20200073</v>
      </c>
      <c r="G110" t="str" cm="1">
        <f t="array" ref="G110">INDEX('Linha 06'!$C$2:$ZZ$2,C110)</f>
        <v>Lava Roupas Aquafast Lavagem Rapida Total Clean Cx/9 X 1,5l</v>
      </c>
      <c r="H110" s="5" cm="1">
        <f t="array" ref="H110">INDEX('Linha 06'!$C$4:$ZZ$1000,B110,C110)</f>
        <v>0</v>
      </c>
    </row>
    <row r="111" spans="1:8" x14ac:dyDescent="0.25">
      <c r="A111">
        <v>109</v>
      </c>
      <c r="B111">
        <f t="shared" si="2"/>
        <v>3</v>
      </c>
      <c r="C111">
        <f t="shared" si="3"/>
        <v>33</v>
      </c>
      <c r="D111" cm="1">
        <f t="array" ref="D111">INDEX('Linha 06'!$A$4:$A$1000,B111)</f>
        <v>20060010</v>
      </c>
      <c r="E111" t="str" cm="1">
        <f t="array" ref="E111">INDEX('Linha 06'!$B$4:$B$1000,B111)</f>
        <v>Limp Perf Aquafast Magia Da Infancia Cx/12 X 500ml</v>
      </c>
      <c r="F111" cm="1">
        <f t="array" ref="F111">INDEX('Linha 06'!$C$3:$ZZ$3,C111)</f>
        <v>20200075</v>
      </c>
      <c r="G111" t="str" cm="1">
        <f t="array" ref="G111">INDEX('Linha 06'!$C$2:$ZZ$2,C111)</f>
        <v>Lava Roupas Aquafast Lavagem Rapida Fresh Clean Cx/9 X 1,5l</v>
      </c>
      <c r="H111" s="5" cm="1">
        <f t="array" ref="H111">INDEX('Linha 06'!$C$4:$ZZ$1000,B111,C111)</f>
        <v>0</v>
      </c>
    </row>
    <row r="112" spans="1:8" x14ac:dyDescent="0.25">
      <c r="A112">
        <v>110</v>
      </c>
      <c r="B112">
        <f t="shared" si="2"/>
        <v>3</v>
      </c>
      <c r="C112">
        <f t="shared" si="3"/>
        <v>34</v>
      </c>
      <c r="D112" cm="1">
        <f t="array" ref="D112">INDEX('Linha 06'!$A$4:$A$1000,B112)</f>
        <v>20060010</v>
      </c>
      <c r="E112" t="str" cm="1">
        <f t="array" ref="E112">INDEX('Linha 06'!$B$4:$B$1000,B112)</f>
        <v>Limp Perf Aquafast Magia Da Infancia Cx/12 X 500ml</v>
      </c>
      <c r="F112" cm="1">
        <f t="array" ref="F112">INDEX('Linha 06'!$C$3:$ZZ$3,C112)</f>
        <v>20220018</v>
      </c>
      <c r="G112" t="str" cm="1">
        <f t="array" ref="G112">INDEX('Linha 06'!$C$2:$ZZ$2,C112)</f>
        <v>Intermed. Aromat. Amoras E Baunilha Cx C/ 12un 250ml</v>
      </c>
      <c r="H112" s="5" cm="1">
        <f t="array" ref="H112">INDEX('Linha 06'!$C$4:$ZZ$1000,B112,C112)</f>
        <v>0</v>
      </c>
    </row>
    <row r="113" spans="1:8" x14ac:dyDescent="0.25">
      <c r="A113">
        <v>111</v>
      </c>
      <c r="B113">
        <f t="shared" si="2"/>
        <v>3</v>
      </c>
      <c r="C113">
        <f t="shared" si="3"/>
        <v>35</v>
      </c>
      <c r="D113" cm="1">
        <f t="array" ref="D113">INDEX('Linha 06'!$A$4:$A$1000,B113)</f>
        <v>20060010</v>
      </c>
      <c r="E113" t="str" cm="1">
        <f t="array" ref="E113">INDEX('Linha 06'!$B$4:$B$1000,B113)</f>
        <v>Limp Perf Aquafast Magia Da Infancia Cx/12 X 500ml</v>
      </c>
      <c r="F113" cm="1">
        <f t="array" ref="F113">INDEX('Linha 06'!$C$3:$ZZ$3,C113)</f>
        <v>20220019</v>
      </c>
      <c r="G113" t="str" cm="1">
        <f t="array" ref="G113">INDEX('Linha 06'!$C$2:$ZZ$2,C113)</f>
        <v>Intermed. Aromat. Figo E Cedro Cx C/ 12un 250ml</v>
      </c>
      <c r="H113" s="5" cm="1">
        <f t="array" ref="H113">INDEX('Linha 06'!$C$4:$ZZ$1000,B113,C113)</f>
        <v>0</v>
      </c>
    </row>
    <row r="114" spans="1:8" x14ac:dyDescent="0.25">
      <c r="A114">
        <v>112</v>
      </c>
      <c r="B114">
        <f t="shared" si="2"/>
        <v>3</v>
      </c>
      <c r="C114">
        <f t="shared" si="3"/>
        <v>36</v>
      </c>
      <c r="D114" cm="1">
        <f t="array" ref="D114">INDEX('Linha 06'!$A$4:$A$1000,B114)</f>
        <v>20060010</v>
      </c>
      <c r="E114" t="str" cm="1">
        <f t="array" ref="E114">INDEX('Linha 06'!$B$4:$B$1000,B114)</f>
        <v>Limp Perf Aquafast Magia Da Infancia Cx/12 X 500ml</v>
      </c>
      <c r="F114" cm="1">
        <f t="array" ref="F114">INDEX('Linha 06'!$C$3:$ZZ$3,C114)</f>
        <v>20220020</v>
      </c>
      <c r="G114" t="str" cm="1">
        <f t="array" ref="G114">INDEX('Linha 06'!$C$2:$ZZ$2,C114)</f>
        <v>Intermed. Aromat. Rosas E Magnolias Cx C/ 12un 250ml</v>
      </c>
      <c r="H114" s="5" cm="1">
        <f t="array" ref="H114">INDEX('Linha 06'!$C$4:$ZZ$1000,B114,C114)</f>
        <v>0</v>
      </c>
    </row>
    <row r="115" spans="1:8" x14ac:dyDescent="0.25">
      <c r="A115">
        <v>113</v>
      </c>
      <c r="B115">
        <f t="shared" si="2"/>
        <v>3</v>
      </c>
      <c r="C115">
        <f t="shared" si="3"/>
        <v>37</v>
      </c>
      <c r="D115" cm="1">
        <f t="array" ref="D115">INDEX('Linha 06'!$A$4:$A$1000,B115)</f>
        <v>20060010</v>
      </c>
      <c r="E115" t="str" cm="1">
        <f t="array" ref="E115">INDEX('Linha 06'!$B$4:$B$1000,B115)</f>
        <v>Limp Perf Aquafast Magia Da Infancia Cx/12 X 500ml</v>
      </c>
      <c r="F115" cm="1">
        <f t="array" ref="F115">INDEX('Linha 06'!$C$3:$ZZ$3,C115)</f>
        <v>20220021</v>
      </c>
      <c r="G115" t="str" cm="1">
        <f t="array" ref="G115">INDEX('Linha 06'!$C$2:$ZZ$2,C115)</f>
        <v>Intermed. Aromat. Flores Exoticas Cx C/ 12un 250ml</v>
      </c>
      <c r="H115" s="5" cm="1">
        <f t="array" ref="H115">INDEX('Linha 06'!$C$4:$ZZ$1000,B115,C115)</f>
        <v>0</v>
      </c>
    </row>
    <row r="116" spans="1:8" x14ac:dyDescent="0.25">
      <c r="A116">
        <v>114</v>
      </c>
      <c r="B116">
        <f t="shared" si="2"/>
        <v>3</v>
      </c>
      <c r="C116">
        <f t="shared" si="3"/>
        <v>38</v>
      </c>
      <c r="D116" cm="1">
        <f t="array" ref="D116">INDEX('Linha 06'!$A$4:$A$1000,B116)</f>
        <v>20060010</v>
      </c>
      <c r="E116" t="str" cm="1">
        <f t="array" ref="E116">INDEX('Linha 06'!$B$4:$B$1000,B116)</f>
        <v>Limp Perf Aquafast Magia Da Infancia Cx/12 X 500ml</v>
      </c>
      <c r="F116" cm="1">
        <f t="array" ref="F116">INDEX('Linha 06'!$C$3:$ZZ$3,C116)</f>
        <v>20220022</v>
      </c>
      <c r="G116" t="str" cm="1">
        <f t="array" ref="G116">INDEX('Linha 06'!$C$2:$ZZ$2,C116)</f>
        <v>Intermed. Aromat. Cha Verde E Grapef Cx C/ 12un 250ml</v>
      </c>
      <c r="H116" s="5" cm="1">
        <f t="array" ref="H116">INDEX('Linha 06'!$C$4:$ZZ$1000,B116,C116)</f>
        <v>0</v>
      </c>
    </row>
    <row r="117" spans="1:8" x14ac:dyDescent="0.25">
      <c r="A117">
        <v>115</v>
      </c>
      <c r="B117">
        <f t="shared" si="2"/>
        <v>4</v>
      </c>
      <c r="C117">
        <f t="shared" si="3"/>
        <v>1</v>
      </c>
      <c r="D117" cm="1">
        <f t="array" ref="D117">INDEX('Linha 06'!$A$4:$A$1000,B117)</f>
        <v>20060011</v>
      </c>
      <c r="E117" t="str" cm="1">
        <f t="array" ref="E117">INDEX('Linha 06'!$B$4:$B$1000,B117)</f>
        <v>Limp Perf Aquafast Frescor Da Manha Cx/12 X 500ml</v>
      </c>
      <c r="F117" cm="1">
        <f t="array" ref="F117">INDEX('Linha 06'!$C$3:$ZZ$3,C117)</f>
        <v>20060001</v>
      </c>
      <c r="G117" t="str" cm="1">
        <f t="array" ref="G117">INDEX('Linha 06'!$C$2:$ZZ$2,C117)</f>
        <v>Limp Perf Aquafast Magia Seducao Cx/12 X 500ml</v>
      </c>
      <c r="H117" s="5" cm="1">
        <f t="array" ref="H117">INDEX('Linha 06'!$C$4:$ZZ$1000,B117,C117)</f>
        <v>0</v>
      </c>
    </row>
    <row r="118" spans="1:8" x14ac:dyDescent="0.25">
      <c r="A118">
        <v>116</v>
      </c>
      <c r="B118">
        <f t="shared" si="2"/>
        <v>4</v>
      </c>
      <c r="C118">
        <f t="shared" si="3"/>
        <v>2</v>
      </c>
      <c r="D118" cm="1">
        <f t="array" ref="D118">INDEX('Linha 06'!$A$4:$A$1000,B118)</f>
        <v>20060011</v>
      </c>
      <c r="E118" t="str" cm="1">
        <f t="array" ref="E118">INDEX('Linha 06'!$B$4:$B$1000,B118)</f>
        <v>Limp Perf Aquafast Frescor Da Manha Cx/12 X 500ml</v>
      </c>
      <c r="F118" cm="1">
        <f t="array" ref="F118">INDEX('Linha 06'!$C$3:$ZZ$3,C118)</f>
        <v>20060004</v>
      </c>
      <c r="G118" t="str" cm="1">
        <f t="array" ref="G118">INDEX('Linha 06'!$C$2:$ZZ$2,C118)</f>
        <v>Limp Perf Aquafast Magia Seducao Cx/12 X 1l</v>
      </c>
      <c r="H118" s="5" cm="1">
        <f t="array" ref="H118">INDEX('Linha 06'!$C$4:$ZZ$1000,B118,C118)</f>
        <v>0</v>
      </c>
    </row>
    <row r="119" spans="1:8" x14ac:dyDescent="0.25">
      <c r="A119">
        <v>117</v>
      </c>
      <c r="B119">
        <f t="shared" si="2"/>
        <v>4</v>
      </c>
      <c r="C119">
        <f t="shared" si="3"/>
        <v>3</v>
      </c>
      <c r="D119" cm="1">
        <f t="array" ref="D119">INDEX('Linha 06'!$A$4:$A$1000,B119)</f>
        <v>20060011</v>
      </c>
      <c r="E119" t="str" cm="1">
        <f t="array" ref="E119">INDEX('Linha 06'!$B$4:$B$1000,B119)</f>
        <v>Limp Perf Aquafast Frescor Da Manha Cx/12 X 500ml</v>
      </c>
      <c r="F119" cm="1">
        <f t="array" ref="F119">INDEX('Linha 06'!$C$3:$ZZ$3,C119)</f>
        <v>20060010</v>
      </c>
      <c r="G119" t="str" cm="1">
        <f t="array" ref="G119">INDEX('Linha 06'!$C$2:$ZZ$2,C119)</f>
        <v>Limp Perf Aquafast Magia Da Infancia Cx/12 X 500ml</v>
      </c>
      <c r="H119" s="5" cm="1">
        <f t="array" ref="H119">INDEX('Linha 06'!$C$4:$ZZ$1000,B119,C119)</f>
        <v>0</v>
      </c>
    </row>
    <row r="120" spans="1:8" x14ac:dyDescent="0.25">
      <c r="A120">
        <v>118</v>
      </c>
      <c r="B120">
        <f t="shared" si="2"/>
        <v>4</v>
      </c>
      <c r="C120">
        <f t="shared" si="3"/>
        <v>4</v>
      </c>
      <c r="D120" cm="1">
        <f t="array" ref="D120">INDEX('Linha 06'!$A$4:$A$1000,B120)</f>
        <v>20060011</v>
      </c>
      <c r="E120" t="str" cm="1">
        <f t="array" ref="E120">INDEX('Linha 06'!$B$4:$B$1000,B120)</f>
        <v>Limp Perf Aquafast Frescor Da Manha Cx/12 X 500ml</v>
      </c>
      <c r="F120" cm="1">
        <f t="array" ref="F120">INDEX('Linha 06'!$C$3:$ZZ$3,C120)</f>
        <v>20060011</v>
      </c>
      <c r="G120" t="str" cm="1">
        <f t="array" ref="G120">INDEX('Linha 06'!$C$2:$ZZ$2,C120)</f>
        <v>Limp Perf Aquafast Frescor Da Manha Cx/12 X 500ml</v>
      </c>
      <c r="H120" s="5" cm="1">
        <f t="array" ref="H120">INDEX('Linha 06'!$C$4:$ZZ$1000,B120,C120)</f>
        <v>0</v>
      </c>
    </row>
    <row r="121" spans="1:8" x14ac:dyDescent="0.25">
      <c r="A121">
        <v>119</v>
      </c>
      <c r="B121">
        <f t="shared" si="2"/>
        <v>4</v>
      </c>
      <c r="C121">
        <f t="shared" si="3"/>
        <v>5</v>
      </c>
      <c r="D121" cm="1">
        <f t="array" ref="D121">INDEX('Linha 06'!$A$4:$A$1000,B121)</f>
        <v>20060011</v>
      </c>
      <c r="E121" t="str" cm="1">
        <f t="array" ref="E121">INDEX('Linha 06'!$B$4:$B$1000,B121)</f>
        <v>Limp Perf Aquafast Frescor Da Manha Cx/12 X 500ml</v>
      </c>
      <c r="F121" cm="1">
        <f t="array" ref="F121">INDEX('Linha 06'!$C$3:$ZZ$3,C121)</f>
        <v>20060012</v>
      </c>
      <c r="G121" t="str" cm="1">
        <f t="array" ref="G121">INDEX('Linha 06'!$C$2:$ZZ$2,C121)</f>
        <v>Limp Perf Aquafast Magia Da Infancia Cx/12 X 1l</v>
      </c>
      <c r="H121" s="5" cm="1">
        <f t="array" ref="H121">INDEX('Linha 06'!$C$4:$ZZ$1000,B121,C121)</f>
        <v>0</v>
      </c>
    </row>
    <row r="122" spans="1:8" x14ac:dyDescent="0.25">
      <c r="A122">
        <v>120</v>
      </c>
      <c r="B122">
        <f t="shared" si="2"/>
        <v>4</v>
      </c>
      <c r="C122">
        <f t="shared" si="3"/>
        <v>6</v>
      </c>
      <c r="D122" cm="1">
        <f t="array" ref="D122">INDEX('Linha 06'!$A$4:$A$1000,B122)</f>
        <v>20060011</v>
      </c>
      <c r="E122" t="str" cm="1">
        <f t="array" ref="E122">INDEX('Linha 06'!$B$4:$B$1000,B122)</f>
        <v>Limp Perf Aquafast Frescor Da Manha Cx/12 X 500ml</v>
      </c>
      <c r="F122" cm="1">
        <f t="array" ref="F122">INDEX('Linha 06'!$C$3:$ZZ$3,C122)</f>
        <v>20060013</v>
      </c>
      <c r="G122" t="str" cm="1">
        <f t="array" ref="G122">INDEX('Linha 06'!$C$2:$ZZ$2,C122)</f>
        <v>Limp Perf Aquafast Frescor Da Manha Cx/12 X 1l</v>
      </c>
      <c r="H122" s="5" cm="1">
        <f t="array" ref="H122">INDEX('Linha 06'!$C$4:$ZZ$1000,B122,C122)</f>
        <v>0</v>
      </c>
    </row>
    <row r="123" spans="1:8" x14ac:dyDescent="0.25">
      <c r="A123">
        <v>121</v>
      </c>
      <c r="B123">
        <f t="shared" si="2"/>
        <v>4</v>
      </c>
      <c r="C123">
        <f t="shared" si="3"/>
        <v>7</v>
      </c>
      <c r="D123" cm="1">
        <f t="array" ref="D123">INDEX('Linha 06'!$A$4:$A$1000,B123)</f>
        <v>20060011</v>
      </c>
      <c r="E123" t="str" cm="1">
        <f t="array" ref="E123">INDEX('Linha 06'!$B$4:$B$1000,B123)</f>
        <v>Limp Perf Aquafast Frescor Da Manha Cx/12 X 500ml</v>
      </c>
      <c r="F123" cm="1">
        <f t="array" ref="F123">INDEX('Linha 06'!$C$3:$ZZ$3,C123)</f>
        <v>20060015</v>
      </c>
      <c r="G123" t="str" cm="1">
        <f t="array" ref="G123">INDEX('Linha 06'!$C$2:$ZZ$2,C123)</f>
        <v>Limp Perf Aquafast Doce Romance Cx/12 X 500ml</v>
      </c>
      <c r="H123" s="5" cm="1">
        <f t="array" ref="H123">INDEX('Linha 06'!$C$4:$ZZ$1000,B123,C123)</f>
        <v>0</v>
      </c>
    </row>
    <row r="124" spans="1:8" x14ac:dyDescent="0.25">
      <c r="A124">
        <v>122</v>
      </c>
      <c r="B124">
        <f t="shared" si="2"/>
        <v>4</v>
      </c>
      <c r="C124">
        <f t="shared" si="3"/>
        <v>8</v>
      </c>
      <c r="D124" cm="1">
        <f t="array" ref="D124">INDEX('Linha 06'!$A$4:$A$1000,B124)</f>
        <v>20060011</v>
      </c>
      <c r="E124" t="str" cm="1">
        <f t="array" ref="E124">INDEX('Linha 06'!$B$4:$B$1000,B124)</f>
        <v>Limp Perf Aquafast Frescor Da Manha Cx/12 X 500ml</v>
      </c>
      <c r="F124" cm="1">
        <f t="array" ref="F124">INDEX('Linha 06'!$C$3:$ZZ$3,C124)</f>
        <v>20060016</v>
      </c>
      <c r="G124" t="str" cm="1">
        <f t="array" ref="G124">INDEX('Linha 06'!$C$2:$ZZ$2,C124)</f>
        <v>Limp Perf Aquafast Doce Romance Cx/12 X 1l</v>
      </c>
      <c r="H124" s="5" cm="1">
        <f t="array" ref="H124">INDEX('Linha 06'!$C$4:$ZZ$1000,B124,C124)</f>
        <v>0</v>
      </c>
    </row>
    <row r="125" spans="1:8" x14ac:dyDescent="0.25">
      <c r="A125">
        <v>123</v>
      </c>
      <c r="B125">
        <f t="shared" si="2"/>
        <v>4</v>
      </c>
      <c r="C125">
        <f t="shared" si="3"/>
        <v>9</v>
      </c>
      <c r="D125" cm="1">
        <f t="array" ref="D125">INDEX('Linha 06'!$A$4:$A$1000,B125)</f>
        <v>20060011</v>
      </c>
      <c r="E125" t="str" cm="1">
        <f t="array" ref="E125">INDEX('Linha 06'!$B$4:$B$1000,B125)</f>
        <v>Limp Perf Aquafast Frescor Da Manha Cx/12 X 500ml</v>
      </c>
      <c r="F125" cm="1">
        <f t="array" ref="F125">INDEX('Linha 06'!$C$3:$ZZ$3,C125)</f>
        <v>20060027</v>
      </c>
      <c r="G125" t="str" cm="1">
        <f t="array" ref="G125">INDEX('Linha 06'!$C$2:$ZZ$2,C125)</f>
        <v>Limp Perf Aquafast Essencia Natural Cx/12 X 1l</v>
      </c>
      <c r="H125" s="5" cm="1">
        <f t="array" ref="H125">INDEX('Linha 06'!$C$4:$ZZ$1000,B125,C125)</f>
        <v>0</v>
      </c>
    </row>
    <row r="126" spans="1:8" x14ac:dyDescent="0.25">
      <c r="A126">
        <v>124</v>
      </c>
      <c r="B126">
        <f t="shared" si="2"/>
        <v>4</v>
      </c>
      <c r="C126">
        <f t="shared" si="3"/>
        <v>10</v>
      </c>
      <c r="D126" cm="1">
        <f t="array" ref="D126">INDEX('Linha 06'!$A$4:$A$1000,B126)</f>
        <v>20060011</v>
      </c>
      <c r="E126" t="str" cm="1">
        <f t="array" ref="E126">INDEX('Linha 06'!$B$4:$B$1000,B126)</f>
        <v>Limp Perf Aquafast Frescor Da Manha Cx/12 X 500ml</v>
      </c>
      <c r="F126" cm="1">
        <f t="array" ref="F126">INDEX('Linha 06'!$C$3:$ZZ$3,C126)</f>
        <v>20070001</v>
      </c>
      <c r="G126" t="str" cm="1">
        <f t="array" ref="G126">INDEX('Linha 06'!$C$2:$ZZ$2,C126)</f>
        <v>Limpa Vidros Aquafast Pulverizador Cx/12 X 500ml</v>
      </c>
      <c r="H126" s="5" cm="1">
        <f t="array" ref="H126">INDEX('Linha 06'!$C$4:$ZZ$1000,B126,C126)</f>
        <v>0</v>
      </c>
    </row>
    <row r="127" spans="1:8" x14ac:dyDescent="0.25">
      <c r="A127">
        <v>125</v>
      </c>
      <c r="B127">
        <f t="shared" si="2"/>
        <v>4</v>
      </c>
      <c r="C127">
        <f t="shared" si="3"/>
        <v>11</v>
      </c>
      <c r="D127" cm="1">
        <f t="array" ref="D127">INDEX('Linha 06'!$A$4:$A$1000,B127)</f>
        <v>20060011</v>
      </c>
      <c r="E127" t="str" cm="1">
        <f t="array" ref="E127">INDEX('Linha 06'!$B$4:$B$1000,B127)</f>
        <v>Limp Perf Aquafast Frescor Da Manha Cx/12 X 500ml</v>
      </c>
      <c r="F127" cm="1">
        <f t="array" ref="F127">INDEX('Linha 06'!$C$3:$ZZ$3,C127)</f>
        <v>20070002</v>
      </c>
      <c r="G127" t="str" cm="1">
        <f t="array" ref="G127">INDEX('Linha 06'!$C$2:$ZZ$2,C127)</f>
        <v>Limpa Vidros Aquafast Recarga Cx/12 X 500ml</v>
      </c>
      <c r="H127" s="5" cm="1">
        <f t="array" ref="H127">INDEX('Linha 06'!$C$4:$ZZ$1000,B127,C127)</f>
        <v>0</v>
      </c>
    </row>
    <row r="128" spans="1:8" x14ac:dyDescent="0.25">
      <c r="A128">
        <v>126</v>
      </c>
      <c r="B128">
        <f t="shared" si="2"/>
        <v>4</v>
      </c>
      <c r="C128">
        <f t="shared" si="3"/>
        <v>12</v>
      </c>
      <c r="D128" cm="1">
        <f t="array" ref="D128">INDEX('Linha 06'!$A$4:$A$1000,B128)</f>
        <v>20060011</v>
      </c>
      <c r="E128" t="str" cm="1">
        <f t="array" ref="E128">INDEX('Linha 06'!$B$4:$B$1000,B128)</f>
        <v>Limp Perf Aquafast Frescor Da Manha Cx/12 X 500ml</v>
      </c>
      <c r="F128" cm="1">
        <f t="array" ref="F128">INDEX('Linha 06'!$C$3:$ZZ$3,C128)</f>
        <v>20070006</v>
      </c>
      <c r="G128" t="str" cm="1">
        <f t="array" ref="G128">INDEX('Linha 06'!$C$2:$ZZ$2,C128)</f>
        <v>Limpa Vidros Ito Pulverizador Cx/12 X 500ml</v>
      </c>
      <c r="H128" s="5" cm="1">
        <f t="array" ref="H128">INDEX('Linha 06'!$C$4:$ZZ$1000,B128,C128)</f>
        <v>0</v>
      </c>
    </row>
    <row r="129" spans="1:8" x14ac:dyDescent="0.25">
      <c r="A129">
        <v>127</v>
      </c>
      <c r="B129">
        <f t="shared" si="2"/>
        <v>4</v>
      </c>
      <c r="C129">
        <f t="shared" si="3"/>
        <v>13</v>
      </c>
      <c r="D129" cm="1">
        <f t="array" ref="D129">INDEX('Linha 06'!$A$4:$A$1000,B129)</f>
        <v>20060011</v>
      </c>
      <c r="E129" t="str" cm="1">
        <f t="array" ref="E129">INDEX('Linha 06'!$B$4:$B$1000,B129)</f>
        <v>Limp Perf Aquafast Frescor Da Manha Cx/12 X 500ml</v>
      </c>
      <c r="F129" cm="1">
        <f t="array" ref="F129">INDEX('Linha 06'!$C$3:$ZZ$3,C129)</f>
        <v>20070007</v>
      </c>
      <c r="G129" t="str" cm="1">
        <f t="array" ref="G129">INDEX('Linha 06'!$C$2:$ZZ$2,C129)</f>
        <v>Limpa Vidros Ito Recarga Cx/12 X 500ml</v>
      </c>
      <c r="H129" s="5" cm="1">
        <f t="array" ref="H129">INDEX('Linha 06'!$C$4:$ZZ$1000,B129,C129)</f>
        <v>0</v>
      </c>
    </row>
    <row r="130" spans="1:8" x14ac:dyDescent="0.25">
      <c r="A130">
        <v>128</v>
      </c>
      <c r="B130">
        <f t="shared" si="2"/>
        <v>4</v>
      </c>
      <c r="C130">
        <f t="shared" si="3"/>
        <v>14</v>
      </c>
      <c r="D130" cm="1">
        <f t="array" ref="D130">INDEX('Linha 06'!$A$4:$A$1000,B130)</f>
        <v>20060011</v>
      </c>
      <c r="E130" t="str" cm="1">
        <f t="array" ref="E130">INDEX('Linha 06'!$B$4:$B$1000,B130)</f>
        <v>Limp Perf Aquafast Frescor Da Manha Cx/12 X 500ml</v>
      </c>
      <c r="F130" cm="1">
        <f t="array" ref="F130">INDEX('Linha 06'!$C$3:$ZZ$3,C130)</f>
        <v>20070008</v>
      </c>
      <c r="G130" t="str" cm="1">
        <f t="array" ref="G130">INDEX('Linha 06'!$C$2:$ZZ$2,C130)</f>
        <v>Limpa Vidros Aquafast Squeeze Cx/12 X 500ml</v>
      </c>
      <c r="H130" s="5" cm="1">
        <f t="array" ref="H130">INDEX('Linha 06'!$C$4:$ZZ$1000,B130,C130)</f>
        <v>0</v>
      </c>
    </row>
    <row r="131" spans="1:8" x14ac:dyDescent="0.25">
      <c r="A131">
        <v>129</v>
      </c>
      <c r="B131">
        <f t="shared" si="2"/>
        <v>4</v>
      </c>
      <c r="C131">
        <f t="shared" si="3"/>
        <v>15</v>
      </c>
      <c r="D131" cm="1">
        <f t="array" ref="D131">INDEX('Linha 06'!$A$4:$A$1000,B131)</f>
        <v>20060011</v>
      </c>
      <c r="E131" t="str" cm="1">
        <f t="array" ref="E131">INDEX('Linha 06'!$B$4:$B$1000,B131)</f>
        <v>Limp Perf Aquafast Frescor Da Manha Cx/12 X 500ml</v>
      </c>
      <c r="F131" cm="1">
        <f t="array" ref="F131">INDEX('Linha 06'!$C$3:$ZZ$3,C131)</f>
        <v>20090001</v>
      </c>
      <c r="G131" t="str" cm="1">
        <f t="array" ref="G131">INDEX('Linha 06'!$C$2:$ZZ$2,C131)</f>
        <v>Desengordurante Aquafast Pulverizador Cx/12 X 500ml</v>
      </c>
      <c r="H131" s="5" cm="1">
        <f t="array" ref="H131">INDEX('Linha 06'!$C$4:$ZZ$1000,B131,C131)</f>
        <v>0</v>
      </c>
    </row>
    <row r="132" spans="1:8" x14ac:dyDescent="0.25">
      <c r="A132">
        <v>130</v>
      </c>
      <c r="B132">
        <f t="shared" ref="B132:B195" si="4">INT((A132-1)/$B$1)+1</f>
        <v>4</v>
      </c>
      <c r="C132">
        <f t="shared" ref="C132:C195" si="5">MOD(A132-1,$B$1)+1</f>
        <v>16</v>
      </c>
      <c r="D132" cm="1">
        <f t="array" ref="D132">INDEX('Linha 06'!$A$4:$A$1000,B132)</f>
        <v>20060011</v>
      </c>
      <c r="E132" t="str" cm="1">
        <f t="array" ref="E132">INDEX('Linha 06'!$B$4:$B$1000,B132)</f>
        <v>Limp Perf Aquafast Frescor Da Manha Cx/12 X 500ml</v>
      </c>
      <c r="F132" cm="1">
        <f t="array" ref="F132">INDEX('Linha 06'!$C$3:$ZZ$3,C132)</f>
        <v>20090002</v>
      </c>
      <c r="G132" t="str" cm="1">
        <f t="array" ref="G132">INDEX('Linha 06'!$C$2:$ZZ$2,C132)</f>
        <v>Desengordurante Aquafast Recarga Cx/12 X 500ml</v>
      </c>
      <c r="H132" s="5" cm="1">
        <f t="array" ref="H132">INDEX('Linha 06'!$C$4:$ZZ$1000,B132,C132)</f>
        <v>0</v>
      </c>
    </row>
    <row r="133" spans="1:8" x14ac:dyDescent="0.25">
      <c r="A133">
        <v>131</v>
      </c>
      <c r="B133">
        <f t="shared" si="4"/>
        <v>4</v>
      </c>
      <c r="C133">
        <f t="shared" si="5"/>
        <v>17</v>
      </c>
      <c r="D133" cm="1">
        <f t="array" ref="D133">INDEX('Linha 06'!$A$4:$A$1000,B133)</f>
        <v>20060011</v>
      </c>
      <c r="E133" t="str" cm="1">
        <f t="array" ref="E133">INDEX('Linha 06'!$B$4:$B$1000,B133)</f>
        <v>Limp Perf Aquafast Frescor Da Manha Cx/12 X 500ml</v>
      </c>
      <c r="F133" cm="1">
        <f t="array" ref="F133">INDEX('Linha 06'!$C$3:$ZZ$3,C133)</f>
        <v>20090004</v>
      </c>
      <c r="G133" t="str" cm="1">
        <f t="array" ref="G133">INDEX('Linha 06'!$C$2:$ZZ$2,C133)</f>
        <v>Desengordurante Aquafast Squeeze Cx C/12 X 500ml</v>
      </c>
      <c r="H133" s="5" cm="1">
        <f t="array" ref="H133">INDEX('Linha 06'!$C$4:$ZZ$1000,B133,C133)</f>
        <v>0</v>
      </c>
    </row>
    <row r="134" spans="1:8" x14ac:dyDescent="0.25">
      <c r="A134">
        <v>132</v>
      </c>
      <c r="B134">
        <f t="shared" si="4"/>
        <v>4</v>
      </c>
      <c r="C134">
        <f t="shared" si="5"/>
        <v>18</v>
      </c>
      <c r="D134" cm="1">
        <f t="array" ref="D134">INDEX('Linha 06'!$A$4:$A$1000,B134)</f>
        <v>20060011</v>
      </c>
      <c r="E134" t="str" cm="1">
        <f t="array" ref="E134">INDEX('Linha 06'!$B$4:$B$1000,B134)</f>
        <v>Limp Perf Aquafast Frescor Da Manha Cx/12 X 500ml</v>
      </c>
      <c r="F134" cm="1">
        <f t="array" ref="F134">INDEX('Linha 06'!$C$3:$ZZ$3,C134)</f>
        <v>20090005</v>
      </c>
      <c r="G134" t="str" cm="1">
        <f t="array" ref="G134">INDEX('Linha 06'!$C$2:$ZZ$2,C134)</f>
        <v>Desengordurante Aquafast Squeeze Cx C/12 X 1l</v>
      </c>
      <c r="H134" s="5" cm="1">
        <f t="array" ref="H134">INDEX('Linha 06'!$C$4:$ZZ$1000,B134,C134)</f>
        <v>0</v>
      </c>
    </row>
    <row r="135" spans="1:8" x14ac:dyDescent="0.25">
      <c r="A135">
        <v>133</v>
      </c>
      <c r="B135">
        <f t="shared" si="4"/>
        <v>4</v>
      </c>
      <c r="C135">
        <f t="shared" si="5"/>
        <v>19</v>
      </c>
      <c r="D135" cm="1">
        <f t="array" ref="D135">INDEX('Linha 06'!$A$4:$A$1000,B135)</f>
        <v>20060011</v>
      </c>
      <c r="E135" t="str" cm="1">
        <f t="array" ref="E135">INDEX('Linha 06'!$B$4:$B$1000,B135)</f>
        <v>Limp Perf Aquafast Frescor Da Manha Cx/12 X 500ml</v>
      </c>
      <c r="F135" cm="1">
        <f t="array" ref="F135">INDEX('Linha 06'!$C$3:$ZZ$3,C135)</f>
        <v>20090010</v>
      </c>
      <c r="G135" t="str" cm="1">
        <f t="array" ref="G135">INDEX('Linha 06'!$C$2:$ZZ$2,C135)</f>
        <v>Intermed Pack Desengord Squeeze Cx C/18 X 500ml</v>
      </c>
      <c r="H135" s="5" cm="1">
        <f t="array" ref="H135">INDEX('Linha 06'!$C$4:$ZZ$1000,B135,C135)</f>
        <v>0</v>
      </c>
    </row>
    <row r="136" spans="1:8" x14ac:dyDescent="0.25">
      <c r="A136">
        <v>134</v>
      </c>
      <c r="B136">
        <f t="shared" si="4"/>
        <v>4</v>
      </c>
      <c r="C136">
        <f t="shared" si="5"/>
        <v>20</v>
      </c>
      <c r="D136" cm="1">
        <f t="array" ref="D136">INDEX('Linha 06'!$A$4:$A$1000,B136)</f>
        <v>20060011</v>
      </c>
      <c r="E136" t="str" cm="1">
        <f t="array" ref="E136">INDEX('Linha 06'!$B$4:$B$1000,B136)</f>
        <v>Limp Perf Aquafast Frescor Da Manha Cx/12 X 500ml</v>
      </c>
      <c r="F136" cm="1">
        <f t="array" ref="F136">INDEX('Linha 06'!$C$3:$ZZ$3,C136)</f>
        <v>20110002</v>
      </c>
      <c r="G136" t="str" cm="1">
        <f t="array" ref="G136">INDEX('Linha 06'!$C$2:$ZZ$2,C136)</f>
        <v>Multi Uso Aquafast Squeeze Original Cx/12 X 500ml</v>
      </c>
      <c r="H136" s="5" cm="1">
        <f t="array" ref="H136">INDEX('Linha 06'!$C$4:$ZZ$1000,B136,C136)</f>
        <v>0</v>
      </c>
    </row>
    <row r="137" spans="1:8" x14ac:dyDescent="0.25">
      <c r="A137">
        <v>135</v>
      </c>
      <c r="B137">
        <f t="shared" si="4"/>
        <v>4</v>
      </c>
      <c r="C137">
        <f t="shared" si="5"/>
        <v>21</v>
      </c>
      <c r="D137" cm="1">
        <f t="array" ref="D137">INDEX('Linha 06'!$A$4:$A$1000,B137)</f>
        <v>20060011</v>
      </c>
      <c r="E137" t="str" cm="1">
        <f t="array" ref="E137">INDEX('Linha 06'!$B$4:$B$1000,B137)</f>
        <v>Limp Perf Aquafast Frescor Da Manha Cx/12 X 500ml</v>
      </c>
      <c r="F137" cm="1">
        <f t="array" ref="F137">INDEX('Linha 06'!$C$3:$ZZ$3,C137)</f>
        <v>20110004</v>
      </c>
      <c r="G137" t="str" cm="1">
        <f t="array" ref="G137">INDEX('Linha 06'!$C$2:$ZZ$2,C137)</f>
        <v>Multi Uso Aquafast Squeeze Lavanda Cx/12 X 500ml</v>
      </c>
      <c r="H137" s="5" cm="1">
        <f t="array" ref="H137">INDEX('Linha 06'!$C$4:$ZZ$1000,B137,C137)</f>
        <v>0</v>
      </c>
    </row>
    <row r="138" spans="1:8" x14ac:dyDescent="0.25">
      <c r="A138">
        <v>136</v>
      </c>
      <c r="B138">
        <f t="shared" si="4"/>
        <v>4</v>
      </c>
      <c r="C138">
        <f t="shared" si="5"/>
        <v>22</v>
      </c>
      <c r="D138" cm="1">
        <f t="array" ref="D138">INDEX('Linha 06'!$A$4:$A$1000,B138)</f>
        <v>20060011</v>
      </c>
      <c r="E138" t="str" cm="1">
        <f t="array" ref="E138">INDEX('Linha 06'!$B$4:$B$1000,B138)</f>
        <v>Limp Perf Aquafast Frescor Da Manha Cx/12 X 500ml</v>
      </c>
      <c r="F138" cm="1">
        <f t="array" ref="F138">INDEX('Linha 06'!$C$3:$ZZ$3,C138)</f>
        <v>20110007</v>
      </c>
      <c r="G138" t="str" cm="1">
        <f t="array" ref="G138">INDEX('Linha 06'!$C$2:$ZZ$2,C138)</f>
        <v>Multi Uso Aquafast Squeeze Seducao Cx/12 X 500ml</v>
      </c>
      <c r="H138" s="5" cm="1">
        <f t="array" ref="H138">INDEX('Linha 06'!$C$4:$ZZ$1000,B138,C138)</f>
        <v>0</v>
      </c>
    </row>
    <row r="139" spans="1:8" x14ac:dyDescent="0.25">
      <c r="A139">
        <v>137</v>
      </c>
      <c r="B139">
        <f t="shared" si="4"/>
        <v>4</v>
      </c>
      <c r="C139">
        <f t="shared" si="5"/>
        <v>23</v>
      </c>
      <c r="D139" cm="1">
        <f t="array" ref="D139">INDEX('Linha 06'!$A$4:$A$1000,B139)</f>
        <v>20060011</v>
      </c>
      <c r="E139" t="str" cm="1">
        <f t="array" ref="E139">INDEX('Linha 06'!$B$4:$B$1000,B139)</f>
        <v>Limp Perf Aquafast Frescor Da Manha Cx/12 X 500ml</v>
      </c>
      <c r="F139" cm="1">
        <f t="array" ref="F139">INDEX('Linha 06'!$C$3:$ZZ$3,C139)</f>
        <v>20110008</v>
      </c>
      <c r="G139" t="str" cm="1">
        <f t="array" ref="G139">INDEX('Linha 06'!$C$2:$ZZ$2,C139)</f>
        <v>Multi Uso Aquafast Squeeze Original Cx/12 X 1l</v>
      </c>
      <c r="H139" s="5" cm="1">
        <f t="array" ref="H139">INDEX('Linha 06'!$C$4:$ZZ$1000,B139,C139)</f>
        <v>0</v>
      </c>
    </row>
    <row r="140" spans="1:8" x14ac:dyDescent="0.25">
      <c r="A140">
        <v>138</v>
      </c>
      <c r="B140">
        <f t="shared" si="4"/>
        <v>4</v>
      </c>
      <c r="C140">
        <f t="shared" si="5"/>
        <v>24</v>
      </c>
      <c r="D140" cm="1">
        <f t="array" ref="D140">INDEX('Linha 06'!$A$4:$A$1000,B140)</f>
        <v>20060011</v>
      </c>
      <c r="E140" t="str" cm="1">
        <f t="array" ref="E140">INDEX('Linha 06'!$B$4:$B$1000,B140)</f>
        <v>Limp Perf Aquafast Frescor Da Manha Cx/12 X 500ml</v>
      </c>
      <c r="F140" cm="1">
        <f t="array" ref="F140">INDEX('Linha 06'!$C$3:$ZZ$3,C140)</f>
        <v>20110010</v>
      </c>
      <c r="G140" t="str" cm="1">
        <f t="array" ref="G140">INDEX('Linha 06'!$C$2:$ZZ$2,C140)</f>
        <v>Multi Uso Aquafast Squeeze Seducao Cx/12 1l</v>
      </c>
      <c r="H140" s="5" cm="1">
        <f t="array" ref="H140">INDEX('Linha 06'!$C$4:$ZZ$1000,B140,C140)</f>
        <v>0</v>
      </c>
    </row>
    <row r="141" spans="1:8" x14ac:dyDescent="0.25">
      <c r="A141">
        <v>139</v>
      </c>
      <c r="B141">
        <f t="shared" si="4"/>
        <v>4</v>
      </c>
      <c r="C141">
        <f t="shared" si="5"/>
        <v>25</v>
      </c>
      <c r="D141" cm="1">
        <f t="array" ref="D141">INDEX('Linha 06'!$A$4:$A$1000,B141)</f>
        <v>20060011</v>
      </c>
      <c r="E141" t="str" cm="1">
        <f t="array" ref="E141">INDEX('Linha 06'!$B$4:$B$1000,B141)</f>
        <v>Limp Perf Aquafast Frescor Da Manha Cx/12 X 500ml</v>
      </c>
      <c r="F141" cm="1">
        <f t="array" ref="F141">INDEX('Linha 06'!$C$3:$ZZ$3,C141)</f>
        <v>20110013</v>
      </c>
      <c r="G141" t="str" cm="1">
        <f t="array" ref="G141">INDEX('Linha 06'!$C$2:$ZZ$2,C141)</f>
        <v>Multi Uso Aquafast Squeeze Lavanda Cx/12 X 1l</v>
      </c>
      <c r="H141" s="5" cm="1">
        <f t="array" ref="H141">INDEX('Linha 06'!$C$4:$ZZ$1000,B141,C141)</f>
        <v>0</v>
      </c>
    </row>
    <row r="142" spans="1:8" x14ac:dyDescent="0.25">
      <c r="A142">
        <v>140</v>
      </c>
      <c r="B142">
        <f t="shared" si="4"/>
        <v>4</v>
      </c>
      <c r="C142">
        <f t="shared" si="5"/>
        <v>26</v>
      </c>
      <c r="D142" cm="1">
        <f t="array" ref="D142">INDEX('Linha 06'!$A$4:$A$1000,B142)</f>
        <v>20060011</v>
      </c>
      <c r="E142" t="str" cm="1">
        <f t="array" ref="E142">INDEX('Linha 06'!$B$4:$B$1000,B142)</f>
        <v>Limp Perf Aquafast Frescor Da Manha Cx/12 X 500ml</v>
      </c>
      <c r="F142" cm="1">
        <f t="array" ref="F142">INDEX('Linha 06'!$C$3:$ZZ$3,C142)</f>
        <v>20110022</v>
      </c>
      <c r="G142" t="str" cm="1">
        <f t="array" ref="G142">INDEX('Linha 06'!$C$2:$ZZ$2,C142)</f>
        <v>Intermed Pack Multi Uso Lavand C/Alcool Cx/18 X 500ml</v>
      </c>
      <c r="H142" s="5" cm="1">
        <f t="array" ref="H142">INDEX('Linha 06'!$C$4:$ZZ$1000,B142,C142)</f>
        <v>0</v>
      </c>
    </row>
    <row r="143" spans="1:8" x14ac:dyDescent="0.25">
      <c r="A143">
        <v>141</v>
      </c>
      <c r="B143">
        <f t="shared" si="4"/>
        <v>4</v>
      </c>
      <c r="C143">
        <f t="shared" si="5"/>
        <v>27</v>
      </c>
      <c r="D143" cm="1">
        <f t="array" ref="D143">INDEX('Linha 06'!$A$4:$A$1000,B143)</f>
        <v>20060011</v>
      </c>
      <c r="E143" t="str" cm="1">
        <f t="array" ref="E143">INDEX('Linha 06'!$B$4:$B$1000,B143)</f>
        <v>Limp Perf Aquafast Frescor Da Manha Cx/12 X 500ml</v>
      </c>
      <c r="F143" cm="1">
        <f t="array" ref="F143">INDEX('Linha 06'!$C$3:$ZZ$3,C143)</f>
        <v>20110023</v>
      </c>
      <c r="G143" t="str" cm="1">
        <f t="array" ref="G143">INDEX('Linha 06'!$C$2:$ZZ$2,C143)</f>
        <v>Multi Uso Aquafast Squeeze Cha Branco  Cx/12 X 500ml</v>
      </c>
      <c r="H143" s="5" cm="1">
        <f t="array" ref="H143">INDEX('Linha 06'!$C$4:$ZZ$1000,B143,C143)</f>
        <v>0</v>
      </c>
    </row>
    <row r="144" spans="1:8" x14ac:dyDescent="0.25">
      <c r="A144">
        <v>142</v>
      </c>
      <c r="B144">
        <f t="shared" si="4"/>
        <v>4</v>
      </c>
      <c r="C144">
        <f t="shared" si="5"/>
        <v>28</v>
      </c>
      <c r="D144" cm="1">
        <f t="array" ref="D144">INDEX('Linha 06'!$A$4:$A$1000,B144)</f>
        <v>20060011</v>
      </c>
      <c r="E144" t="str" cm="1">
        <f t="array" ref="E144">INDEX('Linha 06'!$B$4:$B$1000,B144)</f>
        <v>Limp Perf Aquafast Frescor Da Manha Cx/12 X 500ml</v>
      </c>
      <c r="F144" cm="1">
        <f t="array" ref="F144">INDEX('Linha 06'!$C$3:$ZZ$3,C144)</f>
        <v>20110024</v>
      </c>
      <c r="G144" t="str" cm="1">
        <f t="array" ref="G144">INDEX('Linha 06'!$C$2:$ZZ$2,C144)</f>
        <v>Multi Uso Aquafast Squeeze Cha Branco Cx12 X 1l</v>
      </c>
      <c r="H144" s="5" cm="1">
        <f t="array" ref="H144">INDEX('Linha 06'!$C$4:$ZZ$1000,B144,C144)</f>
        <v>0</v>
      </c>
    </row>
    <row r="145" spans="1:8" x14ac:dyDescent="0.25">
      <c r="A145">
        <v>143</v>
      </c>
      <c r="B145">
        <f t="shared" si="4"/>
        <v>4</v>
      </c>
      <c r="C145">
        <f t="shared" si="5"/>
        <v>29</v>
      </c>
      <c r="D145" cm="1">
        <f t="array" ref="D145">INDEX('Linha 06'!$A$4:$A$1000,B145)</f>
        <v>20060011</v>
      </c>
      <c r="E145" t="str" cm="1">
        <f t="array" ref="E145">INDEX('Linha 06'!$B$4:$B$1000,B145)</f>
        <v>Limp Perf Aquafast Frescor Da Manha Cx/12 X 500ml</v>
      </c>
      <c r="F145" cm="1">
        <f t="array" ref="F145">INDEX('Linha 06'!$C$3:$ZZ$3,C145)</f>
        <v>20110025</v>
      </c>
      <c r="G145" t="str" cm="1">
        <f t="array" ref="G145">INDEX('Linha 06'!$C$2:$ZZ$2,C145)</f>
        <v>Multi Uso Aquafast Pulverizador Original Cx/12 X 1l</v>
      </c>
      <c r="H145" s="5" cm="1">
        <f t="array" ref="H145">INDEX('Linha 06'!$C$4:$ZZ$1000,B145,C145)</f>
        <v>0</v>
      </c>
    </row>
    <row r="146" spans="1:8" x14ac:dyDescent="0.25">
      <c r="A146">
        <v>144</v>
      </c>
      <c r="B146">
        <f t="shared" si="4"/>
        <v>4</v>
      </c>
      <c r="C146">
        <f t="shared" si="5"/>
        <v>30</v>
      </c>
      <c r="D146" cm="1">
        <f t="array" ref="D146">INDEX('Linha 06'!$A$4:$A$1000,B146)</f>
        <v>20060011</v>
      </c>
      <c r="E146" t="str" cm="1">
        <f t="array" ref="E146">INDEX('Linha 06'!$B$4:$B$1000,B146)</f>
        <v>Limp Perf Aquafast Frescor Da Manha Cx/12 X 500ml</v>
      </c>
      <c r="F146" cm="1">
        <f t="array" ref="F146">INDEX('Linha 06'!$C$3:$ZZ$3,C146)</f>
        <v>20110026</v>
      </c>
      <c r="G146" t="str" cm="1">
        <f t="array" ref="G146">INDEX('Linha 06'!$C$2:$ZZ$2,C146)</f>
        <v>Multi Uso Aquafast Pulverizador Poder O2 Cx/12 X 1l</v>
      </c>
      <c r="H146" s="5" cm="1">
        <f t="array" ref="H146">INDEX('Linha 06'!$C$4:$ZZ$1000,B146,C146)</f>
        <v>0</v>
      </c>
    </row>
    <row r="147" spans="1:8" x14ac:dyDescent="0.25">
      <c r="A147">
        <v>145</v>
      </c>
      <c r="B147">
        <f t="shared" si="4"/>
        <v>4</v>
      </c>
      <c r="C147">
        <f t="shared" si="5"/>
        <v>31</v>
      </c>
      <c r="D147" cm="1">
        <f t="array" ref="D147">INDEX('Linha 06'!$A$4:$A$1000,B147)</f>
        <v>20060011</v>
      </c>
      <c r="E147" t="str" cm="1">
        <f t="array" ref="E147">INDEX('Linha 06'!$B$4:$B$1000,B147)</f>
        <v>Limp Perf Aquafast Frescor Da Manha Cx/12 X 500ml</v>
      </c>
      <c r="F147" cm="1">
        <f t="array" ref="F147">INDEX('Linha 06'!$C$3:$ZZ$3,C147)</f>
        <v>20110027</v>
      </c>
      <c r="G147" t="str" cm="1">
        <f t="array" ref="G147">INDEX('Linha 06'!$C$2:$ZZ$2,C147)</f>
        <v>Multi Uso Aquafast Pulverizador Poder O2 Cx/12 X 500ml</v>
      </c>
      <c r="H147" s="5" cm="1">
        <f t="array" ref="H147">INDEX('Linha 06'!$C$4:$ZZ$1000,B147,C147)</f>
        <v>0</v>
      </c>
    </row>
    <row r="148" spans="1:8" x14ac:dyDescent="0.25">
      <c r="A148">
        <v>146</v>
      </c>
      <c r="B148">
        <f t="shared" si="4"/>
        <v>4</v>
      </c>
      <c r="C148">
        <f t="shared" si="5"/>
        <v>32</v>
      </c>
      <c r="D148" cm="1">
        <f t="array" ref="D148">INDEX('Linha 06'!$A$4:$A$1000,B148)</f>
        <v>20060011</v>
      </c>
      <c r="E148" t="str" cm="1">
        <f t="array" ref="E148">INDEX('Linha 06'!$B$4:$B$1000,B148)</f>
        <v>Limp Perf Aquafast Frescor Da Manha Cx/12 X 500ml</v>
      </c>
      <c r="F148" cm="1">
        <f t="array" ref="F148">INDEX('Linha 06'!$C$3:$ZZ$3,C148)</f>
        <v>20200073</v>
      </c>
      <c r="G148" t="str" cm="1">
        <f t="array" ref="G148">INDEX('Linha 06'!$C$2:$ZZ$2,C148)</f>
        <v>Lava Roupas Aquafast Lavagem Rapida Total Clean Cx/9 X 1,5l</v>
      </c>
      <c r="H148" s="5" cm="1">
        <f t="array" ref="H148">INDEX('Linha 06'!$C$4:$ZZ$1000,B148,C148)</f>
        <v>0</v>
      </c>
    </row>
    <row r="149" spans="1:8" x14ac:dyDescent="0.25">
      <c r="A149">
        <v>147</v>
      </c>
      <c r="B149">
        <f t="shared" si="4"/>
        <v>4</v>
      </c>
      <c r="C149">
        <f t="shared" si="5"/>
        <v>33</v>
      </c>
      <c r="D149" cm="1">
        <f t="array" ref="D149">INDEX('Linha 06'!$A$4:$A$1000,B149)</f>
        <v>20060011</v>
      </c>
      <c r="E149" t="str" cm="1">
        <f t="array" ref="E149">INDEX('Linha 06'!$B$4:$B$1000,B149)</f>
        <v>Limp Perf Aquafast Frescor Da Manha Cx/12 X 500ml</v>
      </c>
      <c r="F149" cm="1">
        <f t="array" ref="F149">INDEX('Linha 06'!$C$3:$ZZ$3,C149)</f>
        <v>20200075</v>
      </c>
      <c r="G149" t="str" cm="1">
        <f t="array" ref="G149">INDEX('Linha 06'!$C$2:$ZZ$2,C149)</f>
        <v>Lava Roupas Aquafast Lavagem Rapida Fresh Clean Cx/9 X 1,5l</v>
      </c>
      <c r="H149" s="5" cm="1">
        <f t="array" ref="H149">INDEX('Linha 06'!$C$4:$ZZ$1000,B149,C149)</f>
        <v>0</v>
      </c>
    </row>
    <row r="150" spans="1:8" x14ac:dyDescent="0.25">
      <c r="A150">
        <v>148</v>
      </c>
      <c r="B150">
        <f t="shared" si="4"/>
        <v>4</v>
      </c>
      <c r="C150">
        <f t="shared" si="5"/>
        <v>34</v>
      </c>
      <c r="D150" cm="1">
        <f t="array" ref="D150">INDEX('Linha 06'!$A$4:$A$1000,B150)</f>
        <v>20060011</v>
      </c>
      <c r="E150" t="str" cm="1">
        <f t="array" ref="E150">INDEX('Linha 06'!$B$4:$B$1000,B150)</f>
        <v>Limp Perf Aquafast Frescor Da Manha Cx/12 X 500ml</v>
      </c>
      <c r="F150" cm="1">
        <f t="array" ref="F150">INDEX('Linha 06'!$C$3:$ZZ$3,C150)</f>
        <v>20220018</v>
      </c>
      <c r="G150" t="str" cm="1">
        <f t="array" ref="G150">INDEX('Linha 06'!$C$2:$ZZ$2,C150)</f>
        <v>Intermed. Aromat. Amoras E Baunilha Cx C/ 12un 250ml</v>
      </c>
      <c r="H150" s="5" cm="1">
        <f t="array" ref="H150">INDEX('Linha 06'!$C$4:$ZZ$1000,B150,C150)</f>
        <v>0</v>
      </c>
    </row>
    <row r="151" spans="1:8" x14ac:dyDescent="0.25">
      <c r="A151">
        <v>149</v>
      </c>
      <c r="B151">
        <f t="shared" si="4"/>
        <v>4</v>
      </c>
      <c r="C151">
        <f t="shared" si="5"/>
        <v>35</v>
      </c>
      <c r="D151" cm="1">
        <f t="array" ref="D151">INDEX('Linha 06'!$A$4:$A$1000,B151)</f>
        <v>20060011</v>
      </c>
      <c r="E151" t="str" cm="1">
        <f t="array" ref="E151">INDEX('Linha 06'!$B$4:$B$1000,B151)</f>
        <v>Limp Perf Aquafast Frescor Da Manha Cx/12 X 500ml</v>
      </c>
      <c r="F151" cm="1">
        <f t="array" ref="F151">INDEX('Linha 06'!$C$3:$ZZ$3,C151)</f>
        <v>20220019</v>
      </c>
      <c r="G151" t="str" cm="1">
        <f t="array" ref="G151">INDEX('Linha 06'!$C$2:$ZZ$2,C151)</f>
        <v>Intermed. Aromat. Figo E Cedro Cx C/ 12un 250ml</v>
      </c>
      <c r="H151" s="5" cm="1">
        <f t="array" ref="H151">INDEX('Linha 06'!$C$4:$ZZ$1000,B151,C151)</f>
        <v>0</v>
      </c>
    </row>
    <row r="152" spans="1:8" x14ac:dyDescent="0.25">
      <c r="A152">
        <v>150</v>
      </c>
      <c r="B152">
        <f t="shared" si="4"/>
        <v>4</v>
      </c>
      <c r="C152">
        <f t="shared" si="5"/>
        <v>36</v>
      </c>
      <c r="D152" cm="1">
        <f t="array" ref="D152">INDEX('Linha 06'!$A$4:$A$1000,B152)</f>
        <v>20060011</v>
      </c>
      <c r="E152" t="str" cm="1">
        <f t="array" ref="E152">INDEX('Linha 06'!$B$4:$B$1000,B152)</f>
        <v>Limp Perf Aquafast Frescor Da Manha Cx/12 X 500ml</v>
      </c>
      <c r="F152" cm="1">
        <f t="array" ref="F152">INDEX('Linha 06'!$C$3:$ZZ$3,C152)</f>
        <v>20220020</v>
      </c>
      <c r="G152" t="str" cm="1">
        <f t="array" ref="G152">INDEX('Linha 06'!$C$2:$ZZ$2,C152)</f>
        <v>Intermed. Aromat. Rosas E Magnolias Cx C/ 12un 250ml</v>
      </c>
      <c r="H152" s="5" cm="1">
        <f t="array" ref="H152">INDEX('Linha 06'!$C$4:$ZZ$1000,B152,C152)</f>
        <v>0</v>
      </c>
    </row>
    <row r="153" spans="1:8" x14ac:dyDescent="0.25">
      <c r="A153">
        <v>151</v>
      </c>
      <c r="B153">
        <f t="shared" si="4"/>
        <v>4</v>
      </c>
      <c r="C153">
        <f t="shared" si="5"/>
        <v>37</v>
      </c>
      <c r="D153" cm="1">
        <f t="array" ref="D153">INDEX('Linha 06'!$A$4:$A$1000,B153)</f>
        <v>20060011</v>
      </c>
      <c r="E153" t="str" cm="1">
        <f t="array" ref="E153">INDEX('Linha 06'!$B$4:$B$1000,B153)</f>
        <v>Limp Perf Aquafast Frescor Da Manha Cx/12 X 500ml</v>
      </c>
      <c r="F153" cm="1">
        <f t="array" ref="F153">INDEX('Linha 06'!$C$3:$ZZ$3,C153)</f>
        <v>20220021</v>
      </c>
      <c r="G153" t="str" cm="1">
        <f t="array" ref="G153">INDEX('Linha 06'!$C$2:$ZZ$2,C153)</f>
        <v>Intermed. Aromat. Flores Exoticas Cx C/ 12un 250ml</v>
      </c>
      <c r="H153" s="5" cm="1">
        <f t="array" ref="H153">INDEX('Linha 06'!$C$4:$ZZ$1000,B153,C153)</f>
        <v>0</v>
      </c>
    </row>
    <row r="154" spans="1:8" x14ac:dyDescent="0.25">
      <c r="A154">
        <v>152</v>
      </c>
      <c r="B154">
        <f t="shared" si="4"/>
        <v>4</v>
      </c>
      <c r="C154">
        <f t="shared" si="5"/>
        <v>38</v>
      </c>
      <c r="D154" cm="1">
        <f t="array" ref="D154">INDEX('Linha 06'!$A$4:$A$1000,B154)</f>
        <v>20060011</v>
      </c>
      <c r="E154" t="str" cm="1">
        <f t="array" ref="E154">INDEX('Linha 06'!$B$4:$B$1000,B154)</f>
        <v>Limp Perf Aquafast Frescor Da Manha Cx/12 X 500ml</v>
      </c>
      <c r="F154" cm="1">
        <f t="array" ref="F154">INDEX('Linha 06'!$C$3:$ZZ$3,C154)</f>
        <v>20220022</v>
      </c>
      <c r="G154" t="str" cm="1">
        <f t="array" ref="G154">INDEX('Linha 06'!$C$2:$ZZ$2,C154)</f>
        <v>Intermed. Aromat. Cha Verde E Grapef Cx C/ 12un 250ml</v>
      </c>
      <c r="H154" s="5" cm="1">
        <f t="array" ref="H154">INDEX('Linha 06'!$C$4:$ZZ$1000,B154,C154)</f>
        <v>0</v>
      </c>
    </row>
    <row r="155" spans="1:8" x14ac:dyDescent="0.25">
      <c r="A155">
        <v>153</v>
      </c>
      <c r="B155">
        <f t="shared" si="4"/>
        <v>5</v>
      </c>
      <c r="C155">
        <f t="shared" si="5"/>
        <v>1</v>
      </c>
      <c r="D155" cm="1">
        <f t="array" ref="D155">INDEX('Linha 06'!$A$4:$A$1000,B155)</f>
        <v>20060012</v>
      </c>
      <c r="E155" t="str" cm="1">
        <f t="array" ref="E155">INDEX('Linha 06'!$B$4:$B$1000,B155)</f>
        <v>Limp Perf Aquafast Magia Da Infancia Cx/12 X 1l</v>
      </c>
      <c r="F155" cm="1">
        <f t="array" ref="F155">INDEX('Linha 06'!$C$3:$ZZ$3,C155)</f>
        <v>20060001</v>
      </c>
      <c r="G155" t="str" cm="1">
        <f t="array" ref="G155">INDEX('Linha 06'!$C$2:$ZZ$2,C155)</f>
        <v>Limp Perf Aquafast Magia Seducao Cx/12 X 500ml</v>
      </c>
      <c r="H155" s="5" cm="1">
        <f t="array" ref="H155">INDEX('Linha 06'!$C$4:$ZZ$1000,B155,C155)</f>
        <v>0</v>
      </c>
    </row>
    <row r="156" spans="1:8" x14ac:dyDescent="0.25">
      <c r="A156">
        <v>154</v>
      </c>
      <c r="B156">
        <f t="shared" si="4"/>
        <v>5</v>
      </c>
      <c r="C156">
        <f t="shared" si="5"/>
        <v>2</v>
      </c>
      <c r="D156" cm="1">
        <f t="array" ref="D156">INDEX('Linha 06'!$A$4:$A$1000,B156)</f>
        <v>20060012</v>
      </c>
      <c r="E156" t="str" cm="1">
        <f t="array" ref="E156">INDEX('Linha 06'!$B$4:$B$1000,B156)</f>
        <v>Limp Perf Aquafast Magia Da Infancia Cx/12 X 1l</v>
      </c>
      <c r="F156" cm="1">
        <f t="array" ref="F156">INDEX('Linha 06'!$C$3:$ZZ$3,C156)</f>
        <v>20060004</v>
      </c>
      <c r="G156" t="str" cm="1">
        <f t="array" ref="G156">INDEX('Linha 06'!$C$2:$ZZ$2,C156)</f>
        <v>Limp Perf Aquafast Magia Seducao Cx/12 X 1l</v>
      </c>
      <c r="H156" s="5" cm="1">
        <f t="array" ref="H156">INDEX('Linha 06'!$C$4:$ZZ$1000,B156,C156)</f>
        <v>0</v>
      </c>
    </row>
    <row r="157" spans="1:8" x14ac:dyDescent="0.25">
      <c r="A157">
        <v>155</v>
      </c>
      <c r="B157">
        <f t="shared" si="4"/>
        <v>5</v>
      </c>
      <c r="C157">
        <f t="shared" si="5"/>
        <v>3</v>
      </c>
      <c r="D157" cm="1">
        <f t="array" ref="D157">INDEX('Linha 06'!$A$4:$A$1000,B157)</f>
        <v>20060012</v>
      </c>
      <c r="E157" t="str" cm="1">
        <f t="array" ref="E157">INDEX('Linha 06'!$B$4:$B$1000,B157)</f>
        <v>Limp Perf Aquafast Magia Da Infancia Cx/12 X 1l</v>
      </c>
      <c r="F157" cm="1">
        <f t="array" ref="F157">INDEX('Linha 06'!$C$3:$ZZ$3,C157)</f>
        <v>20060010</v>
      </c>
      <c r="G157" t="str" cm="1">
        <f t="array" ref="G157">INDEX('Linha 06'!$C$2:$ZZ$2,C157)</f>
        <v>Limp Perf Aquafast Magia Da Infancia Cx/12 X 500ml</v>
      </c>
      <c r="H157" s="5" cm="1">
        <f t="array" ref="H157">INDEX('Linha 06'!$C$4:$ZZ$1000,B157,C157)</f>
        <v>0</v>
      </c>
    </row>
    <row r="158" spans="1:8" x14ac:dyDescent="0.25">
      <c r="A158">
        <v>156</v>
      </c>
      <c r="B158">
        <f t="shared" si="4"/>
        <v>5</v>
      </c>
      <c r="C158">
        <f t="shared" si="5"/>
        <v>4</v>
      </c>
      <c r="D158" cm="1">
        <f t="array" ref="D158">INDEX('Linha 06'!$A$4:$A$1000,B158)</f>
        <v>20060012</v>
      </c>
      <c r="E158" t="str" cm="1">
        <f t="array" ref="E158">INDEX('Linha 06'!$B$4:$B$1000,B158)</f>
        <v>Limp Perf Aquafast Magia Da Infancia Cx/12 X 1l</v>
      </c>
      <c r="F158" cm="1">
        <f t="array" ref="F158">INDEX('Linha 06'!$C$3:$ZZ$3,C158)</f>
        <v>20060011</v>
      </c>
      <c r="G158" t="str" cm="1">
        <f t="array" ref="G158">INDEX('Linha 06'!$C$2:$ZZ$2,C158)</f>
        <v>Limp Perf Aquafast Frescor Da Manha Cx/12 X 500ml</v>
      </c>
      <c r="H158" s="5" cm="1">
        <f t="array" ref="H158">INDEX('Linha 06'!$C$4:$ZZ$1000,B158,C158)</f>
        <v>0</v>
      </c>
    </row>
    <row r="159" spans="1:8" x14ac:dyDescent="0.25">
      <c r="A159">
        <v>157</v>
      </c>
      <c r="B159">
        <f t="shared" si="4"/>
        <v>5</v>
      </c>
      <c r="C159">
        <f t="shared" si="5"/>
        <v>5</v>
      </c>
      <c r="D159" cm="1">
        <f t="array" ref="D159">INDEX('Linha 06'!$A$4:$A$1000,B159)</f>
        <v>20060012</v>
      </c>
      <c r="E159" t="str" cm="1">
        <f t="array" ref="E159">INDEX('Linha 06'!$B$4:$B$1000,B159)</f>
        <v>Limp Perf Aquafast Magia Da Infancia Cx/12 X 1l</v>
      </c>
      <c r="F159" cm="1">
        <f t="array" ref="F159">INDEX('Linha 06'!$C$3:$ZZ$3,C159)</f>
        <v>20060012</v>
      </c>
      <c r="G159" t="str" cm="1">
        <f t="array" ref="G159">INDEX('Linha 06'!$C$2:$ZZ$2,C159)</f>
        <v>Limp Perf Aquafast Magia Da Infancia Cx/12 X 1l</v>
      </c>
      <c r="H159" s="5" cm="1">
        <f t="array" ref="H159">INDEX('Linha 06'!$C$4:$ZZ$1000,B159,C159)</f>
        <v>0</v>
      </c>
    </row>
    <row r="160" spans="1:8" x14ac:dyDescent="0.25">
      <c r="A160">
        <v>158</v>
      </c>
      <c r="B160">
        <f t="shared" si="4"/>
        <v>5</v>
      </c>
      <c r="C160">
        <f t="shared" si="5"/>
        <v>6</v>
      </c>
      <c r="D160" cm="1">
        <f t="array" ref="D160">INDEX('Linha 06'!$A$4:$A$1000,B160)</f>
        <v>20060012</v>
      </c>
      <c r="E160" t="str" cm="1">
        <f t="array" ref="E160">INDEX('Linha 06'!$B$4:$B$1000,B160)</f>
        <v>Limp Perf Aquafast Magia Da Infancia Cx/12 X 1l</v>
      </c>
      <c r="F160" cm="1">
        <f t="array" ref="F160">INDEX('Linha 06'!$C$3:$ZZ$3,C160)</f>
        <v>20060013</v>
      </c>
      <c r="G160" t="str" cm="1">
        <f t="array" ref="G160">INDEX('Linha 06'!$C$2:$ZZ$2,C160)</f>
        <v>Limp Perf Aquafast Frescor Da Manha Cx/12 X 1l</v>
      </c>
      <c r="H160" s="5" cm="1">
        <f t="array" ref="H160">INDEX('Linha 06'!$C$4:$ZZ$1000,B160,C160)</f>
        <v>0</v>
      </c>
    </row>
    <row r="161" spans="1:8" x14ac:dyDescent="0.25">
      <c r="A161">
        <v>159</v>
      </c>
      <c r="B161">
        <f t="shared" si="4"/>
        <v>5</v>
      </c>
      <c r="C161">
        <f t="shared" si="5"/>
        <v>7</v>
      </c>
      <c r="D161" cm="1">
        <f t="array" ref="D161">INDEX('Linha 06'!$A$4:$A$1000,B161)</f>
        <v>20060012</v>
      </c>
      <c r="E161" t="str" cm="1">
        <f t="array" ref="E161">INDEX('Linha 06'!$B$4:$B$1000,B161)</f>
        <v>Limp Perf Aquafast Magia Da Infancia Cx/12 X 1l</v>
      </c>
      <c r="F161" cm="1">
        <f t="array" ref="F161">INDEX('Linha 06'!$C$3:$ZZ$3,C161)</f>
        <v>20060015</v>
      </c>
      <c r="G161" t="str" cm="1">
        <f t="array" ref="G161">INDEX('Linha 06'!$C$2:$ZZ$2,C161)</f>
        <v>Limp Perf Aquafast Doce Romance Cx/12 X 500ml</v>
      </c>
      <c r="H161" s="5" cm="1">
        <f t="array" ref="H161">INDEX('Linha 06'!$C$4:$ZZ$1000,B161,C161)</f>
        <v>0</v>
      </c>
    </row>
    <row r="162" spans="1:8" x14ac:dyDescent="0.25">
      <c r="A162">
        <v>160</v>
      </c>
      <c r="B162">
        <f t="shared" si="4"/>
        <v>5</v>
      </c>
      <c r="C162">
        <f t="shared" si="5"/>
        <v>8</v>
      </c>
      <c r="D162" cm="1">
        <f t="array" ref="D162">INDEX('Linha 06'!$A$4:$A$1000,B162)</f>
        <v>20060012</v>
      </c>
      <c r="E162" t="str" cm="1">
        <f t="array" ref="E162">INDEX('Linha 06'!$B$4:$B$1000,B162)</f>
        <v>Limp Perf Aquafast Magia Da Infancia Cx/12 X 1l</v>
      </c>
      <c r="F162" cm="1">
        <f t="array" ref="F162">INDEX('Linha 06'!$C$3:$ZZ$3,C162)</f>
        <v>20060016</v>
      </c>
      <c r="G162" t="str" cm="1">
        <f t="array" ref="G162">INDEX('Linha 06'!$C$2:$ZZ$2,C162)</f>
        <v>Limp Perf Aquafast Doce Romance Cx/12 X 1l</v>
      </c>
      <c r="H162" s="5" cm="1">
        <f t="array" ref="H162">INDEX('Linha 06'!$C$4:$ZZ$1000,B162,C162)</f>
        <v>0</v>
      </c>
    </row>
    <row r="163" spans="1:8" x14ac:dyDescent="0.25">
      <c r="A163">
        <v>161</v>
      </c>
      <c r="B163">
        <f t="shared" si="4"/>
        <v>5</v>
      </c>
      <c r="C163">
        <f t="shared" si="5"/>
        <v>9</v>
      </c>
      <c r="D163" cm="1">
        <f t="array" ref="D163">INDEX('Linha 06'!$A$4:$A$1000,B163)</f>
        <v>20060012</v>
      </c>
      <c r="E163" t="str" cm="1">
        <f t="array" ref="E163">INDEX('Linha 06'!$B$4:$B$1000,B163)</f>
        <v>Limp Perf Aquafast Magia Da Infancia Cx/12 X 1l</v>
      </c>
      <c r="F163" cm="1">
        <f t="array" ref="F163">INDEX('Linha 06'!$C$3:$ZZ$3,C163)</f>
        <v>20060027</v>
      </c>
      <c r="G163" t="str" cm="1">
        <f t="array" ref="G163">INDEX('Linha 06'!$C$2:$ZZ$2,C163)</f>
        <v>Limp Perf Aquafast Essencia Natural Cx/12 X 1l</v>
      </c>
      <c r="H163" s="5" cm="1">
        <f t="array" ref="H163">INDEX('Linha 06'!$C$4:$ZZ$1000,B163,C163)</f>
        <v>0</v>
      </c>
    </row>
    <row r="164" spans="1:8" x14ac:dyDescent="0.25">
      <c r="A164">
        <v>162</v>
      </c>
      <c r="B164">
        <f t="shared" si="4"/>
        <v>5</v>
      </c>
      <c r="C164">
        <f t="shared" si="5"/>
        <v>10</v>
      </c>
      <c r="D164" cm="1">
        <f t="array" ref="D164">INDEX('Linha 06'!$A$4:$A$1000,B164)</f>
        <v>20060012</v>
      </c>
      <c r="E164" t="str" cm="1">
        <f t="array" ref="E164">INDEX('Linha 06'!$B$4:$B$1000,B164)</f>
        <v>Limp Perf Aquafast Magia Da Infancia Cx/12 X 1l</v>
      </c>
      <c r="F164" cm="1">
        <f t="array" ref="F164">INDEX('Linha 06'!$C$3:$ZZ$3,C164)</f>
        <v>20070001</v>
      </c>
      <c r="G164" t="str" cm="1">
        <f t="array" ref="G164">INDEX('Linha 06'!$C$2:$ZZ$2,C164)</f>
        <v>Limpa Vidros Aquafast Pulverizador Cx/12 X 500ml</v>
      </c>
      <c r="H164" s="5" cm="1">
        <f t="array" ref="H164">INDEX('Linha 06'!$C$4:$ZZ$1000,B164,C164)</f>
        <v>0</v>
      </c>
    </row>
    <row r="165" spans="1:8" x14ac:dyDescent="0.25">
      <c r="A165">
        <v>163</v>
      </c>
      <c r="B165">
        <f t="shared" si="4"/>
        <v>5</v>
      </c>
      <c r="C165">
        <f t="shared" si="5"/>
        <v>11</v>
      </c>
      <c r="D165" cm="1">
        <f t="array" ref="D165">INDEX('Linha 06'!$A$4:$A$1000,B165)</f>
        <v>20060012</v>
      </c>
      <c r="E165" t="str" cm="1">
        <f t="array" ref="E165">INDEX('Linha 06'!$B$4:$B$1000,B165)</f>
        <v>Limp Perf Aquafast Magia Da Infancia Cx/12 X 1l</v>
      </c>
      <c r="F165" cm="1">
        <f t="array" ref="F165">INDEX('Linha 06'!$C$3:$ZZ$3,C165)</f>
        <v>20070002</v>
      </c>
      <c r="G165" t="str" cm="1">
        <f t="array" ref="G165">INDEX('Linha 06'!$C$2:$ZZ$2,C165)</f>
        <v>Limpa Vidros Aquafast Recarga Cx/12 X 500ml</v>
      </c>
      <c r="H165" s="5" cm="1">
        <f t="array" ref="H165">INDEX('Linha 06'!$C$4:$ZZ$1000,B165,C165)</f>
        <v>0</v>
      </c>
    </row>
    <row r="166" spans="1:8" x14ac:dyDescent="0.25">
      <c r="A166">
        <v>164</v>
      </c>
      <c r="B166">
        <f t="shared" si="4"/>
        <v>5</v>
      </c>
      <c r="C166">
        <f t="shared" si="5"/>
        <v>12</v>
      </c>
      <c r="D166" cm="1">
        <f t="array" ref="D166">INDEX('Linha 06'!$A$4:$A$1000,B166)</f>
        <v>20060012</v>
      </c>
      <c r="E166" t="str" cm="1">
        <f t="array" ref="E166">INDEX('Linha 06'!$B$4:$B$1000,B166)</f>
        <v>Limp Perf Aquafast Magia Da Infancia Cx/12 X 1l</v>
      </c>
      <c r="F166" cm="1">
        <f t="array" ref="F166">INDEX('Linha 06'!$C$3:$ZZ$3,C166)</f>
        <v>20070006</v>
      </c>
      <c r="G166" t="str" cm="1">
        <f t="array" ref="G166">INDEX('Linha 06'!$C$2:$ZZ$2,C166)</f>
        <v>Limpa Vidros Ito Pulverizador Cx/12 X 500ml</v>
      </c>
      <c r="H166" s="5" cm="1">
        <f t="array" ref="H166">INDEX('Linha 06'!$C$4:$ZZ$1000,B166,C166)</f>
        <v>0</v>
      </c>
    </row>
    <row r="167" spans="1:8" x14ac:dyDescent="0.25">
      <c r="A167">
        <v>165</v>
      </c>
      <c r="B167">
        <f t="shared" si="4"/>
        <v>5</v>
      </c>
      <c r="C167">
        <f t="shared" si="5"/>
        <v>13</v>
      </c>
      <c r="D167" cm="1">
        <f t="array" ref="D167">INDEX('Linha 06'!$A$4:$A$1000,B167)</f>
        <v>20060012</v>
      </c>
      <c r="E167" t="str" cm="1">
        <f t="array" ref="E167">INDEX('Linha 06'!$B$4:$B$1000,B167)</f>
        <v>Limp Perf Aquafast Magia Da Infancia Cx/12 X 1l</v>
      </c>
      <c r="F167" cm="1">
        <f t="array" ref="F167">INDEX('Linha 06'!$C$3:$ZZ$3,C167)</f>
        <v>20070007</v>
      </c>
      <c r="G167" t="str" cm="1">
        <f t="array" ref="G167">INDEX('Linha 06'!$C$2:$ZZ$2,C167)</f>
        <v>Limpa Vidros Ito Recarga Cx/12 X 500ml</v>
      </c>
      <c r="H167" s="5" cm="1">
        <f t="array" ref="H167">INDEX('Linha 06'!$C$4:$ZZ$1000,B167,C167)</f>
        <v>0</v>
      </c>
    </row>
    <row r="168" spans="1:8" x14ac:dyDescent="0.25">
      <c r="A168">
        <v>166</v>
      </c>
      <c r="B168">
        <f t="shared" si="4"/>
        <v>5</v>
      </c>
      <c r="C168">
        <f t="shared" si="5"/>
        <v>14</v>
      </c>
      <c r="D168" cm="1">
        <f t="array" ref="D168">INDEX('Linha 06'!$A$4:$A$1000,B168)</f>
        <v>20060012</v>
      </c>
      <c r="E168" t="str" cm="1">
        <f t="array" ref="E168">INDEX('Linha 06'!$B$4:$B$1000,B168)</f>
        <v>Limp Perf Aquafast Magia Da Infancia Cx/12 X 1l</v>
      </c>
      <c r="F168" cm="1">
        <f t="array" ref="F168">INDEX('Linha 06'!$C$3:$ZZ$3,C168)</f>
        <v>20070008</v>
      </c>
      <c r="G168" t="str" cm="1">
        <f t="array" ref="G168">INDEX('Linha 06'!$C$2:$ZZ$2,C168)</f>
        <v>Limpa Vidros Aquafast Squeeze Cx/12 X 500ml</v>
      </c>
      <c r="H168" s="5" cm="1">
        <f t="array" ref="H168">INDEX('Linha 06'!$C$4:$ZZ$1000,B168,C168)</f>
        <v>0</v>
      </c>
    </row>
    <row r="169" spans="1:8" x14ac:dyDescent="0.25">
      <c r="A169">
        <v>167</v>
      </c>
      <c r="B169">
        <f t="shared" si="4"/>
        <v>5</v>
      </c>
      <c r="C169">
        <f t="shared" si="5"/>
        <v>15</v>
      </c>
      <c r="D169" cm="1">
        <f t="array" ref="D169">INDEX('Linha 06'!$A$4:$A$1000,B169)</f>
        <v>20060012</v>
      </c>
      <c r="E169" t="str" cm="1">
        <f t="array" ref="E169">INDEX('Linha 06'!$B$4:$B$1000,B169)</f>
        <v>Limp Perf Aquafast Magia Da Infancia Cx/12 X 1l</v>
      </c>
      <c r="F169" cm="1">
        <f t="array" ref="F169">INDEX('Linha 06'!$C$3:$ZZ$3,C169)</f>
        <v>20090001</v>
      </c>
      <c r="G169" t="str" cm="1">
        <f t="array" ref="G169">INDEX('Linha 06'!$C$2:$ZZ$2,C169)</f>
        <v>Desengordurante Aquafast Pulverizador Cx/12 X 500ml</v>
      </c>
      <c r="H169" s="5" cm="1">
        <f t="array" ref="H169">INDEX('Linha 06'!$C$4:$ZZ$1000,B169,C169)</f>
        <v>0</v>
      </c>
    </row>
    <row r="170" spans="1:8" x14ac:dyDescent="0.25">
      <c r="A170">
        <v>168</v>
      </c>
      <c r="B170">
        <f t="shared" si="4"/>
        <v>5</v>
      </c>
      <c r="C170">
        <f t="shared" si="5"/>
        <v>16</v>
      </c>
      <c r="D170" cm="1">
        <f t="array" ref="D170">INDEX('Linha 06'!$A$4:$A$1000,B170)</f>
        <v>20060012</v>
      </c>
      <c r="E170" t="str" cm="1">
        <f t="array" ref="E170">INDEX('Linha 06'!$B$4:$B$1000,B170)</f>
        <v>Limp Perf Aquafast Magia Da Infancia Cx/12 X 1l</v>
      </c>
      <c r="F170" cm="1">
        <f t="array" ref="F170">INDEX('Linha 06'!$C$3:$ZZ$3,C170)</f>
        <v>20090002</v>
      </c>
      <c r="G170" t="str" cm="1">
        <f t="array" ref="G170">INDEX('Linha 06'!$C$2:$ZZ$2,C170)</f>
        <v>Desengordurante Aquafast Recarga Cx/12 X 500ml</v>
      </c>
      <c r="H170" s="5" cm="1">
        <f t="array" ref="H170">INDEX('Linha 06'!$C$4:$ZZ$1000,B170,C170)</f>
        <v>0</v>
      </c>
    </row>
    <row r="171" spans="1:8" x14ac:dyDescent="0.25">
      <c r="A171">
        <v>169</v>
      </c>
      <c r="B171">
        <f t="shared" si="4"/>
        <v>5</v>
      </c>
      <c r="C171">
        <f t="shared" si="5"/>
        <v>17</v>
      </c>
      <c r="D171" cm="1">
        <f t="array" ref="D171">INDEX('Linha 06'!$A$4:$A$1000,B171)</f>
        <v>20060012</v>
      </c>
      <c r="E171" t="str" cm="1">
        <f t="array" ref="E171">INDEX('Linha 06'!$B$4:$B$1000,B171)</f>
        <v>Limp Perf Aquafast Magia Da Infancia Cx/12 X 1l</v>
      </c>
      <c r="F171" cm="1">
        <f t="array" ref="F171">INDEX('Linha 06'!$C$3:$ZZ$3,C171)</f>
        <v>20090004</v>
      </c>
      <c r="G171" t="str" cm="1">
        <f t="array" ref="G171">INDEX('Linha 06'!$C$2:$ZZ$2,C171)</f>
        <v>Desengordurante Aquafast Squeeze Cx C/12 X 500ml</v>
      </c>
      <c r="H171" s="5" cm="1">
        <f t="array" ref="H171">INDEX('Linha 06'!$C$4:$ZZ$1000,B171,C171)</f>
        <v>0</v>
      </c>
    </row>
    <row r="172" spans="1:8" x14ac:dyDescent="0.25">
      <c r="A172">
        <v>170</v>
      </c>
      <c r="B172">
        <f t="shared" si="4"/>
        <v>5</v>
      </c>
      <c r="C172">
        <f t="shared" si="5"/>
        <v>18</v>
      </c>
      <c r="D172" cm="1">
        <f t="array" ref="D172">INDEX('Linha 06'!$A$4:$A$1000,B172)</f>
        <v>20060012</v>
      </c>
      <c r="E172" t="str" cm="1">
        <f t="array" ref="E172">INDEX('Linha 06'!$B$4:$B$1000,B172)</f>
        <v>Limp Perf Aquafast Magia Da Infancia Cx/12 X 1l</v>
      </c>
      <c r="F172" cm="1">
        <f t="array" ref="F172">INDEX('Linha 06'!$C$3:$ZZ$3,C172)</f>
        <v>20090005</v>
      </c>
      <c r="G172" t="str" cm="1">
        <f t="array" ref="G172">INDEX('Linha 06'!$C$2:$ZZ$2,C172)</f>
        <v>Desengordurante Aquafast Squeeze Cx C/12 X 1l</v>
      </c>
      <c r="H172" s="5" cm="1">
        <f t="array" ref="H172">INDEX('Linha 06'!$C$4:$ZZ$1000,B172,C172)</f>
        <v>0</v>
      </c>
    </row>
    <row r="173" spans="1:8" x14ac:dyDescent="0.25">
      <c r="A173">
        <v>171</v>
      </c>
      <c r="B173">
        <f t="shared" si="4"/>
        <v>5</v>
      </c>
      <c r="C173">
        <f t="shared" si="5"/>
        <v>19</v>
      </c>
      <c r="D173" cm="1">
        <f t="array" ref="D173">INDEX('Linha 06'!$A$4:$A$1000,B173)</f>
        <v>20060012</v>
      </c>
      <c r="E173" t="str" cm="1">
        <f t="array" ref="E173">INDEX('Linha 06'!$B$4:$B$1000,B173)</f>
        <v>Limp Perf Aquafast Magia Da Infancia Cx/12 X 1l</v>
      </c>
      <c r="F173" cm="1">
        <f t="array" ref="F173">INDEX('Linha 06'!$C$3:$ZZ$3,C173)</f>
        <v>20090010</v>
      </c>
      <c r="G173" t="str" cm="1">
        <f t="array" ref="G173">INDEX('Linha 06'!$C$2:$ZZ$2,C173)</f>
        <v>Intermed Pack Desengord Squeeze Cx C/18 X 500ml</v>
      </c>
      <c r="H173" s="5" cm="1">
        <f t="array" ref="H173">INDEX('Linha 06'!$C$4:$ZZ$1000,B173,C173)</f>
        <v>0</v>
      </c>
    </row>
    <row r="174" spans="1:8" x14ac:dyDescent="0.25">
      <c r="A174">
        <v>172</v>
      </c>
      <c r="B174">
        <f t="shared" si="4"/>
        <v>5</v>
      </c>
      <c r="C174">
        <f t="shared" si="5"/>
        <v>20</v>
      </c>
      <c r="D174" cm="1">
        <f t="array" ref="D174">INDEX('Linha 06'!$A$4:$A$1000,B174)</f>
        <v>20060012</v>
      </c>
      <c r="E174" t="str" cm="1">
        <f t="array" ref="E174">INDEX('Linha 06'!$B$4:$B$1000,B174)</f>
        <v>Limp Perf Aquafast Magia Da Infancia Cx/12 X 1l</v>
      </c>
      <c r="F174" cm="1">
        <f t="array" ref="F174">INDEX('Linha 06'!$C$3:$ZZ$3,C174)</f>
        <v>20110002</v>
      </c>
      <c r="G174" t="str" cm="1">
        <f t="array" ref="G174">INDEX('Linha 06'!$C$2:$ZZ$2,C174)</f>
        <v>Multi Uso Aquafast Squeeze Original Cx/12 X 500ml</v>
      </c>
      <c r="H174" s="5" cm="1">
        <f t="array" ref="H174">INDEX('Linha 06'!$C$4:$ZZ$1000,B174,C174)</f>
        <v>0</v>
      </c>
    </row>
    <row r="175" spans="1:8" x14ac:dyDescent="0.25">
      <c r="A175">
        <v>173</v>
      </c>
      <c r="B175">
        <f t="shared" si="4"/>
        <v>5</v>
      </c>
      <c r="C175">
        <f t="shared" si="5"/>
        <v>21</v>
      </c>
      <c r="D175" cm="1">
        <f t="array" ref="D175">INDEX('Linha 06'!$A$4:$A$1000,B175)</f>
        <v>20060012</v>
      </c>
      <c r="E175" t="str" cm="1">
        <f t="array" ref="E175">INDEX('Linha 06'!$B$4:$B$1000,B175)</f>
        <v>Limp Perf Aquafast Magia Da Infancia Cx/12 X 1l</v>
      </c>
      <c r="F175" cm="1">
        <f t="array" ref="F175">INDEX('Linha 06'!$C$3:$ZZ$3,C175)</f>
        <v>20110004</v>
      </c>
      <c r="G175" t="str" cm="1">
        <f t="array" ref="G175">INDEX('Linha 06'!$C$2:$ZZ$2,C175)</f>
        <v>Multi Uso Aquafast Squeeze Lavanda Cx/12 X 500ml</v>
      </c>
      <c r="H175" s="5" cm="1">
        <f t="array" ref="H175">INDEX('Linha 06'!$C$4:$ZZ$1000,B175,C175)</f>
        <v>0</v>
      </c>
    </row>
    <row r="176" spans="1:8" x14ac:dyDescent="0.25">
      <c r="A176">
        <v>174</v>
      </c>
      <c r="B176">
        <f t="shared" si="4"/>
        <v>5</v>
      </c>
      <c r="C176">
        <f t="shared" si="5"/>
        <v>22</v>
      </c>
      <c r="D176" cm="1">
        <f t="array" ref="D176">INDEX('Linha 06'!$A$4:$A$1000,B176)</f>
        <v>20060012</v>
      </c>
      <c r="E176" t="str" cm="1">
        <f t="array" ref="E176">INDEX('Linha 06'!$B$4:$B$1000,B176)</f>
        <v>Limp Perf Aquafast Magia Da Infancia Cx/12 X 1l</v>
      </c>
      <c r="F176" cm="1">
        <f t="array" ref="F176">INDEX('Linha 06'!$C$3:$ZZ$3,C176)</f>
        <v>20110007</v>
      </c>
      <c r="G176" t="str" cm="1">
        <f t="array" ref="G176">INDEX('Linha 06'!$C$2:$ZZ$2,C176)</f>
        <v>Multi Uso Aquafast Squeeze Seducao Cx/12 X 500ml</v>
      </c>
      <c r="H176" s="5" cm="1">
        <f t="array" ref="H176">INDEX('Linha 06'!$C$4:$ZZ$1000,B176,C176)</f>
        <v>0</v>
      </c>
    </row>
    <row r="177" spans="1:8" x14ac:dyDescent="0.25">
      <c r="A177">
        <v>175</v>
      </c>
      <c r="B177">
        <f t="shared" si="4"/>
        <v>5</v>
      </c>
      <c r="C177">
        <f t="shared" si="5"/>
        <v>23</v>
      </c>
      <c r="D177" cm="1">
        <f t="array" ref="D177">INDEX('Linha 06'!$A$4:$A$1000,B177)</f>
        <v>20060012</v>
      </c>
      <c r="E177" t="str" cm="1">
        <f t="array" ref="E177">INDEX('Linha 06'!$B$4:$B$1000,B177)</f>
        <v>Limp Perf Aquafast Magia Da Infancia Cx/12 X 1l</v>
      </c>
      <c r="F177" cm="1">
        <f t="array" ref="F177">INDEX('Linha 06'!$C$3:$ZZ$3,C177)</f>
        <v>20110008</v>
      </c>
      <c r="G177" t="str" cm="1">
        <f t="array" ref="G177">INDEX('Linha 06'!$C$2:$ZZ$2,C177)</f>
        <v>Multi Uso Aquafast Squeeze Original Cx/12 X 1l</v>
      </c>
      <c r="H177" s="5" cm="1">
        <f t="array" ref="H177">INDEX('Linha 06'!$C$4:$ZZ$1000,B177,C177)</f>
        <v>0</v>
      </c>
    </row>
    <row r="178" spans="1:8" x14ac:dyDescent="0.25">
      <c r="A178">
        <v>176</v>
      </c>
      <c r="B178">
        <f t="shared" si="4"/>
        <v>5</v>
      </c>
      <c r="C178">
        <f t="shared" si="5"/>
        <v>24</v>
      </c>
      <c r="D178" cm="1">
        <f t="array" ref="D178">INDEX('Linha 06'!$A$4:$A$1000,B178)</f>
        <v>20060012</v>
      </c>
      <c r="E178" t="str" cm="1">
        <f t="array" ref="E178">INDEX('Linha 06'!$B$4:$B$1000,B178)</f>
        <v>Limp Perf Aquafast Magia Da Infancia Cx/12 X 1l</v>
      </c>
      <c r="F178" cm="1">
        <f t="array" ref="F178">INDEX('Linha 06'!$C$3:$ZZ$3,C178)</f>
        <v>20110010</v>
      </c>
      <c r="G178" t="str" cm="1">
        <f t="array" ref="G178">INDEX('Linha 06'!$C$2:$ZZ$2,C178)</f>
        <v>Multi Uso Aquafast Squeeze Seducao Cx/12 1l</v>
      </c>
      <c r="H178" s="5" cm="1">
        <f t="array" ref="H178">INDEX('Linha 06'!$C$4:$ZZ$1000,B178,C178)</f>
        <v>0</v>
      </c>
    </row>
    <row r="179" spans="1:8" x14ac:dyDescent="0.25">
      <c r="A179">
        <v>177</v>
      </c>
      <c r="B179">
        <f t="shared" si="4"/>
        <v>5</v>
      </c>
      <c r="C179">
        <f t="shared" si="5"/>
        <v>25</v>
      </c>
      <c r="D179" cm="1">
        <f t="array" ref="D179">INDEX('Linha 06'!$A$4:$A$1000,B179)</f>
        <v>20060012</v>
      </c>
      <c r="E179" t="str" cm="1">
        <f t="array" ref="E179">INDEX('Linha 06'!$B$4:$B$1000,B179)</f>
        <v>Limp Perf Aquafast Magia Da Infancia Cx/12 X 1l</v>
      </c>
      <c r="F179" cm="1">
        <f t="array" ref="F179">INDEX('Linha 06'!$C$3:$ZZ$3,C179)</f>
        <v>20110013</v>
      </c>
      <c r="G179" t="str" cm="1">
        <f t="array" ref="G179">INDEX('Linha 06'!$C$2:$ZZ$2,C179)</f>
        <v>Multi Uso Aquafast Squeeze Lavanda Cx/12 X 1l</v>
      </c>
      <c r="H179" s="5" cm="1">
        <f t="array" ref="H179">INDEX('Linha 06'!$C$4:$ZZ$1000,B179,C179)</f>
        <v>0</v>
      </c>
    </row>
    <row r="180" spans="1:8" x14ac:dyDescent="0.25">
      <c r="A180">
        <v>178</v>
      </c>
      <c r="B180">
        <f t="shared" si="4"/>
        <v>5</v>
      </c>
      <c r="C180">
        <f t="shared" si="5"/>
        <v>26</v>
      </c>
      <c r="D180" cm="1">
        <f t="array" ref="D180">INDEX('Linha 06'!$A$4:$A$1000,B180)</f>
        <v>20060012</v>
      </c>
      <c r="E180" t="str" cm="1">
        <f t="array" ref="E180">INDEX('Linha 06'!$B$4:$B$1000,B180)</f>
        <v>Limp Perf Aquafast Magia Da Infancia Cx/12 X 1l</v>
      </c>
      <c r="F180" cm="1">
        <f t="array" ref="F180">INDEX('Linha 06'!$C$3:$ZZ$3,C180)</f>
        <v>20110022</v>
      </c>
      <c r="G180" t="str" cm="1">
        <f t="array" ref="G180">INDEX('Linha 06'!$C$2:$ZZ$2,C180)</f>
        <v>Intermed Pack Multi Uso Lavand C/Alcool Cx/18 X 500ml</v>
      </c>
      <c r="H180" s="5" cm="1">
        <f t="array" ref="H180">INDEX('Linha 06'!$C$4:$ZZ$1000,B180,C180)</f>
        <v>0</v>
      </c>
    </row>
    <row r="181" spans="1:8" x14ac:dyDescent="0.25">
      <c r="A181">
        <v>179</v>
      </c>
      <c r="B181">
        <f t="shared" si="4"/>
        <v>5</v>
      </c>
      <c r="C181">
        <f t="shared" si="5"/>
        <v>27</v>
      </c>
      <c r="D181" cm="1">
        <f t="array" ref="D181">INDEX('Linha 06'!$A$4:$A$1000,B181)</f>
        <v>20060012</v>
      </c>
      <c r="E181" t="str" cm="1">
        <f t="array" ref="E181">INDEX('Linha 06'!$B$4:$B$1000,B181)</f>
        <v>Limp Perf Aquafast Magia Da Infancia Cx/12 X 1l</v>
      </c>
      <c r="F181" cm="1">
        <f t="array" ref="F181">INDEX('Linha 06'!$C$3:$ZZ$3,C181)</f>
        <v>20110023</v>
      </c>
      <c r="G181" t="str" cm="1">
        <f t="array" ref="G181">INDEX('Linha 06'!$C$2:$ZZ$2,C181)</f>
        <v>Multi Uso Aquafast Squeeze Cha Branco  Cx/12 X 500ml</v>
      </c>
      <c r="H181" s="5" cm="1">
        <f t="array" ref="H181">INDEX('Linha 06'!$C$4:$ZZ$1000,B181,C181)</f>
        <v>0</v>
      </c>
    </row>
    <row r="182" spans="1:8" x14ac:dyDescent="0.25">
      <c r="A182">
        <v>180</v>
      </c>
      <c r="B182">
        <f t="shared" si="4"/>
        <v>5</v>
      </c>
      <c r="C182">
        <f t="shared" si="5"/>
        <v>28</v>
      </c>
      <c r="D182" cm="1">
        <f t="array" ref="D182">INDEX('Linha 06'!$A$4:$A$1000,B182)</f>
        <v>20060012</v>
      </c>
      <c r="E182" t="str" cm="1">
        <f t="array" ref="E182">INDEX('Linha 06'!$B$4:$B$1000,B182)</f>
        <v>Limp Perf Aquafast Magia Da Infancia Cx/12 X 1l</v>
      </c>
      <c r="F182" cm="1">
        <f t="array" ref="F182">INDEX('Linha 06'!$C$3:$ZZ$3,C182)</f>
        <v>20110024</v>
      </c>
      <c r="G182" t="str" cm="1">
        <f t="array" ref="G182">INDEX('Linha 06'!$C$2:$ZZ$2,C182)</f>
        <v>Multi Uso Aquafast Squeeze Cha Branco Cx12 X 1l</v>
      </c>
      <c r="H182" s="5" cm="1">
        <f t="array" ref="H182">INDEX('Linha 06'!$C$4:$ZZ$1000,B182,C182)</f>
        <v>0</v>
      </c>
    </row>
    <row r="183" spans="1:8" x14ac:dyDescent="0.25">
      <c r="A183">
        <v>181</v>
      </c>
      <c r="B183">
        <f t="shared" si="4"/>
        <v>5</v>
      </c>
      <c r="C183">
        <f t="shared" si="5"/>
        <v>29</v>
      </c>
      <c r="D183" cm="1">
        <f t="array" ref="D183">INDEX('Linha 06'!$A$4:$A$1000,B183)</f>
        <v>20060012</v>
      </c>
      <c r="E183" t="str" cm="1">
        <f t="array" ref="E183">INDEX('Linha 06'!$B$4:$B$1000,B183)</f>
        <v>Limp Perf Aquafast Magia Da Infancia Cx/12 X 1l</v>
      </c>
      <c r="F183" cm="1">
        <f t="array" ref="F183">INDEX('Linha 06'!$C$3:$ZZ$3,C183)</f>
        <v>20110025</v>
      </c>
      <c r="G183" t="str" cm="1">
        <f t="array" ref="G183">INDEX('Linha 06'!$C$2:$ZZ$2,C183)</f>
        <v>Multi Uso Aquafast Pulverizador Original Cx/12 X 1l</v>
      </c>
      <c r="H183" s="5" cm="1">
        <f t="array" ref="H183">INDEX('Linha 06'!$C$4:$ZZ$1000,B183,C183)</f>
        <v>0</v>
      </c>
    </row>
    <row r="184" spans="1:8" x14ac:dyDescent="0.25">
      <c r="A184">
        <v>182</v>
      </c>
      <c r="B184">
        <f t="shared" si="4"/>
        <v>5</v>
      </c>
      <c r="C184">
        <f t="shared" si="5"/>
        <v>30</v>
      </c>
      <c r="D184" cm="1">
        <f t="array" ref="D184">INDEX('Linha 06'!$A$4:$A$1000,B184)</f>
        <v>20060012</v>
      </c>
      <c r="E184" t="str" cm="1">
        <f t="array" ref="E184">INDEX('Linha 06'!$B$4:$B$1000,B184)</f>
        <v>Limp Perf Aquafast Magia Da Infancia Cx/12 X 1l</v>
      </c>
      <c r="F184" cm="1">
        <f t="array" ref="F184">INDEX('Linha 06'!$C$3:$ZZ$3,C184)</f>
        <v>20110026</v>
      </c>
      <c r="G184" t="str" cm="1">
        <f t="array" ref="G184">INDEX('Linha 06'!$C$2:$ZZ$2,C184)</f>
        <v>Multi Uso Aquafast Pulverizador Poder O2 Cx/12 X 1l</v>
      </c>
      <c r="H184" s="5" cm="1">
        <f t="array" ref="H184">INDEX('Linha 06'!$C$4:$ZZ$1000,B184,C184)</f>
        <v>0</v>
      </c>
    </row>
    <row r="185" spans="1:8" x14ac:dyDescent="0.25">
      <c r="A185">
        <v>183</v>
      </c>
      <c r="B185">
        <f t="shared" si="4"/>
        <v>5</v>
      </c>
      <c r="C185">
        <f t="shared" si="5"/>
        <v>31</v>
      </c>
      <c r="D185" cm="1">
        <f t="array" ref="D185">INDEX('Linha 06'!$A$4:$A$1000,B185)</f>
        <v>20060012</v>
      </c>
      <c r="E185" t="str" cm="1">
        <f t="array" ref="E185">INDEX('Linha 06'!$B$4:$B$1000,B185)</f>
        <v>Limp Perf Aquafast Magia Da Infancia Cx/12 X 1l</v>
      </c>
      <c r="F185" cm="1">
        <f t="array" ref="F185">INDEX('Linha 06'!$C$3:$ZZ$3,C185)</f>
        <v>20110027</v>
      </c>
      <c r="G185" t="str" cm="1">
        <f t="array" ref="G185">INDEX('Linha 06'!$C$2:$ZZ$2,C185)</f>
        <v>Multi Uso Aquafast Pulverizador Poder O2 Cx/12 X 500ml</v>
      </c>
      <c r="H185" s="5" cm="1">
        <f t="array" ref="H185">INDEX('Linha 06'!$C$4:$ZZ$1000,B185,C185)</f>
        <v>0</v>
      </c>
    </row>
    <row r="186" spans="1:8" x14ac:dyDescent="0.25">
      <c r="A186">
        <v>184</v>
      </c>
      <c r="B186">
        <f t="shared" si="4"/>
        <v>5</v>
      </c>
      <c r="C186">
        <f t="shared" si="5"/>
        <v>32</v>
      </c>
      <c r="D186" cm="1">
        <f t="array" ref="D186">INDEX('Linha 06'!$A$4:$A$1000,B186)</f>
        <v>20060012</v>
      </c>
      <c r="E186" t="str" cm="1">
        <f t="array" ref="E186">INDEX('Linha 06'!$B$4:$B$1000,B186)</f>
        <v>Limp Perf Aquafast Magia Da Infancia Cx/12 X 1l</v>
      </c>
      <c r="F186" cm="1">
        <f t="array" ref="F186">INDEX('Linha 06'!$C$3:$ZZ$3,C186)</f>
        <v>20200073</v>
      </c>
      <c r="G186" t="str" cm="1">
        <f t="array" ref="G186">INDEX('Linha 06'!$C$2:$ZZ$2,C186)</f>
        <v>Lava Roupas Aquafast Lavagem Rapida Total Clean Cx/9 X 1,5l</v>
      </c>
      <c r="H186" s="5" cm="1">
        <f t="array" ref="H186">INDEX('Linha 06'!$C$4:$ZZ$1000,B186,C186)</f>
        <v>0</v>
      </c>
    </row>
    <row r="187" spans="1:8" x14ac:dyDescent="0.25">
      <c r="A187">
        <v>185</v>
      </c>
      <c r="B187">
        <f t="shared" si="4"/>
        <v>5</v>
      </c>
      <c r="C187">
        <f t="shared" si="5"/>
        <v>33</v>
      </c>
      <c r="D187" cm="1">
        <f t="array" ref="D187">INDEX('Linha 06'!$A$4:$A$1000,B187)</f>
        <v>20060012</v>
      </c>
      <c r="E187" t="str" cm="1">
        <f t="array" ref="E187">INDEX('Linha 06'!$B$4:$B$1000,B187)</f>
        <v>Limp Perf Aquafast Magia Da Infancia Cx/12 X 1l</v>
      </c>
      <c r="F187" cm="1">
        <f t="array" ref="F187">INDEX('Linha 06'!$C$3:$ZZ$3,C187)</f>
        <v>20200075</v>
      </c>
      <c r="G187" t="str" cm="1">
        <f t="array" ref="G187">INDEX('Linha 06'!$C$2:$ZZ$2,C187)</f>
        <v>Lava Roupas Aquafast Lavagem Rapida Fresh Clean Cx/9 X 1,5l</v>
      </c>
      <c r="H187" s="5" cm="1">
        <f t="array" ref="H187">INDEX('Linha 06'!$C$4:$ZZ$1000,B187,C187)</f>
        <v>0</v>
      </c>
    </row>
    <row r="188" spans="1:8" x14ac:dyDescent="0.25">
      <c r="A188">
        <v>186</v>
      </c>
      <c r="B188">
        <f t="shared" si="4"/>
        <v>5</v>
      </c>
      <c r="C188">
        <f t="shared" si="5"/>
        <v>34</v>
      </c>
      <c r="D188" cm="1">
        <f t="array" ref="D188">INDEX('Linha 06'!$A$4:$A$1000,B188)</f>
        <v>20060012</v>
      </c>
      <c r="E188" t="str" cm="1">
        <f t="array" ref="E188">INDEX('Linha 06'!$B$4:$B$1000,B188)</f>
        <v>Limp Perf Aquafast Magia Da Infancia Cx/12 X 1l</v>
      </c>
      <c r="F188" cm="1">
        <f t="array" ref="F188">INDEX('Linha 06'!$C$3:$ZZ$3,C188)</f>
        <v>20220018</v>
      </c>
      <c r="G188" t="str" cm="1">
        <f t="array" ref="G188">INDEX('Linha 06'!$C$2:$ZZ$2,C188)</f>
        <v>Intermed. Aromat. Amoras E Baunilha Cx C/ 12un 250ml</v>
      </c>
      <c r="H188" s="5" cm="1">
        <f t="array" ref="H188">INDEX('Linha 06'!$C$4:$ZZ$1000,B188,C188)</f>
        <v>0</v>
      </c>
    </row>
    <row r="189" spans="1:8" x14ac:dyDescent="0.25">
      <c r="A189">
        <v>187</v>
      </c>
      <c r="B189">
        <f t="shared" si="4"/>
        <v>5</v>
      </c>
      <c r="C189">
        <f t="shared" si="5"/>
        <v>35</v>
      </c>
      <c r="D189" cm="1">
        <f t="array" ref="D189">INDEX('Linha 06'!$A$4:$A$1000,B189)</f>
        <v>20060012</v>
      </c>
      <c r="E189" t="str" cm="1">
        <f t="array" ref="E189">INDEX('Linha 06'!$B$4:$B$1000,B189)</f>
        <v>Limp Perf Aquafast Magia Da Infancia Cx/12 X 1l</v>
      </c>
      <c r="F189" cm="1">
        <f t="array" ref="F189">INDEX('Linha 06'!$C$3:$ZZ$3,C189)</f>
        <v>20220019</v>
      </c>
      <c r="G189" t="str" cm="1">
        <f t="array" ref="G189">INDEX('Linha 06'!$C$2:$ZZ$2,C189)</f>
        <v>Intermed. Aromat. Figo E Cedro Cx C/ 12un 250ml</v>
      </c>
      <c r="H189" s="5" cm="1">
        <f t="array" ref="H189">INDEX('Linha 06'!$C$4:$ZZ$1000,B189,C189)</f>
        <v>0</v>
      </c>
    </row>
    <row r="190" spans="1:8" x14ac:dyDescent="0.25">
      <c r="A190">
        <v>188</v>
      </c>
      <c r="B190">
        <f t="shared" si="4"/>
        <v>5</v>
      </c>
      <c r="C190">
        <f t="shared" si="5"/>
        <v>36</v>
      </c>
      <c r="D190" cm="1">
        <f t="array" ref="D190">INDEX('Linha 06'!$A$4:$A$1000,B190)</f>
        <v>20060012</v>
      </c>
      <c r="E190" t="str" cm="1">
        <f t="array" ref="E190">INDEX('Linha 06'!$B$4:$B$1000,B190)</f>
        <v>Limp Perf Aquafast Magia Da Infancia Cx/12 X 1l</v>
      </c>
      <c r="F190" cm="1">
        <f t="array" ref="F190">INDEX('Linha 06'!$C$3:$ZZ$3,C190)</f>
        <v>20220020</v>
      </c>
      <c r="G190" t="str" cm="1">
        <f t="array" ref="G190">INDEX('Linha 06'!$C$2:$ZZ$2,C190)</f>
        <v>Intermed. Aromat. Rosas E Magnolias Cx C/ 12un 250ml</v>
      </c>
      <c r="H190" s="5" cm="1">
        <f t="array" ref="H190">INDEX('Linha 06'!$C$4:$ZZ$1000,B190,C190)</f>
        <v>0</v>
      </c>
    </row>
    <row r="191" spans="1:8" x14ac:dyDescent="0.25">
      <c r="A191">
        <v>189</v>
      </c>
      <c r="B191">
        <f t="shared" si="4"/>
        <v>5</v>
      </c>
      <c r="C191">
        <f t="shared" si="5"/>
        <v>37</v>
      </c>
      <c r="D191" cm="1">
        <f t="array" ref="D191">INDEX('Linha 06'!$A$4:$A$1000,B191)</f>
        <v>20060012</v>
      </c>
      <c r="E191" t="str" cm="1">
        <f t="array" ref="E191">INDEX('Linha 06'!$B$4:$B$1000,B191)</f>
        <v>Limp Perf Aquafast Magia Da Infancia Cx/12 X 1l</v>
      </c>
      <c r="F191" cm="1">
        <f t="array" ref="F191">INDEX('Linha 06'!$C$3:$ZZ$3,C191)</f>
        <v>20220021</v>
      </c>
      <c r="G191" t="str" cm="1">
        <f t="array" ref="G191">INDEX('Linha 06'!$C$2:$ZZ$2,C191)</f>
        <v>Intermed. Aromat. Flores Exoticas Cx C/ 12un 250ml</v>
      </c>
      <c r="H191" s="5" cm="1">
        <f t="array" ref="H191">INDEX('Linha 06'!$C$4:$ZZ$1000,B191,C191)</f>
        <v>0</v>
      </c>
    </row>
    <row r="192" spans="1:8" x14ac:dyDescent="0.25">
      <c r="A192">
        <v>190</v>
      </c>
      <c r="B192">
        <f t="shared" si="4"/>
        <v>5</v>
      </c>
      <c r="C192">
        <f t="shared" si="5"/>
        <v>38</v>
      </c>
      <c r="D192" cm="1">
        <f t="array" ref="D192">INDEX('Linha 06'!$A$4:$A$1000,B192)</f>
        <v>20060012</v>
      </c>
      <c r="E192" t="str" cm="1">
        <f t="array" ref="E192">INDEX('Linha 06'!$B$4:$B$1000,B192)</f>
        <v>Limp Perf Aquafast Magia Da Infancia Cx/12 X 1l</v>
      </c>
      <c r="F192" cm="1">
        <f t="array" ref="F192">INDEX('Linha 06'!$C$3:$ZZ$3,C192)</f>
        <v>20220022</v>
      </c>
      <c r="G192" t="str" cm="1">
        <f t="array" ref="G192">INDEX('Linha 06'!$C$2:$ZZ$2,C192)</f>
        <v>Intermed. Aromat. Cha Verde E Grapef Cx C/ 12un 250ml</v>
      </c>
      <c r="H192" s="5" cm="1">
        <f t="array" ref="H192">INDEX('Linha 06'!$C$4:$ZZ$1000,B192,C192)</f>
        <v>0</v>
      </c>
    </row>
    <row r="193" spans="1:8" x14ac:dyDescent="0.25">
      <c r="A193">
        <v>191</v>
      </c>
      <c r="B193">
        <f t="shared" si="4"/>
        <v>6</v>
      </c>
      <c r="C193">
        <f t="shared" si="5"/>
        <v>1</v>
      </c>
      <c r="D193" cm="1">
        <f t="array" ref="D193">INDEX('Linha 06'!$A$4:$A$1000,B193)</f>
        <v>20060013</v>
      </c>
      <c r="E193" t="str" cm="1">
        <f t="array" ref="E193">INDEX('Linha 06'!$B$4:$B$1000,B193)</f>
        <v>Limp Perf Aquafast Frescor Da Manha Cx/12 X 1l</v>
      </c>
      <c r="F193" cm="1">
        <f t="array" ref="F193">INDEX('Linha 06'!$C$3:$ZZ$3,C193)</f>
        <v>20060001</v>
      </c>
      <c r="G193" t="str" cm="1">
        <f t="array" ref="G193">INDEX('Linha 06'!$C$2:$ZZ$2,C193)</f>
        <v>Limp Perf Aquafast Magia Seducao Cx/12 X 500ml</v>
      </c>
      <c r="H193" s="5" cm="1">
        <f t="array" ref="H193">INDEX('Linha 06'!$C$4:$ZZ$1000,B193,C193)</f>
        <v>0</v>
      </c>
    </row>
    <row r="194" spans="1:8" x14ac:dyDescent="0.25">
      <c r="A194">
        <v>192</v>
      </c>
      <c r="B194">
        <f t="shared" si="4"/>
        <v>6</v>
      </c>
      <c r="C194">
        <f t="shared" si="5"/>
        <v>2</v>
      </c>
      <c r="D194" cm="1">
        <f t="array" ref="D194">INDEX('Linha 06'!$A$4:$A$1000,B194)</f>
        <v>20060013</v>
      </c>
      <c r="E194" t="str" cm="1">
        <f t="array" ref="E194">INDEX('Linha 06'!$B$4:$B$1000,B194)</f>
        <v>Limp Perf Aquafast Frescor Da Manha Cx/12 X 1l</v>
      </c>
      <c r="F194" cm="1">
        <f t="array" ref="F194">INDEX('Linha 06'!$C$3:$ZZ$3,C194)</f>
        <v>20060004</v>
      </c>
      <c r="G194" t="str" cm="1">
        <f t="array" ref="G194">INDEX('Linha 06'!$C$2:$ZZ$2,C194)</f>
        <v>Limp Perf Aquafast Magia Seducao Cx/12 X 1l</v>
      </c>
      <c r="H194" s="5" cm="1">
        <f t="array" ref="H194">INDEX('Linha 06'!$C$4:$ZZ$1000,B194,C194)</f>
        <v>0</v>
      </c>
    </row>
    <row r="195" spans="1:8" x14ac:dyDescent="0.25">
      <c r="A195">
        <v>193</v>
      </c>
      <c r="B195">
        <f t="shared" si="4"/>
        <v>6</v>
      </c>
      <c r="C195">
        <f t="shared" si="5"/>
        <v>3</v>
      </c>
      <c r="D195" cm="1">
        <f t="array" ref="D195">INDEX('Linha 06'!$A$4:$A$1000,B195)</f>
        <v>20060013</v>
      </c>
      <c r="E195" t="str" cm="1">
        <f t="array" ref="E195">INDEX('Linha 06'!$B$4:$B$1000,B195)</f>
        <v>Limp Perf Aquafast Frescor Da Manha Cx/12 X 1l</v>
      </c>
      <c r="F195" cm="1">
        <f t="array" ref="F195">INDEX('Linha 06'!$C$3:$ZZ$3,C195)</f>
        <v>20060010</v>
      </c>
      <c r="G195" t="str" cm="1">
        <f t="array" ref="G195">INDEX('Linha 06'!$C$2:$ZZ$2,C195)</f>
        <v>Limp Perf Aquafast Magia Da Infancia Cx/12 X 500ml</v>
      </c>
      <c r="H195" s="5" cm="1">
        <f t="array" ref="H195">INDEX('Linha 06'!$C$4:$ZZ$1000,B195,C195)</f>
        <v>0</v>
      </c>
    </row>
    <row r="196" spans="1:8" x14ac:dyDescent="0.25">
      <c r="A196">
        <v>194</v>
      </c>
      <c r="B196">
        <f t="shared" ref="B196:B259" si="6">INT((A196-1)/$B$1)+1</f>
        <v>6</v>
      </c>
      <c r="C196">
        <f t="shared" ref="C196:C259" si="7">MOD(A196-1,$B$1)+1</f>
        <v>4</v>
      </c>
      <c r="D196" cm="1">
        <f t="array" ref="D196">INDEX('Linha 06'!$A$4:$A$1000,B196)</f>
        <v>20060013</v>
      </c>
      <c r="E196" t="str" cm="1">
        <f t="array" ref="E196">INDEX('Linha 06'!$B$4:$B$1000,B196)</f>
        <v>Limp Perf Aquafast Frescor Da Manha Cx/12 X 1l</v>
      </c>
      <c r="F196" cm="1">
        <f t="array" ref="F196">INDEX('Linha 06'!$C$3:$ZZ$3,C196)</f>
        <v>20060011</v>
      </c>
      <c r="G196" t="str" cm="1">
        <f t="array" ref="G196">INDEX('Linha 06'!$C$2:$ZZ$2,C196)</f>
        <v>Limp Perf Aquafast Frescor Da Manha Cx/12 X 500ml</v>
      </c>
      <c r="H196" s="5" cm="1">
        <f t="array" ref="H196">INDEX('Linha 06'!$C$4:$ZZ$1000,B196,C196)</f>
        <v>0</v>
      </c>
    </row>
    <row r="197" spans="1:8" x14ac:dyDescent="0.25">
      <c r="A197">
        <v>195</v>
      </c>
      <c r="B197">
        <f t="shared" si="6"/>
        <v>6</v>
      </c>
      <c r="C197">
        <f t="shared" si="7"/>
        <v>5</v>
      </c>
      <c r="D197" cm="1">
        <f t="array" ref="D197">INDEX('Linha 06'!$A$4:$A$1000,B197)</f>
        <v>20060013</v>
      </c>
      <c r="E197" t="str" cm="1">
        <f t="array" ref="E197">INDEX('Linha 06'!$B$4:$B$1000,B197)</f>
        <v>Limp Perf Aquafast Frescor Da Manha Cx/12 X 1l</v>
      </c>
      <c r="F197" cm="1">
        <f t="array" ref="F197">INDEX('Linha 06'!$C$3:$ZZ$3,C197)</f>
        <v>20060012</v>
      </c>
      <c r="G197" t="str" cm="1">
        <f t="array" ref="G197">INDEX('Linha 06'!$C$2:$ZZ$2,C197)</f>
        <v>Limp Perf Aquafast Magia Da Infancia Cx/12 X 1l</v>
      </c>
      <c r="H197" s="5" cm="1">
        <f t="array" ref="H197">INDEX('Linha 06'!$C$4:$ZZ$1000,B197,C197)</f>
        <v>0</v>
      </c>
    </row>
    <row r="198" spans="1:8" x14ac:dyDescent="0.25">
      <c r="A198">
        <v>196</v>
      </c>
      <c r="B198">
        <f t="shared" si="6"/>
        <v>6</v>
      </c>
      <c r="C198">
        <f t="shared" si="7"/>
        <v>6</v>
      </c>
      <c r="D198" cm="1">
        <f t="array" ref="D198">INDEX('Linha 06'!$A$4:$A$1000,B198)</f>
        <v>20060013</v>
      </c>
      <c r="E198" t="str" cm="1">
        <f t="array" ref="E198">INDEX('Linha 06'!$B$4:$B$1000,B198)</f>
        <v>Limp Perf Aquafast Frescor Da Manha Cx/12 X 1l</v>
      </c>
      <c r="F198" cm="1">
        <f t="array" ref="F198">INDEX('Linha 06'!$C$3:$ZZ$3,C198)</f>
        <v>20060013</v>
      </c>
      <c r="G198" t="str" cm="1">
        <f t="array" ref="G198">INDEX('Linha 06'!$C$2:$ZZ$2,C198)</f>
        <v>Limp Perf Aquafast Frescor Da Manha Cx/12 X 1l</v>
      </c>
      <c r="H198" s="5" cm="1">
        <f t="array" ref="H198">INDEX('Linha 06'!$C$4:$ZZ$1000,B198,C198)</f>
        <v>0</v>
      </c>
    </row>
    <row r="199" spans="1:8" x14ac:dyDescent="0.25">
      <c r="A199">
        <v>197</v>
      </c>
      <c r="B199">
        <f t="shared" si="6"/>
        <v>6</v>
      </c>
      <c r="C199">
        <f t="shared" si="7"/>
        <v>7</v>
      </c>
      <c r="D199" cm="1">
        <f t="array" ref="D199">INDEX('Linha 06'!$A$4:$A$1000,B199)</f>
        <v>20060013</v>
      </c>
      <c r="E199" t="str" cm="1">
        <f t="array" ref="E199">INDEX('Linha 06'!$B$4:$B$1000,B199)</f>
        <v>Limp Perf Aquafast Frescor Da Manha Cx/12 X 1l</v>
      </c>
      <c r="F199" cm="1">
        <f t="array" ref="F199">INDEX('Linha 06'!$C$3:$ZZ$3,C199)</f>
        <v>20060015</v>
      </c>
      <c r="G199" t="str" cm="1">
        <f t="array" ref="G199">INDEX('Linha 06'!$C$2:$ZZ$2,C199)</f>
        <v>Limp Perf Aquafast Doce Romance Cx/12 X 500ml</v>
      </c>
      <c r="H199" s="5" cm="1">
        <f t="array" ref="H199">INDEX('Linha 06'!$C$4:$ZZ$1000,B199,C199)</f>
        <v>0</v>
      </c>
    </row>
    <row r="200" spans="1:8" x14ac:dyDescent="0.25">
      <c r="A200">
        <v>198</v>
      </c>
      <c r="B200">
        <f t="shared" si="6"/>
        <v>6</v>
      </c>
      <c r="C200">
        <f t="shared" si="7"/>
        <v>8</v>
      </c>
      <c r="D200" cm="1">
        <f t="array" ref="D200">INDEX('Linha 06'!$A$4:$A$1000,B200)</f>
        <v>20060013</v>
      </c>
      <c r="E200" t="str" cm="1">
        <f t="array" ref="E200">INDEX('Linha 06'!$B$4:$B$1000,B200)</f>
        <v>Limp Perf Aquafast Frescor Da Manha Cx/12 X 1l</v>
      </c>
      <c r="F200" cm="1">
        <f t="array" ref="F200">INDEX('Linha 06'!$C$3:$ZZ$3,C200)</f>
        <v>20060016</v>
      </c>
      <c r="G200" t="str" cm="1">
        <f t="array" ref="G200">INDEX('Linha 06'!$C$2:$ZZ$2,C200)</f>
        <v>Limp Perf Aquafast Doce Romance Cx/12 X 1l</v>
      </c>
      <c r="H200" s="5" cm="1">
        <f t="array" ref="H200">INDEX('Linha 06'!$C$4:$ZZ$1000,B200,C200)</f>
        <v>0</v>
      </c>
    </row>
    <row r="201" spans="1:8" x14ac:dyDescent="0.25">
      <c r="A201">
        <v>199</v>
      </c>
      <c r="B201">
        <f t="shared" si="6"/>
        <v>6</v>
      </c>
      <c r="C201">
        <f t="shared" si="7"/>
        <v>9</v>
      </c>
      <c r="D201" cm="1">
        <f t="array" ref="D201">INDEX('Linha 06'!$A$4:$A$1000,B201)</f>
        <v>20060013</v>
      </c>
      <c r="E201" t="str" cm="1">
        <f t="array" ref="E201">INDEX('Linha 06'!$B$4:$B$1000,B201)</f>
        <v>Limp Perf Aquafast Frescor Da Manha Cx/12 X 1l</v>
      </c>
      <c r="F201" cm="1">
        <f t="array" ref="F201">INDEX('Linha 06'!$C$3:$ZZ$3,C201)</f>
        <v>20060027</v>
      </c>
      <c r="G201" t="str" cm="1">
        <f t="array" ref="G201">INDEX('Linha 06'!$C$2:$ZZ$2,C201)</f>
        <v>Limp Perf Aquafast Essencia Natural Cx/12 X 1l</v>
      </c>
      <c r="H201" s="5" cm="1">
        <f t="array" ref="H201">INDEX('Linha 06'!$C$4:$ZZ$1000,B201,C201)</f>
        <v>0</v>
      </c>
    </row>
    <row r="202" spans="1:8" x14ac:dyDescent="0.25">
      <c r="A202">
        <v>200</v>
      </c>
      <c r="B202">
        <f t="shared" si="6"/>
        <v>6</v>
      </c>
      <c r="C202">
        <f t="shared" si="7"/>
        <v>10</v>
      </c>
      <c r="D202" cm="1">
        <f t="array" ref="D202">INDEX('Linha 06'!$A$4:$A$1000,B202)</f>
        <v>20060013</v>
      </c>
      <c r="E202" t="str" cm="1">
        <f t="array" ref="E202">INDEX('Linha 06'!$B$4:$B$1000,B202)</f>
        <v>Limp Perf Aquafast Frescor Da Manha Cx/12 X 1l</v>
      </c>
      <c r="F202" cm="1">
        <f t="array" ref="F202">INDEX('Linha 06'!$C$3:$ZZ$3,C202)</f>
        <v>20070001</v>
      </c>
      <c r="G202" t="str" cm="1">
        <f t="array" ref="G202">INDEX('Linha 06'!$C$2:$ZZ$2,C202)</f>
        <v>Limpa Vidros Aquafast Pulverizador Cx/12 X 500ml</v>
      </c>
      <c r="H202" s="5" cm="1">
        <f t="array" ref="H202">INDEX('Linha 06'!$C$4:$ZZ$1000,B202,C202)</f>
        <v>0</v>
      </c>
    </row>
    <row r="203" spans="1:8" x14ac:dyDescent="0.25">
      <c r="A203">
        <v>201</v>
      </c>
      <c r="B203">
        <f t="shared" si="6"/>
        <v>6</v>
      </c>
      <c r="C203">
        <f t="shared" si="7"/>
        <v>11</v>
      </c>
      <c r="D203" cm="1">
        <f t="array" ref="D203">INDEX('Linha 06'!$A$4:$A$1000,B203)</f>
        <v>20060013</v>
      </c>
      <c r="E203" t="str" cm="1">
        <f t="array" ref="E203">INDEX('Linha 06'!$B$4:$B$1000,B203)</f>
        <v>Limp Perf Aquafast Frescor Da Manha Cx/12 X 1l</v>
      </c>
      <c r="F203" cm="1">
        <f t="array" ref="F203">INDEX('Linha 06'!$C$3:$ZZ$3,C203)</f>
        <v>20070002</v>
      </c>
      <c r="G203" t="str" cm="1">
        <f t="array" ref="G203">INDEX('Linha 06'!$C$2:$ZZ$2,C203)</f>
        <v>Limpa Vidros Aquafast Recarga Cx/12 X 500ml</v>
      </c>
      <c r="H203" s="5" cm="1">
        <f t="array" ref="H203">INDEX('Linha 06'!$C$4:$ZZ$1000,B203,C203)</f>
        <v>0</v>
      </c>
    </row>
    <row r="204" spans="1:8" x14ac:dyDescent="0.25">
      <c r="A204">
        <v>202</v>
      </c>
      <c r="B204">
        <f t="shared" si="6"/>
        <v>6</v>
      </c>
      <c r="C204">
        <f t="shared" si="7"/>
        <v>12</v>
      </c>
      <c r="D204" cm="1">
        <f t="array" ref="D204">INDEX('Linha 06'!$A$4:$A$1000,B204)</f>
        <v>20060013</v>
      </c>
      <c r="E204" t="str" cm="1">
        <f t="array" ref="E204">INDEX('Linha 06'!$B$4:$B$1000,B204)</f>
        <v>Limp Perf Aquafast Frescor Da Manha Cx/12 X 1l</v>
      </c>
      <c r="F204" cm="1">
        <f t="array" ref="F204">INDEX('Linha 06'!$C$3:$ZZ$3,C204)</f>
        <v>20070006</v>
      </c>
      <c r="G204" t="str" cm="1">
        <f t="array" ref="G204">INDEX('Linha 06'!$C$2:$ZZ$2,C204)</f>
        <v>Limpa Vidros Ito Pulverizador Cx/12 X 500ml</v>
      </c>
      <c r="H204" s="5" cm="1">
        <f t="array" ref="H204">INDEX('Linha 06'!$C$4:$ZZ$1000,B204,C204)</f>
        <v>0</v>
      </c>
    </row>
    <row r="205" spans="1:8" x14ac:dyDescent="0.25">
      <c r="A205">
        <v>203</v>
      </c>
      <c r="B205">
        <f t="shared" si="6"/>
        <v>6</v>
      </c>
      <c r="C205">
        <f t="shared" si="7"/>
        <v>13</v>
      </c>
      <c r="D205" cm="1">
        <f t="array" ref="D205">INDEX('Linha 06'!$A$4:$A$1000,B205)</f>
        <v>20060013</v>
      </c>
      <c r="E205" t="str" cm="1">
        <f t="array" ref="E205">INDEX('Linha 06'!$B$4:$B$1000,B205)</f>
        <v>Limp Perf Aquafast Frescor Da Manha Cx/12 X 1l</v>
      </c>
      <c r="F205" cm="1">
        <f t="array" ref="F205">INDEX('Linha 06'!$C$3:$ZZ$3,C205)</f>
        <v>20070007</v>
      </c>
      <c r="G205" t="str" cm="1">
        <f t="array" ref="G205">INDEX('Linha 06'!$C$2:$ZZ$2,C205)</f>
        <v>Limpa Vidros Ito Recarga Cx/12 X 500ml</v>
      </c>
      <c r="H205" s="5" cm="1">
        <f t="array" ref="H205">INDEX('Linha 06'!$C$4:$ZZ$1000,B205,C205)</f>
        <v>0</v>
      </c>
    </row>
    <row r="206" spans="1:8" x14ac:dyDescent="0.25">
      <c r="A206">
        <v>204</v>
      </c>
      <c r="B206">
        <f t="shared" si="6"/>
        <v>6</v>
      </c>
      <c r="C206">
        <f t="shared" si="7"/>
        <v>14</v>
      </c>
      <c r="D206" cm="1">
        <f t="array" ref="D206">INDEX('Linha 06'!$A$4:$A$1000,B206)</f>
        <v>20060013</v>
      </c>
      <c r="E206" t="str" cm="1">
        <f t="array" ref="E206">INDEX('Linha 06'!$B$4:$B$1000,B206)</f>
        <v>Limp Perf Aquafast Frescor Da Manha Cx/12 X 1l</v>
      </c>
      <c r="F206" cm="1">
        <f t="array" ref="F206">INDEX('Linha 06'!$C$3:$ZZ$3,C206)</f>
        <v>20070008</v>
      </c>
      <c r="G206" t="str" cm="1">
        <f t="array" ref="G206">INDEX('Linha 06'!$C$2:$ZZ$2,C206)</f>
        <v>Limpa Vidros Aquafast Squeeze Cx/12 X 500ml</v>
      </c>
      <c r="H206" s="5" cm="1">
        <f t="array" ref="H206">INDEX('Linha 06'!$C$4:$ZZ$1000,B206,C206)</f>
        <v>0</v>
      </c>
    </row>
    <row r="207" spans="1:8" x14ac:dyDescent="0.25">
      <c r="A207">
        <v>205</v>
      </c>
      <c r="B207">
        <f t="shared" si="6"/>
        <v>6</v>
      </c>
      <c r="C207">
        <f t="shared" si="7"/>
        <v>15</v>
      </c>
      <c r="D207" cm="1">
        <f t="array" ref="D207">INDEX('Linha 06'!$A$4:$A$1000,B207)</f>
        <v>20060013</v>
      </c>
      <c r="E207" t="str" cm="1">
        <f t="array" ref="E207">INDEX('Linha 06'!$B$4:$B$1000,B207)</f>
        <v>Limp Perf Aquafast Frescor Da Manha Cx/12 X 1l</v>
      </c>
      <c r="F207" cm="1">
        <f t="array" ref="F207">INDEX('Linha 06'!$C$3:$ZZ$3,C207)</f>
        <v>20090001</v>
      </c>
      <c r="G207" t="str" cm="1">
        <f t="array" ref="G207">INDEX('Linha 06'!$C$2:$ZZ$2,C207)</f>
        <v>Desengordurante Aquafast Pulverizador Cx/12 X 500ml</v>
      </c>
      <c r="H207" s="5" cm="1">
        <f t="array" ref="H207">INDEX('Linha 06'!$C$4:$ZZ$1000,B207,C207)</f>
        <v>0</v>
      </c>
    </row>
    <row r="208" spans="1:8" x14ac:dyDescent="0.25">
      <c r="A208">
        <v>206</v>
      </c>
      <c r="B208">
        <f t="shared" si="6"/>
        <v>6</v>
      </c>
      <c r="C208">
        <f t="shared" si="7"/>
        <v>16</v>
      </c>
      <c r="D208" cm="1">
        <f t="array" ref="D208">INDEX('Linha 06'!$A$4:$A$1000,B208)</f>
        <v>20060013</v>
      </c>
      <c r="E208" t="str" cm="1">
        <f t="array" ref="E208">INDEX('Linha 06'!$B$4:$B$1000,B208)</f>
        <v>Limp Perf Aquafast Frescor Da Manha Cx/12 X 1l</v>
      </c>
      <c r="F208" cm="1">
        <f t="array" ref="F208">INDEX('Linha 06'!$C$3:$ZZ$3,C208)</f>
        <v>20090002</v>
      </c>
      <c r="G208" t="str" cm="1">
        <f t="array" ref="G208">INDEX('Linha 06'!$C$2:$ZZ$2,C208)</f>
        <v>Desengordurante Aquafast Recarga Cx/12 X 500ml</v>
      </c>
      <c r="H208" s="5" cm="1">
        <f t="array" ref="H208">INDEX('Linha 06'!$C$4:$ZZ$1000,B208,C208)</f>
        <v>0</v>
      </c>
    </row>
    <row r="209" spans="1:8" x14ac:dyDescent="0.25">
      <c r="A209">
        <v>207</v>
      </c>
      <c r="B209">
        <f t="shared" si="6"/>
        <v>6</v>
      </c>
      <c r="C209">
        <f t="shared" si="7"/>
        <v>17</v>
      </c>
      <c r="D209" cm="1">
        <f t="array" ref="D209">INDEX('Linha 06'!$A$4:$A$1000,B209)</f>
        <v>20060013</v>
      </c>
      <c r="E209" t="str" cm="1">
        <f t="array" ref="E209">INDEX('Linha 06'!$B$4:$B$1000,B209)</f>
        <v>Limp Perf Aquafast Frescor Da Manha Cx/12 X 1l</v>
      </c>
      <c r="F209" cm="1">
        <f t="array" ref="F209">INDEX('Linha 06'!$C$3:$ZZ$3,C209)</f>
        <v>20090004</v>
      </c>
      <c r="G209" t="str" cm="1">
        <f t="array" ref="G209">INDEX('Linha 06'!$C$2:$ZZ$2,C209)</f>
        <v>Desengordurante Aquafast Squeeze Cx C/12 X 500ml</v>
      </c>
      <c r="H209" s="5" cm="1">
        <f t="array" ref="H209">INDEX('Linha 06'!$C$4:$ZZ$1000,B209,C209)</f>
        <v>0</v>
      </c>
    </row>
    <row r="210" spans="1:8" x14ac:dyDescent="0.25">
      <c r="A210">
        <v>208</v>
      </c>
      <c r="B210">
        <f t="shared" si="6"/>
        <v>6</v>
      </c>
      <c r="C210">
        <f t="shared" si="7"/>
        <v>18</v>
      </c>
      <c r="D210" cm="1">
        <f t="array" ref="D210">INDEX('Linha 06'!$A$4:$A$1000,B210)</f>
        <v>20060013</v>
      </c>
      <c r="E210" t="str" cm="1">
        <f t="array" ref="E210">INDEX('Linha 06'!$B$4:$B$1000,B210)</f>
        <v>Limp Perf Aquafast Frescor Da Manha Cx/12 X 1l</v>
      </c>
      <c r="F210" cm="1">
        <f t="array" ref="F210">INDEX('Linha 06'!$C$3:$ZZ$3,C210)</f>
        <v>20090005</v>
      </c>
      <c r="G210" t="str" cm="1">
        <f t="array" ref="G210">INDEX('Linha 06'!$C$2:$ZZ$2,C210)</f>
        <v>Desengordurante Aquafast Squeeze Cx C/12 X 1l</v>
      </c>
      <c r="H210" s="5" cm="1">
        <f t="array" ref="H210">INDEX('Linha 06'!$C$4:$ZZ$1000,B210,C210)</f>
        <v>0</v>
      </c>
    </row>
    <row r="211" spans="1:8" x14ac:dyDescent="0.25">
      <c r="A211">
        <v>209</v>
      </c>
      <c r="B211">
        <f t="shared" si="6"/>
        <v>6</v>
      </c>
      <c r="C211">
        <f t="shared" si="7"/>
        <v>19</v>
      </c>
      <c r="D211" cm="1">
        <f t="array" ref="D211">INDEX('Linha 06'!$A$4:$A$1000,B211)</f>
        <v>20060013</v>
      </c>
      <c r="E211" t="str" cm="1">
        <f t="array" ref="E211">INDEX('Linha 06'!$B$4:$B$1000,B211)</f>
        <v>Limp Perf Aquafast Frescor Da Manha Cx/12 X 1l</v>
      </c>
      <c r="F211" cm="1">
        <f t="array" ref="F211">INDEX('Linha 06'!$C$3:$ZZ$3,C211)</f>
        <v>20090010</v>
      </c>
      <c r="G211" t="str" cm="1">
        <f t="array" ref="G211">INDEX('Linha 06'!$C$2:$ZZ$2,C211)</f>
        <v>Intermed Pack Desengord Squeeze Cx C/18 X 500ml</v>
      </c>
      <c r="H211" s="5" cm="1">
        <f t="array" ref="H211">INDEX('Linha 06'!$C$4:$ZZ$1000,B211,C211)</f>
        <v>0</v>
      </c>
    </row>
    <row r="212" spans="1:8" x14ac:dyDescent="0.25">
      <c r="A212">
        <v>210</v>
      </c>
      <c r="B212">
        <f t="shared" si="6"/>
        <v>6</v>
      </c>
      <c r="C212">
        <f t="shared" si="7"/>
        <v>20</v>
      </c>
      <c r="D212" cm="1">
        <f t="array" ref="D212">INDEX('Linha 06'!$A$4:$A$1000,B212)</f>
        <v>20060013</v>
      </c>
      <c r="E212" t="str" cm="1">
        <f t="array" ref="E212">INDEX('Linha 06'!$B$4:$B$1000,B212)</f>
        <v>Limp Perf Aquafast Frescor Da Manha Cx/12 X 1l</v>
      </c>
      <c r="F212" cm="1">
        <f t="array" ref="F212">INDEX('Linha 06'!$C$3:$ZZ$3,C212)</f>
        <v>20110002</v>
      </c>
      <c r="G212" t="str" cm="1">
        <f t="array" ref="G212">INDEX('Linha 06'!$C$2:$ZZ$2,C212)</f>
        <v>Multi Uso Aquafast Squeeze Original Cx/12 X 500ml</v>
      </c>
      <c r="H212" s="5" cm="1">
        <f t="array" ref="H212">INDEX('Linha 06'!$C$4:$ZZ$1000,B212,C212)</f>
        <v>0</v>
      </c>
    </row>
    <row r="213" spans="1:8" x14ac:dyDescent="0.25">
      <c r="A213">
        <v>211</v>
      </c>
      <c r="B213">
        <f t="shared" si="6"/>
        <v>6</v>
      </c>
      <c r="C213">
        <f t="shared" si="7"/>
        <v>21</v>
      </c>
      <c r="D213" cm="1">
        <f t="array" ref="D213">INDEX('Linha 06'!$A$4:$A$1000,B213)</f>
        <v>20060013</v>
      </c>
      <c r="E213" t="str" cm="1">
        <f t="array" ref="E213">INDEX('Linha 06'!$B$4:$B$1000,B213)</f>
        <v>Limp Perf Aquafast Frescor Da Manha Cx/12 X 1l</v>
      </c>
      <c r="F213" cm="1">
        <f t="array" ref="F213">INDEX('Linha 06'!$C$3:$ZZ$3,C213)</f>
        <v>20110004</v>
      </c>
      <c r="G213" t="str" cm="1">
        <f t="array" ref="G213">INDEX('Linha 06'!$C$2:$ZZ$2,C213)</f>
        <v>Multi Uso Aquafast Squeeze Lavanda Cx/12 X 500ml</v>
      </c>
      <c r="H213" s="5" cm="1">
        <f t="array" ref="H213">INDEX('Linha 06'!$C$4:$ZZ$1000,B213,C213)</f>
        <v>0</v>
      </c>
    </row>
    <row r="214" spans="1:8" x14ac:dyDescent="0.25">
      <c r="A214">
        <v>212</v>
      </c>
      <c r="B214">
        <f t="shared" si="6"/>
        <v>6</v>
      </c>
      <c r="C214">
        <f t="shared" si="7"/>
        <v>22</v>
      </c>
      <c r="D214" cm="1">
        <f t="array" ref="D214">INDEX('Linha 06'!$A$4:$A$1000,B214)</f>
        <v>20060013</v>
      </c>
      <c r="E214" t="str" cm="1">
        <f t="array" ref="E214">INDEX('Linha 06'!$B$4:$B$1000,B214)</f>
        <v>Limp Perf Aquafast Frescor Da Manha Cx/12 X 1l</v>
      </c>
      <c r="F214" cm="1">
        <f t="array" ref="F214">INDEX('Linha 06'!$C$3:$ZZ$3,C214)</f>
        <v>20110007</v>
      </c>
      <c r="G214" t="str" cm="1">
        <f t="array" ref="G214">INDEX('Linha 06'!$C$2:$ZZ$2,C214)</f>
        <v>Multi Uso Aquafast Squeeze Seducao Cx/12 X 500ml</v>
      </c>
      <c r="H214" s="5" cm="1">
        <f t="array" ref="H214">INDEX('Linha 06'!$C$4:$ZZ$1000,B214,C214)</f>
        <v>0</v>
      </c>
    </row>
    <row r="215" spans="1:8" x14ac:dyDescent="0.25">
      <c r="A215">
        <v>213</v>
      </c>
      <c r="B215">
        <f t="shared" si="6"/>
        <v>6</v>
      </c>
      <c r="C215">
        <f t="shared" si="7"/>
        <v>23</v>
      </c>
      <c r="D215" cm="1">
        <f t="array" ref="D215">INDEX('Linha 06'!$A$4:$A$1000,B215)</f>
        <v>20060013</v>
      </c>
      <c r="E215" t="str" cm="1">
        <f t="array" ref="E215">INDEX('Linha 06'!$B$4:$B$1000,B215)</f>
        <v>Limp Perf Aquafast Frescor Da Manha Cx/12 X 1l</v>
      </c>
      <c r="F215" cm="1">
        <f t="array" ref="F215">INDEX('Linha 06'!$C$3:$ZZ$3,C215)</f>
        <v>20110008</v>
      </c>
      <c r="G215" t="str" cm="1">
        <f t="array" ref="G215">INDEX('Linha 06'!$C$2:$ZZ$2,C215)</f>
        <v>Multi Uso Aquafast Squeeze Original Cx/12 X 1l</v>
      </c>
      <c r="H215" s="5" cm="1">
        <f t="array" ref="H215">INDEX('Linha 06'!$C$4:$ZZ$1000,B215,C215)</f>
        <v>0</v>
      </c>
    </row>
    <row r="216" spans="1:8" x14ac:dyDescent="0.25">
      <c r="A216">
        <v>214</v>
      </c>
      <c r="B216">
        <f t="shared" si="6"/>
        <v>6</v>
      </c>
      <c r="C216">
        <f t="shared" si="7"/>
        <v>24</v>
      </c>
      <c r="D216" cm="1">
        <f t="array" ref="D216">INDEX('Linha 06'!$A$4:$A$1000,B216)</f>
        <v>20060013</v>
      </c>
      <c r="E216" t="str" cm="1">
        <f t="array" ref="E216">INDEX('Linha 06'!$B$4:$B$1000,B216)</f>
        <v>Limp Perf Aquafast Frescor Da Manha Cx/12 X 1l</v>
      </c>
      <c r="F216" cm="1">
        <f t="array" ref="F216">INDEX('Linha 06'!$C$3:$ZZ$3,C216)</f>
        <v>20110010</v>
      </c>
      <c r="G216" t="str" cm="1">
        <f t="array" ref="G216">INDEX('Linha 06'!$C$2:$ZZ$2,C216)</f>
        <v>Multi Uso Aquafast Squeeze Seducao Cx/12 1l</v>
      </c>
      <c r="H216" s="5" cm="1">
        <f t="array" ref="H216">INDEX('Linha 06'!$C$4:$ZZ$1000,B216,C216)</f>
        <v>0</v>
      </c>
    </row>
    <row r="217" spans="1:8" x14ac:dyDescent="0.25">
      <c r="A217">
        <v>215</v>
      </c>
      <c r="B217">
        <f t="shared" si="6"/>
        <v>6</v>
      </c>
      <c r="C217">
        <f t="shared" si="7"/>
        <v>25</v>
      </c>
      <c r="D217" cm="1">
        <f t="array" ref="D217">INDEX('Linha 06'!$A$4:$A$1000,B217)</f>
        <v>20060013</v>
      </c>
      <c r="E217" t="str" cm="1">
        <f t="array" ref="E217">INDEX('Linha 06'!$B$4:$B$1000,B217)</f>
        <v>Limp Perf Aquafast Frescor Da Manha Cx/12 X 1l</v>
      </c>
      <c r="F217" cm="1">
        <f t="array" ref="F217">INDEX('Linha 06'!$C$3:$ZZ$3,C217)</f>
        <v>20110013</v>
      </c>
      <c r="G217" t="str" cm="1">
        <f t="array" ref="G217">INDEX('Linha 06'!$C$2:$ZZ$2,C217)</f>
        <v>Multi Uso Aquafast Squeeze Lavanda Cx/12 X 1l</v>
      </c>
      <c r="H217" s="5" cm="1">
        <f t="array" ref="H217">INDEX('Linha 06'!$C$4:$ZZ$1000,B217,C217)</f>
        <v>0</v>
      </c>
    </row>
    <row r="218" spans="1:8" x14ac:dyDescent="0.25">
      <c r="A218">
        <v>216</v>
      </c>
      <c r="B218">
        <f t="shared" si="6"/>
        <v>6</v>
      </c>
      <c r="C218">
        <f t="shared" si="7"/>
        <v>26</v>
      </c>
      <c r="D218" cm="1">
        <f t="array" ref="D218">INDEX('Linha 06'!$A$4:$A$1000,B218)</f>
        <v>20060013</v>
      </c>
      <c r="E218" t="str" cm="1">
        <f t="array" ref="E218">INDEX('Linha 06'!$B$4:$B$1000,B218)</f>
        <v>Limp Perf Aquafast Frescor Da Manha Cx/12 X 1l</v>
      </c>
      <c r="F218" cm="1">
        <f t="array" ref="F218">INDEX('Linha 06'!$C$3:$ZZ$3,C218)</f>
        <v>20110022</v>
      </c>
      <c r="G218" t="str" cm="1">
        <f t="array" ref="G218">INDEX('Linha 06'!$C$2:$ZZ$2,C218)</f>
        <v>Intermed Pack Multi Uso Lavand C/Alcool Cx/18 X 500ml</v>
      </c>
      <c r="H218" s="5" cm="1">
        <f t="array" ref="H218">INDEX('Linha 06'!$C$4:$ZZ$1000,B218,C218)</f>
        <v>0</v>
      </c>
    </row>
    <row r="219" spans="1:8" x14ac:dyDescent="0.25">
      <c r="A219">
        <v>217</v>
      </c>
      <c r="B219">
        <f t="shared" si="6"/>
        <v>6</v>
      </c>
      <c r="C219">
        <f t="shared" si="7"/>
        <v>27</v>
      </c>
      <c r="D219" cm="1">
        <f t="array" ref="D219">INDEX('Linha 06'!$A$4:$A$1000,B219)</f>
        <v>20060013</v>
      </c>
      <c r="E219" t="str" cm="1">
        <f t="array" ref="E219">INDEX('Linha 06'!$B$4:$B$1000,B219)</f>
        <v>Limp Perf Aquafast Frescor Da Manha Cx/12 X 1l</v>
      </c>
      <c r="F219" cm="1">
        <f t="array" ref="F219">INDEX('Linha 06'!$C$3:$ZZ$3,C219)</f>
        <v>20110023</v>
      </c>
      <c r="G219" t="str" cm="1">
        <f t="array" ref="G219">INDEX('Linha 06'!$C$2:$ZZ$2,C219)</f>
        <v>Multi Uso Aquafast Squeeze Cha Branco  Cx/12 X 500ml</v>
      </c>
      <c r="H219" s="5" cm="1">
        <f t="array" ref="H219">INDEX('Linha 06'!$C$4:$ZZ$1000,B219,C219)</f>
        <v>0</v>
      </c>
    </row>
    <row r="220" spans="1:8" x14ac:dyDescent="0.25">
      <c r="A220">
        <v>218</v>
      </c>
      <c r="B220">
        <f t="shared" si="6"/>
        <v>6</v>
      </c>
      <c r="C220">
        <f t="shared" si="7"/>
        <v>28</v>
      </c>
      <c r="D220" cm="1">
        <f t="array" ref="D220">INDEX('Linha 06'!$A$4:$A$1000,B220)</f>
        <v>20060013</v>
      </c>
      <c r="E220" t="str" cm="1">
        <f t="array" ref="E220">INDEX('Linha 06'!$B$4:$B$1000,B220)</f>
        <v>Limp Perf Aquafast Frescor Da Manha Cx/12 X 1l</v>
      </c>
      <c r="F220" cm="1">
        <f t="array" ref="F220">INDEX('Linha 06'!$C$3:$ZZ$3,C220)</f>
        <v>20110024</v>
      </c>
      <c r="G220" t="str" cm="1">
        <f t="array" ref="G220">INDEX('Linha 06'!$C$2:$ZZ$2,C220)</f>
        <v>Multi Uso Aquafast Squeeze Cha Branco Cx12 X 1l</v>
      </c>
      <c r="H220" s="5" cm="1">
        <f t="array" ref="H220">INDEX('Linha 06'!$C$4:$ZZ$1000,B220,C220)</f>
        <v>0</v>
      </c>
    </row>
    <row r="221" spans="1:8" x14ac:dyDescent="0.25">
      <c r="A221">
        <v>219</v>
      </c>
      <c r="B221">
        <f t="shared" si="6"/>
        <v>6</v>
      </c>
      <c r="C221">
        <f t="shared" si="7"/>
        <v>29</v>
      </c>
      <c r="D221" cm="1">
        <f t="array" ref="D221">INDEX('Linha 06'!$A$4:$A$1000,B221)</f>
        <v>20060013</v>
      </c>
      <c r="E221" t="str" cm="1">
        <f t="array" ref="E221">INDEX('Linha 06'!$B$4:$B$1000,B221)</f>
        <v>Limp Perf Aquafast Frescor Da Manha Cx/12 X 1l</v>
      </c>
      <c r="F221" cm="1">
        <f t="array" ref="F221">INDEX('Linha 06'!$C$3:$ZZ$3,C221)</f>
        <v>20110025</v>
      </c>
      <c r="G221" t="str" cm="1">
        <f t="array" ref="G221">INDEX('Linha 06'!$C$2:$ZZ$2,C221)</f>
        <v>Multi Uso Aquafast Pulverizador Original Cx/12 X 1l</v>
      </c>
      <c r="H221" s="5" cm="1">
        <f t="array" ref="H221">INDEX('Linha 06'!$C$4:$ZZ$1000,B221,C221)</f>
        <v>0</v>
      </c>
    </row>
    <row r="222" spans="1:8" x14ac:dyDescent="0.25">
      <c r="A222">
        <v>220</v>
      </c>
      <c r="B222">
        <f t="shared" si="6"/>
        <v>6</v>
      </c>
      <c r="C222">
        <f t="shared" si="7"/>
        <v>30</v>
      </c>
      <c r="D222" cm="1">
        <f t="array" ref="D222">INDEX('Linha 06'!$A$4:$A$1000,B222)</f>
        <v>20060013</v>
      </c>
      <c r="E222" t="str" cm="1">
        <f t="array" ref="E222">INDEX('Linha 06'!$B$4:$B$1000,B222)</f>
        <v>Limp Perf Aquafast Frescor Da Manha Cx/12 X 1l</v>
      </c>
      <c r="F222" cm="1">
        <f t="array" ref="F222">INDEX('Linha 06'!$C$3:$ZZ$3,C222)</f>
        <v>20110026</v>
      </c>
      <c r="G222" t="str" cm="1">
        <f t="array" ref="G222">INDEX('Linha 06'!$C$2:$ZZ$2,C222)</f>
        <v>Multi Uso Aquafast Pulverizador Poder O2 Cx/12 X 1l</v>
      </c>
      <c r="H222" s="5" cm="1">
        <f t="array" ref="H222">INDEX('Linha 06'!$C$4:$ZZ$1000,B222,C222)</f>
        <v>0</v>
      </c>
    </row>
    <row r="223" spans="1:8" x14ac:dyDescent="0.25">
      <c r="A223">
        <v>221</v>
      </c>
      <c r="B223">
        <f t="shared" si="6"/>
        <v>6</v>
      </c>
      <c r="C223">
        <f t="shared" si="7"/>
        <v>31</v>
      </c>
      <c r="D223" cm="1">
        <f t="array" ref="D223">INDEX('Linha 06'!$A$4:$A$1000,B223)</f>
        <v>20060013</v>
      </c>
      <c r="E223" t="str" cm="1">
        <f t="array" ref="E223">INDEX('Linha 06'!$B$4:$B$1000,B223)</f>
        <v>Limp Perf Aquafast Frescor Da Manha Cx/12 X 1l</v>
      </c>
      <c r="F223" cm="1">
        <f t="array" ref="F223">INDEX('Linha 06'!$C$3:$ZZ$3,C223)</f>
        <v>20110027</v>
      </c>
      <c r="G223" t="str" cm="1">
        <f t="array" ref="G223">INDEX('Linha 06'!$C$2:$ZZ$2,C223)</f>
        <v>Multi Uso Aquafast Pulverizador Poder O2 Cx/12 X 500ml</v>
      </c>
      <c r="H223" s="5" cm="1">
        <f t="array" ref="H223">INDEX('Linha 06'!$C$4:$ZZ$1000,B223,C223)</f>
        <v>0</v>
      </c>
    </row>
    <row r="224" spans="1:8" x14ac:dyDescent="0.25">
      <c r="A224">
        <v>222</v>
      </c>
      <c r="B224">
        <f t="shared" si="6"/>
        <v>6</v>
      </c>
      <c r="C224">
        <f t="shared" si="7"/>
        <v>32</v>
      </c>
      <c r="D224" cm="1">
        <f t="array" ref="D224">INDEX('Linha 06'!$A$4:$A$1000,B224)</f>
        <v>20060013</v>
      </c>
      <c r="E224" t="str" cm="1">
        <f t="array" ref="E224">INDEX('Linha 06'!$B$4:$B$1000,B224)</f>
        <v>Limp Perf Aquafast Frescor Da Manha Cx/12 X 1l</v>
      </c>
      <c r="F224" cm="1">
        <f t="array" ref="F224">INDEX('Linha 06'!$C$3:$ZZ$3,C224)</f>
        <v>20200073</v>
      </c>
      <c r="G224" t="str" cm="1">
        <f t="array" ref="G224">INDEX('Linha 06'!$C$2:$ZZ$2,C224)</f>
        <v>Lava Roupas Aquafast Lavagem Rapida Total Clean Cx/9 X 1,5l</v>
      </c>
      <c r="H224" s="5" cm="1">
        <f t="array" ref="H224">INDEX('Linha 06'!$C$4:$ZZ$1000,B224,C224)</f>
        <v>0</v>
      </c>
    </row>
    <row r="225" spans="1:8" x14ac:dyDescent="0.25">
      <c r="A225">
        <v>223</v>
      </c>
      <c r="B225">
        <f t="shared" si="6"/>
        <v>6</v>
      </c>
      <c r="C225">
        <f t="shared" si="7"/>
        <v>33</v>
      </c>
      <c r="D225" cm="1">
        <f t="array" ref="D225">INDEX('Linha 06'!$A$4:$A$1000,B225)</f>
        <v>20060013</v>
      </c>
      <c r="E225" t="str" cm="1">
        <f t="array" ref="E225">INDEX('Linha 06'!$B$4:$B$1000,B225)</f>
        <v>Limp Perf Aquafast Frescor Da Manha Cx/12 X 1l</v>
      </c>
      <c r="F225" cm="1">
        <f t="array" ref="F225">INDEX('Linha 06'!$C$3:$ZZ$3,C225)</f>
        <v>20200075</v>
      </c>
      <c r="G225" t="str" cm="1">
        <f t="array" ref="G225">INDEX('Linha 06'!$C$2:$ZZ$2,C225)</f>
        <v>Lava Roupas Aquafast Lavagem Rapida Fresh Clean Cx/9 X 1,5l</v>
      </c>
      <c r="H225" s="5" cm="1">
        <f t="array" ref="H225">INDEX('Linha 06'!$C$4:$ZZ$1000,B225,C225)</f>
        <v>0</v>
      </c>
    </row>
    <row r="226" spans="1:8" x14ac:dyDescent="0.25">
      <c r="A226">
        <v>224</v>
      </c>
      <c r="B226">
        <f t="shared" si="6"/>
        <v>6</v>
      </c>
      <c r="C226">
        <f t="shared" si="7"/>
        <v>34</v>
      </c>
      <c r="D226" cm="1">
        <f t="array" ref="D226">INDEX('Linha 06'!$A$4:$A$1000,B226)</f>
        <v>20060013</v>
      </c>
      <c r="E226" t="str" cm="1">
        <f t="array" ref="E226">INDEX('Linha 06'!$B$4:$B$1000,B226)</f>
        <v>Limp Perf Aquafast Frescor Da Manha Cx/12 X 1l</v>
      </c>
      <c r="F226" cm="1">
        <f t="array" ref="F226">INDEX('Linha 06'!$C$3:$ZZ$3,C226)</f>
        <v>20220018</v>
      </c>
      <c r="G226" t="str" cm="1">
        <f t="array" ref="G226">INDEX('Linha 06'!$C$2:$ZZ$2,C226)</f>
        <v>Intermed. Aromat. Amoras E Baunilha Cx C/ 12un 250ml</v>
      </c>
      <c r="H226" s="5" cm="1">
        <f t="array" ref="H226">INDEX('Linha 06'!$C$4:$ZZ$1000,B226,C226)</f>
        <v>0</v>
      </c>
    </row>
    <row r="227" spans="1:8" x14ac:dyDescent="0.25">
      <c r="A227">
        <v>225</v>
      </c>
      <c r="B227">
        <f t="shared" si="6"/>
        <v>6</v>
      </c>
      <c r="C227">
        <f t="shared" si="7"/>
        <v>35</v>
      </c>
      <c r="D227" cm="1">
        <f t="array" ref="D227">INDEX('Linha 06'!$A$4:$A$1000,B227)</f>
        <v>20060013</v>
      </c>
      <c r="E227" t="str" cm="1">
        <f t="array" ref="E227">INDEX('Linha 06'!$B$4:$B$1000,B227)</f>
        <v>Limp Perf Aquafast Frescor Da Manha Cx/12 X 1l</v>
      </c>
      <c r="F227" cm="1">
        <f t="array" ref="F227">INDEX('Linha 06'!$C$3:$ZZ$3,C227)</f>
        <v>20220019</v>
      </c>
      <c r="G227" t="str" cm="1">
        <f t="array" ref="G227">INDEX('Linha 06'!$C$2:$ZZ$2,C227)</f>
        <v>Intermed. Aromat. Figo E Cedro Cx C/ 12un 250ml</v>
      </c>
      <c r="H227" s="5" cm="1">
        <f t="array" ref="H227">INDEX('Linha 06'!$C$4:$ZZ$1000,B227,C227)</f>
        <v>0</v>
      </c>
    </row>
    <row r="228" spans="1:8" x14ac:dyDescent="0.25">
      <c r="A228">
        <v>226</v>
      </c>
      <c r="B228">
        <f t="shared" si="6"/>
        <v>6</v>
      </c>
      <c r="C228">
        <f t="shared" si="7"/>
        <v>36</v>
      </c>
      <c r="D228" cm="1">
        <f t="array" ref="D228">INDEX('Linha 06'!$A$4:$A$1000,B228)</f>
        <v>20060013</v>
      </c>
      <c r="E228" t="str" cm="1">
        <f t="array" ref="E228">INDEX('Linha 06'!$B$4:$B$1000,B228)</f>
        <v>Limp Perf Aquafast Frescor Da Manha Cx/12 X 1l</v>
      </c>
      <c r="F228" cm="1">
        <f t="array" ref="F228">INDEX('Linha 06'!$C$3:$ZZ$3,C228)</f>
        <v>20220020</v>
      </c>
      <c r="G228" t="str" cm="1">
        <f t="array" ref="G228">INDEX('Linha 06'!$C$2:$ZZ$2,C228)</f>
        <v>Intermed. Aromat. Rosas E Magnolias Cx C/ 12un 250ml</v>
      </c>
      <c r="H228" s="5" cm="1">
        <f t="array" ref="H228">INDEX('Linha 06'!$C$4:$ZZ$1000,B228,C228)</f>
        <v>0</v>
      </c>
    </row>
    <row r="229" spans="1:8" x14ac:dyDescent="0.25">
      <c r="A229">
        <v>227</v>
      </c>
      <c r="B229">
        <f t="shared" si="6"/>
        <v>6</v>
      </c>
      <c r="C229">
        <f t="shared" si="7"/>
        <v>37</v>
      </c>
      <c r="D229" cm="1">
        <f t="array" ref="D229">INDEX('Linha 06'!$A$4:$A$1000,B229)</f>
        <v>20060013</v>
      </c>
      <c r="E229" t="str" cm="1">
        <f t="array" ref="E229">INDEX('Linha 06'!$B$4:$B$1000,B229)</f>
        <v>Limp Perf Aquafast Frescor Da Manha Cx/12 X 1l</v>
      </c>
      <c r="F229" cm="1">
        <f t="array" ref="F229">INDEX('Linha 06'!$C$3:$ZZ$3,C229)</f>
        <v>20220021</v>
      </c>
      <c r="G229" t="str" cm="1">
        <f t="array" ref="G229">INDEX('Linha 06'!$C$2:$ZZ$2,C229)</f>
        <v>Intermed. Aromat. Flores Exoticas Cx C/ 12un 250ml</v>
      </c>
      <c r="H229" s="5" cm="1">
        <f t="array" ref="H229">INDEX('Linha 06'!$C$4:$ZZ$1000,B229,C229)</f>
        <v>0</v>
      </c>
    </row>
    <row r="230" spans="1:8" x14ac:dyDescent="0.25">
      <c r="A230">
        <v>228</v>
      </c>
      <c r="B230">
        <f t="shared" si="6"/>
        <v>6</v>
      </c>
      <c r="C230">
        <f t="shared" si="7"/>
        <v>38</v>
      </c>
      <c r="D230" cm="1">
        <f t="array" ref="D230">INDEX('Linha 06'!$A$4:$A$1000,B230)</f>
        <v>20060013</v>
      </c>
      <c r="E230" t="str" cm="1">
        <f t="array" ref="E230">INDEX('Linha 06'!$B$4:$B$1000,B230)</f>
        <v>Limp Perf Aquafast Frescor Da Manha Cx/12 X 1l</v>
      </c>
      <c r="F230" cm="1">
        <f t="array" ref="F230">INDEX('Linha 06'!$C$3:$ZZ$3,C230)</f>
        <v>20220022</v>
      </c>
      <c r="G230" t="str" cm="1">
        <f t="array" ref="G230">INDEX('Linha 06'!$C$2:$ZZ$2,C230)</f>
        <v>Intermed. Aromat. Cha Verde E Grapef Cx C/ 12un 250ml</v>
      </c>
      <c r="H230" s="5" cm="1">
        <f t="array" ref="H230">INDEX('Linha 06'!$C$4:$ZZ$1000,B230,C230)</f>
        <v>0</v>
      </c>
    </row>
    <row r="231" spans="1:8" x14ac:dyDescent="0.25">
      <c r="A231">
        <v>229</v>
      </c>
      <c r="B231">
        <f t="shared" si="6"/>
        <v>7</v>
      </c>
      <c r="C231">
        <f t="shared" si="7"/>
        <v>1</v>
      </c>
      <c r="D231" cm="1">
        <f t="array" ref="D231">INDEX('Linha 06'!$A$4:$A$1000,B231)</f>
        <v>20060015</v>
      </c>
      <c r="E231" t="str" cm="1">
        <f t="array" ref="E231">INDEX('Linha 06'!$B$4:$B$1000,B231)</f>
        <v>Limp Perf Aquafast Doce Romance Cx/12 X 500ml</v>
      </c>
      <c r="F231" cm="1">
        <f t="array" ref="F231">INDEX('Linha 06'!$C$3:$ZZ$3,C231)</f>
        <v>20060001</v>
      </c>
      <c r="G231" t="str" cm="1">
        <f t="array" ref="G231">INDEX('Linha 06'!$C$2:$ZZ$2,C231)</f>
        <v>Limp Perf Aquafast Magia Seducao Cx/12 X 500ml</v>
      </c>
      <c r="H231" s="5" cm="1">
        <f t="array" ref="H231">INDEX('Linha 06'!$C$4:$ZZ$1000,B231,C231)</f>
        <v>0</v>
      </c>
    </row>
    <row r="232" spans="1:8" x14ac:dyDescent="0.25">
      <c r="A232">
        <v>230</v>
      </c>
      <c r="B232">
        <f t="shared" si="6"/>
        <v>7</v>
      </c>
      <c r="C232">
        <f t="shared" si="7"/>
        <v>2</v>
      </c>
      <c r="D232" cm="1">
        <f t="array" ref="D232">INDEX('Linha 06'!$A$4:$A$1000,B232)</f>
        <v>20060015</v>
      </c>
      <c r="E232" t="str" cm="1">
        <f t="array" ref="E232">INDEX('Linha 06'!$B$4:$B$1000,B232)</f>
        <v>Limp Perf Aquafast Doce Romance Cx/12 X 500ml</v>
      </c>
      <c r="F232" cm="1">
        <f t="array" ref="F232">INDEX('Linha 06'!$C$3:$ZZ$3,C232)</f>
        <v>20060004</v>
      </c>
      <c r="G232" t="str" cm="1">
        <f t="array" ref="G232">INDEX('Linha 06'!$C$2:$ZZ$2,C232)</f>
        <v>Limp Perf Aquafast Magia Seducao Cx/12 X 1l</v>
      </c>
      <c r="H232" s="5" cm="1">
        <f t="array" ref="H232">INDEX('Linha 06'!$C$4:$ZZ$1000,B232,C232)</f>
        <v>0</v>
      </c>
    </row>
    <row r="233" spans="1:8" x14ac:dyDescent="0.25">
      <c r="A233">
        <v>231</v>
      </c>
      <c r="B233">
        <f t="shared" si="6"/>
        <v>7</v>
      </c>
      <c r="C233">
        <f t="shared" si="7"/>
        <v>3</v>
      </c>
      <c r="D233" cm="1">
        <f t="array" ref="D233">INDEX('Linha 06'!$A$4:$A$1000,B233)</f>
        <v>20060015</v>
      </c>
      <c r="E233" t="str" cm="1">
        <f t="array" ref="E233">INDEX('Linha 06'!$B$4:$B$1000,B233)</f>
        <v>Limp Perf Aquafast Doce Romance Cx/12 X 500ml</v>
      </c>
      <c r="F233" cm="1">
        <f t="array" ref="F233">INDEX('Linha 06'!$C$3:$ZZ$3,C233)</f>
        <v>20060010</v>
      </c>
      <c r="G233" t="str" cm="1">
        <f t="array" ref="G233">INDEX('Linha 06'!$C$2:$ZZ$2,C233)</f>
        <v>Limp Perf Aquafast Magia Da Infancia Cx/12 X 500ml</v>
      </c>
      <c r="H233" s="5" cm="1">
        <f t="array" ref="H233">INDEX('Linha 06'!$C$4:$ZZ$1000,B233,C233)</f>
        <v>0</v>
      </c>
    </row>
    <row r="234" spans="1:8" x14ac:dyDescent="0.25">
      <c r="A234">
        <v>232</v>
      </c>
      <c r="B234">
        <f t="shared" si="6"/>
        <v>7</v>
      </c>
      <c r="C234">
        <f t="shared" si="7"/>
        <v>4</v>
      </c>
      <c r="D234" cm="1">
        <f t="array" ref="D234">INDEX('Linha 06'!$A$4:$A$1000,B234)</f>
        <v>20060015</v>
      </c>
      <c r="E234" t="str" cm="1">
        <f t="array" ref="E234">INDEX('Linha 06'!$B$4:$B$1000,B234)</f>
        <v>Limp Perf Aquafast Doce Romance Cx/12 X 500ml</v>
      </c>
      <c r="F234" cm="1">
        <f t="array" ref="F234">INDEX('Linha 06'!$C$3:$ZZ$3,C234)</f>
        <v>20060011</v>
      </c>
      <c r="G234" t="str" cm="1">
        <f t="array" ref="G234">INDEX('Linha 06'!$C$2:$ZZ$2,C234)</f>
        <v>Limp Perf Aquafast Frescor Da Manha Cx/12 X 500ml</v>
      </c>
      <c r="H234" s="5" cm="1">
        <f t="array" ref="H234">INDEX('Linha 06'!$C$4:$ZZ$1000,B234,C234)</f>
        <v>0</v>
      </c>
    </row>
    <row r="235" spans="1:8" x14ac:dyDescent="0.25">
      <c r="A235">
        <v>233</v>
      </c>
      <c r="B235">
        <f t="shared" si="6"/>
        <v>7</v>
      </c>
      <c r="C235">
        <f t="shared" si="7"/>
        <v>5</v>
      </c>
      <c r="D235" cm="1">
        <f t="array" ref="D235">INDEX('Linha 06'!$A$4:$A$1000,B235)</f>
        <v>20060015</v>
      </c>
      <c r="E235" t="str" cm="1">
        <f t="array" ref="E235">INDEX('Linha 06'!$B$4:$B$1000,B235)</f>
        <v>Limp Perf Aquafast Doce Romance Cx/12 X 500ml</v>
      </c>
      <c r="F235" cm="1">
        <f t="array" ref="F235">INDEX('Linha 06'!$C$3:$ZZ$3,C235)</f>
        <v>20060012</v>
      </c>
      <c r="G235" t="str" cm="1">
        <f t="array" ref="G235">INDEX('Linha 06'!$C$2:$ZZ$2,C235)</f>
        <v>Limp Perf Aquafast Magia Da Infancia Cx/12 X 1l</v>
      </c>
      <c r="H235" s="5" cm="1">
        <f t="array" ref="H235">INDEX('Linha 06'!$C$4:$ZZ$1000,B235,C235)</f>
        <v>0</v>
      </c>
    </row>
    <row r="236" spans="1:8" x14ac:dyDescent="0.25">
      <c r="A236">
        <v>234</v>
      </c>
      <c r="B236">
        <f t="shared" si="6"/>
        <v>7</v>
      </c>
      <c r="C236">
        <f t="shared" si="7"/>
        <v>6</v>
      </c>
      <c r="D236" cm="1">
        <f t="array" ref="D236">INDEX('Linha 06'!$A$4:$A$1000,B236)</f>
        <v>20060015</v>
      </c>
      <c r="E236" t="str" cm="1">
        <f t="array" ref="E236">INDEX('Linha 06'!$B$4:$B$1000,B236)</f>
        <v>Limp Perf Aquafast Doce Romance Cx/12 X 500ml</v>
      </c>
      <c r="F236" cm="1">
        <f t="array" ref="F236">INDEX('Linha 06'!$C$3:$ZZ$3,C236)</f>
        <v>20060013</v>
      </c>
      <c r="G236" t="str" cm="1">
        <f t="array" ref="G236">INDEX('Linha 06'!$C$2:$ZZ$2,C236)</f>
        <v>Limp Perf Aquafast Frescor Da Manha Cx/12 X 1l</v>
      </c>
      <c r="H236" s="5" cm="1">
        <f t="array" ref="H236">INDEX('Linha 06'!$C$4:$ZZ$1000,B236,C236)</f>
        <v>0</v>
      </c>
    </row>
    <row r="237" spans="1:8" x14ac:dyDescent="0.25">
      <c r="A237">
        <v>235</v>
      </c>
      <c r="B237">
        <f t="shared" si="6"/>
        <v>7</v>
      </c>
      <c r="C237">
        <f t="shared" si="7"/>
        <v>7</v>
      </c>
      <c r="D237" cm="1">
        <f t="array" ref="D237">INDEX('Linha 06'!$A$4:$A$1000,B237)</f>
        <v>20060015</v>
      </c>
      <c r="E237" t="str" cm="1">
        <f t="array" ref="E237">INDEX('Linha 06'!$B$4:$B$1000,B237)</f>
        <v>Limp Perf Aquafast Doce Romance Cx/12 X 500ml</v>
      </c>
      <c r="F237" cm="1">
        <f t="array" ref="F237">INDEX('Linha 06'!$C$3:$ZZ$3,C237)</f>
        <v>20060015</v>
      </c>
      <c r="G237" t="str" cm="1">
        <f t="array" ref="G237">INDEX('Linha 06'!$C$2:$ZZ$2,C237)</f>
        <v>Limp Perf Aquafast Doce Romance Cx/12 X 500ml</v>
      </c>
      <c r="H237" s="5" cm="1">
        <f t="array" ref="H237">INDEX('Linha 06'!$C$4:$ZZ$1000,B237,C237)</f>
        <v>0</v>
      </c>
    </row>
    <row r="238" spans="1:8" x14ac:dyDescent="0.25">
      <c r="A238">
        <v>236</v>
      </c>
      <c r="B238">
        <f t="shared" si="6"/>
        <v>7</v>
      </c>
      <c r="C238">
        <f t="shared" si="7"/>
        <v>8</v>
      </c>
      <c r="D238" cm="1">
        <f t="array" ref="D238">INDEX('Linha 06'!$A$4:$A$1000,B238)</f>
        <v>20060015</v>
      </c>
      <c r="E238" t="str" cm="1">
        <f t="array" ref="E238">INDEX('Linha 06'!$B$4:$B$1000,B238)</f>
        <v>Limp Perf Aquafast Doce Romance Cx/12 X 500ml</v>
      </c>
      <c r="F238" cm="1">
        <f t="array" ref="F238">INDEX('Linha 06'!$C$3:$ZZ$3,C238)</f>
        <v>20060016</v>
      </c>
      <c r="G238" t="str" cm="1">
        <f t="array" ref="G238">INDEX('Linha 06'!$C$2:$ZZ$2,C238)</f>
        <v>Limp Perf Aquafast Doce Romance Cx/12 X 1l</v>
      </c>
      <c r="H238" s="5" cm="1">
        <f t="array" ref="H238">INDEX('Linha 06'!$C$4:$ZZ$1000,B238,C238)</f>
        <v>0</v>
      </c>
    </row>
    <row r="239" spans="1:8" x14ac:dyDescent="0.25">
      <c r="A239">
        <v>237</v>
      </c>
      <c r="B239">
        <f t="shared" si="6"/>
        <v>7</v>
      </c>
      <c r="C239">
        <f t="shared" si="7"/>
        <v>9</v>
      </c>
      <c r="D239" cm="1">
        <f t="array" ref="D239">INDEX('Linha 06'!$A$4:$A$1000,B239)</f>
        <v>20060015</v>
      </c>
      <c r="E239" t="str" cm="1">
        <f t="array" ref="E239">INDEX('Linha 06'!$B$4:$B$1000,B239)</f>
        <v>Limp Perf Aquafast Doce Romance Cx/12 X 500ml</v>
      </c>
      <c r="F239" cm="1">
        <f t="array" ref="F239">INDEX('Linha 06'!$C$3:$ZZ$3,C239)</f>
        <v>20060027</v>
      </c>
      <c r="G239" t="str" cm="1">
        <f t="array" ref="G239">INDEX('Linha 06'!$C$2:$ZZ$2,C239)</f>
        <v>Limp Perf Aquafast Essencia Natural Cx/12 X 1l</v>
      </c>
      <c r="H239" s="5" cm="1">
        <f t="array" ref="H239">INDEX('Linha 06'!$C$4:$ZZ$1000,B239,C239)</f>
        <v>0</v>
      </c>
    </row>
    <row r="240" spans="1:8" x14ac:dyDescent="0.25">
      <c r="A240">
        <v>238</v>
      </c>
      <c r="B240">
        <f t="shared" si="6"/>
        <v>7</v>
      </c>
      <c r="C240">
        <f t="shared" si="7"/>
        <v>10</v>
      </c>
      <c r="D240" cm="1">
        <f t="array" ref="D240">INDEX('Linha 06'!$A$4:$A$1000,B240)</f>
        <v>20060015</v>
      </c>
      <c r="E240" t="str" cm="1">
        <f t="array" ref="E240">INDEX('Linha 06'!$B$4:$B$1000,B240)</f>
        <v>Limp Perf Aquafast Doce Romance Cx/12 X 500ml</v>
      </c>
      <c r="F240" cm="1">
        <f t="array" ref="F240">INDEX('Linha 06'!$C$3:$ZZ$3,C240)</f>
        <v>20070001</v>
      </c>
      <c r="G240" t="str" cm="1">
        <f t="array" ref="G240">INDEX('Linha 06'!$C$2:$ZZ$2,C240)</f>
        <v>Limpa Vidros Aquafast Pulverizador Cx/12 X 500ml</v>
      </c>
      <c r="H240" s="5" cm="1">
        <f t="array" ref="H240">INDEX('Linha 06'!$C$4:$ZZ$1000,B240,C240)</f>
        <v>0</v>
      </c>
    </row>
    <row r="241" spans="1:8" x14ac:dyDescent="0.25">
      <c r="A241">
        <v>239</v>
      </c>
      <c r="B241">
        <f t="shared" si="6"/>
        <v>7</v>
      </c>
      <c r="C241">
        <f t="shared" si="7"/>
        <v>11</v>
      </c>
      <c r="D241" cm="1">
        <f t="array" ref="D241">INDEX('Linha 06'!$A$4:$A$1000,B241)</f>
        <v>20060015</v>
      </c>
      <c r="E241" t="str" cm="1">
        <f t="array" ref="E241">INDEX('Linha 06'!$B$4:$B$1000,B241)</f>
        <v>Limp Perf Aquafast Doce Romance Cx/12 X 500ml</v>
      </c>
      <c r="F241" cm="1">
        <f t="array" ref="F241">INDEX('Linha 06'!$C$3:$ZZ$3,C241)</f>
        <v>20070002</v>
      </c>
      <c r="G241" t="str" cm="1">
        <f t="array" ref="G241">INDEX('Linha 06'!$C$2:$ZZ$2,C241)</f>
        <v>Limpa Vidros Aquafast Recarga Cx/12 X 500ml</v>
      </c>
      <c r="H241" s="5" cm="1">
        <f t="array" ref="H241">INDEX('Linha 06'!$C$4:$ZZ$1000,B241,C241)</f>
        <v>0</v>
      </c>
    </row>
    <row r="242" spans="1:8" x14ac:dyDescent="0.25">
      <c r="A242">
        <v>240</v>
      </c>
      <c r="B242">
        <f t="shared" si="6"/>
        <v>7</v>
      </c>
      <c r="C242">
        <f t="shared" si="7"/>
        <v>12</v>
      </c>
      <c r="D242" cm="1">
        <f t="array" ref="D242">INDEX('Linha 06'!$A$4:$A$1000,B242)</f>
        <v>20060015</v>
      </c>
      <c r="E242" t="str" cm="1">
        <f t="array" ref="E242">INDEX('Linha 06'!$B$4:$B$1000,B242)</f>
        <v>Limp Perf Aquafast Doce Romance Cx/12 X 500ml</v>
      </c>
      <c r="F242" cm="1">
        <f t="array" ref="F242">INDEX('Linha 06'!$C$3:$ZZ$3,C242)</f>
        <v>20070006</v>
      </c>
      <c r="G242" t="str" cm="1">
        <f t="array" ref="G242">INDEX('Linha 06'!$C$2:$ZZ$2,C242)</f>
        <v>Limpa Vidros Ito Pulverizador Cx/12 X 500ml</v>
      </c>
      <c r="H242" s="5" cm="1">
        <f t="array" ref="H242">INDEX('Linha 06'!$C$4:$ZZ$1000,B242,C242)</f>
        <v>0</v>
      </c>
    </row>
    <row r="243" spans="1:8" x14ac:dyDescent="0.25">
      <c r="A243">
        <v>241</v>
      </c>
      <c r="B243">
        <f t="shared" si="6"/>
        <v>7</v>
      </c>
      <c r="C243">
        <f t="shared" si="7"/>
        <v>13</v>
      </c>
      <c r="D243" cm="1">
        <f t="array" ref="D243">INDEX('Linha 06'!$A$4:$A$1000,B243)</f>
        <v>20060015</v>
      </c>
      <c r="E243" t="str" cm="1">
        <f t="array" ref="E243">INDEX('Linha 06'!$B$4:$B$1000,B243)</f>
        <v>Limp Perf Aquafast Doce Romance Cx/12 X 500ml</v>
      </c>
      <c r="F243" cm="1">
        <f t="array" ref="F243">INDEX('Linha 06'!$C$3:$ZZ$3,C243)</f>
        <v>20070007</v>
      </c>
      <c r="G243" t="str" cm="1">
        <f t="array" ref="G243">INDEX('Linha 06'!$C$2:$ZZ$2,C243)</f>
        <v>Limpa Vidros Ito Recarga Cx/12 X 500ml</v>
      </c>
      <c r="H243" s="5" cm="1">
        <f t="array" ref="H243">INDEX('Linha 06'!$C$4:$ZZ$1000,B243,C243)</f>
        <v>0</v>
      </c>
    </row>
    <row r="244" spans="1:8" x14ac:dyDescent="0.25">
      <c r="A244">
        <v>242</v>
      </c>
      <c r="B244">
        <f t="shared" si="6"/>
        <v>7</v>
      </c>
      <c r="C244">
        <f t="shared" si="7"/>
        <v>14</v>
      </c>
      <c r="D244" cm="1">
        <f t="array" ref="D244">INDEX('Linha 06'!$A$4:$A$1000,B244)</f>
        <v>20060015</v>
      </c>
      <c r="E244" t="str" cm="1">
        <f t="array" ref="E244">INDEX('Linha 06'!$B$4:$B$1000,B244)</f>
        <v>Limp Perf Aquafast Doce Romance Cx/12 X 500ml</v>
      </c>
      <c r="F244" cm="1">
        <f t="array" ref="F244">INDEX('Linha 06'!$C$3:$ZZ$3,C244)</f>
        <v>20070008</v>
      </c>
      <c r="G244" t="str" cm="1">
        <f t="array" ref="G244">INDEX('Linha 06'!$C$2:$ZZ$2,C244)</f>
        <v>Limpa Vidros Aquafast Squeeze Cx/12 X 500ml</v>
      </c>
      <c r="H244" s="5" cm="1">
        <f t="array" ref="H244">INDEX('Linha 06'!$C$4:$ZZ$1000,B244,C244)</f>
        <v>0</v>
      </c>
    </row>
    <row r="245" spans="1:8" x14ac:dyDescent="0.25">
      <c r="A245">
        <v>243</v>
      </c>
      <c r="B245">
        <f t="shared" si="6"/>
        <v>7</v>
      </c>
      <c r="C245">
        <f t="shared" si="7"/>
        <v>15</v>
      </c>
      <c r="D245" cm="1">
        <f t="array" ref="D245">INDEX('Linha 06'!$A$4:$A$1000,B245)</f>
        <v>20060015</v>
      </c>
      <c r="E245" t="str" cm="1">
        <f t="array" ref="E245">INDEX('Linha 06'!$B$4:$B$1000,B245)</f>
        <v>Limp Perf Aquafast Doce Romance Cx/12 X 500ml</v>
      </c>
      <c r="F245" cm="1">
        <f t="array" ref="F245">INDEX('Linha 06'!$C$3:$ZZ$3,C245)</f>
        <v>20090001</v>
      </c>
      <c r="G245" t="str" cm="1">
        <f t="array" ref="G245">INDEX('Linha 06'!$C$2:$ZZ$2,C245)</f>
        <v>Desengordurante Aquafast Pulverizador Cx/12 X 500ml</v>
      </c>
      <c r="H245" s="5" cm="1">
        <f t="array" ref="H245">INDEX('Linha 06'!$C$4:$ZZ$1000,B245,C245)</f>
        <v>0</v>
      </c>
    </row>
    <row r="246" spans="1:8" x14ac:dyDescent="0.25">
      <c r="A246">
        <v>244</v>
      </c>
      <c r="B246">
        <f t="shared" si="6"/>
        <v>7</v>
      </c>
      <c r="C246">
        <f t="shared" si="7"/>
        <v>16</v>
      </c>
      <c r="D246" cm="1">
        <f t="array" ref="D246">INDEX('Linha 06'!$A$4:$A$1000,B246)</f>
        <v>20060015</v>
      </c>
      <c r="E246" t="str" cm="1">
        <f t="array" ref="E246">INDEX('Linha 06'!$B$4:$B$1000,B246)</f>
        <v>Limp Perf Aquafast Doce Romance Cx/12 X 500ml</v>
      </c>
      <c r="F246" cm="1">
        <f t="array" ref="F246">INDEX('Linha 06'!$C$3:$ZZ$3,C246)</f>
        <v>20090002</v>
      </c>
      <c r="G246" t="str" cm="1">
        <f t="array" ref="G246">INDEX('Linha 06'!$C$2:$ZZ$2,C246)</f>
        <v>Desengordurante Aquafast Recarga Cx/12 X 500ml</v>
      </c>
      <c r="H246" s="5" cm="1">
        <f t="array" ref="H246">INDEX('Linha 06'!$C$4:$ZZ$1000,B246,C246)</f>
        <v>0</v>
      </c>
    </row>
    <row r="247" spans="1:8" x14ac:dyDescent="0.25">
      <c r="A247">
        <v>245</v>
      </c>
      <c r="B247">
        <f t="shared" si="6"/>
        <v>7</v>
      </c>
      <c r="C247">
        <f t="shared" si="7"/>
        <v>17</v>
      </c>
      <c r="D247" cm="1">
        <f t="array" ref="D247">INDEX('Linha 06'!$A$4:$A$1000,B247)</f>
        <v>20060015</v>
      </c>
      <c r="E247" t="str" cm="1">
        <f t="array" ref="E247">INDEX('Linha 06'!$B$4:$B$1000,B247)</f>
        <v>Limp Perf Aquafast Doce Romance Cx/12 X 500ml</v>
      </c>
      <c r="F247" cm="1">
        <f t="array" ref="F247">INDEX('Linha 06'!$C$3:$ZZ$3,C247)</f>
        <v>20090004</v>
      </c>
      <c r="G247" t="str" cm="1">
        <f t="array" ref="G247">INDEX('Linha 06'!$C$2:$ZZ$2,C247)</f>
        <v>Desengordurante Aquafast Squeeze Cx C/12 X 500ml</v>
      </c>
      <c r="H247" s="5" cm="1">
        <f t="array" ref="H247">INDEX('Linha 06'!$C$4:$ZZ$1000,B247,C247)</f>
        <v>0</v>
      </c>
    </row>
    <row r="248" spans="1:8" x14ac:dyDescent="0.25">
      <c r="A248">
        <v>246</v>
      </c>
      <c r="B248">
        <f t="shared" si="6"/>
        <v>7</v>
      </c>
      <c r="C248">
        <f t="shared" si="7"/>
        <v>18</v>
      </c>
      <c r="D248" cm="1">
        <f t="array" ref="D248">INDEX('Linha 06'!$A$4:$A$1000,B248)</f>
        <v>20060015</v>
      </c>
      <c r="E248" t="str" cm="1">
        <f t="array" ref="E248">INDEX('Linha 06'!$B$4:$B$1000,B248)</f>
        <v>Limp Perf Aquafast Doce Romance Cx/12 X 500ml</v>
      </c>
      <c r="F248" cm="1">
        <f t="array" ref="F248">INDEX('Linha 06'!$C$3:$ZZ$3,C248)</f>
        <v>20090005</v>
      </c>
      <c r="G248" t="str" cm="1">
        <f t="array" ref="G248">INDEX('Linha 06'!$C$2:$ZZ$2,C248)</f>
        <v>Desengordurante Aquafast Squeeze Cx C/12 X 1l</v>
      </c>
      <c r="H248" s="5" cm="1">
        <f t="array" ref="H248">INDEX('Linha 06'!$C$4:$ZZ$1000,B248,C248)</f>
        <v>0</v>
      </c>
    </row>
    <row r="249" spans="1:8" x14ac:dyDescent="0.25">
      <c r="A249">
        <v>247</v>
      </c>
      <c r="B249">
        <f t="shared" si="6"/>
        <v>7</v>
      </c>
      <c r="C249">
        <f t="shared" si="7"/>
        <v>19</v>
      </c>
      <c r="D249" cm="1">
        <f t="array" ref="D249">INDEX('Linha 06'!$A$4:$A$1000,B249)</f>
        <v>20060015</v>
      </c>
      <c r="E249" t="str" cm="1">
        <f t="array" ref="E249">INDEX('Linha 06'!$B$4:$B$1000,B249)</f>
        <v>Limp Perf Aquafast Doce Romance Cx/12 X 500ml</v>
      </c>
      <c r="F249" cm="1">
        <f t="array" ref="F249">INDEX('Linha 06'!$C$3:$ZZ$3,C249)</f>
        <v>20090010</v>
      </c>
      <c r="G249" t="str" cm="1">
        <f t="array" ref="G249">INDEX('Linha 06'!$C$2:$ZZ$2,C249)</f>
        <v>Intermed Pack Desengord Squeeze Cx C/18 X 500ml</v>
      </c>
      <c r="H249" s="5" cm="1">
        <f t="array" ref="H249">INDEX('Linha 06'!$C$4:$ZZ$1000,B249,C249)</f>
        <v>0</v>
      </c>
    </row>
    <row r="250" spans="1:8" x14ac:dyDescent="0.25">
      <c r="A250">
        <v>248</v>
      </c>
      <c r="B250">
        <f t="shared" si="6"/>
        <v>7</v>
      </c>
      <c r="C250">
        <f t="shared" si="7"/>
        <v>20</v>
      </c>
      <c r="D250" cm="1">
        <f t="array" ref="D250">INDEX('Linha 06'!$A$4:$A$1000,B250)</f>
        <v>20060015</v>
      </c>
      <c r="E250" t="str" cm="1">
        <f t="array" ref="E250">INDEX('Linha 06'!$B$4:$B$1000,B250)</f>
        <v>Limp Perf Aquafast Doce Romance Cx/12 X 500ml</v>
      </c>
      <c r="F250" cm="1">
        <f t="array" ref="F250">INDEX('Linha 06'!$C$3:$ZZ$3,C250)</f>
        <v>20110002</v>
      </c>
      <c r="G250" t="str" cm="1">
        <f t="array" ref="G250">INDEX('Linha 06'!$C$2:$ZZ$2,C250)</f>
        <v>Multi Uso Aquafast Squeeze Original Cx/12 X 500ml</v>
      </c>
      <c r="H250" s="5" cm="1">
        <f t="array" ref="H250">INDEX('Linha 06'!$C$4:$ZZ$1000,B250,C250)</f>
        <v>0</v>
      </c>
    </row>
    <row r="251" spans="1:8" x14ac:dyDescent="0.25">
      <c r="A251">
        <v>249</v>
      </c>
      <c r="B251">
        <f t="shared" si="6"/>
        <v>7</v>
      </c>
      <c r="C251">
        <f t="shared" si="7"/>
        <v>21</v>
      </c>
      <c r="D251" cm="1">
        <f t="array" ref="D251">INDEX('Linha 06'!$A$4:$A$1000,B251)</f>
        <v>20060015</v>
      </c>
      <c r="E251" t="str" cm="1">
        <f t="array" ref="E251">INDEX('Linha 06'!$B$4:$B$1000,B251)</f>
        <v>Limp Perf Aquafast Doce Romance Cx/12 X 500ml</v>
      </c>
      <c r="F251" cm="1">
        <f t="array" ref="F251">INDEX('Linha 06'!$C$3:$ZZ$3,C251)</f>
        <v>20110004</v>
      </c>
      <c r="G251" t="str" cm="1">
        <f t="array" ref="G251">INDEX('Linha 06'!$C$2:$ZZ$2,C251)</f>
        <v>Multi Uso Aquafast Squeeze Lavanda Cx/12 X 500ml</v>
      </c>
      <c r="H251" s="5" cm="1">
        <f t="array" ref="H251">INDEX('Linha 06'!$C$4:$ZZ$1000,B251,C251)</f>
        <v>0</v>
      </c>
    </row>
    <row r="252" spans="1:8" x14ac:dyDescent="0.25">
      <c r="A252">
        <v>250</v>
      </c>
      <c r="B252">
        <f t="shared" si="6"/>
        <v>7</v>
      </c>
      <c r="C252">
        <f t="shared" si="7"/>
        <v>22</v>
      </c>
      <c r="D252" cm="1">
        <f t="array" ref="D252">INDEX('Linha 06'!$A$4:$A$1000,B252)</f>
        <v>20060015</v>
      </c>
      <c r="E252" t="str" cm="1">
        <f t="array" ref="E252">INDEX('Linha 06'!$B$4:$B$1000,B252)</f>
        <v>Limp Perf Aquafast Doce Romance Cx/12 X 500ml</v>
      </c>
      <c r="F252" cm="1">
        <f t="array" ref="F252">INDEX('Linha 06'!$C$3:$ZZ$3,C252)</f>
        <v>20110007</v>
      </c>
      <c r="G252" t="str" cm="1">
        <f t="array" ref="G252">INDEX('Linha 06'!$C$2:$ZZ$2,C252)</f>
        <v>Multi Uso Aquafast Squeeze Seducao Cx/12 X 500ml</v>
      </c>
      <c r="H252" s="5" cm="1">
        <f t="array" ref="H252">INDEX('Linha 06'!$C$4:$ZZ$1000,B252,C252)</f>
        <v>0</v>
      </c>
    </row>
    <row r="253" spans="1:8" x14ac:dyDescent="0.25">
      <c r="A253">
        <v>251</v>
      </c>
      <c r="B253">
        <f t="shared" si="6"/>
        <v>7</v>
      </c>
      <c r="C253">
        <f t="shared" si="7"/>
        <v>23</v>
      </c>
      <c r="D253" cm="1">
        <f t="array" ref="D253">INDEX('Linha 06'!$A$4:$A$1000,B253)</f>
        <v>20060015</v>
      </c>
      <c r="E253" t="str" cm="1">
        <f t="array" ref="E253">INDEX('Linha 06'!$B$4:$B$1000,B253)</f>
        <v>Limp Perf Aquafast Doce Romance Cx/12 X 500ml</v>
      </c>
      <c r="F253" cm="1">
        <f t="array" ref="F253">INDEX('Linha 06'!$C$3:$ZZ$3,C253)</f>
        <v>20110008</v>
      </c>
      <c r="G253" t="str" cm="1">
        <f t="array" ref="G253">INDEX('Linha 06'!$C$2:$ZZ$2,C253)</f>
        <v>Multi Uso Aquafast Squeeze Original Cx/12 X 1l</v>
      </c>
      <c r="H253" s="5" cm="1">
        <f t="array" ref="H253">INDEX('Linha 06'!$C$4:$ZZ$1000,B253,C253)</f>
        <v>0</v>
      </c>
    </row>
    <row r="254" spans="1:8" x14ac:dyDescent="0.25">
      <c r="A254">
        <v>252</v>
      </c>
      <c r="B254">
        <f t="shared" si="6"/>
        <v>7</v>
      </c>
      <c r="C254">
        <f t="shared" si="7"/>
        <v>24</v>
      </c>
      <c r="D254" cm="1">
        <f t="array" ref="D254">INDEX('Linha 06'!$A$4:$A$1000,B254)</f>
        <v>20060015</v>
      </c>
      <c r="E254" t="str" cm="1">
        <f t="array" ref="E254">INDEX('Linha 06'!$B$4:$B$1000,B254)</f>
        <v>Limp Perf Aquafast Doce Romance Cx/12 X 500ml</v>
      </c>
      <c r="F254" cm="1">
        <f t="array" ref="F254">INDEX('Linha 06'!$C$3:$ZZ$3,C254)</f>
        <v>20110010</v>
      </c>
      <c r="G254" t="str" cm="1">
        <f t="array" ref="G254">INDEX('Linha 06'!$C$2:$ZZ$2,C254)</f>
        <v>Multi Uso Aquafast Squeeze Seducao Cx/12 1l</v>
      </c>
      <c r="H254" s="5" cm="1">
        <f t="array" ref="H254">INDEX('Linha 06'!$C$4:$ZZ$1000,B254,C254)</f>
        <v>0</v>
      </c>
    </row>
    <row r="255" spans="1:8" x14ac:dyDescent="0.25">
      <c r="A255">
        <v>253</v>
      </c>
      <c r="B255">
        <f t="shared" si="6"/>
        <v>7</v>
      </c>
      <c r="C255">
        <f t="shared" si="7"/>
        <v>25</v>
      </c>
      <c r="D255" cm="1">
        <f t="array" ref="D255">INDEX('Linha 06'!$A$4:$A$1000,B255)</f>
        <v>20060015</v>
      </c>
      <c r="E255" t="str" cm="1">
        <f t="array" ref="E255">INDEX('Linha 06'!$B$4:$B$1000,B255)</f>
        <v>Limp Perf Aquafast Doce Romance Cx/12 X 500ml</v>
      </c>
      <c r="F255" cm="1">
        <f t="array" ref="F255">INDEX('Linha 06'!$C$3:$ZZ$3,C255)</f>
        <v>20110013</v>
      </c>
      <c r="G255" t="str" cm="1">
        <f t="array" ref="G255">INDEX('Linha 06'!$C$2:$ZZ$2,C255)</f>
        <v>Multi Uso Aquafast Squeeze Lavanda Cx/12 X 1l</v>
      </c>
      <c r="H255" s="5" cm="1">
        <f t="array" ref="H255">INDEX('Linha 06'!$C$4:$ZZ$1000,B255,C255)</f>
        <v>0</v>
      </c>
    </row>
    <row r="256" spans="1:8" x14ac:dyDescent="0.25">
      <c r="A256">
        <v>254</v>
      </c>
      <c r="B256">
        <f t="shared" si="6"/>
        <v>7</v>
      </c>
      <c r="C256">
        <f t="shared" si="7"/>
        <v>26</v>
      </c>
      <c r="D256" cm="1">
        <f t="array" ref="D256">INDEX('Linha 06'!$A$4:$A$1000,B256)</f>
        <v>20060015</v>
      </c>
      <c r="E256" t="str" cm="1">
        <f t="array" ref="E256">INDEX('Linha 06'!$B$4:$B$1000,B256)</f>
        <v>Limp Perf Aquafast Doce Romance Cx/12 X 500ml</v>
      </c>
      <c r="F256" cm="1">
        <f t="array" ref="F256">INDEX('Linha 06'!$C$3:$ZZ$3,C256)</f>
        <v>20110022</v>
      </c>
      <c r="G256" t="str" cm="1">
        <f t="array" ref="G256">INDEX('Linha 06'!$C$2:$ZZ$2,C256)</f>
        <v>Intermed Pack Multi Uso Lavand C/Alcool Cx/18 X 500ml</v>
      </c>
      <c r="H256" s="5" cm="1">
        <f t="array" ref="H256">INDEX('Linha 06'!$C$4:$ZZ$1000,B256,C256)</f>
        <v>0</v>
      </c>
    </row>
    <row r="257" spans="1:8" x14ac:dyDescent="0.25">
      <c r="A257">
        <v>255</v>
      </c>
      <c r="B257">
        <f t="shared" si="6"/>
        <v>7</v>
      </c>
      <c r="C257">
        <f t="shared" si="7"/>
        <v>27</v>
      </c>
      <c r="D257" cm="1">
        <f t="array" ref="D257">INDEX('Linha 06'!$A$4:$A$1000,B257)</f>
        <v>20060015</v>
      </c>
      <c r="E257" t="str" cm="1">
        <f t="array" ref="E257">INDEX('Linha 06'!$B$4:$B$1000,B257)</f>
        <v>Limp Perf Aquafast Doce Romance Cx/12 X 500ml</v>
      </c>
      <c r="F257" cm="1">
        <f t="array" ref="F257">INDEX('Linha 06'!$C$3:$ZZ$3,C257)</f>
        <v>20110023</v>
      </c>
      <c r="G257" t="str" cm="1">
        <f t="array" ref="G257">INDEX('Linha 06'!$C$2:$ZZ$2,C257)</f>
        <v>Multi Uso Aquafast Squeeze Cha Branco  Cx/12 X 500ml</v>
      </c>
      <c r="H257" s="5" cm="1">
        <f t="array" ref="H257">INDEX('Linha 06'!$C$4:$ZZ$1000,B257,C257)</f>
        <v>0</v>
      </c>
    </row>
    <row r="258" spans="1:8" x14ac:dyDescent="0.25">
      <c r="A258">
        <v>256</v>
      </c>
      <c r="B258">
        <f t="shared" si="6"/>
        <v>7</v>
      </c>
      <c r="C258">
        <f t="shared" si="7"/>
        <v>28</v>
      </c>
      <c r="D258" cm="1">
        <f t="array" ref="D258">INDEX('Linha 06'!$A$4:$A$1000,B258)</f>
        <v>20060015</v>
      </c>
      <c r="E258" t="str" cm="1">
        <f t="array" ref="E258">INDEX('Linha 06'!$B$4:$B$1000,B258)</f>
        <v>Limp Perf Aquafast Doce Romance Cx/12 X 500ml</v>
      </c>
      <c r="F258" cm="1">
        <f t="array" ref="F258">INDEX('Linha 06'!$C$3:$ZZ$3,C258)</f>
        <v>20110024</v>
      </c>
      <c r="G258" t="str" cm="1">
        <f t="array" ref="G258">INDEX('Linha 06'!$C$2:$ZZ$2,C258)</f>
        <v>Multi Uso Aquafast Squeeze Cha Branco Cx12 X 1l</v>
      </c>
      <c r="H258" s="5" cm="1">
        <f t="array" ref="H258">INDEX('Linha 06'!$C$4:$ZZ$1000,B258,C258)</f>
        <v>0</v>
      </c>
    </row>
    <row r="259" spans="1:8" x14ac:dyDescent="0.25">
      <c r="A259">
        <v>257</v>
      </c>
      <c r="B259">
        <f t="shared" si="6"/>
        <v>7</v>
      </c>
      <c r="C259">
        <f t="shared" si="7"/>
        <v>29</v>
      </c>
      <c r="D259" cm="1">
        <f t="array" ref="D259">INDEX('Linha 06'!$A$4:$A$1000,B259)</f>
        <v>20060015</v>
      </c>
      <c r="E259" t="str" cm="1">
        <f t="array" ref="E259">INDEX('Linha 06'!$B$4:$B$1000,B259)</f>
        <v>Limp Perf Aquafast Doce Romance Cx/12 X 500ml</v>
      </c>
      <c r="F259" cm="1">
        <f t="array" ref="F259">INDEX('Linha 06'!$C$3:$ZZ$3,C259)</f>
        <v>20110025</v>
      </c>
      <c r="G259" t="str" cm="1">
        <f t="array" ref="G259">INDEX('Linha 06'!$C$2:$ZZ$2,C259)</f>
        <v>Multi Uso Aquafast Pulverizador Original Cx/12 X 1l</v>
      </c>
      <c r="H259" s="5" cm="1">
        <f t="array" ref="H259">INDEX('Linha 06'!$C$4:$ZZ$1000,B259,C259)</f>
        <v>0</v>
      </c>
    </row>
    <row r="260" spans="1:8" x14ac:dyDescent="0.25">
      <c r="A260">
        <v>258</v>
      </c>
      <c r="B260">
        <f t="shared" ref="B260:B323" si="8">INT((A260-1)/$B$1)+1</f>
        <v>7</v>
      </c>
      <c r="C260">
        <f t="shared" ref="C260:C323" si="9">MOD(A260-1,$B$1)+1</f>
        <v>30</v>
      </c>
      <c r="D260" cm="1">
        <f t="array" ref="D260">INDEX('Linha 06'!$A$4:$A$1000,B260)</f>
        <v>20060015</v>
      </c>
      <c r="E260" t="str" cm="1">
        <f t="array" ref="E260">INDEX('Linha 06'!$B$4:$B$1000,B260)</f>
        <v>Limp Perf Aquafast Doce Romance Cx/12 X 500ml</v>
      </c>
      <c r="F260" cm="1">
        <f t="array" ref="F260">INDEX('Linha 06'!$C$3:$ZZ$3,C260)</f>
        <v>20110026</v>
      </c>
      <c r="G260" t="str" cm="1">
        <f t="array" ref="G260">INDEX('Linha 06'!$C$2:$ZZ$2,C260)</f>
        <v>Multi Uso Aquafast Pulverizador Poder O2 Cx/12 X 1l</v>
      </c>
      <c r="H260" s="5" cm="1">
        <f t="array" ref="H260">INDEX('Linha 06'!$C$4:$ZZ$1000,B260,C260)</f>
        <v>0</v>
      </c>
    </row>
    <row r="261" spans="1:8" x14ac:dyDescent="0.25">
      <c r="A261">
        <v>259</v>
      </c>
      <c r="B261">
        <f t="shared" si="8"/>
        <v>7</v>
      </c>
      <c r="C261">
        <f t="shared" si="9"/>
        <v>31</v>
      </c>
      <c r="D261" cm="1">
        <f t="array" ref="D261">INDEX('Linha 06'!$A$4:$A$1000,B261)</f>
        <v>20060015</v>
      </c>
      <c r="E261" t="str" cm="1">
        <f t="array" ref="E261">INDEX('Linha 06'!$B$4:$B$1000,B261)</f>
        <v>Limp Perf Aquafast Doce Romance Cx/12 X 500ml</v>
      </c>
      <c r="F261" cm="1">
        <f t="array" ref="F261">INDEX('Linha 06'!$C$3:$ZZ$3,C261)</f>
        <v>20110027</v>
      </c>
      <c r="G261" t="str" cm="1">
        <f t="array" ref="G261">INDEX('Linha 06'!$C$2:$ZZ$2,C261)</f>
        <v>Multi Uso Aquafast Pulverizador Poder O2 Cx/12 X 500ml</v>
      </c>
      <c r="H261" s="5" cm="1">
        <f t="array" ref="H261">INDEX('Linha 06'!$C$4:$ZZ$1000,B261,C261)</f>
        <v>0</v>
      </c>
    </row>
    <row r="262" spans="1:8" x14ac:dyDescent="0.25">
      <c r="A262">
        <v>260</v>
      </c>
      <c r="B262">
        <f t="shared" si="8"/>
        <v>7</v>
      </c>
      <c r="C262">
        <f t="shared" si="9"/>
        <v>32</v>
      </c>
      <c r="D262" cm="1">
        <f t="array" ref="D262">INDEX('Linha 06'!$A$4:$A$1000,B262)</f>
        <v>20060015</v>
      </c>
      <c r="E262" t="str" cm="1">
        <f t="array" ref="E262">INDEX('Linha 06'!$B$4:$B$1000,B262)</f>
        <v>Limp Perf Aquafast Doce Romance Cx/12 X 500ml</v>
      </c>
      <c r="F262" cm="1">
        <f t="array" ref="F262">INDEX('Linha 06'!$C$3:$ZZ$3,C262)</f>
        <v>20200073</v>
      </c>
      <c r="G262" t="str" cm="1">
        <f t="array" ref="G262">INDEX('Linha 06'!$C$2:$ZZ$2,C262)</f>
        <v>Lava Roupas Aquafast Lavagem Rapida Total Clean Cx/9 X 1,5l</v>
      </c>
      <c r="H262" s="5" cm="1">
        <f t="array" ref="H262">INDEX('Linha 06'!$C$4:$ZZ$1000,B262,C262)</f>
        <v>0</v>
      </c>
    </row>
    <row r="263" spans="1:8" x14ac:dyDescent="0.25">
      <c r="A263">
        <v>261</v>
      </c>
      <c r="B263">
        <f t="shared" si="8"/>
        <v>7</v>
      </c>
      <c r="C263">
        <f t="shared" si="9"/>
        <v>33</v>
      </c>
      <c r="D263" cm="1">
        <f t="array" ref="D263">INDEX('Linha 06'!$A$4:$A$1000,B263)</f>
        <v>20060015</v>
      </c>
      <c r="E263" t="str" cm="1">
        <f t="array" ref="E263">INDEX('Linha 06'!$B$4:$B$1000,B263)</f>
        <v>Limp Perf Aquafast Doce Romance Cx/12 X 500ml</v>
      </c>
      <c r="F263" cm="1">
        <f t="array" ref="F263">INDEX('Linha 06'!$C$3:$ZZ$3,C263)</f>
        <v>20200075</v>
      </c>
      <c r="G263" t="str" cm="1">
        <f t="array" ref="G263">INDEX('Linha 06'!$C$2:$ZZ$2,C263)</f>
        <v>Lava Roupas Aquafast Lavagem Rapida Fresh Clean Cx/9 X 1,5l</v>
      </c>
      <c r="H263" s="5" cm="1">
        <f t="array" ref="H263">INDEX('Linha 06'!$C$4:$ZZ$1000,B263,C263)</f>
        <v>0</v>
      </c>
    </row>
    <row r="264" spans="1:8" x14ac:dyDescent="0.25">
      <c r="A264">
        <v>262</v>
      </c>
      <c r="B264">
        <f t="shared" si="8"/>
        <v>7</v>
      </c>
      <c r="C264">
        <f t="shared" si="9"/>
        <v>34</v>
      </c>
      <c r="D264" cm="1">
        <f t="array" ref="D264">INDEX('Linha 06'!$A$4:$A$1000,B264)</f>
        <v>20060015</v>
      </c>
      <c r="E264" t="str" cm="1">
        <f t="array" ref="E264">INDEX('Linha 06'!$B$4:$B$1000,B264)</f>
        <v>Limp Perf Aquafast Doce Romance Cx/12 X 500ml</v>
      </c>
      <c r="F264" cm="1">
        <f t="array" ref="F264">INDEX('Linha 06'!$C$3:$ZZ$3,C264)</f>
        <v>20220018</v>
      </c>
      <c r="G264" t="str" cm="1">
        <f t="array" ref="G264">INDEX('Linha 06'!$C$2:$ZZ$2,C264)</f>
        <v>Intermed. Aromat. Amoras E Baunilha Cx C/ 12un 250ml</v>
      </c>
      <c r="H264" s="5" cm="1">
        <f t="array" ref="H264">INDEX('Linha 06'!$C$4:$ZZ$1000,B264,C264)</f>
        <v>0</v>
      </c>
    </row>
    <row r="265" spans="1:8" x14ac:dyDescent="0.25">
      <c r="A265">
        <v>263</v>
      </c>
      <c r="B265">
        <f t="shared" si="8"/>
        <v>7</v>
      </c>
      <c r="C265">
        <f t="shared" si="9"/>
        <v>35</v>
      </c>
      <c r="D265" cm="1">
        <f t="array" ref="D265">INDEX('Linha 06'!$A$4:$A$1000,B265)</f>
        <v>20060015</v>
      </c>
      <c r="E265" t="str" cm="1">
        <f t="array" ref="E265">INDEX('Linha 06'!$B$4:$B$1000,B265)</f>
        <v>Limp Perf Aquafast Doce Romance Cx/12 X 500ml</v>
      </c>
      <c r="F265" cm="1">
        <f t="array" ref="F265">INDEX('Linha 06'!$C$3:$ZZ$3,C265)</f>
        <v>20220019</v>
      </c>
      <c r="G265" t="str" cm="1">
        <f t="array" ref="G265">INDEX('Linha 06'!$C$2:$ZZ$2,C265)</f>
        <v>Intermed. Aromat. Figo E Cedro Cx C/ 12un 250ml</v>
      </c>
      <c r="H265" s="5" cm="1">
        <f t="array" ref="H265">INDEX('Linha 06'!$C$4:$ZZ$1000,B265,C265)</f>
        <v>0</v>
      </c>
    </row>
    <row r="266" spans="1:8" x14ac:dyDescent="0.25">
      <c r="A266">
        <v>264</v>
      </c>
      <c r="B266">
        <f t="shared" si="8"/>
        <v>7</v>
      </c>
      <c r="C266">
        <f t="shared" si="9"/>
        <v>36</v>
      </c>
      <c r="D266" cm="1">
        <f t="array" ref="D266">INDEX('Linha 06'!$A$4:$A$1000,B266)</f>
        <v>20060015</v>
      </c>
      <c r="E266" t="str" cm="1">
        <f t="array" ref="E266">INDEX('Linha 06'!$B$4:$B$1000,B266)</f>
        <v>Limp Perf Aquafast Doce Romance Cx/12 X 500ml</v>
      </c>
      <c r="F266" cm="1">
        <f t="array" ref="F266">INDEX('Linha 06'!$C$3:$ZZ$3,C266)</f>
        <v>20220020</v>
      </c>
      <c r="G266" t="str" cm="1">
        <f t="array" ref="G266">INDEX('Linha 06'!$C$2:$ZZ$2,C266)</f>
        <v>Intermed. Aromat. Rosas E Magnolias Cx C/ 12un 250ml</v>
      </c>
      <c r="H266" s="5" cm="1">
        <f t="array" ref="H266">INDEX('Linha 06'!$C$4:$ZZ$1000,B266,C266)</f>
        <v>0</v>
      </c>
    </row>
    <row r="267" spans="1:8" x14ac:dyDescent="0.25">
      <c r="A267">
        <v>265</v>
      </c>
      <c r="B267">
        <f t="shared" si="8"/>
        <v>7</v>
      </c>
      <c r="C267">
        <f t="shared" si="9"/>
        <v>37</v>
      </c>
      <c r="D267" cm="1">
        <f t="array" ref="D267">INDEX('Linha 06'!$A$4:$A$1000,B267)</f>
        <v>20060015</v>
      </c>
      <c r="E267" t="str" cm="1">
        <f t="array" ref="E267">INDEX('Linha 06'!$B$4:$B$1000,B267)</f>
        <v>Limp Perf Aquafast Doce Romance Cx/12 X 500ml</v>
      </c>
      <c r="F267" cm="1">
        <f t="array" ref="F267">INDEX('Linha 06'!$C$3:$ZZ$3,C267)</f>
        <v>20220021</v>
      </c>
      <c r="G267" t="str" cm="1">
        <f t="array" ref="G267">INDEX('Linha 06'!$C$2:$ZZ$2,C267)</f>
        <v>Intermed. Aromat. Flores Exoticas Cx C/ 12un 250ml</v>
      </c>
      <c r="H267" s="5" cm="1">
        <f t="array" ref="H267">INDEX('Linha 06'!$C$4:$ZZ$1000,B267,C267)</f>
        <v>0</v>
      </c>
    </row>
    <row r="268" spans="1:8" x14ac:dyDescent="0.25">
      <c r="A268">
        <v>266</v>
      </c>
      <c r="B268">
        <f t="shared" si="8"/>
        <v>7</v>
      </c>
      <c r="C268">
        <f t="shared" si="9"/>
        <v>38</v>
      </c>
      <c r="D268" cm="1">
        <f t="array" ref="D268">INDEX('Linha 06'!$A$4:$A$1000,B268)</f>
        <v>20060015</v>
      </c>
      <c r="E268" t="str" cm="1">
        <f t="array" ref="E268">INDEX('Linha 06'!$B$4:$B$1000,B268)</f>
        <v>Limp Perf Aquafast Doce Romance Cx/12 X 500ml</v>
      </c>
      <c r="F268" cm="1">
        <f t="array" ref="F268">INDEX('Linha 06'!$C$3:$ZZ$3,C268)</f>
        <v>20220022</v>
      </c>
      <c r="G268" t="str" cm="1">
        <f t="array" ref="G268">INDEX('Linha 06'!$C$2:$ZZ$2,C268)</f>
        <v>Intermed. Aromat. Cha Verde E Grapef Cx C/ 12un 250ml</v>
      </c>
      <c r="H268" s="5" cm="1">
        <f t="array" ref="H268">INDEX('Linha 06'!$C$4:$ZZ$1000,B268,C268)</f>
        <v>0</v>
      </c>
    </row>
    <row r="269" spans="1:8" x14ac:dyDescent="0.25">
      <c r="A269">
        <v>267</v>
      </c>
      <c r="B269">
        <f t="shared" si="8"/>
        <v>8</v>
      </c>
      <c r="C269">
        <f t="shared" si="9"/>
        <v>1</v>
      </c>
      <c r="D269" cm="1">
        <f t="array" ref="D269">INDEX('Linha 06'!$A$4:$A$1000,B269)</f>
        <v>20060016</v>
      </c>
      <c r="E269" t="str" cm="1">
        <f t="array" ref="E269">INDEX('Linha 06'!$B$4:$B$1000,B269)</f>
        <v>Limp Perf Aquafast Doce Romance Cx/12 X 1l</v>
      </c>
      <c r="F269" cm="1">
        <f t="array" ref="F269">INDEX('Linha 06'!$C$3:$ZZ$3,C269)</f>
        <v>20060001</v>
      </c>
      <c r="G269" t="str" cm="1">
        <f t="array" ref="G269">INDEX('Linha 06'!$C$2:$ZZ$2,C269)</f>
        <v>Limp Perf Aquafast Magia Seducao Cx/12 X 500ml</v>
      </c>
      <c r="H269" s="5" cm="1">
        <f t="array" ref="H269">INDEX('Linha 06'!$C$4:$ZZ$1000,B269,C269)</f>
        <v>0</v>
      </c>
    </row>
    <row r="270" spans="1:8" x14ac:dyDescent="0.25">
      <c r="A270">
        <v>268</v>
      </c>
      <c r="B270">
        <f t="shared" si="8"/>
        <v>8</v>
      </c>
      <c r="C270">
        <f t="shared" si="9"/>
        <v>2</v>
      </c>
      <c r="D270" cm="1">
        <f t="array" ref="D270">INDEX('Linha 06'!$A$4:$A$1000,B270)</f>
        <v>20060016</v>
      </c>
      <c r="E270" t="str" cm="1">
        <f t="array" ref="E270">INDEX('Linha 06'!$B$4:$B$1000,B270)</f>
        <v>Limp Perf Aquafast Doce Romance Cx/12 X 1l</v>
      </c>
      <c r="F270" cm="1">
        <f t="array" ref="F270">INDEX('Linha 06'!$C$3:$ZZ$3,C270)</f>
        <v>20060004</v>
      </c>
      <c r="G270" t="str" cm="1">
        <f t="array" ref="G270">INDEX('Linha 06'!$C$2:$ZZ$2,C270)</f>
        <v>Limp Perf Aquafast Magia Seducao Cx/12 X 1l</v>
      </c>
      <c r="H270" s="5" cm="1">
        <f t="array" ref="H270">INDEX('Linha 06'!$C$4:$ZZ$1000,B270,C270)</f>
        <v>0</v>
      </c>
    </row>
    <row r="271" spans="1:8" x14ac:dyDescent="0.25">
      <c r="A271">
        <v>269</v>
      </c>
      <c r="B271">
        <f t="shared" si="8"/>
        <v>8</v>
      </c>
      <c r="C271">
        <f t="shared" si="9"/>
        <v>3</v>
      </c>
      <c r="D271" cm="1">
        <f t="array" ref="D271">INDEX('Linha 06'!$A$4:$A$1000,B271)</f>
        <v>20060016</v>
      </c>
      <c r="E271" t="str" cm="1">
        <f t="array" ref="E271">INDEX('Linha 06'!$B$4:$B$1000,B271)</f>
        <v>Limp Perf Aquafast Doce Romance Cx/12 X 1l</v>
      </c>
      <c r="F271" cm="1">
        <f t="array" ref="F271">INDEX('Linha 06'!$C$3:$ZZ$3,C271)</f>
        <v>20060010</v>
      </c>
      <c r="G271" t="str" cm="1">
        <f t="array" ref="G271">INDEX('Linha 06'!$C$2:$ZZ$2,C271)</f>
        <v>Limp Perf Aquafast Magia Da Infancia Cx/12 X 500ml</v>
      </c>
      <c r="H271" s="5" cm="1">
        <f t="array" ref="H271">INDEX('Linha 06'!$C$4:$ZZ$1000,B271,C271)</f>
        <v>0</v>
      </c>
    </row>
    <row r="272" spans="1:8" x14ac:dyDescent="0.25">
      <c r="A272">
        <v>270</v>
      </c>
      <c r="B272">
        <f t="shared" si="8"/>
        <v>8</v>
      </c>
      <c r="C272">
        <f t="shared" si="9"/>
        <v>4</v>
      </c>
      <c r="D272" cm="1">
        <f t="array" ref="D272">INDEX('Linha 06'!$A$4:$A$1000,B272)</f>
        <v>20060016</v>
      </c>
      <c r="E272" t="str" cm="1">
        <f t="array" ref="E272">INDEX('Linha 06'!$B$4:$B$1000,B272)</f>
        <v>Limp Perf Aquafast Doce Romance Cx/12 X 1l</v>
      </c>
      <c r="F272" cm="1">
        <f t="array" ref="F272">INDEX('Linha 06'!$C$3:$ZZ$3,C272)</f>
        <v>20060011</v>
      </c>
      <c r="G272" t="str" cm="1">
        <f t="array" ref="G272">INDEX('Linha 06'!$C$2:$ZZ$2,C272)</f>
        <v>Limp Perf Aquafast Frescor Da Manha Cx/12 X 500ml</v>
      </c>
      <c r="H272" s="5" cm="1">
        <f t="array" ref="H272">INDEX('Linha 06'!$C$4:$ZZ$1000,B272,C272)</f>
        <v>0</v>
      </c>
    </row>
    <row r="273" spans="1:8" x14ac:dyDescent="0.25">
      <c r="A273">
        <v>271</v>
      </c>
      <c r="B273">
        <f t="shared" si="8"/>
        <v>8</v>
      </c>
      <c r="C273">
        <f t="shared" si="9"/>
        <v>5</v>
      </c>
      <c r="D273" cm="1">
        <f t="array" ref="D273">INDEX('Linha 06'!$A$4:$A$1000,B273)</f>
        <v>20060016</v>
      </c>
      <c r="E273" t="str" cm="1">
        <f t="array" ref="E273">INDEX('Linha 06'!$B$4:$B$1000,B273)</f>
        <v>Limp Perf Aquafast Doce Romance Cx/12 X 1l</v>
      </c>
      <c r="F273" cm="1">
        <f t="array" ref="F273">INDEX('Linha 06'!$C$3:$ZZ$3,C273)</f>
        <v>20060012</v>
      </c>
      <c r="G273" t="str" cm="1">
        <f t="array" ref="G273">INDEX('Linha 06'!$C$2:$ZZ$2,C273)</f>
        <v>Limp Perf Aquafast Magia Da Infancia Cx/12 X 1l</v>
      </c>
      <c r="H273" s="5" cm="1">
        <f t="array" ref="H273">INDEX('Linha 06'!$C$4:$ZZ$1000,B273,C273)</f>
        <v>0</v>
      </c>
    </row>
    <row r="274" spans="1:8" x14ac:dyDescent="0.25">
      <c r="A274">
        <v>272</v>
      </c>
      <c r="B274">
        <f t="shared" si="8"/>
        <v>8</v>
      </c>
      <c r="C274">
        <f t="shared" si="9"/>
        <v>6</v>
      </c>
      <c r="D274" cm="1">
        <f t="array" ref="D274">INDEX('Linha 06'!$A$4:$A$1000,B274)</f>
        <v>20060016</v>
      </c>
      <c r="E274" t="str" cm="1">
        <f t="array" ref="E274">INDEX('Linha 06'!$B$4:$B$1000,B274)</f>
        <v>Limp Perf Aquafast Doce Romance Cx/12 X 1l</v>
      </c>
      <c r="F274" cm="1">
        <f t="array" ref="F274">INDEX('Linha 06'!$C$3:$ZZ$3,C274)</f>
        <v>20060013</v>
      </c>
      <c r="G274" t="str" cm="1">
        <f t="array" ref="G274">INDEX('Linha 06'!$C$2:$ZZ$2,C274)</f>
        <v>Limp Perf Aquafast Frescor Da Manha Cx/12 X 1l</v>
      </c>
      <c r="H274" s="5" cm="1">
        <f t="array" ref="H274">INDEX('Linha 06'!$C$4:$ZZ$1000,B274,C274)</f>
        <v>0</v>
      </c>
    </row>
    <row r="275" spans="1:8" x14ac:dyDescent="0.25">
      <c r="A275">
        <v>273</v>
      </c>
      <c r="B275">
        <f t="shared" si="8"/>
        <v>8</v>
      </c>
      <c r="C275">
        <f t="shared" si="9"/>
        <v>7</v>
      </c>
      <c r="D275" cm="1">
        <f t="array" ref="D275">INDEX('Linha 06'!$A$4:$A$1000,B275)</f>
        <v>20060016</v>
      </c>
      <c r="E275" t="str" cm="1">
        <f t="array" ref="E275">INDEX('Linha 06'!$B$4:$B$1000,B275)</f>
        <v>Limp Perf Aquafast Doce Romance Cx/12 X 1l</v>
      </c>
      <c r="F275" cm="1">
        <f t="array" ref="F275">INDEX('Linha 06'!$C$3:$ZZ$3,C275)</f>
        <v>20060015</v>
      </c>
      <c r="G275" t="str" cm="1">
        <f t="array" ref="G275">INDEX('Linha 06'!$C$2:$ZZ$2,C275)</f>
        <v>Limp Perf Aquafast Doce Romance Cx/12 X 500ml</v>
      </c>
      <c r="H275" s="5" cm="1">
        <f t="array" ref="H275">INDEX('Linha 06'!$C$4:$ZZ$1000,B275,C275)</f>
        <v>0</v>
      </c>
    </row>
    <row r="276" spans="1:8" x14ac:dyDescent="0.25">
      <c r="A276">
        <v>274</v>
      </c>
      <c r="B276">
        <f t="shared" si="8"/>
        <v>8</v>
      </c>
      <c r="C276">
        <f t="shared" si="9"/>
        <v>8</v>
      </c>
      <c r="D276" cm="1">
        <f t="array" ref="D276">INDEX('Linha 06'!$A$4:$A$1000,B276)</f>
        <v>20060016</v>
      </c>
      <c r="E276" t="str" cm="1">
        <f t="array" ref="E276">INDEX('Linha 06'!$B$4:$B$1000,B276)</f>
        <v>Limp Perf Aquafast Doce Romance Cx/12 X 1l</v>
      </c>
      <c r="F276" cm="1">
        <f t="array" ref="F276">INDEX('Linha 06'!$C$3:$ZZ$3,C276)</f>
        <v>20060016</v>
      </c>
      <c r="G276" t="str" cm="1">
        <f t="array" ref="G276">INDEX('Linha 06'!$C$2:$ZZ$2,C276)</f>
        <v>Limp Perf Aquafast Doce Romance Cx/12 X 1l</v>
      </c>
      <c r="H276" s="5" cm="1">
        <f t="array" ref="H276">INDEX('Linha 06'!$C$4:$ZZ$1000,B276,C276)</f>
        <v>0</v>
      </c>
    </row>
    <row r="277" spans="1:8" x14ac:dyDescent="0.25">
      <c r="A277">
        <v>275</v>
      </c>
      <c r="B277">
        <f t="shared" si="8"/>
        <v>8</v>
      </c>
      <c r="C277">
        <f t="shared" si="9"/>
        <v>9</v>
      </c>
      <c r="D277" cm="1">
        <f t="array" ref="D277">INDEX('Linha 06'!$A$4:$A$1000,B277)</f>
        <v>20060016</v>
      </c>
      <c r="E277" t="str" cm="1">
        <f t="array" ref="E277">INDEX('Linha 06'!$B$4:$B$1000,B277)</f>
        <v>Limp Perf Aquafast Doce Romance Cx/12 X 1l</v>
      </c>
      <c r="F277" cm="1">
        <f t="array" ref="F277">INDEX('Linha 06'!$C$3:$ZZ$3,C277)</f>
        <v>20060027</v>
      </c>
      <c r="G277" t="str" cm="1">
        <f t="array" ref="G277">INDEX('Linha 06'!$C$2:$ZZ$2,C277)</f>
        <v>Limp Perf Aquafast Essencia Natural Cx/12 X 1l</v>
      </c>
      <c r="H277" s="5" cm="1">
        <f t="array" ref="H277">INDEX('Linha 06'!$C$4:$ZZ$1000,B277,C277)</f>
        <v>0</v>
      </c>
    </row>
    <row r="278" spans="1:8" x14ac:dyDescent="0.25">
      <c r="A278">
        <v>276</v>
      </c>
      <c r="B278">
        <f t="shared" si="8"/>
        <v>8</v>
      </c>
      <c r="C278">
        <f t="shared" si="9"/>
        <v>10</v>
      </c>
      <c r="D278" cm="1">
        <f t="array" ref="D278">INDEX('Linha 06'!$A$4:$A$1000,B278)</f>
        <v>20060016</v>
      </c>
      <c r="E278" t="str" cm="1">
        <f t="array" ref="E278">INDEX('Linha 06'!$B$4:$B$1000,B278)</f>
        <v>Limp Perf Aquafast Doce Romance Cx/12 X 1l</v>
      </c>
      <c r="F278" cm="1">
        <f t="array" ref="F278">INDEX('Linha 06'!$C$3:$ZZ$3,C278)</f>
        <v>20070001</v>
      </c>
      <c r="G278" t="str" cm="1">
        <f t="array" ref="G278">INDEX('Linha 06'!$C$2:$ZZ$2,C278)</f>
        <v>Limpa Vidros Aquafast Pulverizador Cx/12 X 500ml</v>
      </c>
      <c r="H278" s="5" cm="1">
        <f t="array" ref="H278">INDEX('Linha 06'!$C$4:$ZZ$1000,B278,C278)</f>
        <v>0</v>
      </c>
    </row>
    <row r="279" spans="1:8" x14ac:dyDescent="0.25">
      <c r="A279">
        <v>277</v>
      </c>
      <c r="B279">
        <f t="shared" si="8"/>
        <v>8</v>
      </c>
      <c r="C279">
        <f t="shared" si="9"/>
        <v>11</v>
      </c>
      <c r="D279" cm="1">
        <f t="array" ref="D279">INDEX('Linha 06'!$A$4:$A$1000,B279)</f>
        <v>20060016</v>
      </c>
      <c r="E279" t="str" cm="1">
        <f t="array" ref="E279">INDEX('Linha 06'!$B$4:$B$1000,B279)</f>
        <v>Limp Perf Aquafast Doce Romance Cx/12 X 1l</v>
      </c>
      <c r="F279" cm="1">
        <f t="array" ref="F279">INDEX('Linha 06'!$C$3:$ZZ$3,C279)</f>
        <v>20070002</v>
      </c>
      <c r="G279" t="str" cm="1">
        <f t="array" ref="G279">INDEX('Linha 06'!$C$2:$ZZ$2,C279)</f>
        <v>Limpa Vidros Aquafast Recarga Cx/12 X 500ml</v>
      </c>
      <c r="H279" s="5" cm="1">
        <f t="array" ref="H279">INDEX('Linha 06'!$C$4:$ZZ$1000,B279,C279)</f>
        <v>0</v>
      </c>
    </row>
    <row r="280" spans="1:8" x14ac:dyDescent="0.25">
      <c r="A280">
        <v>278</v>
      </c>
      <c r="B280">
        <f t="shared" si="8"/>
        <v>8</v>
      </c>
      <c r="C280">
        <f t="shared" si="9"/>
        <v>12</v>
      </c>
      <c r="D280" cm="1">
        <f t="array" ref="D280">INDEX('Linha 06'!$A$4:$A$1000,B280)</f>
        <v>20060016</v>
      </c>
      <c r="E280" t="str" cm="1">
        <f t="array" ref="E280">INDEX('Linha 06'!$B$4:$B$1000,B280)</f>
        <v>Limp Perf Aquafast Doce Romance Cx/12 X 1l</v>
      </c>
      <c r="F280" cm="1">
        <f t="array" ref="F280">INDEX('Linha 06'!$C$3:$ZZ$3,C280)</f>
        <v>20070006</v>
      </c>
      <c r="G280" t="str" cm="1">
        <f t="array" ref="G280">INDEX('Linha 06'!$C$2:$ZZ$2,C280)</f>
        <v>Limpa Vidros Ito Pulverizador Cx/12 X 500ml</v>
      </c>
      <c r="H280" s="5" cm="1">
        <f t="array" ref="H280">INDEX('Linha 06'!$C$4:$ZZ$1000,B280,C280)</f>
        <v>0</v>
      </c>
    </row>
    <row r="281" spans="1:8" x14ac:dyDescent="0.25">
      <c r="A281">
        <v>279</v>
      </c>
      <c r="B281">
        <f t="shared" si="8"/>
        <v>8</v>
      </c>
      <c r="C281">
        <f t="shared" si="9"/>
        <v>13</v>
      </c>
      <c r="D281" cm="1">
        <f t="array" ref="D281">INDEX('Linha 06'!$A$4:$A$1000,B281)</f>
        <v>20060016</v>
      </c>
      <c r="E281" t="str" cm="1">
        <f t="array" ref="E281">INDEX('Linha 06'!$B$4:$B$1000,B281)</f>
        <v>Limp Perf Aquafast Doce Romance Cx/12 X 1l</v>
      </c>
      <c r="F281" cm="1">
        <f t="array" ref="F281">INDEX('Linha 06'!$C$3:$ZZ$3,C281)</f>
        <v>20070007</v>
      </c>
      <c r="G281" t="str" cm="1">
        <f t="array" ref="G281">INDEX('Linha 06'!$C$2:$ZZ$2,C281)</f>
        <v>Limpa Vidros Ito Recarga Cx/12 X 500ml</v>
      </c>
      <c r="H281" s="5" cm="1">
        <f t="array" ref="H281">INDEX('Linha 06'!$C$4:$ZZ$1000,B281,C281)</f>
        <v>0</v>
      </c>
    </row>
    <row r="282" spans="1:8" x14ac:dyDescent="0.25">
      <c r="A282">
        <v>280</v>
      </c>
      <c r="B282">
        <f t="shared" si="8"/>
        <v>8</v>
      </c>
      <c r="C282">
        <f t="shared" si="9"/>
        <v>14</v>
      </c>
      <c r="D282" cm="1">
        <f t="array" ref="D282">INDEX('Linha 06'!$A$4:$A$1000,B282)</f>
        <v>20060016</v>
      </c>
      <c r="E282" t="str" cm="1">
        <f t="array" ref="E282">INDEX('Linha 06'!$B$4:$B$1000,B282)</f>
        <v>Limp Perf Aquafast Doce Romance Cx/12 X 1l</v>
      </c>
      <c r="F282" cm="1">
        <f t="array" ref="F282">INDEX('Linha 06'!$C$3:$ZZ$3,C282)</f>
        <v>20070008</v>
      </c>
      <c r="G282" t="str" cm="1">
        <f t="array" ref="G282">INDEX('Linha 06'!$C$2:$ZZ$2,C282)</f>
        <v>Limpa Vidros Aquafast Squeeze Cx/12 X 500ml</v>
      </c>
      <c r="H282" s="5" cm="1">
        <f t="array" ref="H282">INDEX('Linha 06'!$C$4:$ZZ$1000,B282,C282)</f>
        <v>0</v>
      </c>
    </row>
    <row r="283" spans="1:8" x14ac:dyDescent="0.25">
      <c r="A283">
        <v>281</v>
      </c>
      <c r="B283">
        <f t="shared" si="8"/>
        <v>8</v>
      </c>
      <c r="C283">
        <f t="shared" si="9"/>
        <v>15</v>
      </c>
      <c r="D283" cm="1">
        <f t="array" ref="D283">INDEX('Linha 06'!$A$4:$A$1000,B283)</f>
        <v>20060016</v>
      </c>
      <c r="E283" t="str" cm="1">
        <f t="array" ref="E283">INDEX('Linha 06'!$B$4:$B$1000,B283)</f>
        <v>Limp Perf Aquafast Doce Romance Cx/12 X 1l</v>
      </c>
      <c r="F283" cm="1">
        <f t="array" ref="F283">INDEX('Linha 06'!$C$3:$ZZ$3,C283)</f>
        <v>20090001</v>
      </c>
      <c r="G283" t="str" cm="1">
        <f t="array" ref="G283">INDEX('Linha 06'!$C$2:$ZZ$2,C283)</f>
        <v>Desengordurante Aquafast Pulverizador Cx/12 X 500ml</v>
      </c>
      <c r="H283" s="5" cm="1">
        <f t="array" ref="H283">INDEX('Linha 06'!$C$4:$ZZ$1000,B283,C283)</f>
        <v>0</v>
      </c>
    </row>
    <row r="284" spans="1:8" x14ac:dyDescent="0.25">
      <c r="A284">
        <v>282</v>
      </c>
      <c r="B284">
        <f t="shared" si="8"/>
        <v>8</v>
      </c>
      <c r="C284">
        <f t="shared" si="9"/>
        <v>16</v>
      </c>
      <c r="D284" cm="1">
        <f t="array" ref="D284">INDEX('Linha 06'!$A$4:$A$1000,B284)</f>
        <v>20060016</v>
      </c>
      <c r="E284" t="str" cm="1">
        <f t="array" ref="E284">INDEX('Linha 06'!$B$4:$B$1000,B284)</f>
        <v>Limp Perf Aquafast Doce Romance Cx/12 X 1l</v>
      </c>
      <c r="F284" cm="1">
        <f t="array" ref="F284">INDEX('Linha 06'!$C$3:$ZZ$3,C284)</f>
        <v>20090002</v>
      </c>
      <c r="G284" t="str" cm="1">
        <f t="array" ref="G284">INDEX('Linha 06'!$C$2:$ZZ$2,C284)</f>
        <v>Desengordurante Aquafast Recarga Cx/12 X 500ml</v>
      </c>
      <c r="H284" s="5" cm="1">
        <f t="array" ref="H284">INDEX('Linha 06'!$C$4:$ZZ$1000,B284,C284)</f>
        <v>0</v>
      </c>
    </row>
    <row r="285" spans="1:8" x14ac:dyDescent="0.25">
      <c r="A285">
        <v>283</v>
      </c>
      <c r="B285">
        <f t="shared" si="8"/>
        <v>8</v>
      </c>
      <c r="C285">
        <f t="shared" si="9"/>
        <v>17</v>
      </c>
      <c r="D285" cm="1">
        <f t="array" ref="D285">INDEX('Linha 06'!$A$4:$A$1000,B285)</f>
        <v>20060016</v>
      </c>
      <c r="E285" t="str" cm="1">
        <f t="array" ref="E285">INDEX('Linha 06'!$B$4:$B$1000,B285)</f>
        <v>Limp Perf Aquafast Doce Romance Cx/12 X 1l</v>
      </c>
      <c r="F285" cm="1">
        <f t="array" ref="F285">INDEX('Linha 06'!$C$3:$ZZ$3,C285)</f>
        <v>20090004</v>
      </c>
      <c r="G285" t="str" cm="1">
        <f t="array" ref="G285">INDEX('Linha 06'!$C$2:$ZZ$2,C285)</f>
        <v>Desengordurante Aquafast Squeeze Cx C/12 X 500ml</v>
      </c>
      <c r="H285" s="5" cm="1">
        <f t="array" ref="H285">INDEX('Linha 06'!$C$4:$ZZ$1000,B285,C285)</f>
        <v>0</v>
      </c>
    </row>
    <row r="286" spans="1:8" x14ac:dyDescent="0.25">
      <c r="A286">
        <v>284</v>
      </c>
      <c r="B286">
        <f t="shared" si="8"/>
        <v>8</v>
      </c>
      <c r="C286">
        <f t="shared" si="9"/>
        <v>18</v>
      </c>
      <c r="D286" cm="1">
        <f t="array" ref="D286">INDEX('Linha 06'!$A$4:$A$1000,B286)</f>
        <v>20060016</v>
      </c>
      <c r="E286" t="str" cm="1">
        <f t="array" ref="E286">INDEX('Linha 06'!$B$4:$B$1000,B286)</f>
        <v>Limp Perf Aquafast Doce Romance Cx/12 X 1l</v>
      </c>
      <c r="F286" cm="1">
        <f t="array" ref="F286">INDEX('Linha 06'!$C$3:$ZZ$3,C286)</f>
        <v>20090005</v>
      </c>
      <c r="G286" t="str" cm="1">
        <f t="array" ref="G286">INDEX('Linha 06'!$C$2:$ZZ$2,C286)</f>
        <v>Desengordurante Aquafast Squeeze Cx C/12 X 1l</v>
      </c>
      <c r="H286" s="5" cm="1">
        <f t="array" ref="H286">INDEX('Linha 06'!$C$4:$ZZ$1000,B286,C286)</f>
        <v>0</v>
      </c>
    </row>
    <row r="287" spans="1:8" x14ac:dyDescent="0.25">
      <c r="A287">
        <v>285</v>
      </c>
      <c r="B287">
        <f t="shared" si="8"/>
        <v>8</v>
      </c>
      <c r="C287">
        <f t="shared" si="9"/>
        <v>19</v>
      </c>
      <c r="D287" cm="1">
        <f t="array" ref="D287">INDEX('Linha 06'!$A$4:$A$1000,B287)</f>
        <v>20060016</v>
      </c>
      <c r="E287" t="str" cm="1">
        <f t="array" ref="E287">INDEX('Linha 06'!$B$4:$B$1000,B287)</f>
        <v>Limp Perf Aquafast Doce Romance Cx/12 X 1l</v>
      </c>
      <c r="F287" cm="1">
        <f t="array" ref="F287">INDEX('Linha 06'!$C$3:$ZZ$3,C287)</f>
        <v>20090010</v>
      </c>
      <c r="G287" t="str" cm="1">
        <f t="array" ref="G287">INDEX('Linha 06'!$C$2:$ZZ$2,C287)</f>
        <v>Intermed Pack Desengord Squeeze Cx C/18 X 500ml</v>
      </c>
      <c r="H287" s="5" cm="1">
        <f t="array" ref="H287">INDEX('Linha 06'!$C$4:$ZZ$1000,B287,C287)</f>
        <v>0</v>
      </c>
    </row>
    <row r="288" spans="1:8" x14ac:dyDescent="0.25">
      <c r="A288">
        <v>286</v>
      </c>
      <c r="B288">
        <f t="shared" si="8"/>
        <v>8</v>
      </c>
      <c r="C288">
        <f t="shared" si="9"/>
        <v>20</v>
      </c>
      <c r="D288" cm="1">
        <f t="array" ref="D288">INDEX('Linha 06'!$A$4:$A$1000,B288)</f>
        <v>20060016</v>
      </c>
      <c r="E288" t="str" cm="1">
        <f t="array" ref="E288">INDEX('Linha 06'!$B$4:$B$1000,B288)</f>
        <v>Limp Perf Aquafast Doce Romance Cx/12 X 1l</v>
      </c>
      <c r="F288" cm="1">
        <f t="array" ref="F288">INDEX('Linha 06'!$C$3:$ZZ$3,C288)</f>
        <v>20110002</v>
      </c>
      <c r="G288" t="str" cm="1">
        <f t="array" ref="G288">INDEX('Linha 06'!$C$2:$ZZ$2,C288)</f>
        <v>Multi Uso Aquafast Squeeze Original Cx/12 X 500ml</v>
      </c>
      <c r="H288" s="5" cm="1">
        <f t="array" ref="H288">INDEX('Linha 06'!$C$4:$ZZ$1000,B288,C288)</f>
        <v>0</v>
      </c>
    </row>
    <row r="289" spans="1:8" x14ac:dyDescent="0.25">
      <c r="A289">
        <v>287</v>
      </c>
      <c r="B289">
        <f t="shared" si="8"/>
        <v>8</v>
      </c>
      <c r="C289">
        <f t="shared" si="9"/>
        <v>21</v>
      </c>
      <c r="D289" cm="1">
        <f t="array" ref="D289">INDEX('Linha 06'!$A$4:$A$1000,B289)</f>
        <v>20060016</v>
      </c>
      <c r="E289" t="str" cm="1">
        <f t="array" ref="E289">INDEX('Linha 06'!$B$4:$B$1000,B289)</f>
        <v>Limp Perf Aquafast Doce Romance Cx/12 X 1l</v>
      </c>
      <c r="F289" cm="1">
        <f t="array" ref="F289">INDEX('Linha 06'!$C$3:$ZZ$3,C289)</f>
        <v>20110004</v>
      </c>
      <c r="G289" t="str" cm="1">
        <f t="array" ref="G289">INDEX('Linha 06'!$C$2:$ZZ$2,C289)</f>
        <v>Multi Uso Aquafast Squeeze Lavanda Cx/12 X 500ml</v>
      </c>
      <c r="H289" s="5" cm="1">
        <f t="array" ref="H289">INDEX('Linha 06'!$C$4:$ZZ$1000,B289,C289)</f>
        <v>0</v>
      </c>
    </row>
    <row r="290" spans="1:8" x14ac:dyDescent="0.25">
      <c r="A290">
        <v>288</v>
      </c>
      <c r="B290">
        <f t="shared" si="8"/>
        <v>8</v>
      </c>
      <c r="C290">
        <f t="shared" si="9"/>
        <v>22</v>
      </c>
      <c r="D290" cm="1">
        <f t="array" ref="D290">INDEX('Linha 06'!$A$4:$A$1000,B290)</f>
        <v>20060016</v>
      </c>
      <c r="E290" t="str" cm="1">
        <f t="array" ref="E290">INDEX('Linha 06'!$B$4:$B$1000,B290)</f>
        <v>Limp Perf Aquafast Doce Romance Cx/12 X 1l</v>
      </c>
      <c r="F290" cm="1">
        <f t="array" ref="F290">INDEX('Linha 06'!$C$3:$ZZ$3,C290)</f>
        <v>20110007</v>
      </c>
      <c r="G290" t="str" cm="1">
        <f t="array" ref="G290">INDEX('Linha 06'!$C$2:$ZZ$2,C290)</f>
        <v>Multi Uso Aquafast Squeeze Seducao Cx/12 X 500ml</v>
      </c>
      <c r="H290" s="5" cm="1">
        <f t="array" ref="H290">INDEX('Linha 06'!$C$4:$ZZ$1000,B290,C290)</f>
        <v>0</v>
      </c>
    </row>
    <row r="291" spans="1:8" x14ac:dyDescent="0.25">
      <c r="A291">
        <v>289</v>
      </c>
      <c r="B291">
        <f t="shared" si="8"/>
        <v>8</v>
      </c>
      <c r="C291">
        <f t="shared" si="9"/>
        <v>23</v>
      </c>
      <c r="D291" cm="1">
        <f t="array" ref="D291">INDEX('Linha 06'!$A$4:$A$1000,B291)</f>
        <v>20060016</v>
      </c>
      <c r="E291" t="str" cm="1">
        <f t="array" ref="E291">INDEX('Linha 06'!$B$4:$B$1000,B291)</f>
        <v>Limp Perf Aquafast Doce Romance Cx/12 X 1l</v>
      </c>
      <c r="F291" cm="1">
        <f t="array" ref="F291">INDEX('Linha 06'!$C$3:$ZZ$3,C291)</f>
        <v>20110008</v>
      </c>
      <c r="G291" t="str" cm="1">
        <f t="array" ref="G291">INDEX('Linha 06'!$C$2:$ZZ$2,C291)</f>
        <v>Multi Uso Aquafast Squeeze Original Cx/12 X 1l</v>
      </c>
      <c r="H291" s="5" cm="1">
        <f t="array" ref="H291">INDEX('Linha 06'!$C$4:$ZZ$1000,B291,C291)</f>
        <v>0</v>
      </c>
    </row>
    <row r="292" spans="1:8" x14ac:dyDescent="0.25">
      <c r="A292">
        <v>290</v>
      </c>
      <c r="B292">
        <f t="shared" si="8"/>
        <v>8</v>
      </c>
      <c r="C292">
        <f t="shared" si="9"/>
        <v>24</v>
      </c>
      <c r="D292" cm="1">
        <f t="array" ref="D292">INDEX('Linha 06'!$A$4:$A$1000,B292)</f>
        <v>20060016</v>
      </c>
      <c r="E292" t="str" cm="1">
        <f t="array" ref="E292">INDEX('Linha 06'!$B$4:$B$1000,B292)</f>
        <v>Limp Perf Aquafast Doce Romance Cx/12 X 1l</v>
      </c>
      <c r="F292" cm="1">
        <f t="array" ref="F292">INDEX('Linha 06'!$C$3:$ZZ$3,C292)</f>
        <v>20110010</v>
      </c>
      <c r="G292" t="str" cm="1">
        <f t="array" ref="G292">INDEX('Linha 06'!$C$2:$ZZ$2,C292)</f>
        <v>Multi Uso Aquafast Squeeze Seducao Cx/12 1l</v>
      </c>
      <c r="H292" s="5" cm="1">
        <f t="array" ref="H292">INDEX('Linha 06'!$C$4:$ZZ$1000,B292,C292)</f>
        <v>0</v>
      </c>
    </row>
    <row r="293" spans="1:8" x14ac:dyDescent="0.25">
      <c r="A293">
        <v>291</v>
      </c>
      <c r="B293">
        <f t="shared" si="8"/>
        <v>8</v>
      </c>
      <c r="C293">
        <f t="shared" si="9"/>
        <v>25</v>
      </c>
      <c r="D293" cm="1">
        <f t="array" ref="D293">INDEX('Linha 06'!$A$4:$A$1000,B293)</f>
        <v>20060016</v>
      </c>
      <c r="E293" t="str" cm="1">
        <f t="array" ref="E293">INDEX('Linha 06'!$B$4:$B$1000,B293)</f>
        <v>Limp Perf Aquafast Doce Romance Cx/12 X 1l</v>
      </c>
      <c r="F293" cm="1">
        <f t="array" ref="F293">INDEX('Linha 06'!$C$3:$ZZ$3,C293)</f>
        <v>20110013</v>
      </c>
      <c r="G293" t="str" cm="1">
        <f t="array" ref="G293">INDEX('Linha 06'!$C$2:$ZZ$2,C293)</f>
        <v>Multi Uso Aquafast Squeeze Lavanda Cx/12 X 1l</v>
      </c>
      <c r="H293" s="5" cm="1">
        <f t="array" ref="H293">INDEX('Linha 06'!$C$4:$ZZ$1000,B293,C293)</f>
        <v>0</v>
      </c>
    </row>
    <row r="294" spans="1:8" x14ac:dyDescent="0.25">
      <c r="A294">
        <v>292</v>
      </c>
      <c r="B294">
        <f t="shared" si="8"/>
        <v>8</v>
      </c>
      <c r="C294">
        <f t="shared" si="9"/>
        <v>26</v>
      </c>
      <c r="D294" cm="1">
        <f t="array" ref="D294">INDEX('Linha 06'!$A$4:$A$1000,B294)</f>
        <v>20060016</v>
      </c>
      <c r="E294" t="str" cm="1">
        <f t="array" ref="E294">INDEX('Linha 06'!$B$4:$B$1000,B294)</f>
        <v>Limp Perf Aquafast Doce Romance Cx/12 X 1l</v>
      </c>
      <c r="F294" cm="1">
        <f t="array" ref="F294">INDEX('Linha 06'!$C$3:$ZZ$3,C294)</f>
        <v>20110022</v>
      </c>
      <c r="G294" t="str" cm="1">
        <f t="array" ref="G294">INDEX('Linha 06'!$C$2:$ZZ$2,C294)</f>
        <v>Intermed Pack Multi Uso Lavand C/Alcool Cx/18 X 500ml</v>
      </c>
      <c r="H294" s="5" cm="1">
        <f t="array" ref="H294">INDEX('Linha 06'!$C$4:$ZZ$1000,B294,C294)</f>
        <v>0</v>
      </c>
    </row>
    <row r="295" spans="1:8" x14ac:dyDescent="0.25">
      <c r="A295">
        <v>293</v>
      </c>
      <c r="B295">
        <f t="shared" si="8"/>
        <v>8</v>
      </c>
      <c r="C295">
        <f t="shared" si="9"/>
        <v>27</v>
      </c>
      <c r="D295" cm="1">
        <f t="array" ref="D295">INDEX('Linha 06'!$A$4:$A$1000,B295)</f>
        <v>20060016</v>
      </c>
      <c r="E295" t="str" cm="1">
        <f t="array" ref="E295">INDEX('Linha 06'!$B$4:$B$1000,B295)</f>
        <v>Limp Perf Aquafast Doce Romance Cx/12 X 1l</v>
      </c>
      <c r="F295" cm="1">
        <f t="array" ref="F295">INDEX('Linha 06'!$C$3:$ZZ$3,C295)</f>
        <v>20110023</v>
      </c>
      <c r="G295" t="str" cm="1">
        <f t="array" ref="G295">INDEX('Linha 06'!$C$2:$ZZ$2,C295)</f>
        <v>Multi Uso Aquafast Squeeze Cha Branco  Cx/12 X 500ml</v>
      </c>
      <c r="H295" s="5" cm="1">
        <f t="array" ref="H295">INDEX('Linha 06'!$C$4:$ZZ$1000,B295,C295)</f>
        <v>0</v>
      </c>
    </row>
    <row r="296" spans="1:8" x14ac:dyDescent="0.25">
      <c r="A296">
        <v>294</v>
      </c>
      <c r="B296">
        <f t="shared" si="8"/>
        <v>8</v>
      </c>
      <c r="C296">
        <f t="shared" si="9"/>
        <v>28</v>
      </c>
      <c r="D296" cm="1">
        <f t="array" ref="D296">INDEX('Linha 06'!$A$4:$A$1000,B296)</f>
        <v>20060016</v>
      </c>
      <c r="E296" t="str" cm="1">
        <f t="array" ref="E296">INDEX('Linha 06'!$B$4:$B$1000,B296)</f>
        <v>Limp Perf Aquafast Doce Romance Cx/12 X 1l</v>
      </c>
      <c r="F296" cm="1">
        <f t="array" ref="F296">INDEX('Linha 06'!$C$3:$ZZ$3,C296)</f>
        <v>20110024</v>
      </c>
      <c r="G296" t="str" cm="1">
        <f t="array" ref="G296">INDEX('Linha 06'!$C$2:$ZZ$2,C296)</f>
        <v>Multi Uso Aquafast Squeeze Cha Branco Cx12 X 1l</v>
      </c>
      <c r="H296" s="5" cm="1">
        <f t="array" ref="H296">INDEX('Linha 06'!$C$4:$ZZ$1000,B296,C296)</f>
        <v>0</v>
      </c>
    </row>
    <row r="297" spans="1:8" x14ac:dyDescent="0.25">
      <c r="A297">
        <v>295</v>
      </c>
      <c r="B297">
        <f t="shared" si="8"/>
        <v>8</v>
      </c>
      <c r="C297">
        <f t="shared" si="9"/>
        <v>29</v>
      </c>
      <c r="D297" cm="1">
        <f t="array" ref="D297">INDEX('Linha 06'!$A$4:$A$1000,B297)</f>
        <v>20060016</v>
      </c>
      <c r="E297" t="str" cm="1">
        <f t="array" ref="E297">INDEX('Linha 06'!$B$4:$B$1000,B297)</f>
        <v>Limp Perf Aquafast Doce Romance Cx/12 X 1l</v>
      </c>
      <c r="F297" cm="1">
        <f t="array" ref="F297">INDEX('Linha 06'!$C$3:$ZZ$3,C297)</f>
        <v>20110025</v>
      </c>
      <c r="G297" t="str" cm="1">
        <f t="array" ref="G297">INDEX('Linha 06'!$C$2:$ZZ$2,C297)</f>
        <v>Multi Uso Aquafast Pulverizador Original Cx/12 X 1l</v>
      </c>
      <c r="H297" s="5" cm="1">
        <f t="array" ref="H297">INDEX('Linha 06'!$C$4:$ZZ$1000,B297,C297)</f>
        <v>0</v>
      </c>
    </row>
    <row r="298" spans="1:8" x14ac:dyDescent="0.25">
      <c r="A298">
        <v>296</v>
      </c>
      <c r="B298">
        <f t="shared" si="8"/>
        <v>8</v>
      </c>
      <c r="C298">
        <f t="shared" si="9"/>
        <v>30</v>
      </c>
      <c r="D298" cm="1">
        <f t="array" ref="D298">INDEX('Linha 06'!$A$4:$A$1000,B298)</f>
        <v>20060016</v>
      </c>
      <c r="E298" t="str" cm="1">
        <f t="array" ref="E298">INDEX('Linha 06'!$B$4:$B$1000,B298)</f>
        <v>Limp Perf Aquafast Doce Romance Cx/12 X 1l</v>
      </c>
      <c r="F298" cm="1">
        <f t="array" ref="F298">INDEX('Linha 06'!$C$3:$ZZ$3,C298)</f>
        <v>20110026</v>
      </c>
      <c r="G298" t="str" cm="1">
        <f t="array" ref="G298">INDEX('Linha 06'!$C$2:$ZZ$2,C298)</f>
        <v>Multi Uso Aquafast Pulverizador Poder O2 Cx/12 X 1l</v>
      </c>
      <c r="H298" s="5" cm="1">
        <f t="array" ref="H298">INDEX('Linha 06'!$C$4:$ZZ$1000,B298,C298)</f>
        <v>0</v>
      </c>
    </row>
    <row r="299" spans="1:8" x14ac:dyDescent="0.25">
      <c r="A299">
        <v>297</v>
      </c>
      <c r="B299">
        <f t="shared" si="8"/>
        <v>8</v>
      </c>
      <c r="C299">
        <f t="shared" si="9"/>
        <v>31</v>
      </c>
      <c r="D299" cm="1">
        <f t="array" ref="D299">INDEX('Linha 06'!$A$4:$A$1000,B299)</f>
        <v>20060016</v>
      </c>
      <c r="E299" t="str" cm="1">
        <f t="array" ref="E299">INDEX('Linha 06'!$B$4:$B$1000,B299)</f>
        <v>Limp Perf Aquafast Doce Romance Cx/12 X 1l</v>
      </c>
      <c r="F299" cm="1">
        <f t="array" ref="F299">INDEX('Linha 06'!$C$3:$ZZ$3,C299)</f>
        <v>20110027</v>
      </c>
      <c r="G299" t="str" cm="1">
        <f t="array" ref="G299">INDEX('Linha 06'!$C$2:$ZZ$2,C299)</f>
        <v>Multi Uso Aquafast Pulverizador Poder O2 Cx/12 X 500ml</v>
      </c>
      <c r="H299" s="5" cm="1">
        <f t="array" ref="H299">INDEX('Linha 06'!$C$4:$ZZ$1000,B299,C299)</f>
        <v>0</v>
      </c>
    </row>
    <row r="300" spans="1:8" x14ac:dyDescent="0.25">
      <c r="A300">
        <v>298</v>
      </c>
      <c r="B300">
        <f t="shared" si="8"/>
        <v>8</v>
      </c>
      <c r="C300">
        <f t="shared" si="9"/>
        <v>32</v>
      </c>
      <c r="D300" cm="1">
        <f t="array" ref="D300">INDEX('Linha 06'!$A$4:$A$1000,B300)</f>
        <v>20060016</v>
      </c>
      <c r="E300" t="str" cm="1">
        <f t="array" ref="E300">INDEX('Linha 06'!$B$4:$B$1000,B300)</f>
        <v>Limp Perf Aquafast Doce Romance Cx/12 X 1l</v>
      </c>
      <c r="F300" cm="1">
        <f t="array" ref="F300">INDEX('Linha 06'!$C$3:$ZZ$3,C300)</f>
        <v>20200073</v>
      </c>
      <c r="G300" t="str" cm="1">
        <f t="array" ref="G300">INDEX('Linha 06'!$C$2:$ZZ$2,C300)</f>
        <v>Lava Roupas Aquafast Lavagem Rapida Total Clean Cx/9 X 1,5l</v>
      </c>
      <c r="H300" s="5" cm="1">
        <f t="array" ref="H300">INDEX('Linha 06'!$C$4:$ZZ$1000,B300,C300)</f>
        <v>0</v>
      </c>
    </row>
    <row r="301" spans="1:8" x14ac:dyDescent="0.25">
      <c r="A301">
        <v>299</v>
      </c>
      <c r="B301">
        <f t="shared" si="8"/>
        <v>8</v>
      </c>
      <c r="C301">
        <f t="shared" si="9"/>
        <v>33</v>
      </c>
      <c r="D301" cm="1">
        <f t="array" ref="D301">INDEX('Linha 06'!$A$4:$A$1000,B301)</f>
        <v>20060016</v>
      </c>
      <c r="E301" t="str" cm="1">
        <f t="array" ref="E301">INDEX('Linha 06'!$B$4:$B$1000,B301)</f>
        <v>Limp Perf Aquafast Doce Romance Cx/12 X 1l</v>
      </c>
      <c r="F301" cm="1">
        <f t="array" ref="F301">INDEX('Linha 06'!$C$3:$ZZ$3,C301)</f>
        <v>20200075</v>
      </c>
      <c r="G301" t="str" cm="1">
        <f t="array" ref="G301">INDEX('Linha 06'!$C$2:$ZZ$2,C301)</f>
        <v>Lava Roupas Aquafast Lavagem Rapida Fresh Clean Cx/9 X 1,5l</v>
      </c>
      <c r="H301" s="5" cm="1">
        <f t="array" ref="H301">INDEX('Linha 06'!$C$4:$ZZ$1000,B301,C301)</f>
        <v>0</v>
      </c>
    </row>
    <row r="302" spans="1:8" x14ac:dyDescent="0.25">
      <c r="A302">
        <v>300</v>
      </c>
      <c r="B302">
        <f t="shared" si="8"/>
        <v>8</v>
      </c>
      <c r="C302">
        <f t="shared" si="9"/>
        <v>34</v>
      </c>
      <c r="D302" cm="1">
        <f t="array" ref="D302">INDEX('Linha 06'!$A$4:$A$1000,B302)</f>
        <v>20060016</v>
      </c>
      <c r="E302" t="str" cm="1">
        <f t="array" ref="E302">INDEX('Linha 06'!$B$4:$B$1000,B302)</f>
        <v>Limp Perf Aquafast Doce Romance Cx/12 X 1l</v>
      </c>
      <c r="F302" cm="1">
        <f t="array" ref="F302">INDEX('Linha 06'!$C$3:$ZZ$3,C302)</f>
        <v>20220018</v>
      </c>
      <c r="G302" t="str" cm="1">
        <f t="array" ref="G302">INDEX('Linha 06'!$C$2:$ZZ$2,C302)</f>
        <v>Intermed. Aromat. Amoras E Baunilha Cx C/ 12un 250ml</v>
      </c>
      <c r="H302" s="5" cm="1">
        <f t="array" ref="H302">INDEX('Linha 06'!$C$4:$ZZ$1000,B302,C302)</f>
        <v>0</v>
      </c>
    </row>
    <row r="303" spans="1:8" x14ac:dyDescent="0.25">
      <c r="A303">
        <v>301</v>
      </c>
      <c r="B303">
        <f t="shared" si="8"/>
        <v>8</v>
      </c>
      <c r="C303">
        <f t="shared" si="9"/>
        <v>35</v>
      </c>
      <c r="D303" cm="1">
        <f t="array" ref="D303">INDEX('Linha 06'!$A$4:$A$1000,B303)</f>
        <v>20060016</v>
      </c>
      <c r="E303" t="str" cm="1">
        <f t="array" ref="E303">INDEX('Linha 06'!$B$4:$B$1000,B303)</f>
        <v>Limp Perf Aquafast Doce Romance Cx/12 X 1l</v>
      </c>
      <c r="F303" cm="1">
        <f t="array" ref="F303">INDEX('Linha 06'!$C$3:$ZZ$3,C303)</f>
        <v>20220019</v>
      </c>
      <c r="G303" t="str" cm="1">
        <f t="array" ref="G303">INDEX('Linha 06'!$C$2:$ZZ$2,C303)</f>
        <v>Intermed. Aromat. Figo E Cedro Cx C/ 12un 250ml</v>
      </c>
      <c r="H303" s="5" cm="1">
        <f t="array" ref="H303">INDEX('Linha 06'!$C$4:$ZZ$1000,B303,C303)</f>
        <v>0</v>
      </c>
    </row>
    <row r="304" spans="1:8" x14ac:dyDescent="0.25">
      <c r="A304">
        <v>302</v>
      </c>
      <c r="B304">
        <f t="shared" si="8"/>
        <v>8</v>
      </c>
      <c r="C304">
        <f t="shared" si="9"/>
        <v>36</v>
      </c>
      <c r="D304" cm="1">
        <f t="array" ref="D304">INDEX('Linha 06'!$A$4:$A$1000,B304)</f>
        <v>20060016</v>
      </c>
      <c r="E304" t="str" cm="1">
        <f t="array" ref="E304">INDEX('Linha 06'!$B$4:$B$1000,B304)</f>
        <v>Limp Perf Aquafast Doce Romance Cx/12 X 1l</v>
      </c>
      <c r="F304" cm="1">
        <f t="array" ref="F304">INDEX('Linha 06'!$C$3:$ZZ$3,C304)</f>
        <v>20220020</v>
      </c>
      <c r="G304" t="str" cm="1">
        <f t="array" ref="G304">INDEX('Linha 06'!$C$2:$ZZ$2,C304)</f>
        <v>Intermed. Aromat. Rosas E Magnolias Cx C/ 12un 250ml</v>
      </c>
      <c r="H304" s="5" cm="1">
        <f t="array" ref="H304">INDEX('Linha 06'!$C$4:$ZZ$1000,B304,C304)</f>
        <v>0</v>
      </c>
    </row>
    <row r="305" spans="1:8" x14ac:dyDescent="0.25">
      <c r="A305">
        <v>303</v>
      </c>
      <c r="B305">
        <f t="shared" si="8"/>
        <v>8</v>
      </c>
      <c r="C305">
        <f t="shared" si="9"/>
        <v>37</v>
      </c>
      <c r="D305" cm="1">
        <f t="array" ref="D305">INDEX('Linha 06'!$A$4:$A$1000,B305)</f>
        <v>20060016</v>
      </c>
      <c r="E305" t="str" cm="1">
        <f t="array" ref="E305">INDEX('Linha 06'!$B$4:$B$1000,B305)</f>
        <v>Limp Perf Aquafast Doce Romance Cx/12 X 1l</v>
      </c>
      <c r="F305" cm="1">
        <f t="array" ref="F305">INDEX('Linha 06'!$C$3:$ZZ$3,C305)</f>
        <v>20220021</v>
      </c>
      <c r="G305" t="str" cm="1">
        <f t="array" ref="G305">INDEX('Linha 06'!$C$2:$ZZ$2,C305)</f>
        <v>Intermed. Aromat. Flores Exoticas Cx C/ 12un 250ml</v>
      </c>
      <c r="H305" s="5" cm="1">
        <f t="array" ref="H305">INDEX('Linha 06'!$C$4:$ZZ$1000,B305,C305)</f>
        <v>0</v>
      </c>
    </row>
    <row r="306" spans="1:8" x14ac:dyDescent="0.25">
      <c r="A306">
        <v>304</v>
      </c>
      <c r="B306">
        <f t="shared" si="8"/>
        <v>8</v>
      </c>
      <c r="C306">
        <f t="shared" si="9"/>
        <v>38</v>
      </c>
      <c r="D306" cm="1">
        <f t="array" ref="D306">INDEX('Linha 06'!$A$4:$A$1000,B306)</f>
        <v>20060016</v>
      </c>
      <c r="E306" t="str" cm="1">
        <f t="array" ref="E306">INDEX('Linha 06'!$B$4:$B$1000,B306)</f>
        <v>Limp Perf Aquafast Doce Romance Cx/12 X 1l</v>
      </c>
      <c r="F306" cm="1">
        <f t="array" ref="F306">INDEX('Linha 06'!$C$3:$ZZ$3,C306)</f>
        <v>20220022</v>
      </c>
      <c r="G306" t="str" cm="1">
        <f t="array" ref="G306">INDEX('Linha 06'!$C$2:$ZZ$2,C306)</f>
        <v>Intermed. Aromat. Cha Verde E Grapef Cx C/ 12un 250ml</v>
      </c>
      <c r="H306" s="5" cm="1">
        <f t="array" ref="H306">INDEX('Linha 06'!$C$4:$ZZ$1000,B306,C306)</f>
        <v>0</v>
      </c>
    </row>
    <row r="307" spans="1:8" x14ac:dyDescent="0.25">
      <c r="A307">
        <v>305</v>
      </c>
      <c r="B307">
        <f t="shared" si="8"/>
        <v>9</v>
      </c>
      <c r="C307">
        <f t="shared" si="9"/>
        <v>1</v>
      </c>
      <c r="D307" cm="1">
        <f t="array" ref="D307">INDEX('Linha 06'!$A$4:$A$1000,B307)</f>
        <v>20060027</v>
      </c>
      <c r="E307" t="str" cm="1">
        <f t="array" ref="E307">INDEX('Linha 06'!$B$4:$B$1000,B307)</f>
        <v>Limp Perf Aquafast Essencia Natural Cx/12 X 1l</v>
      </c>
      <c r="F307" cm="1">
        <f t="array" ref="F307">INDEX('Linha 06'!$C$3:$ZZ$3,C307)</f>
        <v>20060001</v>
      </c>
      <c r="G307" t="str" cm="1">
        <f t="array" ref="G307">INDEX('Linha 06'!$C$2:$ZZ$2,C307)</f>
        <v>Limp Perf Aquafast Magia Seducao Cx/12 X 500ml</v>
      </c>
      <c r="H307" s="5" cm="1">
        <f t="array" ref="H307">INDEX('Linha 06'!$C$4:$ZZ$1000,B307,C307)</f>
        <v>0</v>
      </c>
    </row>
    <row r="308" spans="1:8" x14ac:dyDescent="0.25">
      <c r="A308">
        <v>306</v>
      </c>
      <c r="B308">
        <f t="shared" si="8"/>
        <v>9</v>
      </c>
      <c r="C308">
        <f t="shared" si="9"/>
        <v>2</v>
      </c>
      <c r="D308" cm="1">
        <f t="array" ref="D308">INDEX('Linha 06'!$A$4:$A$1000,B308)</f>
        <v>20060027</v>
      </c>
      <c r="E308" t="str" cm="1">
        <f t="array" ref="E308">INDEX('Linha 06'!$B$4:$B$1000,B308)</f>
        <v>Limp Perf Aquafast Essencia Natural Cx/12 X 1l</v>
      </c>
      <c r="F308" cm="1">
        <f t="array" ref="F308">INDEX('Linha 06'!$C$3:$ZZ$3,C308)</f>
        <v>20060004</v>
      </c>
      <c r="G308" t="str" cm="1">
        <f t="array" ref="G308">INDEX('Linha 06'!$C$2:$ZZ$2,C308)</f>
        <v>Limp Perf Aquafast Magia Seducao Cx/12 X 1l</v>
      </c>
      <c r="H308" s="5" cm="1">
        <f t="array" ref="H308">INDEX('Linha 06'!$C$4:$ZZ$1000,B308,C308)</f>
        <v>0</v>
      </c>
    </row>
    <row r="309" spans="1:8" x14ac:dyDescent="0.25">
      <c r="A309">
        <v>307</v>
      </c>
      <c r="B309">
        <f t="shared" si="8"/>
        <v>9</v>
      </c>
      <c r="C309">
        <f t="shared" si="9"/>
        <v>3</v>
      </c>
      <c r="D309" cm="1">
        <f t="array" ref="D309">INDEX('Linha 06'!$A$4:$A$1000,B309)</f>
        <v>20060027</v>
      </c>
      <c r="E309" t="str" cm="1">
        <f t="array" ref="E309">INDEX('Linha 06'!$B$4:$B$1000,B309)</f>
        <v>Limp Perf Aquafast Essencia Natural Cx/12 X 1l</v>
      </c>
      <c r="F309" cm="1">
        <f t="array" ref="F309">INDEX('Linha 06'!$C$3:$ZZ$3,C309)</f>
        <v>20060010</v>
      </c>
      <c r="G309" t="str" cm="1">
        <f t="array" ref="G309">INDEX('Linha 06'!$C$2:$ZZ$2,C309)</f>
        <v>Limp Perf Aquafast Magia Da Infancia Cx/12 X 500ml</v>
      </c>
      <c r="H309" s="5" cm="1">
        <f t="array" ref="H309">INDEX('Linha 06'!$C$4:$ZZ$1000,B309,C309)</f>
        <v>0</v>
      </c>
    </row>
    <row r="310" spans="1:8" x14ac:dyDescent="0.25">
      <c r="A310">
        <v>308</v>
      </c>
      <c r="B310">
        <f t="shared" si="8"/>
        <v>9</v>
      </c>
      <c r="C310">
        <f t="shared" si="9"/>
        <v>4</v>
      </c>
      <c r="D310" cm="1">
        <f t="array" ref="D310">INDEX('Linha 06'!$A$4:$A$1000,B310)</f>
        <v>20060027</v>
      </c>
      <c r="E310" t="str" cm="1">
        <f t="array" ref="E310">INDEX('Linha 06'!$B$4:$B$1000,B310)</f>
        <v>Limp Perf Aquafast Essencia Natural Cx/12 X 1l</v>
      </c>
      <c r="F310" cm="1">
        <f t="array" ref="F310">INDEX('Linha 06'!$C$3:$ZZ$3,C310)</f>
        <v>20060011</v>
      </c>
      <c r="G310" t="str" cm="1">
        <f t="array" ref="G310">INDEX('Linha 06'!$C$2:$ZZ$2,C310)</f>
        <v>Limp Perf Aquafast Frescor Da Manha Cx/12 X 500ml</v>
      </c>
      <c r="H310" s="5" cm="1">
        <f t="array" ref="H310">INDEX('Linha 06'!$C$4:$ZZ$1000,B310,C310)</f>
        <v>0</v>
      </c>
    </row>
    <row r="311" spans="1:8" x14ac:dyDescent="0.25">
      <c r="A311">
        <v>309</v>
      </c>
      <c r="B311">
        <f t="shared" si="8"/>
        <v>9</v>
      </c>
      <c r="C311">
        <f t="shared" si="9"/>
        <v>5</v>
      </c>
      <c r="D311" cm="1">
        <f t="array" ref="D311">INDEX('Linha 06'!$A$4:$A$1000,B311)</f>
        <v>20060027</v>
      </c>
      <c r="E311" t="str" cm="1">
        <f t="array" ref="E311">INDEX('Linha 06'!$B$4:$B$1000,B311)</f>
        <v>Limp Perf Aquafast Essencia Natural Cx/12 X 1l</v>
      </c>
      <c r="F311" cm="1">
        <f t="array" ref="F311">INDEX('Linha 06'!$C$3:$ZZ$3,C311)</f>
        <v>20060012</v>
      </c>
      <c r="G311" t="str" cm="1">
        <f t="array" ref="G311">INDEX('Linha 06'!$C$2:$ZZ$2,C311)</f>
        <v>Limp Perf Aquafast Magia Da Infancia Cx/12 X 1l</v>
      </c>
      <c r="H311" s="5" cm="1">
        <f t="array" ref="H311">INDEX('Linha 06'!$C$4:$ZZ$1000,B311,C311)</f>
        <v>0</v>
      </c>
    </row>
    <row r="312" spans="1:8" x14ac:dyDescent="0.25">
      <c r="A312">
        <v>310</v>
      </c>
      <c r="B312">
        <f t="shared" si="8"/>
        <v>9</v>
      </c>
      <c r="C312">
        <f t="shared" si="9"/>
        <v>6</v>
      </c>
      <c r="D312" cm="1">
        <f t="array" ref="D312">INDEX('Linha 06'!$A$4:$A$1000,B312)</f>
        <v>20060027</v>
      </c>
      <c r="E312" t="str" cm="1">
        <f t="array" ref="E312">INDEX('Linha 06'!$B$4:$B$1000,B312)</f>
        <v>Limp Perf Aquafast Essencia Natural Cx/12 X 1l</v>
      </c>
      <c r="F312" cm="1">
        <f t="array" ref="F312">INDEX('Linha 06'!$C$3:$ZZ$3,C312)</f>
        <v>20060013</v>
      </c>
      <c r="G312" t="str" cm="1">
        <f t="array" ref="G312">INDEX('Linha 06'!$C$2:$ZZ$2,C312)</f>
        <v>Limp Perf Aquafast Frescor Da Manha Cx/12 X 1l</v>
      </c>
      <c r="H312" s="5" cm="1">
        <f t="array" ref="H312">INDEX('Linha 06'!$C$4:$ZZ$1000,B312,C312)</f>
        <v>0</v>
      </c>
    </row>
    <row r="313" spans="1:8" x14ac:dyDescent="0.25">
      <c r="A313">
        <v>311</v>
      </c>
      <c r="B313">
        <f t="shared" si="8"/>
        <v>9</v>
      </c>
      <c r="C313">
        <f t="shared" si="9"/>
        <v>7</v>
      </c>
      <c r="D313" cm="1">
        <f t="array" ref="D313">INDEX('Linha 06'!$A$4:$A$1000,B313)</f>
        <v>20060027</v>
      </c>
      <c r="E313" t="str" cm="1">
        <f t="array" ref="E313">INDEX('Linha 06'!$B$4:$B$1000,B313)</f>
        <v>Limp Perf Aquafast Essencia Natural Cx/12 X 1l</v>
      </c>
      <c r="F313" cm="1">
        <f t="array" ref="F313">INDEX('Linha 06'!$C$3:$ZZ$3,C313)</f>
        <v>20060015</v>
      </c>
      <c r="G313" t="str" cm="1">
        <f t="array" ref="G313">INDEX('Linha 06'!$C$2:$ZZ$2,C313)</f>
        <v>Limp Perf Aquafast Doce Romance Cx/12 X 500ml</v>
      </c>
      <c r="H313" s="5" cm="1">
        <f t="array" ref="H313">INDEX('Linha 06'!$C$4:$ZZ$1000,B313,C313)</f>
        <v>0</v>
      </c>
    </row>
    <row r="314" spans="1:8" x14ac:dyDescent="0.25">
      <c r="A314">
        <v>312</v>
      </c>
      <c r="B314">
        <f t="shared" si="8"/>
        <v>9</v>
      </c>
      <c r="C314">
        <f t="shared" si="9"/>
        <v>8</v>
      </c>
      <c r="D314" cm="1">
        <f t="array" ref="D314">INDEX('Linha 06'!$A$4:$A$1000,B314)</f>
        <v>20060027</v>
      </c>
      <c r="E314" t="str" cm="1">
        <f t="array" ref="E314">INDEX('Linha 06'!$B$4:$B$1000,B314)</f>
        <v>Limp Perf Aquafast Essencia Natural Cx/12 X 1l</v>
      </c>
      <c r="F314" cm="1">
        <f t="array" ref="F314">INDEX('Linha 06'!$C$3:$ZZ$3,C314)</f>
        <v>20060016</v>
      </c>
      <c r="G314" t="str" cm="1">
        <f t="array" ref="G314">INDEX('Linha 06'!$C$2:$ZZ$2,C314)</f>
        <v>Limp Perf Aquafast Doce Romance Cx/12 X 1l</v>
      </c>
      <c r="H314" s="5" cm="1">
        <f t="array" ref="H314">INDEX('Linha 06'!$C$4:$ZZ$1000,B314,C314)</f>
        <v>0</v>
      </c>
    </row>
    <row r="315" spans="1:8" x14ac:dyDescent="0.25">
      <c r="A315">
        <v>313</v>
      </c>
      <c r="B315">
        <f t="shared" si="8"/>
        <v>9</v>
      </c>
      <c r="C315">
        <f t="shared" si="9"/>
        <v>9</v>
      </c>
      <c r="D315" cm="1">
        <f t="array" ref="D315">INDEX('Linha 06'!$A$4:$A$1000,B315)</f>
        <v>20060027</v>
      </c>
      <c r="E315" t="str" cm="1">
        <f t="array" ref="E315">INDEX('Linha 06'!$B$4:$B$1000,B315)</f>
        <v>Limp Perf Aquafast Essencia Natural Cx/12 X 1l</v>
      </c>
      <c r="F315" cm="1">
        <f t="array" ref="F315">INDEX('Linha 06'!$C$3:$ZZ$3,C315)</f>
        <v>20060027</v>
      </c>
      <c r="G315" t="str" cm="1">
        <f t="array" ref="G315">INDEX('Linha 06'!$C$2:$ZZ$2,C315)</f>
        <v>Limp Perf Aquafast Essencia Natural Cx/12 X 1l</v>
      </c>
      <c r="H315" s="5" cm="1">
        <f t="array" ref="H315">INDEX('Linha 06'!$C$4:$ZZ$1000,B315,C315)</f>
        <v>0</v>
      </c>
    </row>
    <row r="316" spans="1:8" x14ac:dyDescent="0.25">
      <c r="A316">
        <v>314</v>
      </c>
      <c r="B316">
        <f t="shared" si="8"/>
        <v>9</v>
      </c>
      <c r="C316">
        <f t="shared" si="9"/>
        <v>10</v>
      </c>
      <c r="D316" cm="1">
        <f t="array" ref="D316">INDEX('Linha 06'!$A$4:$A$1000,B316)</f>
        <v>20060027</v>
      </c>
      <c r="E316" t="str" cm="1">
        <f t="array" ref="E316">INDEX('Linha 06'!$B$4:$B$1000,B316)</f>
        <v>Limp Perf Aquafast Essencia Natural Cx/12 X 1l</v>
      </c>
      <c r="F316" cm="1">
        <f t="array" ref="F316">INDEX('Linha 06'!$C$3:$ZZ$3,C316)</f>
        <v>20070001</v>
      </c>
      <c r="G316" t="str" cm="1">
        <f t="array" ref="G316">INDEX('Linha 06'!$C$2:$ZZ$2,C316)</f>
        <v>Limpa Vidros Aquafast Pulverizador Cx/12 X 500ml</v>
      </c>
      <c r="H316" s="5" cm="1">
        <f t="array" ref="H316">INDEX('Linha 06'!$C$4:$ZZ$1000,B316,C316)</f>
        <v>0</v>
      </c>
    </row>
    <row r="317" spans="1:8" x14ac:dyDescent="0.25">
      <c r="A317">
        <v>315</v>
      </c>
      <c r="B317">
        <f t="shared" si="8"/>
        <v>9</v>
      </c>
      <c r="C317">
        <f t="shared" si="9"/>
        <v>11</v>
      </c>
      <c r="D317" cm="1">
        <f t="array" ref="D317">INDEX('Linha 06'!$A$4:$A$1000,B317)</f>
        <v>20060027</v>
      </c>
      <c r="E317" t="str" cm="1">
        <f t="array" ref="E317">INDEX('Linha 06'!$B$4:$B$1000,B317)</f>
        <v>Limp Perf Aquafast Essencia Natural Cx/12 X 1l</v>
      </c>
      <c r="F317" cm="1">
        <f t="array" ref="F317">INDEX('Linha 06'!$C$3:$ZZ$3,C317)</f>
        <v>20070002</v>
      </c>
      <c r="G317" t="str" cm="1">
        <f t="array" ref="G317">INDEX('Linha 06'!$C$2:$ZZ$2,C317)</f>
        <v>Limpa Vidros Aquafast Recarga Cx/12 X 500ml</v>
      </c>
      <c r="H317" s="5" cm="1">
        <f t="array" ref="H317">INDEX('Linha 06'!$C$4:$ZZ$1000,B317,C317)</f>
        <v>0</v>
      </c>
    </row>
    <row r="318" spans="1:8" x14ac:dyDescent="0.25">
      <c r="A318">
        <v>316</v>
      </c>
      <c r="B318">
        <f t="shared" si="8"/>
        <v>9</v>
      </c>
      <c r="C318">
        <f t="shared" si="9"/>
        <v>12</v>
      </c>
      <c r="D318" cm="1">
        <f t="array" ref="D318">INDEX('Linha 06'!$A$4:$A$1000,B318)</f>
        <v>20060027</v>
      </c>
      <c r="E318" t="str" cm="1">
        <f t="array" ref="E318">INDEX('Linha 06'!$B$4:$B$1000,B318)</f>
        <v>Limp Perf Aquafast Essencia Natural Cx/12 X 1l</v>
      </c>
      <c r="F318" cm="1">
        <f t="array" ref="F318">INDEX('Linha 06'!$C$3:$ZZ$3,C318)</f>
        <v>20070006</v>
      </c>
      <c r="G318" t="str" cm="1">
        <f t="array" ref="G318">INDEX('Linha 06'!$C$2:$ZZ$2,C318)</f>
        <v>Limpa Vidros Ito Pulverizador Cx/12 X 500ml</v>
      </c>
      <c r="H318" s="5" cm="1">
        <f t="array" ref="H318">INDEX('Linha 06'!$C$4:$ZZ$1000,B318,C318)</f>
        <v>0</v>
      </c>
    </row>
    <row r="319" spans="1:8" x14ac:dyDescent="0.25">
      <c r="A319">
        <v>317</v>
      </c>
      <c r="B319">
        <f t="shared" si="8"/>
        <v>9</v>
      </c>
      <c r="C319">
        <f t="shared" si="9"/>
        <v>13</v>
      </c>
      <c r="D319" cm="1">
        <f t="array" ref="D319">INDEX('Linha 06'!$A$4:$A$1000,B319)</f>
        <v>20060027</v>
      </c>
      <c r="E319" t="str" cm="1">
        <f t="array" ref="E319">INDEX('Linha 06'!$B$4:$B$1000,B319)</f>
        <v>Limp Perf Aquafast Essencia Natural Cx/12 X 1l</v>
      </c>
      <c r="F319" cm="1">
        <f t="array" ref="F319">INDEX('Linha 06'!$C$3:$ZZ$3,C319)</f>
        <v>20070007</v>
      </c>
      <c r="G319" t="str" cm="1">
        <f t="array" ref="G319">INDEX('Linha 06'!$C$2:$ZZ$2,C319)</f>
        <v>Limpa Vidros Ito Recarga Cx/12 X 500ml</v>
      </c>
      <c r="H319" s="5" cm="1">
        <f t="array" ref="H319">INDEX('Linha 06'!$C$4:$ZZ$1000,B319,C319)</f>
        <v>0</v>
      </c>
    </row>
    <row r="320" spans="1:8" x14ac:dyDescent="0.25">
      <c r="A320">
        <v>318</v>
      </c>
      <c r="B320">
        <f t="shared" si="8"/>
        <v>9</v>
      </c>
      <c r="C320">
        <f t="shared" si="9"/>
        <v>14</v>
      </c>
      <c r="D320" cm="1">
        <f t="array" ref="D320">INDEX('Linha 06'!$A$4:$A$1000,B320)</f>
        <v>20060027</v>
      </c>
      <c r="E320" t="str" cm="1">
        <f t="array" ref="E320">INDEX('Linha 06'!$B$4:$B$1000,B320)</f>
        <v>Limp Perf Aquafast Essencia Natural Cx/12 X 1l</v>
      </c>
      <c r="F320" cm="1">
        <f t="array" ref="F320">INDEX('Linha 06'!$C$3:$ZZ$3,C320)</f>
        <v>20070008</v>
      </c>
      <c r="G320" t="str" cm="1">
        <f t="array" ref="G320">INDEX('Linha 06'!$C$2:$ZZ$2,C320)</f>
        <v>Limpa Vidros Aquafast Squeeze Cx/12 X 500ml</v>
      </c>
      <c r="H320" s="5" cm="1">
        <f t="array" ref="H320">INDEX('Linha 06'!$C$4:$ZZ$1000,B320,C320)</f>
        <v>0</v>
      </c>
    </row>
    <row r="321" spans="1:8" x14ac:dyDescent="0.25">
      <c r="A321">
        <v>319</v>
      </c>
      <c r="B321">
        <f t="shared" si="8"/>
        <v>9</v>
      </c>
      <c r="C321">
        <f t="shared" si="9"/>
        <v>15</v>
      </c>
      <c r="D321" cm="1">
        <f t="array" ref="D321">INDEX('Linha 06'!$A$4:$A$1000,B321)</f>
        <v>20060027</v>
      </c>
      <c r="E321" t="str" cm="1">
        <f t="array" ref="E321">INDEX('Linha 06'!$B$4:$B$1000,B321)</f>
        <v>Limp Perf Aquafast Essencia Natural Cx/12 X 1l</v>
      </c>
      <c r="F321" cm="1">
        <f t="array" ref="F321">INDEX('Linha 06'!$C$3:$ZZ$3,C321)</f>
        <v>20090001</v>
      </c>
      <c r="G321" t="str" cm="1">
        <f t="array" ref="G321">INDEX('Linha 06'!$C$2:$ZZ$2,C321)</f>
        <v>Desengordurante Aquafast Pulverizador Cx/12 X 500ml</v>
      </c>
      <c r="H321" s="5" cm="1">
        <f t="array" ref="H321">INDEX('Linha 06'!$C$4:$ZZ$1000,B321,C321)</f>
        <v>0</v>
      </c>
    </row>
    <row r="322" spans="1:8" x14ac:dyDescent="0.25">
      <c r="A322">
        <v>320</v>
      </c>
      <c r="B322">
        <f t="shared" si="8"/>
        <v>9</v>
      </c>
      <c r="C322">
        <f t="shared" si="9"/>
        <v>16</v>
      </c>
      <c r="D322" cm="1">
        <f t="array" ref="D322">INDEX('Linha 06'!$A$4:$A$1000,B322)</f>
        <v>20060027</v>
      </c>
      <c r="E322" t="str" cm="1">
        <f t="array" ref="E322">INDEX('Linha 06'!$B$4:$B$1000,B322)</f>
        <v>Limp Perf Aquafast Essencia Natural Cx/12 X 1l</v>
      </c>
      <c r="F322" cm="1">
        <f t="array" ref="F322">INDEX('Linha 06'!$C$3:$ZZ$3,C322)</f>
        <v>20090002</v>
      </c>
      <c r="G322" t="str" cm="1">
        <f t="array" ref="G322">INDEX('Linha 06'!$C$2:$ZZ$2,C322)</f>
        <v>Desengordurante Aquafast Recarga Cx/12 X 500ml</v>
      </c>
      <c r="H322" s="5" cm="1">
        <f t="array" ref="H322">INDEX('Linha 06'!$C$4:$ZZ$1000,B322,C322)</f>
        <v>0</v>
      </c>
    </row>
    <row r="323" spans="1:8" x14ac:dyDescent="0.25">
      <c r="A323">
        <v>321</v>
      </c>
      <c r="B323">
        <f t="shared" si="8"/>
        <v>9</v>
      </c>
      <c r="C323">
        <f t="shared" si="9"/>
        <v>17</v>
      </c>
      <c r="D323" cm="1">
        <f t="array" ref="D323">INDEX('Linha 06'!$A$4:$A$1000,B323)</f>
        <v>20060027</v>
      </c>
      <c r="E323" t="str" cm="1">
        <f t="array" ref="E323">INDEX('Linha 06'!$B$4:$B$1000,B323)</f>
        <v>Limp Perf Aquafast Essencia Natural Cx/12 X 1l</v>
      </c>
      <c r="F323" cm="1">
        <f t="array" ref="F323">INDEX('Linha 06'!$C$3:$ZZ$3,C323)</f>
        <v>20090004</v>
      </c>
      <c r="G323" t="str" cm="1">
        <f t="array" ref="G323">INDEX('Linha 06'!$C$2:$ZZ$2,C323)</f>
        <v>Desengordurante Aquafast Squeeze Cx C/12 X 500ml</v>
      </c>
      <c r="H323" s="5" cm="1">
        <f t="array" ref="H323">INDEX('Linha 06'!$C$4:$ZZ$1000,B323,C323)</f>
        <v>0</v>
      </c>
    </row>
    <row r="324" spans="1:8" x14ac:dyDescent="0.25">
      <c r="A324">
        <v>322</v>
      </c>
      <c r="B324">
        <f t="shared" ref="B324:B387" si="10">INT((A324-1)/$B$1)+1</f>
        <v>9</v>
      </c>
      <c r="C324">
        <f t="shared" ref="C324:C387" si="11">MOD(A324-1,$B$1)+1</f>
        <v>18</v>
      </c>
      <c r="D324" cm="1">
        <f t="array" ref="D324">INDEX('Linha 06'!$A$4:$A$1000,B324)</f>
        <v>20060027</v>
      </c>
      <c r="E324" t="str" cm="1">
        <f t="array" ref="E324">INDEX('Linha 06'!$B$4:$B$1000,B324)</f>
        <v>Limp Perf Aquafast Essencia Natural Cx/12 X 1l</v>
      </c>
      <c r="F324" cm="1">
        <f t="array" ref="F324">INDEX('Linha 06'!$C$3:$ZZ$3,C324)</f>
        <v>20090005</v>
      </c>
      <c r="G324" t="str" cm="1">
        <f t="array" ref="G324">INDEX('Linha 06'!$C$2:$ZZ$2,C324)</f>
        <v>Desengordurante Aquafast Squeeze Cx C/12 X 1l</v>
      </c>
      <c r="H324" s="5" cm="1">
        <f t="array" ref="H324">INDEX('Linha 06'!$C$4:$ZZ$1000,B324,C324)</f>
        <v>0</v>
      </c>
    </row>
    <row r="325" spans="1:8" x14ac:dyDescent="0.25">
      <c r="A325">
        <v>323</v>
      </c>
      <c r="B325">
        <f t="shared" si="10"/>
        <v>9</v>
      </c>
      <c r="C325">
        <f t="shared" si="11"/>
        <v>19</v>
      </c>
      <c r="D325" cm="1">
        <f t="array" ref="D325">INDEX('Linha 06'!$A$4:$A$1000,B325)</f>
        <v>20060027</v>
      </c>
      <c r="E325" t="str" cm="1">
        <f t="array" ref="E325">INDEX('Linha 06'!$B$4:$B$1000,B325)</f>
        <v>Limp Perf Aquafast Essencia Natural Cx/12 X 1l</v>
      </c>
      <c r="F325" cm="1">
        <f t="array" ref="F325">INDEX('Linha 06'!$C$3:$ZZ$3,C325)</f>
        <v>20090010</v>
      </c>
      <c r="G325" t="str" cm="1">
        <f t="array" ref="G325">INDEX('Linha 06'!$C$2:$ZZ$2,C325)</f>
        <v>Intermed Pack Desengord Squeeze Cx C/18 X 500ml</v>
      </c>
      <c r="H325" s="5" cm="1">
        <f t="array" ref="H325">INDEX('Linha 06'!$C$4:$ZZ$1000,B325,C325)</f>
        <v>0</v>
      </c>
    </row>
    <row r="326" spans="1:8" x14ac:dyDescent="0.25">
      <c r="A326">
        <v>324</v>
      </c>
      <c r="B326">
        <f t="shared" si="10"/>
        <v>9</v>
      </c>
      <c r="C326">
        <f t="shared" si="11"/>
        <v>20</v>
      </c>
      <c r="D326" cm="1">
        <f t="array" ref="D326">INDEX('Linha 06'!$A$4:$A$1000,B326)</f>
        <v>20060027</v>
      </c>
      <c r="E326" t="str" cm="1">
        <f t="array" ref="E326">INDEX('Linha 06'!$B$4:$B$1000,B326)</f>
        <v>Limp Perf Aquafast Essencia Natural Cx/12 X 1l</v>
      </c>
      <c r="F326" cm="1">
        <f t="array" ref="F326">INDEX('Linha 06'!$C$3:$ZZ$3,C326)</f>
        <v>20110002</v>
      </c>
      <c r="G326" t="str" cm="1">
        <f t="array" ref="G326">INDEX('Linha 06'!$C$2:$ZZ$2,C326)</f>
        <v>Multi Uso Aquafast Squeeze Original Cx/12 X 500ml</v>
      </c>
      <c r="H326" s="5" cm="1">
        <f t="array" ref="H326">INDEX('Linha 06'!$C$4:$ZZ$1000,B326,C326)</f>
        <v>0</v>
      </c>
    </row>
    <row r="327" spans="1:8" x14ac:dyDescent="0.25">
      <c r="A327">
        <v>325</v>
      </c>
      <c r="B327">
        <f t="shared" si="10"/>
        <v>9</v>
      </c>
      <c r="C327">
        <f t="shared" si="11"/>
        <v>21</v>
      </c>
      <c r="D327" cm="1">
        <f t="array" ref="D327">INDEX('Linha 06'!$A$4:$A$1000,B327)</f>
        <v>20060027</v>
      </c>
      <c r="E327" t="str" cm="1">
        <f t="array" ref="E327">INDEX('Linha 06'!$B$4:$B$1000,B327)</f>
        <v>Limp Perf Aquafast Essencia Natural Cx/12 X 1l</v>
      </c>
      <c r="F327" cm="1">
        <f t="array" ref="F327">INDEX('Linha 06'!$C$3:$ZZ$3,C327)</f>
        <v>20110004</v>
      </c>
      <c r="G327" t="str" cm="1">
        <f t="array" ref="G327">INDEX('Linha 06'!$C$2:$ZZ$2,C327)</f>
        <v>Multi Uso Aquafast Squeeze Lavanda Cx/12 X 500ml</v>
      </c>
      <c r="H327" s="5" cm="1">
        <f t="array" ref="H327">INDEX('Linha 06'!$C$4:$ZZ$1000,B327,C327)</f>
        <v>0</v>
      </c>
    </row>
    <row r="328" spans="1:8" x14ac:dyDescent="0.25">
      <c r="A328">
        <v>326</v>
      </c>
      <c r="B328">
        <f t="shared" si="10"/>
        <v>9</v>
      </c>
      <c r="C328">
        <f t="shared" si="11"/>
        <v>22</v>
      </c>
      <c r="D328" cm="1">
        <f t="array" ref="D328">INDEX('Linha 06'!$A$4:$A$1000,B328)</f>
        <v>20060027</v>
      </c>
      <c r="E328" t="str" cm="1">
        <f t="array" ref="E328">INDEX('Linha 06'!$B$4:$B$1000,B328)</f>
        <v>Limp Perf Aquafast Essencia Natural Cx/12 X 1l</v>
      </c>
      <c r="F328" cm="1">
        <f t="array" ref="F328">INDEX('Linha 06'!$C$3:$ZZ$3,C328)</f>
        <v>20110007</v>
      </c>
      <c r="G328" t="str" cm="1">
        <f t="array" ref="G328">INDEX('Linha 06'!$C$2:$ZZ$2,C328)</f>
        <v>Multi Uso Aquafast Squeeze Seducao Cx/12 X 500ml</v>
      </c>
      <c r="H328" s="5" cm="1">
        <f t="array" ref="H328">INDEX('Linha 06'!$C$4:$ZZ$1000,B328,C328)</f>
        <v>0</v>
      </c>
    </row>
    <row r="329" spans="1:8" x14ac:dyDescent="0.25">
      <c r="A329">
        <v>327</v>
      </c>
      <c r="B329">
        <f t="shared" si="10"/>
        <v>9</v>
      </c>
      <c r="C329">
        <f t="shared" si="11"/>
        <v>23</v>
      </c>
      <c r="D329" cm="1">
        <f t="array" ref="D329">INDEX('Linha 06'!$A$4:$A$1000,B329)</f>
        <v>20060027</v>
      </c>
      <c r="E329" t="str" cm="1">
        <f t="array" ref="E329">INDEX('Linha 06'!$B$4:$B$1000,B329)</f>
        <v>Limp Perf Aquafast Essencia Natural Cx/12 X 1l</v>
      </c>
      <c r="F329" cm="1">
        <f t="array" ref="F329">INDEX('Linha 06'!$C$3:$ZZ$3,C329)</f>
        <v>20110008</v>
      </c>
      <c r="G329" t="str" cm="1">
        <f t="array" ref="G329">INDEX('Linha 06'!$C$2:$ZZ$2,C329)</f>
        <v>Multi Uso Aquafast Squeeze Original Cx/12 X 1l</v>
      </c>
      <c r="H329" s="5" cm="1">
        <f t="array" ref="H329">INDEX('Linha 06'!$C$4:$ZZ$1000,B329,C329)</f>
        <v>0</v>
      </c>
    </row>
    <row r="330" spans="1:8" x14ac:dyDescent="0.25">
      <c r="A330">
        <v>328</v>
      </c>
      <c r="B330">
        <f t="shared" si="10"/>
        <v>9</v>
      </c>
      <c r="C330">
        <f t="shared" si="11"/>
        <v>24</v>
      </c>
      <c r="D330" cm="1">
        <f t="array" ref="D330">INDEX('Linha 06'!$A$4:$A$1000,B330)</f>
        <v>20060027</v>
      </c>
      <c r="E330" t="str" cm="1">
        <f t="array" ref="E330">INDEX('Linha 06'!$B$4:$B$1000,B330)</f>
        <v>Limp Perf Aquafast Essencia Natural Cx/12 X 1l</v>
      </c>
      <c r="F330" cm="1">
        <f t="array" ref="F330">INDEX('Linha 06'!$C$3:$ZZ$3,C330)</f>
        <v>20110010</v>
      </c>
      <c r="G330" t="str" cm="1">
        <f t="array" ref="G330">INDEX('Linha 06'!$C$2:$ZZ$2,C330)</f>
        <v>Multi Uso Aquafast Squeeze Seducao Cx/12 1l</v>
      </c>
      <c r="H330" s="5" cm="1">
        <f t="array" ref="H330">INDEX('Linha 06'!$C$4:$ZZ$1000,B330,C330)</f>
        <v>0</v>
      </c>
    </row>
    <row r="331" spans="1:8" x14ac:dyDescent="0.25">
      <c r="A331">
        <v>329</v>
      </c>
      <c r="B331">
        <f t="shared" si="10"/>
        <v>9</v>
      </c>
      <c r="C331">
        <f t="shared" si="11"/>
        <v>25</v>
      </c>
      <c r="D331" cm="1">
        <f t="array" ref="D331">INDEX('Linha 06'!$A$4:$A$1000,B331)</f>
        <v>20060027</v>
      </c>
      <c r="E331" t="str" cm="1">
        <f t="array" ref="E331">INDEX('Linha 06'!$B$4:$B$1000,B331)</f>
        <v>Limp Perf Aquafast Essencia Natural Cx/12 X 1l</v>
      </c>
      <c r="F331" cm="1">
        <f t="array" ref="F331">INDEX('Linha 06'!$C$3:$ZZ$3,C331)</f>
        <v>20110013</v>
      </c>
      <c r="G331" t="str" cm="1">
        <f t="array" ref="G331">INDEX('Linha 06'!$C$2:$ZZ$2,C331)</f>
        <v>Multi Uso Aquafast Squeeze Lavanda Cx/12 X 1l</v>
      </c>
      <c r="H331" s="5" cm="1">
        <f t="array" ref="H331">INDEX('Linha 06'!$C$4:$ZZ$1000,B331,C331)</f>
        <v>0</v>
      </c>
    </row>
    <row r="332" spans="1:8" x14ac:dyDescent="0.25">
      <c r="A332">
        <v>330</v>
      </c>
      <c r="B332">
        <f t="shared" si="10"/>
        <v>9</v>
      </c>
      <c r="C332">
        <f t="shared" si="11"/>
        <v>26</v>
      </c>
      <c r="D332" cm="1">
        <f t="array" ref="D332">INDEX('Linha 06'!$A$4:$A$1000,B332)</f>
        <v>20060027</v>
      </c>
      <c r="E332" t="str" cm="1">
        <f t="array" ref="E332">INDEX('Linha 06'!$B$4:$B$1000,B332)</f>
        <v>Limp Perf Aquafast Essencia Natural Cx/12 X 1l</v>
      </c>
      <c r="F332" cm="1">
        <f t="array" ref="F332">INDEX('Linha 06'!$C$3:$ZZ$3,C332)</f>
        <v>20110022</v>
      </c>
      <c r="G332" t="str" cm="1">
        <f t="array" ref="G332">INDEX('Linha 06'!$C$2:$ZZ$2,C332)</f>
        <v>Intermed Pack Multi Uso Lavand C/Alcool Cx/18 X 500ml</v>
      </c>
      <c r="H332" s="5" cm="1">
        <f t="array" ref="H332">INDEX('Linha 06'!$C$4:$ZZ$1000,B332,C332)</f>
        <v>0</v>
      </c>
    </row>
    <row r="333" spans="1:8" x14ac:dyDescent="0.25">
      <c r="A333">
        <v>331</v>
      </c>
      <c r="B333">
        <f t="shared" si="10"/>
        <v>9</v>
      </c>
      <c r="C333">
        <f t="shared" si="11"/>
        <v>27</v>
      </c>
      <c r="D333" cm="1">
        <f t="array" ref="D333">INDEX('Linha 06'!$A$4:$A$1000,B333)</f>
        <v>20060027</v>
      </c>
      <c r="E333" t="str" cm="1">
        <f t="array" ref="E333">INDEX('Linha 06'!$B$4:$B$1000,B333)</f>
        <v>Limp Perf Aquafast Essencia Natural Cx/12 X 1l</v>
      </c>
      <c r="F333" cm="1">
        <f t="array" ref="F333">INDEX('Linha 06'!$C$3:$ZZ$3,C333)</f>
        <v>20110023</v>
      </c>
      <c r="G333" t="str" cm="1">
        <f t="array" ref="G333">INDEX('Linha 06'!$C$2:$ZZ$2,C333)</f>
        <v>Multi Uso Aquafast Squeeze Cha Branco  Cx/12 X 500ml</v>
      </c>
      <c r="H333" s="5" cm="1">
        <f t="array" ref="H333">INDEX('Linha 06'!$C$4:$ZZ$1000,B333,C333)</f>
        <v>0</v>
      </c>
    </row>
    <row r="334" spans="1:8" x14ac:dyDescent="0.25">
      <c r="A334">
        <v>332</v>
      </c>
      <c r="B334">
        <f t="shared" si="10"/>
        <v>9</v>
      </c>
      <c r="C334">
        <f t="shared" si="11"/>
        <v>28</v>
      </c>
      <c r="D334" cm="1">
        <f t="array" ref="D334">INDEX('Linha 06'!$A$4:$A$1000,B334)</f>
        <v>20060027</v>
      </c>
      <c r="E334" t="str" cm="1">
        <f t="array" ref="E334">INDEX('Linha 06'!$B$4:$B$1000,B334)</f>
        <v>Limp Perf Aquafast Essencia Natural Cx/12 X 1l</v>
      </c>
      <c r="F334" cm="1">
        <f t="array" ref="F334">INDEX('Linha 06'!$C$3:$ZZ$3,C334)</f>
        <v>20110024</v>
      </c>
      <c r="G334" t="str" cm="1">
        <f t="array" ref="G334">INDEX('Linha 06'!$C$2:$ZZ$2,C334)</f>
        <v>Multi Uso Aquafast Squeeze Cha Branco Cx12 X 1l</v>
      </c>
      <c r="H334" s="5" cm="1">
        <f t="array" ref="H334">INDEX('Linha 06'!$C$4:$ZZ$1000,B334,C334)</f>
        <v>0</v>
      </c>
    </row>
    <row r="335" spans="1:8" x14ac:dyDescent="0.25">
      <c r="A335">
        <v>333</v>
      </c>
      <c r="B335">
        <f t="shared" si="10"/>
        <v>9</v>
      </c>
      <c r="C335">
        <f t="shared" si="11"/>
        <v>29</v>
      </c>
      <c r="D335" cm="1">
        <f t="array" ref="D335">INDEX('Linha 06'!$A$4:$A$1000,B335)</f>
        <v>20060027</v>
      </c>
      <c r="E335" t="str" cm="1">
        <f t="array" ref="E335">INDEX('Linha 06'!$B$4:$B$1000,B335)</f>
        <v>Limp Perf Aquafast Essencia Natural Cx/12 X 1l</v>
      </c>
      <c r="F335" cm="1">
        <f t="array" ref="F335">INDEX('Linha 06'!$C$3:$ZZ$3,C335)</f>
        <v>20110025</v>
      </c>
      <c r="G335" t="str" cm="1">
        <f t="array" ref="G335">INDEX('Linha 06'!$C$2:$ZZ$2,C335)</f>
        <v>Multi Uso Aquafast Pulverizador Original Cx/12 X 1l</v>
      </c>
      <c r="H335" s="5" cm="1">
        <f t="array" ref="H335">INDEX('Linha 06'!$C$4:$ZZ$1000,B335,C335)</f>
        <v>0</v>
      </c>
    </row>
    <row r="336" spans="1:8" x14ac:dyDescent="0.25">
      <c r="A336">
        <v>334</v>
      </c>
      <c r="B336">
        <f t="shared" si="10"/>
        <v>9</v>
      </c>
      <c r="C336">
        <f t="shared" si="11"/>
        <v>30</v>
      </c>
      <c r="D336" cm="1">
        <f t="array" ref="D336">INDEX('Linha 06'!$A$4:$A$1000,B336)</f>
        <v>20060027</v>
      </c>
      <c r="E336" t="str" cm="1">
        <f t="array" ref="E336">INDEX('Linha 06'!$B$4:$B$1000,B336)</f>
        <v>Limp Perf Aquafast Essencia Natural Cx/12 X 1l</v>
      </c>
      <c r="F336" cm="1">
        <f t="array" ref="F336">INDEX('Linha 06'!$C$3:$ZZ$3,C336)</f>
        <v>20110026</v>
      </c>
      <c r="G336" t="str" cm="1">
        <f t="array" ref="G336">INDEX('Linha 06'!$C$2:$ZZ$2,C336)</f>
        <v>Multi Uso Aquafast Pulverizador Poder O2 Cx/12 X 1l</v>
      </c>
      <c r="H336" s="5" cm="1">
        <f t="array" ref="H336">INDEX('Linha 06'!$C$4:$ZZ$1000,B336,C336)</f>
        <v>0</v>
      </c>
    </row>
    <row r="337" spans="1:8" x14ac:dyDescent="0.25">
      <c r="A337">
        <v>335</v>
      </c>
      <c r="B337">
        <f t="shared" si="10"/>
        <v>9</v>
      </c>
      <c r="C337">
        <f t="shared" si="11"/>
        <v>31</v>
      </c>
      <c r="D337" cm="1">
        <f t="array" ref="D337">INDEX('Linha 06'!$A$4:$A$1000,B337)</f>
        <v>20060027</v>
      </c>
      <c r="E337" t="str" cm="1">
        <f t="array" ref="E337">INDEX('Linha 06'!$B$4:$B$1000,B337)</f>
        <v>Limp Perf Aquafast Essencia Natural Cx/12 X 1l</v>
      </c>
      <c r="F337" cm="1">
        <f t="array" ref="F337">INDEX('Linha 06'!$C$3:$ZZ$3,C337)</f>
        <v>20110027</v>
      </c>
      <c r="G337" t="str" cm="1">
        <f t="array" ref="G337">INDEX('Linha 06'!$C$2:$ZZ$2,C337)</f>
        <v>Multi Uso Aquafast Pulverizador Poder O2 Cx/12 X 500ml</v>
      </c>
      <c r="H337" s="5" cm="1">
        <f t="array" ref="H337">INDEX('Linha 06'!$C$4:$ZZ$1000,B337,C337)</f>
        <v>0</v>
      </c>
    </row>
    <row r="338" spans="1:8" x14ac:dyDescent="0.25">
      <c r="A338">
        <v>336</v>
      </c>
      <c r="B338">
        <f t="shared" si="10"/>
        <v>9</v>
      </c>
      <c r="C338">
        <f t="shared" si="11"/>
        <v>32</v>
      </c>
      <c r="D338" cm="1">
        <f t="array" ref="D338">INDEX('Linha 06'!$A$4:$A$1000,B338)</f>
        <v>20060027</v>
      </c>
      <c r="E338" t="str" cm="1">
        <f t="array" ref="E338">INDEX('Linha 06'!$B$4:$B$1000,B338)</f>
        <v>Limp Perf Aquafast Essencia Natural Cx/12 X 1l</v>
      </c>
      <c r="F338" cm="1">
        <f t="array" ref="F338">INDEX('Linha 06'!$C$3:$ZZ$3,C338)</f>
        <v>20200073</v>
      </c>
      <c r="G338" t="str" cm="1">
        <f t="array" ref="G338">INDEX('Linha 06'!$C$2:$ZZ$2,C338)</f>
        <v>Lava Roupas Aquafast Lavagem Rapida Total Clean Cx/9 X 1,5l</v>
      </c>
      <c r="H338" s="5" cm="1">
        <f t="array" ref="H338">INDEX('Linha 06'!$C$4:$ZZ$1000,B338,C338)</f>
        <v>0</v>
      </c>
    </row>
    <row r="339" spans="1:8" x14ac:dyDescent="0.25">
      <c r="A339">
        <v>337</v>
      </c>
      <c r="B339">
        <f t="shared" si="10"/>
        <v>9</v>
      </c>
      <c r="C339">
        <f t="shared" si="11"/>
        <v>33</v>
      </c>
      <c r="D339" cm="1">
        <f t="array" ref="D339">INDEX('Linha 06'!$A$4:$A$1000,B339)</f>
        <v>20060027</v>
      </c>
      <c r="E339" t="str" cm="1">
        <f t="array" ref="E339">INDEX('Linha 06'!$B$4:$B$1000,B339)</f>
        <v>Limp Perf Aquafast Essencia Natural Cx/12 X 1l</v>
      </c>
      <c r="F339" cm="1">
        <f t="array" ref="F339">INDEX('Linha 06'!$C$3:$ZZ$3,C339)</f>
        <v>20200075</v>
      </c>
      <c r="G339" t="str" cm="1">
        <f t="array" ref="G339">INDEX('Linha 06'!$C$2:$ZZ$2,C339)</f>
        <v>Lava Roupas Aquafast Lavagem Rapida Fresh Clean Cx/9 X 1,5l</v>
      </c>
      <c r="H339" s="5" cm="1">
        <f t="array" ref="H339">INDEX('Linha 06'!$C$4:$ZZ$1000,B339,C339)</f>
        <v>0</v>
      </c>
    </row>
    <row r="340" spans="1:8" x14ac:dyDescent="0.25">
      <c r="A340">
        <v>338</v>
      </c>
      <c r="B340">
        <f t="shared" si="10"/>
        <v>9</v>
      </c>
      <c r="C340">
        <f t="shared" si="11"/>
        <v>34</v>
      </c>
      <c r="D340" cm="1">
        <f t="array" ref="D340">INDEX('Linha 06'!$A$4:$A$1000,B340)</f>
        <v>20060027</v>
      </c>
      <c r="E340" t="str" cm="1">
        <f t="array" ref="E340">INDEX('Linha 06'!$B$4:$B$1000,B340)</f>
        <v>Limp Perf Aquafast Essencia Natural Cx/12 X 1l</v>
      </c>
      <c r="F340" cm="1">
        <f t="array" ref="F340">INDEX('Linha 06'!$C$3:$ZZ$3,C340)</f>
        <v>20220018</v>
      </c>
      <c r="G340" t="str" cm="1">
        <f t="array" ref="G340">INDEX('Linha 06'!$C$2:$ZZ$2,C340)</f>
        <v>Intermed. Aromat. Amoras E Baunilha Cx C/ 12un 250ml</v>
      </c>
      <c r="H340" s="5" cm="1">
        <f t="array" ref="H340">INDEX('Linha 06'!$C$4:$ZZ$1000,B340,C340)</f>
        <v>0</v>
      </c>
    </row>
    <row r="341" spans="1:8" x14ac:dyDescent="0.25">
      <c r="A341">
        <v>339</v>
      </c>
      <c r="B341">
        <f t="shared" si="10"/>
        <v>9</v>
      </c>
      <c r="C341">
        <f t="shared" si="11"/>
        <v>35</v>
      </c>
      <c r="D341" cm="1">
        <f t="array" ref="D341">INDEX('Linha 06'!$A$4:$A$1000,B341)</f>
        <v>20060027</v>
      </c>
      <c r="E341" t="str" cm="1">
        <f t="array" ref="E341">INDEX('Linha 06'!$B$4:$B$1000,B341)</f>
        <v>Limp Perf Aquafast Essencia Natural Cx/12 X 1l</v>
      </c>
      <c r="F341" cm="1">
        <f t="array" ref="F341">INDEX('Linha 06'!$C$3:$ZZ$3,C341)</f>
        <v>20220019</v>
      </c>
      <c r="G341" t="str" cm="1">
        <f t="array" ref="G341">INDEX('Linha 06'!$C$2:$ZZ$2,C341)</f>
        <v>Intermed. Aromat. Figo E Cedro Cx C/ 12un 250ml</v>
      </c>
      <c r="H341" s="5" cm="1">
        <f t="array" ref="H341">INDEX('Linha 06'!$C$4:$ZZ$1000,B341,C341)</f>
        <v>0</v>
      </c>
    </row>
    <row r="342" spans="1:8" x14ac:dyDescent="0.25">
      <c r="A342">
        <v>340</v>
      </c>
      <c r="B342">
        <f t="shared" si="10"/>
        <v>9</v>
      </c>
      <c r="C342">
        <f t="shared" si="11"/>
        <v>36</v>
      </c>
      <c r="D342" cm="1">
        <f t="array" ref="D342">INDEX('Linha 06'!$A$4:$A$1000,B342)</f>
        <v>20060027</v>
      </c>
      <c r="E342" t="str" cm="1">
        <f t="array" ref="E342">INDEX('Linha 06'!$B$4:$B$1000,B342)</f>
        <v>Limp Perf Aquafast Essencia Natural Cx/12 X 1l</v>
      </c>
      <c r="F342" cm="1">
        <f t="array" ref="F342">INDEX('Linha 06'!$C$3:$ZZ$3,C342)</f>
        <v>20220020</v>
      </c>
      <c r="G342" t="str" cm="1">
        <f t="array" ref="G342">INDEX('Linha 06'!$C$2:$ZZ$2,C342)</f>
        <v>Intermed. Aromat. Rosas E Magnolias Cx C/ 12un 250ml</v>
      </c>
      <c r="H342" s="5" cm="1">
        <f t="array" ref="H342">INDEX('Linha 06'!$C$4:$ZZ$1000,B342,C342)</f>
        <v>0</v>
      </c>
    </row>
    <row r="343" spans="1:8" x14ac:dyDescent="0.25">
      <c r="A343">
        <v>341</v>
      </c>
      <c r="B343">
        <f t="shared" si="10"/>
        <v>9</v>
      </c>
      <c r="C343">
        <f t="shared" si="11"/>
        <v>37</v>
      </c>
      <c r="D343" cm="1">
        <f t="array" ref="D343">INDEX('Linha 06'!$A$4:$A$1000,B343)</f>
        <v>20060027</v>
      </c>
      <c r="E343" t="str" cm="1">
        <f t="array" ref="E343">INDEX('Linha 06'!$B$4:$B$1000,B343)</f>
        <v>Limp Perf Aquafast Essencia Natural Cx/12 X 1l</v>
      </c>
      <c r="F343" cm="1">
        <f t="array" ref="F343">INDEX('Linha 06'!$C$3:$ZZ$3,C343)</f>
        <v>20220021</v>
      </c>
      <c r="G343" t="str" cm="1">
        <f t="array" ref="G343">INDEX('Linha 06'!$C$2:$ZZ$2,C343)</f>
        <v>Intermed. Aromat. Flores Exoticas Cx C/ 12un 250ml</v>
      </c>
      <c r="H343" s="5" cm="1">
        <f t="array" ref="H343">INDEX('Linha 06'!$C$4:$ZZ$1000,B343,C343)</f>
        <v>0</v>
      </c>
    </row>
    <row r="344" spans="1:8" x14ac:dyDescent="0.25">
      <c r="A344">
        <v>342</v>
      </c>
      <c r="B344">
        <f t="shared" si="10"/>
        <v>9</v>
      </c>
      <c r="C344">
        <f t="shared" si="11"/>
        <v>38</v>
      </c>
      <c r="D344" cm="1">
        <f t="array" ref="D344">INDEX('Linha 06'!$A$4:$A$1000,B344)</f>
        <v>20060027</v>
      </c>
      <c r="E344" t="str" cm="1">
        <f t="array" ref="E344">INDEX('Linha 06'!$B$4:$B$1000,B344)</f>
        <v>Limp Perf Aquafast Essencia Natural Cx/12 X 1l</v>
      </c>
      <c r="F344" cm="1">
        <f t="array" ref="F344">INDEX('Linha 06'!$C$3:$ZZ$3,C344)</f>
        <v>20220022</v>
      </c>
      <c r="G344" t="str" cm="1">
        <f t="array" ref="G344">INDEX('Linha 06'!$C$2:$ZZ$2,C344)</f>
        <v>Intermed. Aromat. Cha Verde E Grapef Cx C/ 12un 250ml</v>
      </c>
      <c r="H344" s="5" cm="1">
        <f t="array" ref="H344">INDEX('Linha 06'!$C$4:$ZZ$1000,B344,C344)</f>
        <v>0</v>
      </c>
    </row>
    <row r="345" spans="1:8" x14ac:dyDescent="0.25">
      <c r="A345">
        <v>343</v>
      </c>
      <c r="B345">
        <f t="shared" si="10"/>
        <v>10</v>
      </c>
      <c r="C345">
        <f t="shared" si="11"/>
        <v>1</v>
      </c>
      <c r="D345" cm="1">
        <f t="array" ref="D345">INDEX('Linha 06'!$A$4:$A$1000,B345)</f>
        <v>20070001</v>
      </c>
      <c r="E345" t="str" cm="1">
        <f t="array" ref="E345">INDEX('Linha 06'!$B$4:$B$1000,B345)</f>
        <v>Limpa Vidros Aquafast Pulverizador Cx/12 X 500ml</v>
      </c>
      <c r="F345" cm="1">
        <f t="array" ref="F345">INDEX('Linha 06'!$C$3:$ZZ$3,C345)</f>
        <v>20060001</v>
      </c>
      <c r="G345" t="str" cm="1">
        <f t="array" ref="G345">INDEX('Linha 06'!$C$2:$ZZ$2,C345)</f>
        <v>Limp Perf Aquafast Magia Seducao Cx/12 X 500ml</v>
      </c>
      <c r="H345" s="5" cm="1">
        <f t="array" ref="H345">INDEX('Linha 06'!$C$4:$ZZ$1000,B345,C345)</f>
        <v>0</v>
      </c>
    </row>
    <row r="346" spans="1:8" x14ac:dyDescent="0.25">
      <c r="A346">
        <v>344</v>
      </c>
      <c r="B346">
        <f t="shared" si="10"/>
        <v>10</v>
      </c>
      <c r="C346">
        <f t="shared" si="11"/>
        <v>2</v>
      </c>
      <c r="D346" cm="1">
        <f t="array" ref="D346">INDEX('Linha 06'!$A$4:$A$1000,B346)</f>
        <v>20070001</v>
      </c>
      <c r="E346" t="str" cm="1">
        <f t="array" ref="E346">INDEX('Linha 06'!$B$4:$B$1000,B346)</f>
        <v>Limpa Vidros Aquafast Pulverizador Cx/12 X 500ml</v>
      </c>
      <c r="F346" cm="1">
        <f t="array" ref="F346">INDEX('Linha 06'!$C$3:$ZZ$3,C346)</f>
        <v>20060004</v>
      </c>
      <c r="G346" t="str" cm="1">
        <f t="array" ref="G346">INDEX('Linha 06'!$C$2:$ZZ$2,C346)</f>
        <v>Limp Perf Aquafast Magia Seducao Cx/12 X 1l</v>
      </c>
      <c r="H346" s="5" cm="1">
        <f t="array" ref="H346">INDEX('Linha 06'!$C$4:$ZZ$1000,B346,C346)</f>
        <v>0</v>
      </c>
    </row>
    <row r="347" spans="1:8" x14ac:dyDescent="0.25">
      <c r="A347">
        <v>345</v>
      </c>
      <c r="B347">
        <f t="shared" si="10"/>
        <v>10</v>
      </c>
      <c r="C347">
        <f t="shared" si="11"/>
        <v>3</v>
      </c>
      <c r="D347" cm="1">
        <f t="array" ref="D347">INDEX('Linha 06'!$A$4:$A$1000,B347)</f>
        <v>20070001</v>
      </c>
      <c r="E347" t="str" cm="1">
        <f t="array" ref="E347">INDEX('Linha 06'!$B$4:$B$1000,B347)</f>
        <v>Limpa Vidros Aquafast Pulverizador Cx/12 X 500ml</v>
      </c>
      <c r="F347" cm="1">
        <f t="array" ref="F347">INDEX('Linha 06'!$C$3:$ZZ$3,C347)</f>
        <v>20060010</v>
      </c>
      <c r="G347" t="str" cm="1">
        <f t="array" ref="G347">INDEX('Linha 06'!$C$2:$ZZ$2,C347)</f>
        <v>Limp Perf Aquafast Magia Da Infancia Cx/12 X 500ml</v>
      </c>
      <c r="H347" s="5" cm="1">
        <f t="array" ref="H347">INDEX('Linha 06'!$C$4:$ZZ$1000,B347,C347)</f>
        <v>0</v>
      </c>
    </row>
    <row r="348" spans="1:8" x14ac:dyDescent="0.25">
      <c r="A348">
        <v>346</v>
      </c>
      <c r="B348">
        <f t="shared" si="10"/>
        <v>10</v>
      </c>
      <c r="C348">
        <f t="shared" si="11"/>
        <v>4</v>
      </c>
      <c r="D348" cm="1">
        <f t="array" ref="D348">INDEX('Linha 06'!$A$4:$A$1000,B348)</f>
        <v>20070001</v>
      </c>
      <c r="E348" t="str" cm="1">
        <f t="array" ref="E348">INDEX('Linha 06'!$B$4:$B$1000,B348)</f>
        <v>Limpa Vidros Aquafast Pulverizador Cx/12 X 500ml</v>
      </c>
      <c r="F348" cm="1">
        <f t="array" ref="F348">INDEX('Linha 06'!$C$3:$ZZ$3,C348)</f>
        <v>20060011</v>
      </c>
      <c r="G348" t="str" cm="1">
        <f t="array" ref="G348">INDEX('Linha 06'!$C$2:$ZZ$2,C348)</f>
        <v>Limp Perf Aquafast Frescor Da Manha Cx/12 X 500ml</v>
      </c>
      <c r="H348" s="5" cm="1">
        <f t="array" ref="H348">INDEX('Linha 06'!$C$4:$ZZ$1000,B348,C348)</f>
        <v>0</v>
      </c>
    </row>
    <row r="349" spans="1:8" x14ac:dyDescent="0.25">
      <c r="A349">
        <v>347</v>
      </c>
      <c r="B349">
        <f t="shared" si="10"/>
        <v>10</v>
      </c>
      <c r="C349">
        <f t="shared" si="11"/>
        <v>5</v>
      </c>
      <c r="D349" cm="1">
        <f t="array" ref="D349">INDEX('Linha 06'!$A$4:$A$1000,B349)</f>
        <v>20070001</v>
      </c>
      <c r="E349" t="str" cm="1">
        <f t="array" ref="E349">INDEX('Linha 06'!$B$4:$B$1000,B349)</f>
        <v>Limpa Vidros Aquafast Pulverizador Cx/12 X 500ml</v>
      </c>
      <c r="F349" cm="1">
        <f t="array" ref="F349">INDEX('Linha 06'!$C$3:$ZZ$3,C349)</f>
        <v>20060012</v>
      </c>
      <c r="G349" t="str" cm="1">
        <f t="array" ref="G349">INDEX('Linha 06'!$C$2:$ZZ$2,C349)</f>
        <v>Limp Perf Aquafast Magia Da Infancia Cx/12 X 1l</v>
      </c>
      <c r="H349" s="5" cm="1">
        <f t="array" ref="H349">INDEX('Linha 06'!$C$4:$ZZ$1000,B349,C349)</f>
        <v>0</v>
      </c>
    </row>
    <row r="350" spans="1:8" x14ac:dyDescent="0.25">
      <c r="A350">
        <v>348</v>
      </c>
      <c r="B350">
        <f t="shared" si="10"/>
        <v>10</v>
      </c>
      <c r="C350">
        <f t="shared" si="11"/>
        <v>6</v>
      </c>
      <c r="D350" cm="1">
        <f t="array" ref="D350">INDEX('Linha 06'!$A$4:$A$1000,B350)</f>
        <v>20070001</v>
      </c>
      <c r="E350" t="str" cm="1">
        <f t="array" ref="E350">INDEX('Linha 06'!$B$4:$B$1000,B350)</f>
        <v>Limpa Vidros Aquafast Pulverizador Cx/12 X 500ml</v>
      </c>
      <c r="F350" cm="1">
        <f t="array" ref="F350">INDEX('Linha 06'!$C$3:$ZZ$3,C350)</f>
        <v>20060013</v>
      </c>
      <c r="G350" t="str" cm="1">
        <f t="array" ref="G350">INDEX('Linha 06'!$C$2:$ZZ$2,C350)</f>
        <v>Limp Perf Aquafast Frescor Da Manha Cx/12 X 1l</v>
      </c>
      <c r="H350" s="5" cm="1">
        <f t="array" ref="H350">INDEX('Linha 06'!$C$4:$ZZ$1000,B350,C350)</f>
        <v>0</v>
      </c>
    </row>
    <row r="351" spans="1:8" x14ac:dyDescent="0.25">
      <c r="A351">
        <v>349</v>
      </c>
      <c r="B351">
        <f t="shared" si="10"/>
        <v>10</v>
      </c>
      <c r="C351">
        <f t="shared" si="11"/>
        <v>7</v>
      </c>
      <c r="D351" cm="1">
        <f t="array" ref="D351">INDEX('Linha 06'!$A$4:$A$1000,B351)</f>
        <v>20070001</v>
      </c>
      <c r="E351" t="str" cm="1">
        <f t="array" ref="E351">INDEX('Linha 06'!$B$4:$B$1000,B351)</f>
        <v>Limpa Vidros Aquafast Pulverizador Cx/12 X 500ml</v>
      </c>
      <c r="F351" cm="1">
        <f t="array" ref="F351">INDEX('Linha 06'!$C$3:$ZZ$3,C351)</f>
        <v>20060015</v>
      </c>
      <c r="G351" t="str" cm="1">
        <f t="array" ref="G351">INDEX('Linha 06'!$C$2:$ZZ$2,C351)</f>
        <v>Limp Perf Aquafast Doce Romance Cx/12 X 500ml</v>
      </c>
      <c r="H351" s="5" cm="1">
        <f t="array" ref="H351">INDEX('Linha 06'!$C$4:$ZZ$1000,B351,C351)</f>
        <v>0</v>
      </c>
    </row>
    <row r="352" spans="1:8" x14ac:dyDescent="0.25">
      <c r="A352">
        <v>350</v>
      </c>
      <c r="B352">
        <f t="shared" si="10"/>
        <v>10</v>
      </c>
      <c r="C352">
        <f t="shared" si="11"/>
        <v>8</v>
      </c>
      <c r="D352" cm="1">
        <f t="array" ref="D352">INDEX('Linha 06'!$A$4:$A$1000,B352)</f>
        <v>20070001</v>
      </c>
      <c r="E352" t="str" cm="1">
        <f t="array" ref="E352">INDEX('Linha 06'!$B$4:$B$1000,B352)</f>
        <v>Limpa Vidros Aquafast Pulverizador Cx/12 X 500ml</v>
      </c>
      <c r="F352" cm="1">
        <f t="array" ref="F352">INDEX('Linha 06'!$C$3:$ZZ$3,C352)</f>
        <v>20060016</v>
      </c>
      <c r="G352" t="str" cm="1">
        <f t="array" ref="G352">INDEX('Linha 06'!$C$2:$ZZ$2,C352)</f>
        <v>Limp Perf Aquafast Doce Romance Cx/12 X 1l</v>
      </c>
      <c r="H352" s="5" cm="1">
        <f t="array" ref="H352">INDEX('Linha 06'!$C$4:$ZZ$1000,B352,C352)</f>
        <v>0</v>
      </c>
    </row>
    <row r="353" spans="1:8" x14ac:dyDescent="0.25">
      <c r="A353">
        <v>351</v>
      </c>
      <c r="B353">
        <f t="shared" si="10"/>
        <v>10</v>
      </c>
      <c r="C353">
        <f t="shared" si="11"/>
        <v>9</v>
      </c>
      <c r="D353" cm="1">
        <f t="array" ref="D353">INDEX('Linha 06'!$A$4:$A$1000,B353)</f>
        <v>20070001</v>
      </c>
      <c r="E353" t="str" cm="1">
        <f t="array" ref="E353">INDEX('Linha 06'!$B$4:$B$1000,B353)</f>
        <v>Limpa Vidros Aquafast Pulverizador Cx/12 X 500ml</v>
      </c>
      <c r="F353" cm="1">
        <f t="array" ref="F353">INDEX('Linha 06'!$C$3:$ZZ$3,C353)</f>
        <v>20060027</v>
      </c>
      <c r="G353" t="str" cm="1">
        <f t="array" ref="G353">INDEX('Linha 06'!$C$2:$ZZ$2,C353)</f>
        <v>Limp Perf Aquafast Essencia Natural Cx/12 X 1l</v>
      </c>
      <c r="H353" s="5" cm="1">
        <f t="array" ref="H353">INDEX('Linha 06'!$C$4:$ZZ$1000,B353,C353)</f>
        <v>0</v>
      </c>
    </row>
    <row r="354" spans="1:8" x14ac:dyDescent="0.25">
      <c r="A354">
        <v>352</v>
      </c>
      <c r="B354">
        <f t="shared" si="10"/>
        <v>10</v>
      </c>
      <c r="C354">
        <f t="shared" si="11"/>
        <v>10</v>
      </c>
      <c r="D354" cm="1">
        <f t="array" ref="D354">INDEX('Linha 06'!$A$4:$A$1000,B354)</f>
        <v>20070001</v>
      </c>
      <c r="E354" t="str" cm="1">
        <f t="array" ref="E354">INDEX('Linha 06'!$B$4:$B$1000,B354)</f>
        <v>Limpa Vidros Aquafast Pulverizador Cx/12 X 500ml</v>
      </c>
      <c r="F354" cm="1">
        <f t="array" ref="F354">INDEX('Linha 06'!$C$3:$ZZ$3,C354)</f>
        <v>20070001</v>
      </c>
      <c r="G354" t="str" cm="1">
        <f t="array" ref="G354">INDEX('Linha 06'!$C$2:$ZZ$2,C354)</f>
        <v>Limpa Vidros Aquafast Pulverizador Cx/12 X 500ml</v>
      </c>
      <c r="H354" s="5" cm="1">
        <f t="array" ref="H354">INDEX('Linha 06'!$C$4:$ZZ$1000,B354,C354)</f>
        <v>0</v>
      </c>
    </row>
    <row r="355" spans="1:8" x14ac:dyDescent="0.25">
      <c r="A355">
        <v>353</v>
      </c>
      <c r="B355">
        <f t="shared" si="10"/>
        <v>10</v>
      </c>
      <c r="C355">
        <f t="shared" si="11"/>
        <v>11</v>
      </c>
      <c r="D355" cm="1">
        <f t="array" ref="D355">INDEX('Linha 06'!$A$4:$A$1000,B355)</f>
        <v>20070001</v>
      </c>
      <c r="E355" t="str" cm="1">
        <f t="array" ref="E355">INDEX('Linha 06'!$B$4:$B$1000,B355)</f>
        <v>Limpa Vidros Aquafast Pulverizador Cx/12 X 500ml</v>
      </c>
      <c r="F355" cm="1">
        <f t="array" ref="F355">INDEX('Linha 06'!$C$3:$ZZ$3,C355)</f>
        <v>20070002</v>
      </c>
      <c r="G355" t="str" cm="1">
        <f t="array" ref="G355">INDEX('Linha 06'!$C$2:$ZZ$2,C355)</f>
        <v>Limpa Vidros Aquafast Recarga Cx/12 X 500ml</v>
      </c>
      <c r="H355" s="5" cm="1">
        <f t="array" ref="H355">INDEX('Linha 06'!$C$4:$ZZ$1000,B355,C355)</f>
        <v>0</v>
      </c>
    </row>
    <row r="356" spans="1:8" x14ac:dyDescent="0.25">
      <c r="A356">
        <v>354</v>
      </c>
      <c r="B356">
        <f t="shared" si="10"/>
        <v>10</v>
      </c>
      <c r="C356">
        <f t="shared" si="11"/>
        <v>12</v>
      </c>
      <c r="D356" cm="1">
        <f t="array" ref="D356">INDEX('Linha 06'!$A$4:$A$1000,B356)</f>
        <v>20070001</v>
      </c>
      <c r="E356" t="str" cm="1">
        <f t="array" ref="E356">INDEX('Linha 06'!$B$4:$B$1000,B356)</f>
        <v>Limpa Vidros Aquafast Pulverizador Cx/12 X 500ml</v>
      </c>
      <c r="F356" cm="1">
        <f t="array" ref="F356">INDEX('Linha 06'!$C$3:$ZZ$3,C356)</f>
        <v>20070006</v>
      </c>
      <c r="G356" t="str" cm="1">
        <f t="array" ref="G356">INDEX('Linha 06'!$C$2:$ZZ$2,C356)</f>
        <v>Limpa Vidros Ito Pulverizador Cx/12 X 500ml</v>
      </c>
      <c r="H356" s="5" cm="1">
        <f t="array" ref="H356">INDEX('Linha 06'!$C$4:$ZZ$1000,B356,C356)</f>
        <v>0</v>
      </c>
    </row>
    <row r="357" spans="1:8" x14ac:dyDescent="0.25">
      <c r="A357">
        <v>355</v>
      </c>
      <c r="B357">
        <f t="shared" si="10"/>
        <v>10</v>
      </c>
      <c r="C357">
        <f t="shared" si="11"/>
        <v>13</v>
      </c>
      <c r="D357" cm="1">
        <f t="array" ref="D357">INDEX('Linha 06'!$A$4:$A$1000,B357)</f>
        <v>20070001</v>
      </c>
      <c r="E357" t="str" cm="1">
        <f t="array" ref="E357">INDEX('Linha 06'!$B$4:$B$1000,B357)</f>
        <v>Limpa Vidros Aquafast Pulverizador Cx/12 X 500ml</v>
      </c>
      <c r="F357" cm="1">
        <f t="array" ref="F357">INDEX('Linha 06'!$C$3:$ZZ$3,C357)</f>
        <v>20070007</v>
      </c>
      <c r="G357" t="str" cm="1">
        <f t="array" ref="G357">INDEX('Linha 06'!$C$2:$ZZ$2,C357)</f>
        <v>Limpa Vidros Ito Recarga Cx/12 X 500ml</v>
      </c>
      <c r="H357" s="5" cm="1">
        <f t="array" ref="H357">INDEX('Linha 06'!$C$4:$ZZ$1000,B357,C357)</f>
        <v>0</v>
      </c>
    </row>
    <row r="358" spans="1:8" x14ac:dyDescent="0.25">
      <c r="A358">
        <v>356</v>
      </c>
      <c r="B358">
        <f t="shared" si="10"/>
        <v>10</v>
      </c>
      <c r="C358">
        <f t="shared" si="11"/>
        <v>14</v>
      </c>
      <c r="D358" cm="1">
        <f t="array" ref="D358">INDEX('Linha 06'!$A$4:$A$1000,B358)</f>
        <v>20070001</v>
      </c>
      <c r="E358" t="str" cm="1">
        <f t="array" ref="E358">INDEX('Linha 06'!$B$4:$B$1000,B358)</f>
        <v>Limpa Vidros Aquafast Pulverizador Cx/12 X 500ml</v>
      </c>
      <c r="F358" cm="1">
        <f t="array" ref="F358">INDEX('Linha 06'!$C$3:$ZZ$3,C358)</f>
        <v>20070008</v>
      </c>
      <c r="G358" t="str" cm="1">
        <f t="array" ref="G358">INDEX('Linha 06'!$C$2:$ZZ$2,C358)</f>
        <v>Limpa Vidros Aquafast Squeeze Cx/12 X 500ml</v>
      </c>
      <c r="H358" s="5" cm="1">
        <f t="array" ref="H358">INDEX('Linha 06'!$C$4:$ZZ$1000,B358,C358)</f>
        <v>0</v>
      </c>
    </row>
    <row r="359" spans="1:8" x14ac:dyDescent="0.25">
      <c r="A359">
        <v>357</v>
      </c>
      <c r="B359">
        <f t="shared" si="10"/>
        <v>10</v>
      </c>
      <c r="C359">
        <f t="shared" si="11"/>
        <v>15</v>
      </c>
      <c r="D359" cm="1">
        <f t="array" ref="D359">INDEX('Linha 06'!$A$4:$A$1000,B359)</f>
        <v>20070001</v>
      </c>
      <c r="E359" t="str" cm="1">
        <f t="array" ref="E359">INDEX('Linha 06'!$B$4:$B$1000,B359)</f>
        <v>Limpa Vidros Aquafast Pulverizador Cx/12 X 500ml</v>
      </c>
      <c r="F359" cm="1">
        <f t="array" ref="F359">INDEX('Linha 06'!$C$3:$ZZ$3,C359)</f>
        <v>20090001</v>
      </c>
      <c r="G359" t="str" cm="1">
        <f t="array" ref="G359">INDEX('Linha 06'!$C$2:$ZZ$2,C359)</f>
        <v>Desengordurante Aquafast Pulverizador Cx/12 X 500ml</v>
      </c>
      <c r="H359" s="5" cm="1">
        <f t="array" ref="H359">INDEX('Linha 06'!$C$4:$ZZ$1000,B359,C359)</f>
        <v>0</v>
      </c>
    </row>
    <row r="360" spans="1:8" x14ac:dyDescent="0.25">
      <c r="A360">
        <v>358</v>
      </c>
      <c r="B360">
        <f t="shared" si="10"/>
        <v>10</v>
      </c>
      <c r="C360">
        <f t="shared" si="11"/>
        <v>16</v>
      </c>
      <c r="D360" cm="1">
        <f t="array" ref="D360">INDEX('Linha 06'!$A$4:$A$1000,B360)</f>
        <v>20070001</v>
      </c>
      <c r="E360" t="str" cm="1">
        <f t="array" ref="E360">INDEX('Linha 06'!$B$4:$B$1000,B360)</f>
        <v>Limpa Vidros Aquafast Pulverizador Cx/12 X 500ml</v>
      </c>
      <c r="F360" cm="1">
        <f t="array" ref="F360">INDEX('Linha 06'!$C$3:$ZZ$3,C360)</f>
        <v>20090002</v>
      </c>
      <c r="G360" t="str" cm="1">
        <f t="array" ref="G360">INDEX('Linha 06'!$C$2:$ZZ$2,C360)</f>
        <v>Desengordurante Aquafast Recarga Cx/12 X 500ml</v>
      </c>
      <c r="H360" s="5" cm="1">
        <f t="array" ref="H360">INDEX('Linha 06'!$C$4:$ZZ$1000,B360,C360)</f>
        <v>0</v>
      </c>
    </row>
    <row r="361" spans="1:8" x14ac:dyDescent="0.25">
      <c r="A361">
        <v>359</v>
      </c>
      <c r="B361">
        <f t="shared" si="10"/>
        <v>10</v>
      </c>
      <c r="C361">
        <f t="shared" si="11"/>
        <v>17</v>
      </c>
      <c r="D361" cm="1">
        <f t="array" ref="D361">INDEX('Linha 06'!$A$4:$A$1000,B361)</f>
        <v>20070001</v>
      </c>
      <c r="E361" t="str" cm="1">
        <f t="array" ref="E361">INDEX('Linha 06'!$B$4:$B$1000,B361)</f>
        <v>Limpa Vidros Aquafast Pulverizador Cx/12 X 500ml</v>
      </c>
      <c r="F361" cm="1">
        <f t="array" ref="F361">INDEX('Linha 06'!$C$3:$ZZ$3,C361)</f>
        <v>20090004</v>
      </c>
      <c r="G361" t="str" cm="1">
        <f t="array" ref="G361">INDEX('Linha 06'!$C$2:$ZZ$2,C361)</f>
        <v>Desengordurante Aquafast Squeeze Cx C/12 X 500ml</v>
      </c>
      <c r="H361" s="5" cm="1">
        <f t="array" ref="H361">INDEX('Linha 06'!$C$4:$ZZ$1000,B361,C361)</f>
        <v>0</v>
      </c>
    </row>
    <row r="362" spans="1:8" x14ac:dyDescent="0.25">
      <c r="A362">
        <v>360</v>
      </c>
      <c r="B362">
        <f t="shared" si="10"/>
        <v>10</v>
      </c>
      <c r="C362">
        <f t="shared" si="11"/>
        <v>18</v>
      </c>
      <c r="D362" cm="1">
        <f t="array" ref="D362">INDEX('Linha 06'!$A$4:$A$1000,B362)</f>
        <v>20070001</v>
      </c>
      <c r="E362" t="str" cm="1">
        <f t="array" ref="E362">INDEX('Linha 06'!$B$4:$B$1000,B362)</f>
        <v>Limpa Vidros Aquafast Pulverizador Cx/12 X 500ml</v>
      </c>
      <c r="F362" cm="1">
        <f t="array" ref="F362">INDEX('Linha 06'!$C$3:$ZZ$3,C362)</f>
        <v>20090005</v>
      </c>
      <c r="G362" t="str" cm="1">
        <f t="array" ref="G362">INDEX('Linha 06'!$C$2:$ZZ$2,C362)</f>
        <v>Desengordurante Aquafast Squeeze Cx C/12 X 1l</v>
      </c>
      <c r="H362" s="5" cm="1">
        <f t="array" ref="H362">INDEX('Linha 06'!$C$4:$ZZ$1000,B362,C362)</f>
        <v>0</v>
      </c>
    </row>
    <row r="363" spans="1:8" x14ac:dyDescent="0.25">
      <c r="A363">
        <v>361</v>
      </c>
      <c r="B363">
        <f t="shared" si="10"/>
        <v>10</v>
      </c>
      <c r="C363">
        <f t="shared" si="11"/>
        <v>19</v>
      </c>
      <c r="D363" cm="1">
        <f t="array" ref="D363">INDEX('Linha 06'!$A$4:$A$1000,B363)</f>
        <v>20070001</v>
      </c>
      <c r="E363" t="str" cm="1">
        <f t="array" ref="E363">INDEX('Linha 06'!$B$4:$B$1000,B363)</f>
        <v>Limpa Vidros Aquafast Pulverizador Cx/12 X 500ml</v>
      </c>
      <c r="F363" cm="1">
        <f t="array" ref="F363">INDEX('Linha 06'!$C$3:$ZZ$3,C363)</f>
        <v>20090010</v>
      </c>
      <c r="G363" t="str" cm="1">
        <f t="array" ref="G363">INDEX('Linha 06'!$C$2:$ZZ$2,C363)</f>
        <v>Intermed Pack Desengord Squeeze Cx C/18 X 500ml</v>
      </c>
      <c r="H363" s="5" cm="1">
        <f t="array" ref="H363">INDEX('Linha 06'!$C$4:$ZZ$1000,B363,C363)</f>
        <v>0</v>
      </c>
    </row>
    <row r="364" spans="1:8" x14ac:dyDescent="0.25">
      <c r="A364">
        <v>362</v>
      </c>
      <c r="B364">
        <f t="shared" si="10"/>
        <v>10</v>
      </c>
      <c r="C364">
        <f t="shared" si="11"/>
        <v>20</v>
      </c>
      <c r="D364" cm="1">
        <f t="array" ref="D364">INDEX('Linha 06'!$A$4:$A$1000,B364)</f>
        <v>20070001</v>
      </c>
      <c r="E364" t="str" cm="1">
        <f t="array" ref="E364">INDEX('Linha 06'!$B$4:$B$1000,B364)</f>
        <v>Limpa Vidros Aquafast Pulverizador Cx/12 X 500ml</v>
      </c>
      <c r="F364" cm="1">
        <f t="array" ref="F364">INDEX('Linha 06'!$C$3:$ZZ$3,C364)</f>
        <v>20110002</v>
      </c>
      <c r="G364" t="str" cm="1">
        <f t="array" ref="G364">INDEX('Linha 06'!$C$2:$ZZ$2,C364)</f>
        <v>Multi Uso Aquafast Squeeze Original Cx/12 X 500ml</v>
      </c>
      <c r="H364" s="5" cm="1">
        <f t="array" ref="H364">INDEX('Linha 06'!$C$4:$ZZ$1000,B364,C364)</f>
        <v>0</v>
      </c>
    </row>
    <row r="365" spans="1:8" x14ac:dyDescent="0.25">
      <c r="A365">
        <v>363</v>
      </c>
      <c r="B365">
        <f t="shared" si="10"/>
        <v>10</v>
      </c>
      <c r="C365">
        <f t="shared" si="11"/>
        <v>21</v>
      </c>
      <c r="D365" cm="1">
        <f t="array" ref="D365">INDEX('Linha 06'!$A$4:$A$1000,B365)</f>
        <v>20070001</v>
      </c>
      <c r="E365" t="str" cm="1">
        <f t="array" ref="E365">INDEX('Linha 06'!$B$4:$B$1000,B365)</f>
        <v>Limpa Vidros Aquafast Pulverizador Cx/12 X 500ml</v>
      </c>
      <c r="F365" cm="1">
        <f t="array" ref="F365">INDEX('Linha 06'!$C$3:$ZZ$3,C365)</f>
        <v>20110004</v>
      </c>
      <c r="G365" t="str" cm="1">
        <f t="array" ref="G365">INDEX('Linha 06'!$C$2:$ZZ$2,C365)</f>
        <v>Multi Uso Aquafast Squeeze Lavanda Cx/12 X 500ml</v>
      </c>
      <c r="H365" s="5" cm="1">
        <f t="array" ref="H365">INDEX('Linha 06'!$C$4:$ZZ$1000,B365,C365)</f>
        <v>0</v>
      </c>
    </row>
    <row r="366" spans="1:8" x14ac:dyDescent="0.25">
      <c r="A366">
        <v>364</v>
      </c>
      <c r="B366">
        <f t="shared" si="10"/>
        <v>10</v>
      </c>
      <c r="C366">
        <f t="shared" si="11"/>
        <v>22</v>
      </c>
      <c r="D366" cm="1">
        <f t="array" ref="D366">INDEX('Linha 06'!$A$4:$A$1000,B366)</f>
        <v>20070001</v>
      </c>
      <c r="E366" t="str" cm="1">
        <f t="array" ref="E366">INDEX('Linha 06'!$B$4:$B$1000,B366)</f>
        <v>Limpa Vidros Aquafast Pulverizador Cx/12 X 500ml</v>
      </c>
      <c r="F366" cm="1">
        <f t="array" ref="F366">INDEX('Linha 06'!$C$3:$ZZ$3,C366)</f>
        <v>20110007</v>
      </c>
      <c r="G366" t="str" cm="1">
        <f t="array" ref="G366">INDEX('Linha 06'!$C$2:$ZZ$2,C366)</f>
        <v>Multi Uso Aquafast Squeeze Seducao Cx/12 X 500ml</v>
      </c>
      <c r="H366" s="5" cm="1">
        <f t="array" ref="H366">INDEX('Linha 06'!$C$4:$ZZ$1000,B366,C366)</f>
        <v>0</v>
      </c>
    </row>
    <row r="367" spans="1:8" x14ac:dyDescent="0.25">
      <c r="A367">
        <v>365</v>
      </c>
      <c r="B367">
        <f t="shared" si="10"/>
        <v>10</v>
      </c>
      <c r="C367">
        <f t="shared" si="11"/>
        <v>23</v>
      </c>
      <c r="D367" cm="1">
        <f t="array" ref="D367">INDEX('Linha 06'!$A$4:$A$1000,B367)</f>
        <v>20070001</v>
      </c>
      <c r="E367" t="str" cm="1">
        <f t="array" ref="E367">INDEX('Linha 06'!$B$4:$B$1000,B367)</f>
        <v>Limpa Vidros Aquafast Pulverizador Cx/12 X 500ml</v>
      </c>
      <c r="F367" cm="1">
        <f t="array" ref="F367">INDEX('Linha 06'!$C$3:$ZZ$3,C367)</f>
        <v>20110008</v>
      </c>
      <c r="G367" t="str" cm="1">
        <f t="array" ref="G367">INDEX('Linha 06'!$C$2:$ZZ$2,C367)</f>
        <v>Multi Uso Aquafast Squeeze Original Cx/12 X 1l</v>
      </c>
      <c r="H367" s="5" cm="1">
        <f t="array" ref="H367">INDEX('Linha 06'!$C$4:$ZZ$1000,B367,C367)</f>
        <v>0</v>
      </c>
    </row>
    <row r="368" spans="1:8" x14ac:dyDescent="0.25">
      <c r="A368">
        <v>366</v>
      </c>
      <c r="B368">
        <f t="shared" si="10"/>
        <v>10</v>
      </c>
      <c r="C368">
        <f t="shared" si="11"/>
        <v>24</v>
      </c>
      <c r="D368" cm="1">
        <f t="array" ref="D368">INDEX('Linha 06'!$A$4:$A$1000,B368)</f>
        <v>20070001</v>
      </c>
      <c r="E368" t="str" cm="1">
        <f t="array" ref="E368">INDEX('Linha 06'!$B$4:$B$1000,B368)</f>
        <v>Limpa Vidros Aquafast Pulverizador Cx/12 X 500ml</v>
      </c>
      <c r="F368" cm="1">
        <f t="array" ref="F368">INDEX('Linha 06'!$C$3:$ZZ$3,C368)</f>
        <v>20110010</v>
      </c>
      <c r="G368" t="str" cm="1">
        <f t="array" ref="G368">INDEX('Linha 06'!$C$2:$ZZ$2,C368)</f>
        <v>Multi Uso Aquafast Squeeze Seducao Cx/12 1l</v>
      </c>
      <c r="H368" s="5" cm="1">
        <f t="array" ref="H368">INDEX('Linha 06'!$C$4:$ZZ$1000,B368,C368)</f>
        <v>0</v>
      </c>
    </row>
    <row r="369" spans="1:8" x14ac:dyDescent="0.25">
      <c r="A369">
        <v>367</v>
      </c>
      <c r="B369">
        <f t="shared" si="10"/>
        <v>10</v>
      </c>
      <c r="C369">
        <f t="shared" si="11"/>
        <v>25</v>
      </c>
      <c r="D369" cm="1">
        <f t="array" ref="D369">INDEX('Linha 06'!$A$4:$A$1000,B369)</f>
        <v>20070001</v>
      </c>
      <c r="E369" t="str" cm="1">
        <f t="array" ref="E369">INDEX('Linha 06'!$B$4:$B$1000,B369)</f>
        <v>Limpa Vidros Aquafast Pulverizador Cx/12 X 500ml</v>
      </c>
      <c r="F369" cm="1">
        <f t="array" ref="F369">INDEX('Linha 06'!$C$3:$ZZ$3,C369)</f>
        <v>20110013</v>
      </c>
      <c r="G369" t="str" cm="1">
        <f t="array" ref="G369">INDEX('Linha 06'!$C$2:$ZZ$2,C369)</f>
        <v>Multi Uso Aquafast Squeeze Lavanda Cx/12 X 1l</v>
      </c>
      <c r="H369" s="5" cm="1">
        <f t="array" ref="H369">INDEX('Linha 06'!$C$4:$ZZ$1000,B369,C369)</f>
        <v>0</v>
      </c>
    </row>
    <row r="370" spans="1:8" x14ac:dyDescent="0.25">
      <c r="A370">
        <v>368</v>
      </c>
      <c r="B370">
        <f t="shared" si="10"/>
        <v>10</v>
      </c>
      <c r="C370">
        <f t="shared" si="11"/>
        <v>26</v>
      </c>
      <c r="D370" cm="1">
        <f t="array" ref="D370">INDEX('Linha 06'!$A$4:$A$1000,B370)</f>
        <v>20070001</v>
      </c>
      <c r="E370" t="str" cm="1">
        <f t="array" ref="E370">INDEX('Linha 06'!$B$4:$B$1000,B370)</f>
        <v>Limpa Vidros Aquafast Pulverizador Cx/12 X 500ml</v>
      </c>
      <c r="F370" cm="1">
        <f t="array" ref="F370">INDEX('Linha 06'!$C$3:$ZZ$3,C370)</f>
        <v>20110022</v>
      </c>
      <c r="G370" t="str" cm="1">
        <f t="array" ref="G370">INDEX('Linha 06'!$C$2:$ZZ$2,C370)</f>
        <v>Intermed Pack Multi Uso Lavand C/Alcool Cx/18 X 500ml</v>
      </c>
      <c r="H370" s="5" cm="1">
        <f t="array" ref="H370">INDEX('Linha 06'!$C$4:$ZZ$1000,B370,C370)</f>
        <v>0</v>
      </c>
    </row>
    <row r="371" spans="1:8" x14ac:dyDescent="0.25">
      <c r="A371">
        <v>369</v>
      </c>
      <c r="B371">
        <f t="shared" si="10"/>
        <v>10</v>
      </c>
      <c r="C371">
        <f t="shared" si="11"/>
        <v>27</v>
      </c>
      <c r="D371" cm="1">
        <f t="array" ref="D371">INDEX('Linha 06'!$A$4:$A$1000,B371)</f>
        <v>20070001</v>
      </c>
      <c r="E371" t="str" cm="1">
        <f t="array" ref="E371">INDEX('Linha 06'!$B$4:$B$1000,B371)</f>
        <v>Limpa Vidros Aquafast Pulverizador Cx/12 X 500ml</v>
      </c>
      <c r="F371" cm="1">
        <f t="array" ref="F371">INDEX('Linha 06'!$C$3:$ZZ$3,C371)</f>
        <v>20110023</v>
      </c>
      <c r="G371" t="str" cm="1">
        <f t="array" ref="G371">INDEX('Linha 06'!$C$2:$ZZ$2,C371)</f>
        <v>Multi Uso Aquafast Squeeze Cha Branco  Cx/12 X 500ml</v>
      </c>
      <c r="H371" s="5" cm="1">
        <f t="array" ref="H371">INDEX('Linha 06'!$C$4:$ZZ$1000,B371,C371)</f>
        <v>0</v>
      </c>
    </row>
    <row r="372" spans="1:8" x14ac:dyDescent="0.25">
      <c r="A372">
        <v>370</v>
      </c>
      <c r="B372">
        <f t="shared" si="10"/>
        <v>10</v>
      </c>
      <c r="C372">
        <f t="shared" si="11"/>
        <v>28</v>
      </c>
      <c r="D372" cm="1">
        <f t="array" ref="D372">INDEX('Linha 06'!$A$4:$A$1000,B372)</f>
        <v>20070001</v>
      </c>
      <c r="E372" t="str" cm="1">
        <f t="array" ref="E372">INDEX('Linha 06'!$B$4:$B$1000,B372)</f>
        <v>Limpa Vidros Aquafast Pulverizador Cx/12 X 500ml</v>
      </c>
      <c r="F372" cm="1">
        <f t="array" ref="F372">INDEX('Linha 06'!$C$3:$ZZ$3,C372)</f>
        <v>20110024</v>
      </c>
      <c r="G372" t="str" cm="1">
        <f t="array" ref="G372">INDEX('Linha 06'!$C$2:$ZZ$2,C372)</f>
        <v>Multi Uso Aquafast Squeeze Cha Branco Cx12 X 1l</v>
      </c>
      <c r="H372" s="5" cm="1">
        <f t="array" ref="H372">INDEX('Linha 06'!$C$4:$ZZ$1000,B372,C372)</f>
        <v>0</v>
      </c>
    </row>
    <row r="373" spans="1:8" x14ac:dyDescent="0.25">
      <c r="A373">
        <v>371</v>
      </c>
      <c r="B373">
        <f t="shared" si="10"/>
        <v>10</v>
      </c>
      <c r="C373">
        <f t="shared" si="11"/>
        <v>29</v>
      </c>
      <c r="D373" cm="1">
        <f t="array" ref="D373">INDEX('Linha 06'!$A$4:$A$1000,B373)</f>
        <v>20070001</v>
      </c>
      <c r="E373" t="str" cm="1">
        <f t="array" ref="E373">INDEX('Linha 06'!$B$4:$B$1000,B373)</f>
        <v>Limpa Vidros Aquafast Pulverizador Cx/12 X 500ml</v>
      </c>
      <c r="F373" cm="1">
        <f t="array" ref="F373">INDEX('Linha 06'!$C$3:$ZZ$3,C373)</f>
        <v>20110025</v>
      </c>
      <c r="G373" t="str" cm="1">
        <f t="array" ref="G373">INDEX('Linha 06'!$C$2:$ZZ$2,C373)</f>
        <v>Multi Uso Aquafast Pulverizador Original Cx/12 X 1l</v>
      </c>
      <c r="H373" s="5" cm="1">
        <f t="array" ref="H373">INDEX('Linha 06'!$C$4:$ZZ$1000,B373,C373)</f>
        <v>0</v>
      </c>
    </row>
    <row r="374" spans="1:8" x14ac:dyDescent="0.25">
      <c r="A374">
        <v>372</v>
      </c>
      <c r="B374">
        <f t="shared" si="10"/>
        <v>10</v>
      </c>
      <c r="C374">
        <f t="shared" si="11"/>
        <v>30</v>
      </c>
      <c r="D374" cm="1">
        <f t="array" ref="D374">INDEX('Linha 06'!$A$4:$A$1000,B374)</f>
        <v>20070001</v>
      </c>
      <c r="E374" t="str" cm="1">
        <f t="array" ref="E374">INDEX('Linha 06'!$B$4:$B$1000,B374)</f>
        <v>Limpa Vidros Aquafast Pulverizador Cx/12 X 500ml</v>
      </c>
      <c r="F374" cm="1">
        <f t="array" ref="F374">INDEX('Linha 06'!$C$3:$ZZ$3,C374)</f>
        <v>20110026</v>
      </c>
      <c r="G374" t="str" cm="1">
        <f t="array" ref="G374">INDEX('Linha 06'!$C$2:$ZZ$2,C374)</f>
        <v>Multi Uso Aquafast Pulverizador Poder O2 Cx/12 X 1l</v>
      </c>
      <c r="H374" s="5" cm="1">
        <f t="array" ref="H374">INDEX('Linha 06'!$C$4:$ZZ$1000,B374,C374)</f>
        <v>0</v>
      </c>
    </row>
    <row r="375" spans="1:8" x14ac:dyDescent="0.25">
      <c r="A375">
        <v>373</v>
      </c>
      <c r="B375">
        <f t="shared" si="10"/>
        <v>10</v>
      </c>
      <c r="C375">
        <f t="shared" si="11"/>
        <v>31</v>
      </c>
      <c r="D375" cm="1">
        <f t="array" ref="D375">INDEX('Linha 06'!$A$4:$A$1000,B375)</f>
        <v>20070001</v>
      </c>
      <c r="E375" t="str" cm="1">
        <f t="array" ref="E375">INDEX('Linha 06'!$B$4:$B$1000,B375)</f>
        <v>Limpa Vidros Aquafast Pulverizador Cx/12 X 500ml</v>
      </c>
      <c r="F375" cm="1">
        <f t="array" ref="F375">INDEX('Linha 06'!$C$3:$ZZ$3,C375)</f>
        <v>20110027</v>
      </c>
      <c r="G375" t="str" cm="1">
        <f t="array" ref="G375">INDEX('Linha 06'!$C$2:$ZZ$2,C375)</f>
        <v>Multi Uso Aquafast Pulverizador Poder O2 Cx/12 X 500ml</v>
      </c>
      <c r="H375" s="5" cm="1">
        <f t="array" ref="H375">INDEX('Linha 06'!$C$4:$ZZ$1000,B375,C375)</f>
        <v>0</v>
      </c>
    </row>
    <row r="376" spans="1:8" x14ac:dyDescent="0.25">
      <c r="A376">
        <v>374</v>
      </c>
      <c r="B376">
        <f t="shared" si="10"/>
        <v>10</v>
      </c>
      <c r="C376">
        <f t="shared" si="11"/>
        <v>32</v>
      </c>
      <c r="D376" cm="1">
        <f t="array" ref="D376">INDEX('Linha 06'!$A$4:$A$1000,B376)</f>
        <v>20070001</v>
      </c>
      <c r="E376" t="str" cm="1">
        <f t="array" ref="E376">INDEX('Linha 06'!$B$4:$B$1000,B376)</f>
        <v>Limpa Vidros Aquafast Pulverizador Cx/12 X 500ml</v>
      </c>
      <c r="F376" cm="1">
        <f t="array" ref="F376">INDEX('Linha 06'!$C$3:$ZZ$3,C376)</f>
        <v>20200073</v>
      </c>
      <c r="G376" t="str" cm="1">
        <f t="array" ref="G376">INDEX('Linha 06'!$C$2:$ZZ$2,C376)</f>
        <v>Lava Roupas Aquafast Lavagem Rapida Total Clean Cx/9 X 1,5l</v>
      </c>
      <c r="H376" s="5" cm="1">
        <f t="array" ref="H376">INDEX('Linha 06'!$C$4:$ZZ$1000,B376,C376)</f>
        <v>0</v>
      </c>
    </row>
    <row r="377" spans="1:8" x14ac:dyDescent="0.25">
      <c r="A377">
        <v>375</v>
      </c>
      <c r="B377">
        <f t="shared" si="10"/>
        <v>10</v>
      </c>
      <c r="C377">
        <f t="shared" si="11"/>
        <v>33</v>
      </c>
      <c r="D377" cm="1">
        <f t="array" ref="D377">INDEX('Linha 06'!$A$4:$A$1000,B377)</f>
        <v>20070001</v>
      </c>
      <c r="E377" t="str" cm="1">
        <f t="array" ref="E377">INDEX('Linha 06'!$B$4:$B$1000,B377)</f>
        <v>Limpa Vidros Aquafast Pulverizador Cx/12 X 500ml</v>
      </c>
      <c r="F377" cm="1">
        <f t="array" ref="F377">INDEX('Linha 06'!$C$3:$ZZ$3,C377)</f>
        <v>20200075</v>
      </c>
      <c r="G377" t="str" cm="1">
        <f t="array" ref="G377">INDEX('Linha 06'!$C$2:$ZZ$2,C377)</f>
        <v>Lava Roupas Aquafast Lavagem Rapida Fresh Clean Cx/9 X 1,5l</v>
      </c>
      <c r="H377" s="5" cm="1">
        <f t="array" ref="H377">INDEX('Linha 06'!$C$4:$ZZ$1000,B377,C377)</f>
        <v>0</v>
      </c>
    </row>
    <row r="378" spans="1:8" x14ac:dyDescent="0.25">
      <c r="A378">
        <v>376</v>
      </c>
      <c r="B378">
        <f t="shared" si="10"/>
        <v>10</v>
      </c>
      <c r="C378">
        <f t="shared" si="11"/>
        <v>34</v>
      </c>
      <c r="D378" cm="1">
        <f t="array" ref="D378">INDEX('Linha 06'!$A$4:$A$1000,B378)</f>
        <v>20070001</v>
      </c>
      <c r="E378" t="str" cm="1">
        <f t="array" ref="E378">INDEX('Linha 06'!$B$4:$B$1000,B378)</f>
        <v>Limpa Vidros Aquafast Pulverizador Cx/12 X 500ml</v>
      </c>
      <c r="F378" cm="1">
        <f t="array" ref="F378">INDEX('Linha 06'!$C$3:$ZZ$3,C378)</f>
        <v>20220018</v>
      </c>
      <c r="G378" t="str" cm="1">
        <f t="array" ref="G378">INDEX('Linha 06'!$C$2:$ZZ$2,C378)</f>
        <v>Intermed. Aromat. Amoras E Baunilha Cx C/ 12un 250ml</v>
      </c>
      <c r="H378" s="5" cm="1">
        <f t="array" ref="H378">INDEX('Linha 06'!$C$4:$ZZ$1000,B378,C378)</f>
        <v>0</v>
      </c>
    </row>
    <row r="379" spans="1:8" x14ac:dyDescent="0.25">
      <c r="A379">
        <v>377</v>
      </c>
      <c r="B379">
        <f t="shared" si="10"/>
        <v>10</v>
      </c>
      <c r="C379">
        <f t="shared" si="11"/>
        <v>35</v>
      </c>
      <c r="D379" cm="1">
        <f t="array" ref="D379">INDEX('Linha 06'!$A$4:$A$1000,B379)</f>
        <v>20070001</v>
      </c>
      <c r="E379" t="str" cm="1">
        <f t="array" ref="E379">INDEX('Linha 06'!$B$4:$B$1000,B379)</f>
        <v>Limpa Vidros Aquafast Pulverizador Cx/12 X 500ml</v>
      </c>
      <c r="F379" cm="1">
        <f t="array" ref="F379">INDEX('Linha 06'!$C$3:$ZZ$3,C379)</f>
        <v>20220019</v>
      </c>
      <c r="G379" t="str" cm="1">
        <f t="array" ref="G379">INDEX('Linha 06'!$C$2:$ZZ$2,C379)</f>
        <v>Intermed. Aromat. Figo E Cedro Cx C/ 12un 250ml</v>
      </c>
      <c r="H379" s="5" cm="1">
        <f t="array" ref="H379">INDEX('Linha 06'!$C$4:$ZZ$1000,B379,C379)</f>
        <v>0</v>
      </c>
    </row>
    <row r="380" spans="1:8" x14ac:dyDescent="0.25">
      <c r="A380">
        <v>378</v>
      </c>
      <c r="B380">
        <f t="shared" si="10"/>
        <v>10</v>
      </c>
      <c r="C380">
        <f t="shared" si="11"/>
        <v>36</v>
      </c>
      <c r="D380" cm="1">
        <f t="array" ref="D380">INDEX('Linha 06'!$A$4:$A$1000,B380)</f>
        <v>20070001</v>
      </c>
      <c r="E380" t="str" cm="1">
        <f t="array" ref="E380">INDEX('Linha 06'!$B$4:$B$1000,B380)</f>
        <v>Limpa Vidros Aquafast Pulverizador Cx/12 X 500ml</v>
      </c>
      <c r="F380" cm="1">
        <f t="array" ref="F380">INDEX('Linha 06'!$C$3:$ZZ$3,C380)</f>
        <v>20220020</v>
      </c>
      <c r="G380" t="str" cm="1">
        <f t="array" ref="G380">INDEX('Linha 06'!$C$2:$ZZ$2,C380)</f>
        <v>Intermed. Aromat. Rosas E Magnolias Cx C/ 12un 250ml</v>
      </c>
      <c r="H380" s="5" cm="1">
        <f t="array" ref="H380">INDEX('Linha 06'!$C$4:$ZZ$1000,B380,C380)</f>
        <v>0</v>
      </c>
    </row>
    <row r="381" spans="1:8" x14ac:dyDescent="0.25">
      <c r="A381">
        <v>379</v>
      </c>
      <c r="B381">
        <f t="shared" si="10"/>
        <v>10</v>
      </c>
      <c r="C381">
        <f t="shared" si="11"/>
        <v>37</v>
      </c>
      <c r="D381" cm="1">
        <f t="array" ref="D381">INDEX('Linha 06'!$A$4:$A$1000,B381)</f>
        <v>20070001</v>
      </c>
      <c r="E381" t="str" cm="1">
        <f t="array" ref="E381">INDEX('Linha 06'!$B$4:$B$1000,B381)</f>
        <v>Limpa Vidros Aquafast Pulverizador Cx/12 X 500ml</v>
      </c>
      <c r="F381" cm="1">
        <f t="array" ref="F381">INDEX('Linha 06'!$C$3:$ZZ$3,C381)</f>
        <v>20220021</v>
      </c>
      <c r="G381" t="str" cm="1">
        <f t="array" ref="G381">INDEX('Linha 06'!$C$2:$ZZ$2,C381)</f>
        <v>Intermed. Aromat. Flores Exoticas Cx C/ 12un 250ml</v>
      </c>
      <c r="H381" s="5" cm="1">
        <f t="array" ref="H381">INDEX('Linha 06'!$C$4:$ZZ$1000,B381,C381)</f>
        <v>0</v>
      </c>
    </row>
    <row r="382" spans="1:8" x14ac:dyDescent="0.25">
      <c r="A382">
        <v>380</v>
      </c>
      <c r="B382">
        <f t="shared" si="10"/>
        <v>10</v>
      </c>
      <c r="C382">
        <f t="shared" si="11"/>
        <v>38</v>
      </c>
      <c r="D382" cm="1">
        <f t="array" ref="D382">INDEX('Linha 06'!$A$4:$A$1000,B382)</f>
        <v>20070001</v>
      </c>
      <c r="E382" t="str" cm="1">
        <f t="array" ref="E382">INDEX('Linha 06'!$B$4:$B$1000,B382)</f>
        <v>Limpa Vidros Aquafast Pulverizador Cx/12 X 500ml</v>
      </c>
      <c r="F382" cm="1">
        <f t="array" ref="F382">INDEX('Linha 06'!$C$3:$ZZ$3,C382)</f>
        <v>20220022</v>
      </c>
      <c r="G382" t="str" cm="1">
        <f t="array" ref="G382">INDEX('Linha 06'!$C$2:$ZZ$2,C382)</f>
        <v>Intermed. Aromat. Cha Verde E Grapef Cx C/ 12un 250ml</v>
      </c>
      <c r="H382" s="5" cm="1">
        <f t="array" ref="H382">INDEX('Linha 06'!$C$4:$ZZ$1000,B382,C382)</f>
        <v>0</v>
      </c>
    </row>
    <row r="383" spans="1:8" x14ac:dyDescent="0.25">
      <c r="A383">
        <v>381</v>
      </c>
      <c r="B383">
        <f t="shared" si="10"/>
        <v>11</v>
      </c>
      <c r="C383">
        <f t="shared" si="11"/>
        <v>1</v>
      </c>
      <c r="D383" cm="1">
        <f t="array" ref="D383">INDEX('Linha 06'!$A$4:$A$1000,B383)</f>
        <v>20070002</v>
      </c>
      <c r="E383" t="str" cm="1">
        <f t="array" ref="E383">INDEX('Linha 06'!$B$4:$B$1000,B383)</f>
        <v>Limpa Vidros Aquafast Recarga Cx/12 X 500ml</v>
      </c>
      <c r="F383" cm="1">
        <f t="array" ref="F383">INDEX('Linha 06'!$C$3:$ZZ$3,C383)</f>
        <v>20060001</v>
      </c>
      <c r="G383" t="str" cm="1">
        <f t="array" ref="G383">INDEX('Linha 06'!$C$2:$ZZ$2,C383)</f>
        <v>Limp Perf Aquafast Magia Seducao Cx/12 X 500ml</v>
      </c>
      <c r="H383" s="5" cm="1">
        <f t="array" ref="H383">INDEX('Linha 06'!$C$4:$ZZ$1000,B383,C383)</f>
        <v>0</v>
      </c>
    </row>
    <row r="384" spans="1:8" x14ac:dyDescent="0.25">
      <c r="A384">
        <v>382</v>
      </c>
      <c r="B384">
        <f t="shared" si="10"/>
        <v>11</v>
      </c>
      <c r="C384">
        <f t="shared" si="11"/>
        <v>2</v>
      </c>
      <c r="D384" cm="1">
        <f t="array" ref="D384">INDEX('Linha 06'!$A$4:$A$1000,B384)</f>
        <v>20070002</v>
      </c>
      <c r="E384" t="str" cm="1">
        <f t="array" ref="E384">INDEX('Linha 06'!$B$4:$B$1000,B384)</f>
        <v>Limpa Vidros Aquafast Recarga Cx/12 X 500ml</v>
      </c>
      <c r="F384" cm="1">
        <f t="array" ref="F384">INDEX('Linha 06'!$C$3:$ZZ$3,C384)</f>
        <v>20060004</v>
      </c>
      <c r="G384" t="str" cm="1">
        <f t="array" ref="G384">INDEX('Linha 06'!$C$2:$ZZ$2,C384)</f>
        <v>Limp Perf Aquafast Magia Seducao Cx/12 X 1l</v>
      </c>
      <c r="H384" s="5" cm="1">
        <f t="array" ref="H384">INDEX('Linha 06'!$C$4:$ZZ$1000,B384,C384)</f>
        <v>0</v>
      </c>
    </row>
    <row r="385" spans="1:8" x14ac:dyDescent="0.25">
      <c r="A385">
        <v>383</v>
      </c>
      <c r="B385">
        <f t="shared" si="10"/>
        <v>11</v>
      </c>
      <c r="C385">
        <f t="shared" si="11"/>
        <v>3</v>
      </c>
      <c r="D385" cm="1">
        <f t="array" ref="D385">INDEX('Linha 06'!$A$4:$A$1000,B385)</f>
        <v>20070002</v>
      </c>
      <c r="E385" t="str" cm="1">
        <f t="array" ref="E385">INDEX('Linha 06'!$B$4:$B$1000,B385)</f>
        <v>Limpa Vidros Aquafast Recarga Cx/12 X 500ml</v>
      </c>
      <c r="F385" cm="1">
        <f t="array" ref="F385">INDEX('Linha 06'!$C$3:$ZZ$3,C385)</f>
        <v>20060010</v>
      </c>
      <c r="G385" t="str" cm="1">
        <f t="array" ref="G385">INDEX('Linha 06'!$C$2:$ZZ$2,C385)</f>
        <v>Limp Perf Aquafast Magia Da Infancia Cx/12 X 500ml</v>
      </c>
      <c r="H385" s="5" cm="1">
        <f t="array" ref="H385">INDEX('Linha 06'!$C$4:$ZZ$1000,B385,C385)</f>
        <v>0</v>
      </c>
    </row>
    <row r="386" spans="1:8" x14ac:dyDescent="0.25">
      <c r="A386">
        <v>384</v>
      </c>
      <c r="B386">
        <f t="shared" si="10"/>
        <v>11</v>
      </c>
      <c r="C386">
        <f t="shared" si="11"/>
        <v>4</v>
      </c>
      <c r="D386" cm="1">
        <f t="array" ref="D386">INDEX('Linha 06'!$A$4:$A$1000,B386)</f>
        <v>20070002</v>
      </c>
      <c r="E386" t="str" cm="1">
        <f t="array" ref="E386">INDEX('Linha 06'!$B$4:$B$1000,B386)</f>
        <v>Limpa Vidros Aquafast Recarga Cx/12 X 500ml</v>
      </c>
      <c r="F386" cm="1">
        <f t="array" ref="F386">INDEX('Linha 06'!$C$3:$ZZ$3,C386)</f>
        <v>20060011</v>
      </c>
      <c r="G386" t="str" cm="1">
        <f t="array" ref="G386">INDEX('Linha 06'!$C$2:$ZZ$2,C386)</f>
        <v>Limp Perf Aquafast Frescor Da Manha Cx/12 X 500ml</v>
      </c>
      <c r="H386" s="5" cm="1">
        <f t="array" ref="H386">INDEX('Linha 06'!$C$4:$ZZ$1000,B386,C386)</f>
        <v>0</v>
      </c>
    </row>
    <row r="387" spans="1:8" x14ac:dyDescent="0.25">
      <c r="A387">
        <v>385</v>
      </c>
      <c r="B387">
        <f t="shared" si="10"/>
        <v>11</v>
      </c>
      <c r="C387">
        <f t="shared" si="11"/>
        <v>5</v>
      </c>
      <c r="D387" cm="1">
        <f t="array" ref="D387">INDEX('Linha 06'!$A$4:$A$1000,B387)</f>
        <v>20070002</v>
      </c>
      <c r="E387" t="str" cm="1">
        <f t="array" ref="E387">INDEX('Linha 06'!$B$4:$B$1000,B387)</f>
        <v>Limpa Vidros Aquafast Recarga Cx/12 X 500ml</v>
      </c>
      <c r="F387" cm="1">
        <f t="array" ref="F387">INDEX('Linha 06'!$C$3:$ZZ$3,C387)</f>
        <v>20060012</v>
      </c>
      <c r="G387" t="str" cm="1">
        <f t="array" ref="G387">INDEX('Linha 06'!$C$2:$ZZ$2,C387)</f>
        <v>Limp Perf Aquafast Magia Da Infancia Cx/12 X 1l</v>
      </c>
      <c r="H387" s="5" cm="1">
        <f t="array" ref="H387">INDEX('Linha 06'!$C$4:$ZZ$1000,B387,C387)</f>
        <v>0</v>
      </c>
    </row>
    <row r="388" spans="1:8" x14ac:dyDescent="0.25">
      <c r="A388">
        <v>386</v>
      </c>
      <c r="B388">
        <f t="shared" ref="B388:B451" si="12">INT((A388-1)/$B$1)+1</f>
        <v>11</v>
      </c>
      <c r="C388">
        <f t="shared" ref="C388:C451" si="13">MOD(A388-1,$B$1)+1</f>
        <v>6</v>
      </c>
      <c r="D388" cm="1">
        <f t="array" ref="D388">INDEX('Linha 06'!$A$4:$A$1000,B388)</f>
        <v>20070002</v>
      </c>
      <c r="E388" t="str" cm="1">
        <f t="array" ref="E388">INDEX('Linha 06'!$B$4:$B$1000,B388)</f>
        <v>Limpa Vidros Aquafast Recarga Cx/12 X 500ml</v>
      </c>
      <c r="F388" cm="1">
        <f t="array" ref="F388">INDEX('Linha 06'!$C$3:$ZZ$3,C388)</f>
        <v>20060013</v>
      </c>
      <c r="G388" t="str" cm="1">
        <f t="array" ref="G388">INDEX('Linha 06'!$C$2:$ZZ$2,C388)</f>
        <v>Limp Perf Aquafast Frescor Da Manha Cx/12 X 1l</v>
      </c>
      <c r="H388" s="5" cm="1">
        <f t="array" ref="H388">INDEX('Linha 06'!$C$4:$ZZ$1000,B388,C388)</f>
        <v>0</v>
      </c>
    </row>
    <row r="389" spans="1:8" x14ac:dyDescent="0.25">
      <c r="A389">
        <v>387</v>
      </c>
      <c r="B389">
        <f t="shared" si="12"/>
        <v>11</v>
      </c>
      <c r="C389">
        <f t="shared" si="13"/>
        <v>7</v>
      </c>
      <c r="D389" cm="1">
        <f t="array" ref="D389">INDEX('Linha 06'!$A$4:$A$1000,B389)</f>
        <v>20070002</v>
      </c>
      <c r="E389" t="str" cm="1">
        <f t="array" ref="E389">INDEX('Linha 06'!$B$4:$B$1000,B389)</f>
        <v>Limpa Vidros Aquafast Recarga Cx/12 X 500ml</v>
      </c>
      <c r="F389" cm="1">
        <f t="array" ref="F389">INDEX('Linha 06'!$C$3:$ZZ$3,C389)</f>
        <v>20060015</v>
      </c>
      <c r="G389" t="str" cm="1">
        <f t="array" ref="G389">INDEX('Linha 06'!$C$2:$ZZ$2,C389)</f>
        <v>Limp Perf Aquafast Doce Romance Cx/12 X 500ml</v>
      </c>
      <c r="H389" s="5" cm="1">
        <f t="array" ref="H389">INDEX('Linha 06'!$C$4:$ZZ$1000,B389,C389)</f>
        <v>0</v>
      </c>
    </row>
    <row r="390" spans="1:8" x14ac:dyDescent="0.25">
      <c r="A390">
        <v>388</v>
      </c>
      <c r="B390">
        <f t="shared" si="12"/>
        <v>11</v>
      </c>
      <c r="C390">
        <f t="shared" si="13"/>
        <v>8</v>
      </c>
      <c r="D390" cm="1">
        <f t="array" ref="D390">INDEX('Linha 06'!$A$4:$A$1000,B390)</f>
        <v>20070002</v>
      </c>
      <c r="E390" t="str" cm="1">
        <f t="array" ref="E390">INDEX('Linha 06'!$B$4:$B$1000,B390)</f>
        <v>Limpa Vidros Aquafast Recarga Cx/12 X 500ml</v>
      </c>
      <c r="F390" cm="1">
        <f t="array" ref="F390">INDEX('Linha 06'!$C$3:$ZZ$3,C390)</f>
        <v>20060016</v>
      </c>
      <c r="G390" t="str" cm="1">
        <f t="array" ref="G390">INDEX('Linha 06'!$C$2:$ZZ$2,C390)</f>
        <v>Limp Perf Aquafast Doce Romance Cx/12 X 1l</v>
      </c>
      <c r="H390" s="5" cm="1">
        <f t="array" ref="H390">INDEX('Linha 06'!$C$4:$ZZ$1000,B390,C390)</f>
        <v>0</v>
      </c>
    </row>
    <row r="391" spans="1:8" x14ac:dyDescent="0.25">
      <c r="A391">
        <v>389</v>
      </c>
      <c r="B391">
        <f t="shared" si="12"/>
        <v>11</v>
      </c>
      <c r="C391">
        <f t="shared" si="13"/>
        <v>9</v>
      </c>
      <c r="D391" cm="1">
        <f t="array" ref="D391">INDEX('Linha 06'!$A$4:$A$1000,B391)</f>
        <v>20070002</v>
      </c>
      <c r="E391" t="str" cm="1">
        <f t="array" ref="E391">INDEX('Linha 06'!$B$4:$B$1000,B391)</f>
        <v>Limpa Vidros Aquafast Recarga Cx/12 X 500ml</v>
      </c>
      <c r="F391" cm="1">
        <f t="array" ref="F391">INDEX('Linha 06'!$C$3:$ZZ$3,C391)</f>
        <v>20060027</v>
      </c>
      <c r="G391" t="str" cm="1">
        <f t="array" ref="G391">INDEX('Linha 06'!$C$2:$ZZ$2,C391)</f>
        <v>Limp Perf Aquafast Essencia Natural Cx/12 X 1l</v>
      </c>
      <c r="H391" s="5" cm="1">
        <f t="array" ref="H391">INDEX('Linha 06'!$C$4:$ZZ$1000,B391,C391)</f>
        <v>0</v>
      </c>
    </row>
    <row r="392" spans="1:8" x14ac:dyDescent="0.25">
      <c r="A392">
        <v>390</v>
      </c>
      <c r="B392">
        <f t="shared" si="12"/>
        <v>11</v>
      </c>
      <c r="C392">
        <f t="shared" si="13"/>
        <v>10</v>
      </c>
      <c r="D392" cm="1">
        <f t="array" ref="D392">INDEX('Linha 06'!$A$4:$A$1000,B392)</f>
        <v>20070002</v>
      </c>
      <c r="E392" t="str" cm="1">
        <f t="array" ref="E392">INDEX('Linha 06'!$B$4:$B$1000,B392)</f>
        <v>Limpa Vidros Aquafast Recarga Cx/12 X 500ml</v>
      </c>
      <c r="F392" cm="1">
        <f t="array" ref="F392">INDEX('Linha 06'!$C$3:$ZZ$3,C392)</f>
        <v>20070001</v>
      </c>
      <c r="G392" t="str" cm="1">
        <f t="array" ref="G392">INDEX('Linha 06'!$C$2:$ZZ$2,C392)</f>
        <v>Limpa Vidros Aquafast Pulverizador Cx/12 X 500ml</v>
      </c>
      <c r="H392" s="5" cm="1">
        <f t="array" ref="H392">INDEX('Linha 06'!$C$4:$ZZ$1000,B392,C392)</f>
        <v>0</v>
      </c>
    </row>
    <row r="393" spans="1:8" x14ac:dyDescent="0.25">
      <c r="A393">
        <v>391</v>
      </c>
      <c r="B393">
        <f t="shared" si="12"/>
        <v>11</v>
      </c>
      <c r="C393">
        <f t="shared" si="13"/>
        <v>11</v>
      </c>
      <c r="D393" cm="1">
        <f t="array" ref="D393">INDEX('Linha 06'!$A$4:$A$1000,B393)</f>
        <v>20070002</v>
      </c>
      <c r="E393" t="str" cm="1">
        <f t="array" ref="E393">INDEX('Linha 06'!$B$4:$B$1000,B393)</f>
        <v>Limpa Vidros Aquafast Recarga Cx/12 X 500ml</v>
      </c>
      <c r="F393" cm="1">
        <f t="array" ref="F393">INDEX('Linha 06'!$C$3:$ZZ$3,C393)</f>
        <v>20070002</v>
      </c>
      <c r="G393" t="str" cm="1">
        <f t="array" ref="G393">INDEX('Linha 06'!$C$2:$ZZ$2,C393)</f>
        <v>Limpa Vidros Aquafast Recarga Cx/12 X 500ml</v>
      </c>
      <c r="H393" s="5" cm="1">
        <f t="array" ref="H393">INDEX('Linha 06'!$C$4:$ZZ$1000,B393,C393)</f>
        <v>0</v>
      </c>
    </row>
    <row r="394" spans="1:8" x14ac:dyDescent="0.25">
      <c r="A394">
        <v>392</v>
      </c>
      <c r="B394">
        <f t="shared" si="12"/>
        <v>11</v>
      </c>
      <c r="C394">
        <f t="shared" si="13"/>
        <v>12</v>
      </c>
      <c r="D394" cm="1">
        <f t="array" ref="D394">INDEX('Linha 06'!$A$4:$A$1000,B394)</f>
        <v>20070002</v>
      </c>
      <c r="E394" t="str" cm="1">
        <f t="array" ref="E394">INDEX('Linha 06'!$B$4:$B$1000,B394)</f>
        <v>Limpa Vidros Aquafast Recarga Cx/12 X 500ml</v>
      </c>
      <c r="F394" cm="1">
        <f t="array" ref="F394">INDEX('Linha 06'!$C$3:$ZZ$3,C394)</f>
        <v>20070006</v>
      </c>
      <c r="G394" t="str" cm="1">
        <f t="array" ref="G394">INDEX('Linha 06'!$C$2:$ZZ$2,C394)</f>
        <v>Limpa Vidros Ito Pulverizador Cx/12 X 500ml</v>
      </c>
      <c r="H394" s="5" cm="1">
        <f t="array" ref="H394">INDEX('Linha 06'!$C$4:$ZZ$1000,B394,C394)</f>
        <v>0</v>
      </c>
    </row>
    <row r="395" spans="1:8" x14ac:dyDescent="0.25">
      <c r="A395">
        <v>393</v>
      </c>
      <c r="B395">
        <f t="shared" si="12"/>
        <v>11</v>
      </c>
      <c r="C395">
        <f t="shared" si="13"/>
        <v>13</v>
      </c>
      <c r="D395" cm="1">
        <f t="array" ref="D395">INDEX('Linha 06'!$A$4:$A$1000,B395)</f>
        <v>20070002</v>
      </c>
      <c r="E395" t="str" cm="1">
        <f t="array" ref="E395">INDEX('Linha 06'!$B$4:$B$1000,B395)</f>
        <v>Limpa Vidros Aquafast Recarga Cx/12 X 500ml</v>
      </c>
      <c r="F395" cm="1">
        <f t="array" ref="F395">INDEX('Linha 06'!$C$3:$ZZ$3,C395)</f>
        <v>20070007</v>
      </c>
      <c r="G395" t="str" cm="1">
        <f t="array" ref="G395">INDEX('Linha 06'!$C$2:$ZZ$2,C395)</f>
        <v>Limpa Vidros Ito Recarga Cx/12 X 500ml</v>
      </c>
      <c r="H395" s="5" cm="1">
        <f t="array" ref="H395">INDEX('Linha 06'!$C$4:$ZZ$1000,B395,C395)</f>
        <v>0</v>
      </c>
    </row>
    <row r="396" spans="1:8" x14ac:dyDescent="0.25">
      <c r="A396">
        <v>394</v>
      </c>
      <c r="B396">
        <f t="shared" si="12"/>
        <v>11</v>
      </c>
      <c r="C396">
        <f t="shared" si="13"/>
        <v>14</v>
      </c>
      <c r="D396" cm="1">
        <f t="array" ref="D396">INDEX('Linha 06'!$A$4:$A$1000,B396)</f>
        <v>20070002</v>
      </c>
      <c r="E396" t="str" cm="1">
        <f t="array" ref="E396">INDEX('Linha 06'!$B$4:$B$1000,B396)</f>
        <v>Limpa Vidros Aquafast Recarga Cx/12 X 500ml</v>
      </c>
      <c r="F396" cm="1">
        <f t="array" ref="F396">INDEX('Linha 06'!$C$3:$ZZ$3,C396)</f>
        <v>20070008</v>
      </c>
      <c r="G396" t="str" cm="1">
        <f t="array" ref="G396">INDEX('Linha 06'!$C$2:$ZZ$2,C396)</f>
        <v>Limpa Vidros Aquafast Squeeze Cx/12 X 500ml</v>
      </c>
      <c r="H396" s="5" cm="1">
        <f t="array" ref="H396">INDEX('Linha 06'!$C$4:$ZZ$1000,B396,C396)</f>
        <v>0</v>
      </c>
    </row>
    <row r="397" spans="1:8" x14ac:dyDescent="0.25">
      <c r="A397">
        <v>395</v>
      </c>
      <c r="B397">
        <f t="shared" si="12"/>
        <v>11</v>
      </c>
      <c r="C397">
        <f t="shared" si="13"/>
        <v>15</v>
      </c>
      <c r="D397" cm="1">
        <f t="array" ref="D397">INDEX('Linha 06'!$A$4:$A$1000,B397)</f>
        <v>20070002</v>
      </c>
      <c r="E397" t="str" cm="1">
        <f t="array" ref="E397">INDEX('Linha 06'!$B$4:$B$1000,B397)</f>
        <v>Limpa Vidros Aquafast Recarga Cx/12 X 500ml</v>
      </c>
      <c r="F397" cm="1">
        <f t="array" ref="F397">INDEX('Linha 06'!$C$3:$ZZ$3,C397)</f>
        <v>20090001</v>
      </c>
      <c r="G397" t="str" cm="1">
        <f t="array" ref="G397">INDEX('Linha 06'!$C$2:$ZZ$2,C397)</f>
        <v>Desengordurante Aquafast Pulverizador Cx/12 X 500ml</v>
      </c>
      <c r="H397" s="5" cm="1">
        <f t="array" ref="H397">INDEX('Linha 06'!$C$4:$ZZ$1000,B397,C397)</f>
        <v>0</v>
      </c>
    </row>
    <row r="398" spans="1:8" x14ac:dyDescent="0.25">
      <c r="A398">
        <v>396</v>
      </c>
      <c r="B398">
        <f t="shared" si="12"/>
        <v>11</v>
      </c>
      <c r="C398">
        <f t="shared" si="13"/>
        <v>16</v>
      </c>
      <c r="D398" cm="1">
        <f t="array" ref="D398">INDEX('Linha 06'!$A$4:$A$1000,B398)</f>
        <v>20070002</v>
      </c>
      <c r="E398" t="str" cm="1">
        <f t="array" ref="E398">INDEX('Linha 06'!$B$4:$B$1000,B398)</f>
        <v>Limpa Vidros Aquafast Recarga Cx/12 X 500ml</v>
      </c>
      <c r="F398" cm="1">
        <f t="array" ref="F398">INDEX('Linha 06'!$C$3:$ZZ$3,C398)</f>
        <v>20090002</v>
      </c>
      <c r="G398" t="str" cm="1">
        <f t="array" ref="G398">INDEX('Linha 06'!$C$2:$ZZ$2,C398)</f>
        <v>Desengordurante Aquafast Recarga Cx/12 X 500ml</v>
      </c>
      <c r="H398" s="5" cm="1">
        <f t="array" ref="H398">INDEX('Linha 06'!$C$4:$ZZ$1000,B398,C398)</f>
        <v>0</v>
      </c>
    </row>
    <row r="399" spans="1:8" x14ac:dyDescent="0.25">
      <c r="A399">
        <v>397</v>
      </c>
      <c r="B399">
        <f t="shared" si="12"/>
        <v>11</v>
      </c>
      <c r="C399">
        <f t="shared" si="13"/>
        <v>17</v>
      </c>
      <c r="D399" cm="1">
        <f t="array" ref="D399">INDEX('Linha 06'!$A$4:$A$1000,B399)</f>
        <v>20070002</v>
      </c>
      <c r="E399" t="str" cm="1">
        <f t="array" ref="E399">INDEX('Linha 06'!$B$4:$B$1000,B399)</f>
        <v>Limpa Vidros Aquafast Recarga Cx/12 X 500ml</v>
      </c>
      <c r="F399" cm="1">
        <f t="array" ref="F399">INDEX('Linha 06'!$C$3:$ZZ$3,C399)</f>
        <v>20090004</v>
      </c>
      <c r="G399" t="str" cm="1">
        <f t="array" ref="G399">INDEX('Linha 06'!$C$2:$ZZ$2,C399)</f>
        <v>Desengordurante Aquafast Squeeze Cx C/12 X 500ml</v>
      </c>
      <c r="H399" s="5" cm="1">
        <f t="array" ref="H399">INDEX('Linha 06'!$C$4:$ZZ$1000,B399,C399)</f>
        <v>0</v>
      </c>
    </row>
    <row r="400" spans="1:8" x14ac:dyDescent="0.25">
      <c r="A400">
        <v>398</v>
      </c>
      <c r="B400">
        <f t="shared" si="12"/>
        <v>11</v>
      </c>
      <c r="C400">
        <f t="shared" si="13"/>
        <v>18</v>
      </c>
      <c r="D400" cm="1">
        <f t="array" ref="D400">INDEX('Linha 06'!$A$4:$A$1000,B400)</f>
        <v>20070002</v>
      </c>
      <c r="E400" t="str" cm="1">
        <f t="array" ref="E400">INDEX('Linha 06'!$B$4:$B$1000,B400)</f>
        <v>Limpa Vidros Aquafast Recarga Cx/12 X 500ml</v>
      </c>
      <c r="F400" cm="1">
        <f t="array" ref="F400">INDEX('Linha 06'!$C$3:$ZZ$3,C400)</f>
        <v>20090005</v>
      </c>
      <c r="G400" t="str" cm="1">
        <f t="array" ref="G400">INDEX('Linha 06'!$C$2:$ZZ$2,C400)</f>
        <v>Desengordurante Aquafast Squeeze Cx C/12 X 1l</v>
      </c>
      <c r="H400" s="5" cm="1">
        <f t="array" ref="H400">INDEX('Linha 06'!$C$4:$ZZ$1000,B400,C400)</f>
        <v>0</v>
      </c>
    </row>
    <row r="401" spans="1:8" x14ac:dyDescent="0.25">
      <c r="A401">
        <v>399</v>
      </c>
      <c r="B401">
        <f t="shared" si="12"/>
        <v>11</v>
      </c>
      <c r="C401">
        <f t="shared" si="13"/>
        <v>19</v>
      </c>
      <c r="D401" cm="1">
        <f t="array" ref="D401">INDEX('Linha 06'!$A$4:$A$1000,B401)</f>
        <v>20070002</v>
      </c>
      <c r="E401" t="str" cm="1">
        <f t="array" ref="E401">INDEX('Linha 06'!$B$4:$B$1000,B401)</f>
        <v>Limpa Vidros Aquafast Recarga Cx/12 X 500ml</v>
      </c>
      <c r="F401" cm="1">
        <f t="array" ref="F401">INDEX('Linha 06'!$C$3:$ZZ$3,C401)</f>
        <v>20090010</v>
      </c>
      <c r="G401" t="str" cm="1">
        <f t="array" ref="G401">INDEX('Linha 06'!$C$2:$ZZ$2,C401)</f>
        <v>Intermed Pack Desengord Squeeze Cx C/18 X 500ml</v>
      </c>
      <c r="H401" s="5" cm="1">
        <f t="array" ref="H401">INDEX('Linha 06'!$C$4:$ZZ$1000,B401,C401)</f>
        <v>0</v>
      </c>
    </row>
    <row r="402" spans="1:8" x14ac:dyDescent="0.25">
      <c r="A402">
        <v>400</v>
      </c>
      <c r="B402">
        <f t="shared" si="12"/>
        <v>11</v>
      </c>
      <c r="C402">
        <f t="shared" si="13"/>
        <v>20</v>
      </c>
      <c r="D402" cm="1">
        <f t="array" ref="D402">INDEX('Linha 06'!$A$4:$A$1000,B402)</f>
        <v>20070002</v>
      </c>
      <c r="E402" t="str" cm="1">
        <f t="array" ref="E402">INDEX('Linha 06'!$B$4:$B$1000,B402)</f>
        <v>Limpa Vidros Aquafast Recarga Cx/12 X 500ml</v>
      </c>
      <c r="F402" cm="1">
        <f t="array" ref="F402">INDEX('Linha 06'!$C$3:$ZZ$3,C402)</f>
        <v>20110002</v>
      </c>
      <c r="G402" t="str" cm="1">
        <f t="array" ref="G402">INDEX('Linha 06'!$C$2:$ZZ$2,C402)</f>
        <v>Multi Uso Aquafast Squeeze Original Cx/12 X 500ml</v>
      </c>
      <c r="H402" s="5" cm="1">
        <f t="array" ref="H402">INDEX('Linha 06'!$C$4:$ZZ$1000,B402,C402)</f>
        <v>0</v>
      </c>
    </row>
    <row r="403" spans="1:8" x14ac:dyDescent="0.25">
      <c r="A403">
        <v>401</v>
      </c>
      <c r="B403">
        <f t="shared" si="12"/>
        <v>11</v>
      </c>
      <c r="C403">
        <f t="shared" si="13"/>
        <v>21</v>
      </c>
      <c r="D403" cm="1">
        <f t="array" ref="D403">INDEX('Linha 06'!$A$4:$A$1000,B403)</f>
        <v>20070002</v>
      </c>
      <c r="E403" t="str" cm="1">
        <f t="array" ref="E403">INDEX('Linha 06'!$B$4:$B$1000,B403)</f>
        <v>Limpa Vidros Aquafast Recarga Cx/12 X 500ml</v>
      </c>
      <c r="F403" cm="1">
        <f t="array" ref="F403">INDEX('Linha 06'!$C$3:$ZZ$3,C403)</f>
        <v>20110004</v>
      </c>
      <c r="G403" t="str" cm="1">
        <f t="array" ref="G403">INDEX('Linha 06'!$C$2:$ZZ$2,C403)</f>
        <v>Multi Uso Aquafast Squeeze Lavanda Cx/12 X 500ml</v>
      </c>
      <c r="H403" s="5" cm="1">
        <f t="array" ref="H403">INDEX('Linha 06'!$C$4:$ZZ$1000,B403,C403)</f>
        <v>0</v>
      </c>
    </row>
    <row r="404" spans="1:8" x14ac:dyDescent="0.25">
      <c r="A404">
        <v>402</v>
      </c>
      <c r="B404">
        <f t="shared" si="12"/>
        <v>11</v>
      </c>
      <c r="C404">
        <f t="shared" si="13"/>
        <v>22</v>
      </c>
      <c r="D404" cm="1">
        <f t="array" ref="D404">INDEX('Linha 06'!$A$4:$A$1000,B404)</f>
        <v>20070002</v>
      </c>
      <c r="E404" t="str" cm="1">
        <f t="array" ref="E404">INDEX('Linha 06'!$B$4:$B$1000,B404)</f>
        <v>Limpa Vidros Aquafast Recarga Cx/12 X 500ml</v>
      </c>
      <c r="F404" cm="1">
        <f t="array" ref="F404">INDEX('Linha 06'!$C$3:$ZZ$3,C404)</f>
        <v>20110007</v>
      </c>
      <c r="G404" t="str" cm="1">
        <f t="array" ref="G404">INDEX('Linha 06'!$C$2:$ZZ$2,C404)</f>
        <v>Multi Uso Aquafast Squeeze Seducao Cx/12 X 500ml</v>
      </c>
      <c r="H404" s="5" cm="1">
        <f t="array" ref="H404">INDEX('Linha 06'!$C$4:$ZZ$1000,B404,C404)</f>
        <v>0</v>
      </c>
    </row>
    <row r="405" spans="1:8" x14ac:dyDescent="0.25">
      <c r="A405">
        <v>403</v>
      </c>
      <c r="B405">
        <f t="shared" si="12"/>
        <v>11</v>
      </c>
      <c r="C405">
        <f t="shared" si="13"/>
        <v>23</v>
      </c>
      <c r="D405" cm="1">
        <f t="array" ref="D405">INDEX('Linha 06'!$A$4:$A$1000,B405)</f>
        <v>20070002</v>
      </c>
      <c r="E405" t="str" cm="1">
        <f t="array" ref="E405">INDEX('Linha 06'!$B$4:$B$1000,B405)</f>
        <v>Limpa Vidros Aquafast Recarga Cx/12 X 500ml</v>
      </c>
      <c r="F405" cm="1">
        <f t="array" ref="F405">INDEX('Linha 06'!$C$3:$ZZ$3,C405)</f>
        <v>20110008</v>
      </c>
      <c r="G405" t="str" cm="1">
        <f t="array" ref="G405">INDEX('Linha 06'!$C$2:$ZZ$2,C405)</f>
        <v>Multi Uso Aquafast Squeeze Original Cx/12 X 1l</v>
      </c>
      <c r="H405" s="5" cm="1">
        <f t="array" ref="H405">INDEX('Linha 06'!$C$4:$ZZ$1000,B405,C405)</f>
        <v>0</v>
      </c>
    </row>
    <row r="406" spans="1:8" x14ac:dyDescent="0.25">
      <c r="A406">
        <v>404</v>
      </c>
      <c r="B406">
        <f t="shared" si="12"/>
        <v>11</v>
      </c>
      <c r="C406">
        <f t="shared" si="13"/>
        <v>24</v>
      </c>
      <c r="D406" cm="1">
        <f t="array" ref="D406">INDEX('Linha 06'!$A$4:$A$1000,B406)</f>
        <v>20070002</v>
      </c>
      <c r="E406" t="str" cm="1">
        <f t="array" ref="E406">INDEX('Linha 06'!$B$4:$B$1000,B406)</f>
        <v>Limpa Vidros Aquafast Recarga Cx/12 X 500ml</v>
      </c>
      <c r="F406" cm="1">
        <f t="array" ref="F406">INDEX('Linha 06'!$C$3:$ZZ$3,C406)</f>
        <v>20110010</v>
      </c>
      <c r="G406" t="str" cm="1">
        <f t="array" ref="G406">INDEX('Linha 06'!$C$2:$ZZ$2,C406)</f>
        <v>Multi Uso Aquafast Squeeze Seducao Cx/12 1l</v>
      </c>
      <c r="H406" s="5" cm="1">
        <f t="array" ref="H406">INDEX('Linha 06'!$C$4:$ZZ$1000,B406,C406)</f>
        <v>0</v>
      </c>
    </row>
    <row r="407" spans="1:8" x14ac:dyDescent="0.25">
      <c r="A407">
        <v>405</v>
      </c>
      <c r="B407">
        <f t="shared" si="12"/>
        <v>11</v>
      </c>
      <c r="C407">
        <f t="shared" si="13"/>
        <v>25</v>
      </c>
      <c r="D407" cm="1">
        <f t="array" ref="D407">INDEX('Linha 06'!$A$4:$A$1000,B407)</f>
        <v>20070002</v>
      </c>
      <c r="E407" t="str" cm="1">
        <f t="array" ref="E407">INDEX('Linha 06'!$B$4:$B$1000,B407)</f>
        <v>Limpa Vidros Aquafast Recarga Cx/12 X 500ml</v>
      </c>
      <c r="F407" cm="1">
        <f t="array" ref="F407">INDEX('Linha 06'!$C$3:$ZZ$3,C407)</f>
        <v>20110013</v>
      </c>
      <c r="G407" t="str" cm="1">
        <f t="array" ref="G407">INDEX('Linha 06'!$C$2:$ZZ$2,C407)</f>
        <v>Multi Uso Aquafast Squeeze Lavanda Cx/12 X 1l</v>
      </c>
      <c r="H407" s="5" cm="1">
        <f t="array" ref="H407">INDEX('Linha 06'!$C$4:$ZZ$1000,B407,C407)</f>
        <v>0</v>
      </c>
    </row>
    <row r="408" spans="1:8" x14ac:dyDescent="0.25">
      <c r="A408">
        <v>406</v>
      </c>
      <c r="B408">
        <f t="shared" si="12"/>
        <v>11</v>
      </c>
      <c r="C408">
        <f t="shared" si="13"/>
        <v>26</v>
      </c>
      <c r="D408" cm="1">
        <f t="array" ref="D408">INDEX('Linha 06'!$A$4:$A$1000,B408)</f>
        <v>20070002</v>
      </c>
      <c r="E408" t="str" cm="1">
        <f t="array" ref="E408">INDEX('Linha 06'!$B$4:$B$1000,B408)</f>
        <v>Limpa Vidros Aquafast Recarga Cx/12 X 500ml</v>
      </c>
      <c r="F408" cm="1">
        <f t="array" ref="F408">INDEX('Linha 06'!$C$3:$ZZ$3,C408)</f>
        <v>20110022</v>
      </c>
      <c r="G408" t="str" cm="1">
        <f t="array" ref="G408">INDEX('Linha 06'!$C$2:$ZZ$2,C408)</f>
        <v>Intermed Pack Multi Uso Lavand C/Alcool Cx/18 X 500ml</v>
      </c>
      <c r="H408" s="5" cm="1">
        <f t="array" ref="H408">INDEX('Linha 06'!$C$4:$ZZ$1000,B408,C408)</f>
        <v>0</v>
      </c>
    </row>
    <row r="409" spans="1:8" x14ac:dyDescent="0.25">
      <c r="A409">
        <v>407</v>
      </c>
      <c r="B409">
        <f t="shared" si="12"/>
        <v>11</v>
      </c>
      <c r="C409">
        <f t="shared" si="13"/>
        <v>27</v>
      </c>
      <c r="D409" cm="1">
        <f t="array" ref="D409">INDEX('Linha 06'!$A$4:$A$1000,B409)</f>
        <v>20070002</v>
      </c>
      <c r="E409" t="str" cm="1">
        <f t="array" ref="E409">INDEX('Linha 06'!$B$4:$B$1000,B409)</f>
        <v>Limpa Vidros Aquafast Recarga Cx/12 X 500ml</v>
      </c>
      <c r="F409" cm="1">
        <f t="array" ref="F409">INDEX('Linha 06'!$C$3:$ZZ$3,C409)</f>
        <v>20110023</v>
      </c>
      <c r="G409" t="str" cm="1">
        <f t="array" ref="G409">INDEX('Linha 06'!$C$2:$ZZ$2,C409)</f>
        <v>Multi Uso Aquafast Squeeze Cha Branco  Cx/12 X 500ml</v>
      </c>
      <c r="H409" s="5" cm="1">
        <f t="array" ref="H409">INDEX('Linha 06'!$C$4:$ZZ$1000,B409,C409)</f>
        <v>0</v>
      </c>
    </row>
    <row r="410" spans="1:8" x14ac:dyDescent="0.25">
      <c r="A410">
        <v>408</v>
      </c>
      <c r="B410">
        <f t="shared" si="12"/>
        <v>11</v>
      </c>
      <c r="C410">
        <f t="shared" si="13"/>
        <v>28</v>
      </c>
      <c r="D410" cm="1">
        <f t="array" ref="D410">INDEX('Linha 06'!$A$4:$A$1000,B410)</f>
        <v>20070002</v>
      </c>
      <c r="E410" t="str" cm="1">
        <f t="array" ref="E410">INDEX('Linha 06'!$B$4:$B$1000,B410)</f>
        <v>Limpa Vidros Aquafast Recarga Cx/12 X 500ml</v>
      </c>
      <c r="F410" cm="1">
        <f t="array" ref="F410">INDEX('Linha 06'!$C$3:$ZZ$3,C410)</f>
        <v>20110024</v>
      </c>
      <c r="G410" t="str" cm="1">
        <f t="array" ref="G410">INDEX('Linha 06'!$C$2:$ZZ$2,C410)</f>
        <v>Multi Uso Aquafast Squeeze Cha Branco Cx12 X 1l</v>
      </c>
      <c r="H410" s="5" cm="1">
        <f t="array" ref="H410">INDEX('Linha 06'!$C$4:$ZZ$1000,B410,C410)</f>
        <v>0</v>
      </c>
    </row>
    <row r="411" spans="1:8" x14ac:dyDescent="0.25">
      <c r="A411">
        <v>409</v>
      </c>
      <c r="B411">
        <f t="shared" si="12"/>
        <v>11</v>
      </c>
      <c r="C411">
        <f t="shared" si="13"/>
        <v>29</v>
      </c>
      <c r="D411" cm="1">
        <f t="array" ref="D411">INDEX('Linha 06'!$A$4:$A$1000,B411)</f>
        <v>20070002</v>
      </c>
      <c r="E411" t="str" cm="1">
        <f t="array" ref="E411">INDEX('Linha 06'!$B$4:$B$1000,B411)</f>
        <v>Limpa Vidros Aquafast Recarga Cx/12 X 500ml</v>
      </c>
      <c r="F411" cm="1">
        <f t="array" ref="F411">INDEX('Linha 06'!$C$3:$ZZ$3,C411)</f>
        <v>20110025</v>
      </c>
      <c r="G411" t="str" cm="1">
        <f t="array" ref="G411">INDEX('Linha 06'!$C$2:$ZZ$2,C411)</f>
        <v>Multi Uso Aquafast Pulverizador Original Cx/12 X 1l</v>
      </c>
      <c r="H411" s="5" cm="1">
        <f t="array" ref="H411">INDEX('Linha 06'!$C$4:$ZZ$1000,B411,C411)</f>
        <v>0</v>
      </c>
    </row>
    <row r="412" spans="1:8" x14ac:dyDescent="0.25">
      <c r="A412">
        <v>410</v>
      </c>
      <c r="B412">
        <f t="shared" si="12"/>
        <v>11</v>
      </c>
      <c r="C412">
        <f t="shared" si="13"/>
        <v>30</v>
      </c>
      <c r="D412" cm="1">
        <f t="array" ref="D412">INDEX('Linha 06'!$A$4:$A$1000,B412)</f>
        <v>20070002</v>
      </c>
      <c r="E412" t="str" cm="1">
        <f t="array" ref="E412">INDEX('Linha 06'!$B$4:$B$1000,B412)</f>
        <v>Limpa Vidros Aquafast Recarga Cx/12 X 500ml</v>
      </c>
      <c r="F412" cm="1">
        <f t="array" ref="F412">INDEX('Linha 06'!$C$3:$ZZ$3,C412)</f>
        <v>20110026</v>
      </c>
      <c r="G412" t="str" cm="1">
        <f t="array" ref="G412">INDEX('Linha 06'!$C$2:$ZZ$2,C412)</f>
        <v>Multi Uso Aquafast Pulverizador Poder O2 Cx/12 X 1l</v>
      </c>
      <c r="H412" s="5" cm="1">
        <f t="array" ref="H412">INDEX('Linha 06'!$C$4:$ZZ$1000,B412,C412)</f>
        <v>0</v>
      </c>
    </row>
    <row r="413" spans="1:8" x14ac:dyDescent="0.25">
      <c r="A413">
        <v>411</v>
      </c>
      <c r="B413">
        <f t="shared" si="12"/>
        <v>11</v>
      </c>
      <c r="C413">
        <f t="shared" si="13"/>
        <v>31</v>
      </c>
      <c r="D413" cm="1">
        <f t="array" ref="D413">INDEX('Linha 06'!$A$4:$A$1000,B413)</f>
        <v>20070002</v>
      </c>
      <c r="E413" t="str" cm="1">
        <f t="array" ref="E413">INDEX('Linha 06'!$B$4:$B$1000,B413)</f>
        <v>Limpa Vidros Aquafast Recarga Cx/12 X 500ml</v>
      </c>
      <c r="F413" cm="1">
        <f t="array" ref="F413">INDEX('Linha 06'!$C$3:$ZZ$3,C413)</f>
        <v>20110027</v>
      </c>
      <c r="G413" t="str" cm="1">
        <f t="array" ref="G413">INDEX('Linha 06'!$C$2:$ZZ$2,C413)</f>
        <v>Multi Uso Aquafast Pulverizador Poder O2 Cx/12 X 500ml</v>
      </c>
      <c r="H413" s="5" cm="1">
        <f t="array" ref="H413">INDEX('Linha 06'!$C$4:$ZZ$1000,B413,C413)</f>
        <v>0</v>
      </c>
    </row>
    <row r="414" spans="1:8" x14ac:dyDescent="0.25">
      <c r="A414">
        <v>412</v>
      </c>
      <c r="B414">
        <f t="shared" si="12"/>
        <v>11</v>
      </c>
      <c r="C414">
        <f t="shared" si="13"/>
        <v>32</v>
      </c>
      <c r="D414" cm="1">
        <f t="array" ref="D414">INDEX('Linha 06'!$A$4:$A$1000,B414)</f>
        <v>20070002</v>
      </c>
      <c r="E414" t="str" cm="1">
        <f t="array" ref="E414">INDEX('Linha 06'!$B$4:$B$1000,B414)</f>
        <v>Limpa Vidros Aquafast Recarga Cx/12 X 500ml</v>
      </c>
      <c r="F414" cm="1">
        <f t="array" ref="F414">INDEX('Linha 06'!$C$3:$ZZ$3,C414)</f>
        <v>20200073</v>
      </c>
      <c r="G414" t="str" cm="1">
        <f t="array" ref="G414">INDEX('Linha 06'!$C$2:$ZZ$2,C414)</f>
        <v>Lava Roupas Aquafast Lavagem Rapida Total Clean Cx/9 X 1,5l</v>
      </c>
      <c r="H414" s="5" cm="1">
        <f t="array" ref="H414">INDEX('Linha 06'!$C$4:$ZZ$1000,B414,C414)</f>
        <v>0</v>
      </c>
    </row>
    <row r="415" spans="1:8" x14ac:dyDescent="0.25">
      <c r="A415">
        <v>413</v>
      </c>
      <c r="B415">
        <f t="shared" si="12"/>
        <v>11</v>
      </c>
      <c r="C415">
        <f t="shared" si="13"/>
        <v>33</v>
      </c>
      <c r="D415" cm="1">
        <f t="array" ref="D415">INDEX('Linha 06'!$A$4:$A$1000,B415)</f>
        <v>20070002</v>
      </c>
      <c r="E415" t="str" cm="1">
        <f t="array" ref="E415">INDEX('Linha 06'!$B$4:$B$1000,B415)</f>
        <v>Limpa Vidros Aquafast Recarga Cx/12 X 500ml</v>
      </c>
      <c r="F415" cm="1">
        <f t="array" ref="F415">INDEX('Linha 06'!$C$3:$ZZ$3,C415)</f>
        <v>20200075</v>
      </c>
      <c r="G415" t="str" cm="1">
        <f t="array" ref="G415">INDEX('Linha 06'!$C$2:$ZZ$2,C415)</f>
        <v>Lava Roupas Aquafast Lavagem Rapida Fresh Clean Cx/9 X 1,5l</v>
      </c>
      <c r="H415" s="5" cm="1">
        <f t="array" ref="H415">INDEX('Linha 06'!$C$4:$ZZ$1000,B415,C415)</f>
        <v>0</v>
      </c>
    </row>
    <row r="416" spans="1:8" x14ac:dyDescent="0.25">
      <c r="A416">
        <v>414</v>
      </c>
      <c r="B416">
        <f t="shared" si="12"/>
        <v>11</v>
      </c>
      <c r="C416">
        <f t="shared" si="13"/>
        <v>34</v>
      </c>
      <c r="D416" cm="1">
        <f t="array" ref="D416">INDEX('Linha 06'!$A$4:$A$1000,B416)</f>
        <v>20070002</v>
      </c>
      <c r="E416" t="str" cm="1">
        <f t="array" ref="E416">INDEX('Linha 06'!$B$4:$B$1000,B416)</f>
        <v>Limpa Vidros Aquafast Recarga Cx/12 X 500ml</v>
      </c>
      <c r="F416" cm="1">
        <f t="array" ref="F416">INDEX('Linha 06'!$C$3:$ZZ$3,C416)</f>
        <v>20220018</v>
      </c>
      <c r="G416" t="str" cm="1">
        <f t="array" ref="G416">INDEX('Linha 06'!$C$2:$ZZ$2,C416)</f>
        <v>Intermed. Aromat. Amoras E Baunilha Cx C/ 12un 250ml</v>
      </c>
      <c r="H416" s="5" cm="1">
        <f t="array" ref="H416">INDEX('Linha 06'!$C$4:$ZZ$1000,B416,C416)</f>
        <v>0</v>
      </c>
    </row>
    <row r="417" spans="1:8" x14ac:dyDescent="0.25">
      <c r="A417">
        <v>415</v>
      </c>
      <c r="B417">
        <f t="shared" si="12"/>
        <v>11</v>
      </c>
      <c r="C417">
        <f t="shared" si="13"/>
        <v>35</v>
      </c>
      <c r="D417" cm="1">
        <f t="array" ref="D417">INDEX('Linha 06'!$A$4:$A$1000,B417)</f>
        <v>20070002</v>
      </c>
      <c r="E417" t="str" cm="1">
        <f t="array" ref="E417">INDEX('Linha 06'!$B$4:$B$1000,B417)</f>
        <v>Limpa Vidros Aquafast Recarga Cx/12 X 500ml</v>
      </c>
      <c r="F417" cm="1">
        <f t="array" ref="F417">INDEX('Linha 06'!$C$3:$ZZ$3,C417)</f>
        <v>20220019</v>
      </c>
      <c r="G417" t="str" cm="1">
        <f t="array" ref="G417">INDEX('Linha 06'!$C$2:$ZZ$2,C417)</f>
        <v>Intermed. Aromat. Figo E Cedro Cx C/ 12un 250ml</v>
      </c>
      <c r="H417" s="5" cm="1">
        <f t="array" ref="H417">INDEX('Linha 06'!$C$4:$ZZ$1000,B417,C417)</f>
        <v>0</v>
      </c>
    </row>
    <row r="418" spans="1:8" x14ac:dyDescent="0.25">
      <c r="A418">
        <v>416</v>
      </c>
      <c r="B418">
        <f t="shared" si="12"/>
        <v>11</v>
      </c>
      <c r="C418">
        <f t="shared" si="13"/>
        <v>36</v>
      </c>
      <c r="D418" cm="1">
        <f t="array" ref="D418">INDEX('Linha 06'!$A$4:$A$1000,B418)</f>
        <v>20070002</v>
      </c>
      <c r="E418" t="str" cm="1">
        <f t="array" ref="E418">INDEX('Linha 06'!$B$4:$B$1000,B418)</f>
        <v>Limpa Vidros Aquafast Recarga Cx/12 X 500ml</v>
      </c>
      <c r="F418" cm="1">
        <f t="array" ref="F418">INDEX('Linha 06'!$C$3:$ZZ$3,C418)</f>
        <v>20220020</v>
      </c>
      <c r="G418" t="str" cm="1">
        <f t="array" ref="G418">INDEX('Linha 06'!$C$2:$ZZ$2,C418)</f>
        <v>Intermed. Aromat. Rosas E Magnolias Cx C/ 12un 250ml</v>
      </c>
      <c r="H418" s="5" cm="1">
        <f t="array" ref="H418">INDEX('Linha 06'!$C$4:$ZZ$1000,B418,C418)</f>
        <v>0</v>
      </c>
    </row>
    <row r="419" spans="1:8" x14ac:dyDescent="0.25">
      <c r="A419">
        <v>417</v>
      </c>
      <c r="B419">
        <f t="shared" si="12"/>
        <v>11</v>
      </c>
      <c r="C419">
        <f t="shared" si="13"/>
        <v>37</v>
      </c>
      <c r="D419" cm="1">
        <f t="array" ref="D419">INDEX('Linha 06'!$A$4:$A$1000,B419)</f>
        <v>20070002</v>
      </c>
      <c r="E419" t="str" cm="1">
        <f t="array" ref="E419">INDEX('Linha 06'!$B$4:$B$1000,B419)</f>
        <v>Limpa Vidros Aquafast Recarga Cx/12 X 500ml</v>
      </c>
      <c r="F419" cm="1">
        <f t="array" ref="F419">INDEX('Linha 06'!$C$3:$ZZ$3,C419)</f>
        <v>20220021</v>
      </c>
      <c r="G419" t="str" cm="1">
        <f t="array" ref="G419">INDEX('Linha 06'!$C$2:$ZZ$2,C419)</f>
        <v>Intermed. Aromat. Flores Exoticas Cx C/ 12un 250ml</v>
      </c>
      <c r="H419" s="5" cm="1">
        <f t="array" ref="H419">INDEX('Linha 06'!$C$4:$ZZ$1000,B419,C419)</f>
        <v>0</v>
      </c>
    </row>
    <row r="420" spans="1:8" x14ac:dyDescent="0.25">
      <c r="A420">
        <v>418</v>
      </c>
      <c r="B420">
        <f t="shared" si="12"/>
        <v>11</v>
      </c>
      <c r="C420">
        <f t="shared" si="13"/>
        <v>38</v>
      </c>
      <c r="D420" cm="1">
        <f t="array" ref="D420">INDEX('Linha 06'!$A$4:$A$1000,B420)</f>
        <v>20070002</v>
      </c>
      <c r="E420" t="str" cm="1">
        <f t="array" ref="E420">INDEX('Linha 06'!$B$4:$B$1000,B420)</f>
        <v>Limpa Vidros Aquafast Recarga Cx/12 X 500ml</v>
      </c>
      <c r="F420" cm="1">
        <f t="array" ref="F420">INDEX('Linha 06'!$C$3:$ZZ$3,C420)</f>
        <v>20220022</v>
      </c>
      <c r="G420" t="str" cm="1">
        <f t="array" ref="G420">INDEX('Linha 06'!$C$2:$ZZ$2,C420)</f>
        <v>Intermed. Aromat. Cha Verde E Grapef Cx C/ 12un 250ml</v>
      </c>
      <c r="H420" s="5" cm="1">
        <f t="array" ref="H420">INDEX('Linha 06'!$C$4:$ZZ$1000,B420,C420)</f>
        <v>0</v>
      </c>
    </row>
    <row r="421" spans="1:8" x14ac:dyDescent="0.25">
      <c r="A421">
        <v>419</v>
      </c>
      <c r="B421">
        <f t="shared" si="12"/>
        <v>12</v>
      </c>
      <c r="C421">
        <f t="shared" si="13"/>
        <v>1</v>
      </c>
      <c r="D421" cm="1">
        <f t="array" ref="D421">INDEX('Linha 06'!$A$4:$A$1000,B421)</f>
        <v>20070006</v>
      </c>
      <c r="E421" t="str" cm="1">
        <f t="array" ref="E421">INDEX('Linha 06'!$B$4:$B$1000,B421)</f>
        <v>Limpa Vidros Ito Pulverizador Cx/12 X 500ml</v>
      </c>
      <c r="F421" cm="1">
        <f t="array" ref="F421">INDEX('Linha 06'!$C$3:$ZZ$3,C421)</f>
        <v>20060001</v>
      </c>
      <c r="G421" t="str" cm="1">
        <f t="array" ref="G421">INDEX('Linha 06'!$C$2:$ZZ$2,C421)</f>
        <v>Limp Perf Aquafast Magia Seducao Cx/12 X 500ml</v>
      </c>
      <c r="H421" s="5" cm="1">
        <f t="array" ref="H421">INDEX('Linha 06'!$C$4:$ZZ$1000,B421,C421)</f>
        <v>0</v>
      </c>
    </row>
    <row r="422" spans="1:8" x14ac:dyDescent="0.25">
      <c r="A422">
        <v>420</v>
      </c>
      <c r="B422">
        <f t="shared" si="12"/>
        <v>12</v>
      </c>
      <c r="C422">
        <f t="shared" si="13"/>
        <v>2</v>
      </c>
      <c r="D422" cm="1">
        <f t="array" ref="D422">INDEX('Linha 06'!$A$4:$A$1000,B422)</f>
        <v>20070006</v>
      </c>
      <c r="E422" t="str" cm="1">
        <f t="array" ref="E422">INDEX('Linha 06'!$B$4:$B$1000,B422)</f>
        <v>Limpa Vidros Ito Pulverizador Cx/12 X 500ml</v>
      </c>
      <c r="F422" cm="1">
        <f t="array" ref="F422">INDEX('Linha 06'!$C$3:$ZZ$3,C422)</f>
        <v>20060004</v>
      </c>
      <c r="G422" t="str" cm="1">
        <f t="array" ref="G422">INDEX('Linha 06'!$C$2:$ZZ$2,C422)</f>
        <v>Limp Perf Aquafast Magia Seducao Cx/12 X 1l</v>
      </c>
      <c r="H422" s="5" cm="1">
        <f t="array" ref="H422">INDEX('Linha 06'!$C$4:$ZZ$1000,B422,C422)</f>
        <v>0</v>
      </c>
    </row>
    <row r="423" spans="1:8" x14ac:dyDescent="0.25">
      <c r="A423">
        <v>421</v>
      </c>
      <c r="B423">
        <f t="shared" si="12"/>
        <v>12</v>
      </c>
      <c r="C423">
        <f t="shared" si="13"/>
        <v>3</v>
      </c>
      <c r="D423" cm="1">
        <f t="array" ref="D423">INDEX('Linha 06'!$A$4:$A$1000,B423)</f>
        <v>20070006</v>
      </c>
      <c r="E423" t="str" cm="1">
        <f t="array" ref="E423">INDEX('Linha 06'!$B$4:$B$1000,B423)</f>
        <v>Limpa Vidros Ito Pulverizador Cx/12 X 500ml</v>
      </c>
      <c r="F423" cm="1">
        <f t="array" ref="F423">INDEX('Linha 06'!$C$3:$ZZ$3,C423)</f>
        <v>20060010</v>
      </c>
      <c r="G423" t="str" cm="1">
        <f t="array" ref="G423">INDEX('Linha 06'!$C$2:$ZZ$2,C423)</f>
        <v>Limp Perf Aquafast Magia Da Infancia Cx/12 X 500ml</v>
      </c>
      <c r="H423" s="5" cm="1">
        <f t="array" ref="H423">INDEX('Linha 06'!$C$4:$ZZ$1000,B423,C423)</f>
        <v>0</v>
      </c>
    </row>
    <row r="424" spans="1:8" x14ac:dyDescent="0.25">
      <c r="A424">
        <v>422</v>
      </c>
      <c r="B424">
        <f t="shared" si="12"/>
        <v>12</v>
      </c>
      <c r="C424">
        <f t="shared" si="13"/>
        <v>4</v>
      </c>
      <c r="D424" cm="1">
        <f t="array" ref="D424">INDEX('Linha 06'!$A$4:$A$1000,B424)</f>
        <v>20070006</v>
      </c>
      <c r="E424" t="str" cm="1">
        <f t="array" ref="E424">INDEX('Linha 06'!$B$4:$B$1000,B424)</f>
        <v>Limpa Vidros Ito Pulverizador Cx/12 X 500ml</v>
      </c>
      <c r="F424" cm="1">
        <f t="array" ref="F424">INDEX('Linha 06'!$C$3:$ZZ$3,C424)</f>
        <v>20060011</v>
      </c>
      <c r="G424" t="str" cm="1">
        <f t="array" ref="G424">INDEX('Linha 06'!$C$2:$ZZ$2,C424)</f>
        <v>Limp Perf Aquafast Frescor Da Manha Cx/12 X 500ml</v>
      </c>
      <c r="H424" s="5" cm="1">
        <f t="array" ref="H424">INDEX('Linha 06'!$C$4:$ZZ$1000,B424,C424)</f>
        <v>0</v>
      </c>
    </row>
    <row r="425" spans="1:8" x14ac:dyDescent="0.25">
      <c r="A425">
        <v>423</v>
      </c>
      <c r="B425">
        <f t="shared" si="12"/>
        <v>12</v>
      </c>
      <c r="C425">
        <f t="shared" si="13"/>
        <v>5</v>
      </c>
      <c r="D425" cm="1">
        <f t="array" ref="D425">INDEX('Linha 06'!$A$4:$A$1000,B425)</f>
        <v>20070006</v>
      </c>
      <c r="E425" t="str" cm="1">
        <f t="array" ref="E425">INDEX('Linha 06'!$B$4:$B$1000,B425)</f>
        <v>Limpa Vidros Ito Pulverizador Cx/12 X 500ml</v>
      </c>
      <c r="F425" cm="1">
        <f t="array" ref="F425">INDEX('Linha 06'!$C$3:$ZZ$3,C425)</f>
        <v>20060012</v>
      </c>
      <c r="G425" t="str" cm="1">
        <f t="array" ref="G425">INDEX('Linha 06'!$C$2:$ZZ$2,C425)</f>
        <v>Limp Perf Aquafast Magia Da Infancia Cx/12 X 1l</v>
      </c>
      <c r="H425" s="5" cm="1">
        <f t="array" ref="H425">INDEX('Linha 06'!$C$4:$ZZ$1000,B425,C425)</f>
        <v>0</v>
      </c>
    </row>
    <row r="426" spans="1:8" x14ac:dyDescent="0.25">
      <c r="A426">
        <v>424</v>
      </c>
      <c r="B426">
        <f t="shared" si="12"/>
        <v>12</v>
      </c>
      <c r="C426">
        <f t="shared" si="13"/>
        <v>6</v>
      </c>
      <c r="D426" cm="1">
        <f t="array" ref="D426">INDEX('Linha 06'!$A$4:$A$1000,B426)</f>
        <v>20070006</v>
      </c>
      <c r="E426" t="str" cm="1">
        <f t="array" ref="E426">INDEX('Linha 06'!$B$4:$B$1000,B426)</f>
        <v>Limpa Vidros Ito Pulverizador Cx/12 X 500ml</v>
      </c>
      <c r="F426" cm="1">
        <f t="array" ref="F426">INDEX('Linha 06'!$C$3:$ZZ$3,C426)</f>
        <v>20060013</v>
      </c>
      <c r="G426" t="str" cm="1">
        <f t="array" ref="G426">INDEX('Linha 06'!$C$2:$ZZ$2,C426)</f>
        <v>Limp Perf Aquafast Frescor Da Manha Cx/12 X 1l</v>
      </c>
      <c r="H426" s="5" cm="1">
        <f t="array" ref="H426">INDEX('Linha 06'!$C$4:$ZZ$1000,B426,C426)</f>
        <v>0</v>
      </c>
    </row>
    <row r="427" spans="1:8" x14ac:dyDescent="0.25">
      <c r="A427">
        <v>425</v>
      </c>
      <c r="B427">
        <f t="shared" si="12"/>
        <v>12</v>
      </c>
      <c r="C427">
        <f t="shared" si="13"/>
        <v>7</v>
      </c>
      <c r="D427" cm="1">
        <f t="array" ref="D427">INDEX('Linha 06'!$A$4:$A$1000,B427)</f>
        <v>20070006</v>
      </c>
      <c r="E427" t="str" cm="1">
        <f t="array" ref="E427">INDEX('Linha 06'!$B$4:$B$1000,B427)</f>
        <v>Limpa Vidros Ito Pulverizador Cx/12 X 500ml</v>
      </c>
      <c r="F427" cm="1">
        <f t="array" ref="F427">INDEX('Linha 06'!$C$3:$ZZ$3,C427)</f>
        <v>20060015</v>
      </c>
      <c r="G427" t="str" cm="1">
        <f t="array" ref="G427">INDEX('Linha 06'!$C$2:$ZZ$2,C427)</f>
        <v>Limp Perf Aquafast Doce Romance Cx/12 X 500ml</v>
      </c>
      <c r="H427" s="5" cm="1">
        <f t="array" ref="H427">INDEX('Linha 06'!$C$4:$ZZ$1000,B427,C427)</f>
        <v>0</v>
      </c>
    </row>
    <row r="428" spans="1:8" x14ac:dyDescent="0.25">
      <c r="A428">
        <v>426</v>
      </c>
      <c r="B428">
        <f t="shared" si="12"/>
        <v>12</v>
      </c>
      <c r="C428">
        <f t="shared" si="13"/>
        <v>8</v>
      </c>
      <c r="D428" cm="1">
        <f t="array" ref="D428">INDEX('Linha 06'!$A$4:$A$1000,B428)</f>
        <v>20070006</v>
      </c>
      <c r="E428" t="str" cm="1">
        <f t="array" ref="E428">INDEX('Linha 06'!$B$4:$B$1000,B428)</f>
        <v>Limpa Vidros Ito Pulverizador Cx/12 X 500ml</v>
      </c>
      <c r="F428" cm="1">
        <f t="array" ref="F428">INDEX('Linha 06'!$C$3:$ZZ$3,C428)</f>
        <v>20060016</v>
      </c>
      <c r="G428" t="str" cm="1">
        <f t="array" ref="G428">INDEX('Linha 06'!$C$2:$ZZ$2,C428)</f>
        <v>Limp Perf Aquafast Doce Romance Cx/12 X 1l</v>
      </c>
      <c r="H428" s="5" cm="1">
        <f t="array" ref="H428">INDEX('Linha 06'!$C$4:$ZZ$1000,B428,C428)</f>
        <v>0</v>
      </c>
    </row>
    <row r="429" spans="1:8" x14ac:dyDescent="0.25">
      <c r="A429">
        <v>427</v>
      </c>
      <c r="B429">
        <f t="shared" si="12"/>
        <v>12</v>
      </c>
      <c r="C429">
        <f t="shared" si="13"/>
        <v>9</v>
      </c>
      <c r="D429" cm="1">
        <f t="array" ref="D429">INDEX('Linha 06'!$A$4:$A$1000,B429)</f>
        <v>20070006</v>
      </c>
      <c r="E429" t="str" cm="1">
        <f t="array" ref="E429">INDEX('Linha 06'!$B$4:$B$1000,B429)</f>
        <v>Limpa Vidros Ito Pulverizador Cx/12 X 500ml</v>
      </c>
      <c r="F429" cm="1">
        <f t="array" ref="F429">INDEX('Linha 06'!$C$3:$ZZ$3,C429)</f>
        <v>20060027</v>
      </c>
      <c r="G429" t="str" cm="1">
        <f t="array" ref="G429">INDEX('Linha 06'!$C$2:$ZZ$2,C429)</f>
        <v>Limp Perf Aquafast Essencia Natural Cx/12 X 1l</v>
      </c>
      <c r="H429" s="5" cm="1">
        <f t="array" ref="H429">INDEX('Linha 06'!$C$4:$ZZ$1000,B429,C429)</f>
        <v>0</v>
      </c>
    </row>
    <row r="430" spans="1:8" x14ac:dyDescent="0.25">
      <c r="A430">
        <v>428</v>
      </c>
      <c r="B430">
        <f t="shared" si="12"/>
        <v>12</v>
      </c>
      <c r="C430">
        <f t="shared" si="13"/>
        <v>10</v>
      </c>
      <c r="D430" cm="1">
        <f t="array" ref="D430">INDEX('Linha 06'!$A$4:$A$1000,B430)</f>
        <v>20070006</v>
      </c>
      <c r="E430" t="str" cm="1">
        <f t="array" ref="E430">INDEX('Linha 06'!$B$4:$B$1000,B430)</f>
        <v>Limpa Vidros Ito Pulverizador Cx/12 X 500ml</v>
      </c>
      <c r="F430" cm="1">
        <f t="array" ref="F430">INDEX('Linha 06'!$C$3:$ZZ$3,C430)</f>
        <v>20070001</v>
      </c>
      <c r="G430" t="str" cm="1">
        <f t="array" ref="G430">INDEX('Linha 06'!$C$2:$ZZ$2,C430)</f>
        <v>Limpa Vidros Aquafast Pulverizador Cx/12 X 500ml</v>
      </c>
      <c r="H430" s="5" cm="1">
        <f t="array" ref="H430">INDEX('Linha 06'!$C$4:$ZZ$1000,B430,C430)</f>
        <v>0</v>
      </c>
    </row>
    <row r="431" spans="1:8" x14ac:dyDescent="0.25">
      <c r="A431">
        <v>429</v>
      </c>
      <c r="B431">
        <f t="shared" si="12"/>
        <v>12</v>
      </c>
      <c r="C431">
        <f t="shared" si="13"/>
        <v>11</v>
      </c>
      <c r="D431" cm="1">
        <f t="array" ref="D431">INDEX('Linha 06'!$A$4:$A$1000,B431)</f>
        <v>20070006</v>
      </c>
      <c r="E431" t="str" cm="1">
        <f t="array" ref="E431">INDEX('Linha 06'!$B$4:$B$1000,B431)</f>
        <v>Limpa Vidros Ito Pulverizador Cx/12 X 500ml</v>
      </c>
      <c r="F431" cm="1">
        <f t="array" ref="F431">INDEX('Linha 06'!$C$3:$ZZ$3,C431)</f>
        <v>20070002</v>
      </c>
      <c r="G431" t="str" cm="1">
        <f t="array" ref="G431">INDEX('Linha 06'!$C$2:$ZZ$2,C431)</f>
        <v>Limpa Vidros Aquafast Recarga Cx/12 X 500ml</v>
      </c>
      <c r="H431" s="5" cm="1">
        <f t="array" ref="H431">INDEX('Linha 06'!$C$4:$ZZ$1000,B431,C431)</f>
        <v>0</v>
      </c>
    </row>
    <row r="432" spans="1:8" x14ac:dyDescent="0.25">
      <c r="A432">
        <v>430</v>
      </c>
      <c r="B432">
        <f t="shared" si="12"/>
        <v>12</v>
      </c>
      <c r="C432">
        <f t="shared" si="13"/>
        <v>12</v>
      </c>
      <c r="D432" cm="1">
        <f t="array" ref="D432">INDEX('Linha 06'!$A$4:$A$1000,B432)</f>
        <v>20070006</v>
      </c>
      <c r="E432" t="str" cm="1">
        <f t="array" ref="E432">INDEX('Linha 06'!$B$4:$B$1000,B432)</f>
        <v>Limpa Vidros Ito Pulverizador Cx/12 X 500ml</v>
      </c>
      <c r="F432" cm="1">
        <f t="array" ref="F432">INDEX('Linha 06'!$C$3:$ZZ$3,C432)</f>
        <v>20070006</v>
      </c>
      <c r="G432" t="str" cm="1">
        <f t="array" ref="G432">INDEX('Linha 06'!$C$2:$ZZ$2,C432)</f>
        <v>Limpa Vidros Ito Pulverizador Cx/12 X 500ml</v>
      </c>
      <c r="H432" s="5" cm="1">
        <f t="array" ref="H432">INDEX('Linha 06'!$C$4:$ZZ$1000,B432,C432)</f>
        <v>0</v>
      </c>
    </row>
    <row r="433" spans="1:8" x14ac:dyDescent="0.25">
      <c r="A433">
        <v>431</v>
      </c>
      <c r="B433">
        <f t="shared" si="12"/>
        <v>12</v>
      </c>
      <c r="C433">
        <f t="shared" si="13"/>
        <v>13</v>
      </c>
      <c r="D433" cm="1">
        <f t="array" ref="D433">INDEX('Linha 06'!$A$4:$A$1000,B433)</f>
        <v>20070006</v>
      </c>
      <c r="E433" t="str" cm="1">
        <f t="array" ref="E433">INDEX('Linha 06'!$B$4:$B$1000,B433)</f>
        <v>Limpa Vidros Ito Pulverizador Cx/12 X 500ml</v>
      </c>
      <c r="F433" cm="1">
        <f t="array" ref="F433">INDEX('Linha 06'!$C$3:$ZZ$3,C433)</f>
        <v>20070007</v>
      </c>
      <c r="G433" t="str" cm="1">
        <f t="array" ref="G433">INDEX('Linha 06'!$C$2:$ZZ$2,C433)</f>
        <v>Limpa Vidros Ito Recarga Cx/12 X 500ml</v>
      </c>
      <c r="H433" s="5" cm="1">
        <f t="array" ref="H433">INDEX('Linha 06'!$C$4:$ZZ$1000,B433,C433)</f>
        <v>0</v>
      </c>
    </row>
    <row r="434" spans="1:8" x14ac:dyDescent="0.25">
      <c r="A434">
        <v>432</v>
      </c>
      <c r="B434">
        <f t="shared" si="12"/>
        <v>12</v>
      </c>
      <c r="C434">
        <f t="shared" si="13"/>
        <v>14</v>
      </c>
      <c r="D434" cm="1">
        <f t="array" ref="D434">INDEX('Linha 06'!$A$4:$A$1000,B434)</f>
        <v>20070006</v>
      </c>
      <c r="E434" t="str" cm="1">
        <f t="array" ref="E434">INDEX('Linha 06'!$B$4:$B$1000,B434)</f>
        <v>Limpa Vidros Ito Pulverizador Cx/12 X 500ml</v>
      </c>
      <c r="F434" cm="1">
        <f t="array" ref="F434">INDEX('Linha 06'!$C$3:$ZZ$3,C434)</f>
        <v>20070008</v>
      </c>
      <c r="G434" t="str" cm="1">
        <f t="array" ref="G434">INDEX('Linha 06'!$C$2:$ZZ$2,C434)</f>
        <v>Limpa Vidros Aquafast Squeeze Cx/12 X 500ml</v>
      </c>
      <c r="H434" s="5" cm="1">
        <f t="array" ref="H434">INDEX('Linha 06'!$C$4:$ZZ$1000,B434,C434)</f>
        <v>0</v>
      </c>
    </row>
    <row r="435" spans="1:8" x14ac:dyDescent="0.25">
      <c r="A435">
        <v>433</v>
      </c>
      <c r="B435">
        <f t="shared" si="12"/>
        <v>12</v>
      </c>
      <c r="C435">
        <f t="shared" si="13"/>
        <v>15</v>
      </c>
      <c r="D435" cm="1">
        <f t="array" ref="D435">INDEX('Linha 06'!$A$4:$A$1000,B435)</f>
        <v>20070006</v>
      </c>
      <c r="E435" t="str" cm="1">
        <f t="array" ref="E435">INDEX('Linha 06'!$B$4:$B$1000,B435)</f>
        <v>Limpa Vidros Ito Pulverizador Cx/12 X 500ml</v>
      </c>
      <c r="F435" cm="1">
        <f t="array" ref="F435">INDEX('Linha 06'!$C$3:$ZZ$3,C435)</f>
        <v>20090001</v>
      </c>
      <c r="G435" t="str" cm="1">
        <f t="array" ref="G435">INDEX('Linha 06'!$C$2:$ZZ$2,C435)</f>
        <v>Desengordurante Aquafast Pulverizador Cx/12 X 500ml</v>
      </c>
      <c r="H435" s="5" cm="1">
        <f t="array" ref="H435">INDEX('Linha 06'!$C$4:$ZZ$1000,B435,C435)</f>
        <v>0</v>
      </c>
    </row>
    <row r="436" spans="1:8" x14ac:dyDescent="0.25">
      <c r="A436">
        <v>434</v>
      </c>
      <c r="B436">
        <f t="shared" si="12"/>
        <v>12</v>
      </c>
      <c r="C436">
        <f t="shared" si="13"/>
        <v>16</v>
      </c>
      <c r="D436" cm="1">
        <f t="array" ref="D436">INDEX('Linha 06'!$A$4:$A$1000,B436)</f>
        <v>20070006</v>
      </c>
      <c r="E436" t="str" cm="1">
        <f t="array" ref="E436">INDEX('Linha 06'!$B$4:$B$1000,B436)</f>
        <v>Limpa Vidros Ito Pulverizador Cx/12 X 500ml</v>
      </c>
      <c r="F436" cm="1">
        <f t="array" ref="F436">INDEX('Linha 06'!$C$3:$ZZ$3,C436)</f>
        <v>20090002</v>
      </c>
      <c r="G436" t="str" cm="1">
        <f t="array" ref="G436">INDEX('Linha 06'!$C$2:$ZZ$2,C436)</f>
        <v>Desengordurante Aquafast Recarga Cx/12 X 500ml</v>
      </c>
      <c r="H436" s="5" cm="1">
        <f t="array" ref="H436">INDEX('Linha 06'!$C$4:$ZZ$1000,B436,C436)</f>
        <v>0</v>
      </c>
    </row>
    <row r="437" spans="1:8" x14ac:dyDescent="0.25">
      <c r="A437">
        <v>435</v>
      </c>
      <c r="B437">
        <f t="shared" si="12"/>
        <v>12</v>
      </c>
      <c r="C437">
        <f t="shared" si="13"/>
        <v>17</v>
      </c>
      <c r="D437" cm="1">
        <f t="array" ref="D437">INDEX('Linha 06'!$A$4:$A$1000,B437)</f>
        <v>20070006</v>
      </c>
      <c r="E437" t="str" cm="1">
        <f t="array" ref="E437">INDEX('Linha 06'!$B$4:$B$1000,B437)</f>
        <v>Limpa Vidros Ito Pulverizador Cx/12 X 500ml</v>
      </c>
      <c r="F437" cm="1">
        <f t="array" ref="F437">INDEX('Linha 06'!$C$3:$ZZ$3,C437)</f>
        <v>20090004</v>
      </c>
      <c r="G437" t="str" cm="1">
        <f t="array" ref="G437">INDEX('Linha 06'!$C$2:$ZZ$2,C437)</f>
        <v>Desengordurante Aquafast Squeeze Cx C/12 X 500ml</v>
      </c>
      <c r="H437" s="5" cm="1">
        <f t="array" ref="H437">INDEX('Linha 06'!$C$4:$ZZ$1000,B437,C437)</f>
        <v>0</v>
      </c>
    </row>
    <row r="438" spans="1:8" x14ac:dyDescent="0.25">
      <c r="A438">
        <v>436</v>
      </c>
      <c r="B438">
        <f t="shared" si="12"/>
        <v>12</v>
      </c>
      <c r="C438">
        <f t="shared" si="13"/>
        <v>18</v>
      </c>
      <c r="D438" cm="1">
        <f t="array" ref="D438">INDEX('Linha 06'!$A$4:$A$1000,B438)</f>
        <v>20070006</v>
      </c>
      <c r="E438" t="str" cm="1">
        <f t="array" ref="E438">INDEX('Linha 06'!$B$4:$B$1000,B438)</f>
        <v>Limpa Vidros Ito Pulverizador Cx/12 X 500ml</v>
      </c>
      <c r="F438" cm="1">
        <f t="array" ref="F438">INDEX('Linha 06'!$C$3:$ZZ$3,C438)</f>
        <v>20090005</v>
      </c>
      <c r="G438" t="str" cm="1">
        <f t="array" ref="G438">INDEX('Linha 06'!$C$2:$ZZ$2,C438)</f>
        <v>Desengordurante Aquafast Squeeze Cx C/12 X 1l</v>
      </c>
      <c r="H438" s="5" cm="1">
        <f t="array" ref="H438">INDEX('Linha 06'!$C$4:$ZZ$1000,B438,C438)</f>
        <v>0</v>
      </c>
    </row>
    <row r="439" spans="1:8" x14ac:dyDescent="0.25">
      <c r="A439">
        <v>437</v>
      </c>
      <c r="B439">
        <f t="shared" si="12"/>
        <v>12</v>
      </c>
      <c r="C439">
        <f t="shared" si="13"/>
        <v>19</v>
      </c>
      <c r="D439" cm="1">
        <f t="array" ref="D439">INDEX('Linha 06'!$A$4:$A$1000,B439)</f>
        <v>20070006</v>
      </c>
      <c r="E439" t="str" cm="1">
        <f t="array" ref="E439">INDEX('Linha 06'!$B$4:$B$1000,B439)</f>
        <v>Limpa Vidros Ito Pulverizador Cx/12 X 500ml</v>
      </c>
      <c r="F439" cm="1">
        <f t="array" ref="F439">INDEX('Linha 06'!$C$3:$ZZ$3,C439)</f>
        <v>20090010</v>
      </c>
      <c r="G439" t="str" cm="1">
        <f t="array" ref="G439">INDEX('Linha 06'!$C$2:$ZZ$2,C439)</f>
        <v>Intermed Pack Desengord Squeeze Cx C/18 X 500ml</v>
      </c>
      <c r="H439" s="5" cm="1">
        <f t="array" ref="H439">INDEX('Linha 06'!$C$4:$ZZ$1000,B439,C439)</f>
        <v>0</v>
      </c>
    </row>
    <row r="440" spans="1:8" x14ac:dyDescent="0.25">
      <c r="A440">
        <v>438</v>
      </c>
      <c r="B440">
        <f t="shared" si="12"/>
        <v>12</v>
      </c>
      <c r="C440">
        <f t="shared" si="13"/>
        <v>20</v>
      </c>
      <c r="D440" cm="1">
        <f t="array" ref="D440">INDEX('Linha 06'!$A$4:$A$1000,B440)</f>
        <v>20070006</v>
      </c>
      <c r="E440" t="str" cm="1">
        <f t="array" ref="E440">INDEX('Linha 06'!$B$4:$B$1000,B440)</f>
        <v>Limpa Vidros Ito Pulverizador Cx/12 X 500ml</v>
      </c>
      <c r="F440" cm="1">
        <f t="array" ref="F440">INDEX('Linha 06'!$C$3:$ZZ$3,C440)</f>
        <v>20110002</v>
      </c>
      <c r="G440" t="str" cm="1">
        <f t="array" ref="G440">INDEX('Linha 06'!$C$2:$ZZ$2,C440)</f>
        <v>Multi Uso Aquafast Squeeze Original Cx/12 X 500ml</v>
      </c>
      <c r="H440" s="5" cm="1">
        <f t="array" ref="H440">INDEX('Linha 06'!$C$4:$ZZ$1000,B440,C440)</f>
        <v>0</v>
      </c>
    </row>
    <row r="441" spans="1:8" x14ac:dyDescent="0.25">
      <c r="A441">
        <v>439</v>
      </c>
      <c r="B441">
        <f t="shared" si="12"/>
        <v>12</v>
      </c>
      <c r="C441">
        <f t="shared" si="13"/>
        <v>21</v>
      </c>
      <c r="D441" cm="1">
        <f t="array" ref="D441">INDEX('Linha 06'!$A$4:$A$1000,B441)</f>
        <v>20070006</v>
      </c>
      <c r="E441" t="str" cm="1">
        <f t="array" ref="E441">INDEX('Linha 06'!$B$4:$B$1000,B441)</f>
        <v>Limpa Vidros Ito Pulverizador Cx/12 X 500ml</v>
      </c>
      <c r="F441" cm="1">
        <f t="array" ref="F441">INDEX('Linha 06'!$C$3:$ZZ$3,C441)</f>
        <v>20110004</v>
      </c>
      <c r="G441" t="str" cm="1">
        <f t="array" ref="G441">INDEX('Linha 06'!$C$2:$ZZ$2,C441)</f>
        <v>Multi Uso Aquafast Squeeze Lavanda Cx/12 X 500ml</v>
      </c>
      <c r="H441" s="5" cm="1">
        <f t="array" ref="H441">INDEX('Linha 06'!$C$4:$ZZ$1000,B441,C441)</f>
        <v>0</v>
      </c>
    </row>
    <row r="442" spans="1:8" x14ac:dyDescent="0.25">
      <c r="A442">
        <v>440</v>
      </c>
      <c r="B442">
        <f t="shared" si="12"/>
        <v>12</v>
      </c>
      <c r="C442">
        <f t="shared" si="13"/>
        <v>22</v>
      </c>
      <c r="D442" cm="1">
        <f t="array" ref="D442">INDEX('Linha 06'!$A$4:$A$1000,B442)</f>
        <v>20070006</v>
      </c>
      <c r="E442" t="str" cm="1">
        <f t="array" ref="E442">INDEX('Linha 06'!$B$4:$B$1000,B442)</f>
        <v>Limpa Vidros Ito Pulverizador Cx/12 X 500ml</v>
      </c>
      <c r="F442" cm="1">
        <f t="array" ref="F442">INDEX('Linha 06'!$C$3:$ZZ$3,C442)</f>
        <v>20110007</v>
      </c>
      <c r="G442" t="str" cm="1">
        <f t="array" ref="G442">INDEX('Linha 06'!$C$2:$ZZ$2,C442)</f>
        <v>Multi Uso Aquafast Squeeze Seducao Cx/12 X 500ml</v>
      </c>
      <c r="H442" s="5" cm="1">
        <f t="array" ref="H442">INDEX('Linha 06'!$C$4:$ZZ$1000,B442,C442)</f>
        <v>0</v>
      </c>
    </row>
    <row r="443" spans="1:8" x14ac:dyDescent="0.25">
      <c r="A443">
        <v>441</v>
      </c>
      <c r="B443">
        <f t="shared" si="12"/>
        <v>12</v>
      </c>
      <c r="C443">
        <f t="shared" si="13"/>
        <v>23</v>
      </c>
      <c r="D443" cm="1">
        <f t="array" ref="D443">INDEX('Linha 06'!$A$4:$A$1000,B443)</f>
        <v>20070006</v>
      </c>
      <c r="E443" t="str" cm="1">
        <f t="array" ref="E443">INDEX('Linha 06'!$B$4:$B$1000,B443)</f>
        <v>Limpa Vidros Ito Pulverizador Cx/12 X 500ml</v>
      </c>
      <c r="F443" cm="1">
        <f t="array" ref="F443">INDEX('Linha 06'!$C$3:$ZZ$3,C443)</f>
        <v>20110008</v>
      </c>
      <c r="G443" t="str" cm="1">
        <f t="array" ref="G443">INDEX('Linha 06'!$C$2:$ZZ$2,C443)</f>
        <v>Multi Uso Aquafast Squeeze Original Cx/12 X 1l</v>
      </c>
      <c r="H443" s="5" cm="1">
        <f t="array" ref="H443">INDEX('Linha 06'!$C$4:$ZZ$1000,B443,C443)</f>
        <v>0</v>
      </c>
    </row>
    <row r="444" spans="1:8" x14ac:dyDescent="0.25">
      <c r="A444">
        <v>442</v>
      </c>
      <c r="B444">
        <f t="shared" si="12"/>
        <v>12</v>
      </c>
      <c r="C444">
        <f t="shared" si="13"/>
        <v>24</v>
      </c>
      <c r="D444" cm="1">
        <f t="array" ref="D444">INDEX('Linha 06'!$A$4:$A$1000,B444)</f>
        <v>20070006</v>
      </c>
      <c r="E444" t="str" cm="1">
        <f t="array" ref="E444">INDEX('Linha 06'!$B$4:$B$1000,B444)</f>
        <v>Limpa Vidros Ito Pulverizador Cx/12 X 500ml</v>
      </c>
      <c r="F444" cm="1">
        <f t="array" ref="F444">INDEX('Linha 06'!$C$3:$ZZ$3,C444)</f>
        <v>20110010</v>
      </c>
      <c r="G444" t="str" cm="1">
        <f t="array" ref="G444">INDEX('Linha 06'!$C$2:$ZZ$2,C444)</f>
        <v>Multi Uso Aquafast Squeeze Seducao Cx/12 1l</v>
      </c>
      <c r="H444" s="5" cm="1">
        <f t="array" ref="H444">INDEX('Linha 06'!$C$4:$ZZ$1000,B444,C444)</f>
        <v>0</v>
      </c>
    </row>
    <row r="445" spans="1:8" x14ac:dyDescent="0.25">
      <c r="A445">
        <v>443</v>
      </c>
      <c r="B445">
        <f t="shared" si="12"/>
        <v>12</v>
      </c>
      <c r="C445">
        <f t="shared" si="13"/>
        <v>25</v>
      </c>
      <c r="D445" cm="1">
        <f t="array" ref="D445">INDEX('Linha 06'!$A$4:$A$1000,B445)</f>
        <v>20070006</v>
      </c>
      <c r="E445" t="str" cm="1">
        <f t="array" ref="E445">INDEX('Linha 06'!$B$4:$B$1000,B445)</f>
        <v>Limpa Vidros Ito Pulverizador Cx/12 X 500ml</v>
      </c>
      <c r="F445" cm="1">
        <f t="array" ref="F445">INDEX('Linha 06'!$C$3:$ZZ$3,C445)</f>
        <v>20110013</v>
      </c>
      <c r="G445" t="str" cm="1">
        <f t="array" ref="G445">INDEX('Linha 06'!$C$2:$ZZ$2,C445)</f>
        <v>Multi Uso Aquafast Squeeze Lavanda Cx/12 X 1l</v>
      </c>
      <c r="H445" s="5" cm="1">
        <f t="array" ref="H445">INDEX('Linha 06'!$C$4:$ZZ$1000,B445,C445)</f>
        <v>0</v>
      </c>
    </row>
    <row r="446" spans="1:8" x14ac:dyDescent="0.25">
      <c r="A446">
        <v>444</v>
      </c>
      <c r="B446">
        <f t="shared" si="12"/>
        <v>12</v>
      </c>
      <c r="C446">
        <f t="shared" si="13"/>
        <v>26</v>
      </c>
      <c r="D446" cm="1">
        <f t="array" ref="D446">INDEX('Linha 06'!$A$4:$A$1000,B446)</f>
        <v>20070006</v>
      </c>
      <c r="E446" t="str" cm="1">
        <f t="array" ref="E446">INDEX('Linha 06'!$B$4:$B$1000,B446)</f>
        <v>Limpa Vidros Ito Pulverizador Cx/12 X 500ml</v>
      </c>
      <c r="F446" cm="1">
        <f t="array" ref="F446">INDEX('Linha 06'!$C$3:$ZZ$3,C446)</f>
        <v>20110022</v>
      </c>
      <c r="G446" t="str" cm="1">
        <f t="array" ref="G446">INDEX('Linha 06'!$C$2:$ZZ$2,C446)</f>
        <v>Intermed Pack Multi Uso Lavand C/Alcool Cx/18 X 500ml</v>
      </c>
      <c r="H446" s="5" cm="1">
        <f t="array" ref="H446">INDEX('Linha 06'!$C$4:$ZZ$1000,B446,C446)</f>
        <v>0</v>
      </c>
    </row>
    <row r="447" spans="1:8" x14ac:dyDescent="0.25">
      <c r="A447">
        <v>445</v>
      </c>
      <c r="B447">
        <f t="shared" si="12"/>
        <v>12</v>
      </c>
      <c r="C447">
        <f t="shared" si="13"/>
        <v>27</v>
      </c>
      <c r="D447" cm="1">
        <f t="array" ref="D447">INDEX('Linha 06'!$A$4:$A$1000,B447)</f>
        <v>20070006</v>
      </c>
      <c r="E447" t="str" cm="1">
        <f t="array" ref="E447">INDEX('Linha 06'!$B$4:$B$1000,B447)</f>
        <v>Limpa Vidros Ito Pulverizador Cx/12 X 500ml</v>
      </c>
      <c r="F447" cm="1">
        <f t="array" ref="F447">INDEX('Linha 06'!$C$3:$ZZ$3,C447)</f>
        <v>20110023</v>
      </c>
      <c r="G447" t="str" cm="1">
        <f t="array" ref="G447">INDEX('Linha 06'!$C$2:$ZZ$2,C447)</f>
        <v>Multi Uso Aquafast Squeeze Cha Branco  Cx/12 X 500ml</v>
      </c>
      <c r="H447" s="5" cm="1">
        <f t="array" ref="H447">INDEX('Linha 06'!$C$4:$ZZ$1000,B447,C447)</f>
        <v>0</v>
      </c>
    </row>
    <row r="448" spans="1:8" x14ac:dyDescent="0.25">
      <c r="A448">
        <v>446</v>
      </c>
      <c r="B448">
        <f t="shared" si="12"/>
        <v>12</v>
      </c>
      <c r="C448">
        <f t="shared" si="13"/>
        <v>28</v>
      </c>
      <c r="D448" cm="1">
        <f t="array" ref="D448">INDEX('Linha 06'!$A$4:$A$1000,B448)</f>
        <v>20070006</v>
      </c>
      <c r="E448" t="str" cm="1">
        <f t="array" ref="E448">INDEX('Linha 06'!$B$4:$B$1000,B448)</f>
        <v>Limpa Vidros Ito Pulverizador Cx/12 X 500ml</v>
      </c>
      <c r="F448" cm="1">
        <f t="array" ref="F448">INDEX('Linha 06'!$C$3:$ZZ$3,C448)</f>
        <v>20110024</v>
      </c>
      <c r="G448" t="str" cm="1">
        <f t="array" ref="G448">INDEX('Linha 06'!$C$2:$ZZ$2,C448)</f>
        <v>Multi Uso Aquafast Squeeze Cha Branco Cx12 X 1l</v>
      </c>
      <c r="H448" s="5" cm="1">
        <f t="array" ref="H448">INDEX('Linha 06'!$C$4:$ZZ$1000,B448,C448)</f>
        <v>0</v>
      </c>
    </row>
    <row r="449" spans="1:8" x14ac:dyDescent="0.25">
      <c r="A449">
        <v>447</v>
      </c>
      <c r="B449">
        <f t="shared" si="12"/>
        <v>12</v>
      </c>
      <c r="C449">
        <f t="shared" si="13"/>
        <v>29</v>
      </c>
      <c r="D449" cm="1">
        <f t="array" ref="D449">INDEX('Linha 06'!$A$4:$A$1000,B449)</f>
        <v>20070006</v>
      </c>
      <c r="E449" t="str" cm="1">
        <f t="array" ref="E449">INDEX('Linha 06'!$B$4:$B$1000,B449)</f>
        <v>Limpa Vidros Ito Pulverizador Cx/12 X 500ml</v>
      </c>
      <c r="F449" cm="1">
        <f t="array" ref="F449">INDEX('Linha 06'!$C$3:$ZZ$3,C449)</f>
        <v>20110025</v>
      </c>
      <c r="G449" t="str" cm="1">
        <f t="array" ref="G449">INDEX('Linha 06'!$C$2:$ZZ$2,C449)</f>
        <v>Multi Uso Aquafast Pulverizador Original Cx/12 X 1l</v>
      </c>
      <c r="H449" s="5" cm="1">
        <f t="array" ref="H449">INDEX('Linha 06'!$C$4:$ZZ$1000,B449,C449)</f>
        <v>0</v>
      </c>
    </row>
    <row r="450" spans="1:8" x14ac:dyDescent="0.25">
      <c r="A450">
        <v>448</v>
      </c>
      <c r="B450">
        <f t="shared" si="12"/>
        <v>12</v>
      </c>
      <c r="C450">
        <f t="shared" si="13"/>
        <v>30</v>
      </c>
      <c r="D450" cm="1">
        <f t="array" ref="D450">INDEX('Linha 06'!$A$4:$A$1000,B450)</f>
        <v>20070006</v>
      </c>
      <c r="E450" t="str" cm="1">
        <f t="array" ref="E450">INDEX('Linha 06'!$B$4:$B$1000,B450)</f>
        <v>Limpa Vidros Ito Pulverizador Cx/12 X 500ml</v>
      </c>
      <c r="F450" cm="1">
        <f t="array" ref="F450">INDEX('Linha 06'!$C$3:$ZZ$3,C450)</f>
        <v>20110026</v>
      </c>
      <c r="G450" t="str" cm="1">
        <f t="array" ref="G450">INDEX('Linha 06'!$C$2:$ZZ$2,C450)</f>
        <v>Multi Uso Aquafast Pulverizador Poder O2 Cx/12 X 1l</v>
      </c>
      <c r="H450" s="5" cm="1">
        <f t="array" ref="H450">INDEX('Linha 06'!$C$4:$ZZ$1000,B450,C450)</f>
        <v>0</v>
      </c>
    </row>
    <row r="451" spans="1:8" x14ac:dyDescent="0.25">
      <c r="A451">
        <v>449</v>
      </c>
      <c r="B451">
        <f t="shared" si="12"/>
        <v>12</v>
      </c>
      <c r="C451">
        <f t="shared" si="13"/>
        <v>31</v>
      </c>
      <c r="D451" cm="1">
        <f t="array" ref="D451">INDEX('Linha 06'!$A$4:$A$1000,B451)</f>
        <v>20070006</v>
      </c>
      <c r="E451" t="str" cm="1">
        <f t="array" ref="E451">INDEX('Linha 06'!$B$4:$B$1000,B451)</f>
        <v>Limpa Vidros Ito Pulverizador Cx/12 X 500ml</v>
      </c>
      <c r="F451" cm="1">
        <f t="array" ref="F451">INDEX('Linha 06'!$C$3:$ZZ$3,C451)</f>
        <v>20110027</v>
      </c>
      <c r="G451" t="str" cm="1">
        <f t="array" ref="G451">INDEX('Linha 06'!$C$2:$ZZ$2,C451)</f>
        <v>Multi Uso Aquafast Pulverizador Poder O2 Cx/12 X 500ml</v>
      </c>
      <c r="H451" s="5" cm="1">
        <f t="array" ref="H451">INDEX('Linha 06'!$C$4:$ZZ$1000,B451,C451)</f>
        <v>0</v>
      </c>
    </row>
    <row r="452" spans="1:8" x14ac:dyDescent="0.25">
      <c r="A452">
        <v>450</v>
      </c>
      <c r="B452">
        <f t="shared" ref="B452:B515" si="14">INT((A452-1)/$B$1)+1</f>
        <v>12</v>
      </c>
      <c r="C452">
        <f t="shared" ref="C452:C515" si="15">MOD(A452-1,$B$1)+1</f>
        <v>32</v>
      </c>
      <c r="D452" cm="1">
        <f t="array" ref="D452">INDEX('Linha 06'!$A$4:$A$1000,B452)</f>
        <v>20070006</v>
      </c>
      <c r="E452" t="str" cm="1">
        <f t="array" ref="E452">INDEX('Linha 06'!$B$4:$B$1000,B452)</f>
        <v>Limpa Vidros Ito Pulverizador Cx/12 X 500ml</v>
      </c>
      <c r="F452" cm="1">
        <f t="array" ref="F452">INDEX('Linha 06'!$C$3:$ZZ$3,C452)</f>
        <v>20200073</v>
      </c>
      <c r="G452" t="str" cm="1">
        <f t="array" ref="G452">INDEX('Linha 06'!$C$2:$ZZ$2,C452)</f>
        <v>Lava Roupas Aquafast Lavagem Rapida Total Clean Cx/9 X 1,5l</v>
      </c>
      <c r="H452" s="5" cm="1">
        <f t="array" ref="H452">INDEX('Linha 06'!$C$4:$ZZ$1000,B452,C452)</f>
        <v>0</v>
      </c>
    </row>
    <row r="453" spans="1:8" x14ac:dyDescent="0.25">
      <c r="A453">
        <v>451</v>
      </c>
      <c r="B453">
        <f t="shared" si="14"/>
        <v>12</v>
      </c>
      <c r="C453">
        <f t="shared" si="15"/>
        <v>33</v>
      </c>
      <c r="D453" cm="1">
        <f t="array" ref="D453">INDEX('Linha 06'!$A$4:$A$1000,B453)</f>
        <v>20070006</v>
      </c>
      <c r="E453" t="str" cm="1">
        <f t="array" ref="E453">INDEX('Linha 06'!$B$4:$B$1000,B453)</f>
        <v>Limpa Vidros Ito Pulverizador Cx/12 X 500ml</v>
      </c>
      <c r="F453" cm="1">
        <f t="array" ref="F453">INDEX('Linha 06'!$C$3:$ZZ$3,C453)</f>
        <v>20200075</v>
      </c>
      <c r="G453" t="str" cm="1">
        <f t="array" ref="G453">INDEX('Linha 06'!$C$2:$ZZ$2,C453)</f>
        <v>Lava Roupas Aquafast Lavagem Rapida Fresh Clean Cx/9 X 1,5l</v>
      </c>
      <c r="H453" s="5" cm="1">
        <f t="array" ref="H453">INDEX('Linha 06'!$C$4:$ZZ$1000,B453,C453)</f>
        <v>0</v>
      </c>
    </row>
    <row r="454" spans="1:8" x14ac:dyDescent="0.25">
      <c r="A454">
        <v>452</v>
      </c>
      <c r="B454">
        <f t="shared" si="14"/>
        <v>12</v>
      </c>
      <c r="C454">
        <f t="shared" si="15"/>
        <v>34</v>
      </c>
      <c r="D454" cm="1">
        <f t="array" ref="D454">INDEX('Linha 06'!$A$4:$A$1000,B454)</f>
        <v>20070006</v>
      </c>
      <c r="E454" t="str" cm="1">
        <f t="array" ref="E454">INDEX('Linha 06'!$B$4:$B$1000,B454)</f>
        <v>Limpa Vidros Ito Pulverizador Cx/12 X 500ml</v>
      </c>
      <c r="F454" cm="1">
        <f t="array" ref="F454">INDEX('Linha 06'!$C$3:$ZZ$3,C454)</f>
        <v>20220018</v>
      </c>
      <c r="G454" t="str" cm="1">
        <f t="array" ref="G454">INDEX('Linha 06'!$C$2:$ZZ$2,C454)</f>
        <v>Intermed. Aromat. Amoras E Baunilha Cx C/ 12un 250ml</v>
      </c>
      <c r="H454" s="5" cm="1">
        <f t="array" ref="H454">INDEX('Linha 06'!$C$4:$ZZ$1000,B454,C454)</f>
        <v>0</v>
      </c>
    </row>
    <row r="455" spans="1:8" x14ac:dyDescent="0.25">
      <c r="A455">
        <v>453</v>
      </c>
      <c r="B455">
        <f t="shared" si="14"/>
        <v>12</v>
      </c>
      <c r="C455">
        <f t="shared" si="15"/>
        <v>35</v>
      </c>
      <c r="D455" cm="1">
        <f t="array" ref="D455">INDEX('Linha 06'!$A$4:$A$1000,B455)</f>
        <v>20070006</v>
      </c>
      <c r="E455" t="str" cm="1">
        <f t="array" ref="E455">INDEX('Linha 06'!$B$4:$B$1000,B455)</f>
        <v>Limpa Vidros Ito Pulverizador Cx/12 X 500ml</v>
      </c>
      <c r="F455" cm="1">
        <f t="array" ref="F455">INDEX('Linha 06'!$C$3:$ZZ$3,C455)</f>
        <v>20220019</v>
      </c>
      <c r="G455" t="str" cm="1">
        <f t="array" ref="G455">INDEX('Linha 06'!$C$2:$ZZ$2,C455)</f>
        <v>Intermed. Aromat. Figo E Cedro Cx C/ 12un 250ml</v>
      </c>
      <c r="H455" s="5" cm="1">
        <f t="array" ref="H455">INDEX('Linha 06'!$C$4:$ZZ$1000,B455,C455)</f>
        <v>0</v>
      </c>
    </row>
    <row r="456" spans="1:8" x14ac:dyDescent="0.25">
      <c r="A456">
        <v>454</v>
      </c>
      <c r="B456">
        <f t="shared" si="14"/>
        <v>12</v>
      </c>
      <c r="C456">
        <f t="shared" si="15"/>
        <v>36</v>
      </c>
      <c r="D456" cm="1">
        <f t="array" ref="D456">INDEX('Linha 06'!$A$4:$A$1000,B456)</f>
        <v>20070006</v>
      </c>
      <c r="E456" t="str" cm="1">
        <f t="array" ref="E456">INDEX('Linha 06'!$B$4:$B$1000,B456)</f>
        <v>Limpa Vidros Ito Pulverizador Cx/12 X 500ml</v>
      </c>
      <c r="F456" cm="1">
        <f t="array" ref="F456">INDEX('Linha 06'!$C$3:$ZZ$3,C456)</f>
        <v>20220020</v>
      </c>
      <c r="G456" t="str" cm="1">
        <f t="array" ref="G456">INDEX('Linha 06'!$C$2:$ZZ$2,C456)</f>
        <v>Intermed. Aromat. Rosas E Magnolias Cx C/ 12un 250ml</v>
      </c>
      <c r="H456" s="5" cm="1">
        <f t="array" ref="H456">INDEX('Linha 06'!$C$4:$ZZ$1000,B456,C456)</f>
        <v>0</v>
      </c>
    </row>
    <row r="457" spans="1:8" x14ac:dyDescent="0.25">
      <c r="A457">
        <v>455</v>
      </c>
      <c r="B457">
        <f t="shared" si="14"/>
        <v>12</v>
      </c>
      <c r="C457">
        <f t="shared" si="15"/>
        <v>37</v>
      </c>
      <c r="D457" cm="1">
        <f t="array" ref="D457">INDEX('Linha 06'!$A$4:$A$1000,B457)</f>
        <v>20070006</v>
      </c>
      <c r="E457" t="str" cm="1">
        <f t="array" ref="E457">INDEX('Linha 06'!$B$4:$B$1000,B457)</f>
        <v>Limpa Vidros Ito Pulverizador Cx/12 X 500ml</v>
      </c>
      <c r="F457" cm="1">
        <f t="array" ref="F457">INDEX('Linha 06'!$C$3:$ZZ$3,C457)</f>
        <v>20220021</v>
      </c>
      <c r="G457" t="str" cm="1">
        <f t="array" ref="G457">INDEX('Linha 06'!$C$2:$ZZ$2,C457)</f>
        <v>Intermed. Aromat. Flores Exoticas Cx C/ 12un 250ml</v>
      </c>
      <c r="H457" s="5" cm="1">
        <f t="array" ref="H457">INDEX('Linha 06'!$C$4:$ZZ$1000,B457,C457)</f>
        <v>0</v>
      </c>
    </row>
    <row r="458" spans="1:8" x14ac:dyDescent="0.25">
      <c r="A458">
        <v>456</v>
      </c>
      <c r="B458">
        <f t="shared" si="14"/>
        <v>12</v>
      </c>
      <c r="C458">
        <f t="shared" si="15"/>
        <v>38</v>
      </c>
      <c r="D458" cm="1">
        <f t="array" ref="D458">INDEX('Linha 06'!$A$4:$A$1000,B458)</f>
        <v>20070006</v>
      </c>
      <c r="E458" t="str" cm="1">
        <f t="array" ref="E458">INDEX('Linha 06'!$B$4:$B$1000,B458)</f>
        <v>Limpa Vidros Ito Pulverizador Cx/12 X 500ml</v>
      </c>
      <c r="F458" cm="1">
        <f t="array" ref="F458">INDEX('Linha 06'!$C$3:$ZZ$3,C458)</f>
        <v>20220022</v>
      </c>
      <c r="G458" t="str" cm="1">
        <f t="array" ref="G458">INDEX('Linha 06'!$C$2:$ZZ$2,C458)</f>
        <v>Intermed. Aromat. Cha Verde E Grapef Cx C/ 12un 250ml</v>
      </c>
      <c r="H458" s="5" cm="1">
        <f t="array" ref="H458">INDEX('Linha 06'!$C$4:$ZZ$1000,B458,C458)</f>
        <v>0</v>
      </c>
    </row>
    <row r="459" spans="1:8" x14ac:dyDescent="0.25">
      <c r="A459">
        <v>457</v>
      </c>
      <c r="B459">
        <f t="shared" si="14"/>
        <v>13</v>
      </c>
      <c r="C459">
        <f t="shared" si="15"/>
        <v>1</v>
      </c>
      <c r="D459" cm="1">
        <f t="array" ref="D459">INDEX('Linha 06'!$A$4:$A$1000,B459)</f>
        <v>20070007</v>
      </c>
      <c r="E459" t="str" cm="1">
        <f t="array" ref="E459">INDEX('Linha 06'!$B$4:$B$1000,B459)</f>
        <v>Limpa Vidros Ito Recarga Cx/12 X 500ml</v>
      </c>
      <c r="F459" cm="1">
        <f t="array" ref="F459">INDEX('Linha 06'!$C$3:$ZZ$3,C459)</f>
        <v>20060001</v>
      </c>
      <c r="G459" t="str" cm="1">
        <f t="array" ref="G459">INDEX('Linha 06'!$C$2:$ZZ$2,C459)</f>
        <v>Limp Perf Aquafast Magia Seducao Cx/12 X 500ml</v>
      </c>
      <c r="H459" s="5" cm="1">
        <f t="array" ref="H459">INDEX('Linha 06'!$C$4:$ZZ$1000,B459,C459)</f>
        <v>0</v>
      </c>
    </row>
    <row r="460" spans="1:8" x14ac:dyDescent="0.25">
      <c r="A460">
        <v>458</v>
      </c>
      <c r="B460">
        <f t="shared" si="14"/>
        <v>13</v>
      </c>
      <c r="C460">
        <f t="shared" si="15"/>
        <v>2</v>
      </c>
      <c r="D460" cm="1">
        <f t="array" ref="D460">INDEX('Linha 06'!$A$4:$A$1000,B460)</f>
        <v>20070007</v>
      </c>
      <c r="E460" t="str" cm="1">
        <f t="array" ref="E460">INDEX('Linha 06'!$B$4:$B$1000,B460)</f>
        <v>Limpa Vidros Ito Recarga Cx/12 X 500ml</v>
      </c>
      <c r="F460" cm="1">
        <f t="array" ref="F460">INDEX('Linha 06'!$C$3:$ZZ$3,C460)</f>
        <v>20060004</v>
      </c>
      <c r="G460" t="str" cm="1">
        <f t="array" ref="G460">INDEX('Linha 06'!$C$2:$ZZ$2,C460)</f>
        <v>Limp Perf Aquafast Magia Seducao Cx/12 X 1l</v>
      </c>
      <c r="H460" s="5" cm="1">
        <f t="array" ref="H460">INDEX('Linha 06'!$C$4:$ZZ$1000,B460,C460)</f>
        <v>0</v>
      </c>
    </row>
    <row r="461" spans="1:8" x14ac:dyDescent="0.25">
      <c r="A461">
        <v>459</v>
      </c>
      <c r="B461">
        <f t="shared" si="14"/>
        <v>13</v>
      </c>
      <c r="C461">
        <f t="shared" si="15"/>
        <v>3</v>
      </c>
      <c r="D461" cm="1">
        <f t="array" ref="D461">INDEX('Linha 06'!$A$4:$A$1000,B461)</f>
        <v>20070007</v>
      </c>
      <c r="E461" t="str" cm="1">
        <f t="array" ref="E461">INDEX('Linha 06'!$B$4:$B$1000,B461)</f>
        <v>Limpa Vidros Ito Recarga Cx/12 X 500ml</v>
      </c>
      <c r="F461" cm="1">
        <f t="array" ref="F461">INDEX('Linha 06'!$C$3:$ZZ$3,C461)</f>
        <v>20060010</v>
      </c>
      <c r="G461" t="str" cm="1">
        <f t="array" ref="G461">INDEX('Linha 06'!$C$2:$ZZ$2,C461)</f>
        <v>Limp Perf Aquafast Magia Da Infancia Cx/12 X 500ml</v>
      </c>
      <c r="H461" s="5" cm="1">
        <f t="array" ref="H461">INDEX('Linha 06'!$C$4:$ZZ$1000,B461,C461)</f>
        <v>0</v>
      </c>
    </row>
    <row r="462" spans="1:8" x14ac:dyDescent="0.25">
      <c r="A462">
        <v>460</v>
      </c>
      <c r="B462">
        <f t="shared" si="14"/>
        <v>13</v>
      </c>
      <c r="C462">
        <f t="shared" si="15"/>
        <v>4</v>
      </c>
      <c r="D462" cm="1">
        <f t="array" ref="D462">INDEX('Linha 06'!$A$4:$A$1000,B462)</f>
        <v>20070007</v>
      </c>
      <c r="E462" t="str" cm="1">
        <f t="array" ref="E462">INDEX('Linha 06'!$B$4:$B$1000,B462)</f>
        <v>Limpa Vidros Ito Recarga Cx/12 X 500ml</v>
      </c>
      <c r="F462" cm="1">
        <f t="array" ref="F462">INDEX('Linha 06'!$C$3:$ZZ$3,C462)</f>
        <v>20060011</v>
      </c>
      <c r="G462" t="str" cm="1">
        <f t="array" ref="G462">INDEX('Linha 06'!$C$2:$ZZ$2,C462)</f>
        <v>Limp Perf Aquafast Frescor Da Manha Cx/12 X 500ml</v>
      </c>
      <c r="H462" s="5" cm="1">
        <f t="array" ref="H462">INDEX('Linha 06'!$C$4:$ZZ$1000,B462,C462)</f>
        <v>0</v>
      </c>
    </row>
    <row r="463" spans="1:8" x14ac:dyDescent="0.25">
      <c r="A463">
        <v>461</v>
      </c>
      <c r="B463">
        <f t="shared" si="14"/>
        <v>13</v>
      </c>
      <c r="C463">
        <f t="shared" si="15"/>
        <v>5</v>
      </c>
      <c r="D463" cm="1">
        <f t="array" ref="D463">INDEX('Linha 06'!$A$4:$A$1000,B463)</f>
        <v>20070007</v>
      </c>
      <c r="E463" t="str" cm="1">
        <f t="array" ref="E463">INDEX('Linha 06'!$B$4:$B$1000,B463)</f>
        <v>Limpa Vidros Ito Recarga Cx/12 X 500ml</v>
      </c>
      <c r="F463" cm="1">
        <f t="array" ref="F463">INDEX('Linha 06'!$C$3:$ZZ$3,C463)</f>
        <v>20060012</v>
      </c>
      <c r="G463" t="str" cm="1">
        <f t="array" ref="G463">INDEX('Linha 06'!$C$2:$ZZ$2,C463)</f>
        <v>Limp Perf Aquafast Magia Da Infancia Cx/12 X 1l</v>
      </c>
      <c r="H463" s="5" cm="1">
        <f t="array" ref="H463">INDEX('Linha 06'!$C$4:$ZZ$1000,B463,C463)</f>
        <v>0</v>
      </c>
    </row>
    <row r="464" spans="1:8" x14ac:dyDescent="0.25">
      <c r="A464">
        <v>462</v>
      </c>
      <c r="B464">
        <f t="shared" si="14"/>
        <v>13</v>
      </c>
      <c r="C464">
        <f t="shared" si="15"/>
        <v>6</v>
      </c>
      <c r="D464" cm="1">
        <f t="array" ref="D464">INDEX('Linha 06'!$A$4:$A$1000,B464)</f>
        <v>20070007</v>
      </c>
      <c r="E464" t="str" cm="1">
        <f t="array" ref="E464">INDEX('Linha 06'!$B$4:$B$1000,B464)</f>
        <v>Limpa Vidros Ito Recarga Cx/12 X 500ml</v>
      </c>
      <c r="F464" cm="1">
        <f t="array" ref="F464">INDEX('Linha 06'!$C$3:$ZZ$3,C464)</f>
        <v>20060013</v>
      </c>
      <c r="G464" t="str" cm="1">
        <f t="array" ref="G464">INDEX('Linha 06'!$C$2:$ZZ$2,C464)</f>
        <v>Limp Perf Aquafast Frescor Da Manha Cx/12 X 1l</v>
      </c>
      <c r="H464" s="5" cm="1">
        <f t="array" ref="H464">INDEX('Linha 06'!$C$4:$ZZ$1000,B464,C464)</f>
        <v>0</v>
      </c>
    </row>
    <row r="465" spans="1:8" x14ac:dyDescent="0.25">
      <c r="A465">
        <v>463</v>
      </c>
      <c r="B465">
        <f t="shared" si="14"/>
        <v>13</v>
      </c>
      <c r="C465">
        <f t="shared" si="15"/>
        <v>7</v>
      </c>
      <c r="D465" cm="1">
        <f t="array" ref="D465">INDEX('Linha 06'!$A$4:$A$1000,B465)</f>
        <v>20070007</v>
      </c>
      <c r="E465" t="str" cm="1">
        <f t="array" ref="E465">INDEX('Linha 06'!$B$4:$B$1000,B465)</f>
        <v>Limpa Vidros Ito Recarga Cx/12 X 500ml</v>
      </c>
      <c r="F465" cm="1">
        <f t="array" ref="F465">INDEX('Linha 06'!$C$3:$ZZ$3,C465)</f>
        <v>20060015</v>
      </c>
      <c r="G465" t="str" cm="1">
        <f t="array" ref="G465">INDEX('Linha 06'!$C$2:$ZZ$2,C465)</f>
        <v>Limp Perf Aquafast Doce Romance Cx/12 X 500ml</v>
      </c>
      <c r="H465" s="5" cm="1">
        <f t="array" ref="H465">INDEX('Linha 06'!$C$4:$ZZ$1000,B465,C465)</f>
        <v>0</v>
      </c>
    </row>
    <row r="466" spans="1:8" x14ac:dyDescent="0.25">
      <c r="A466">
        <v>464</v>
      </c>
      <c r="B466">
        <f t="shared" si="14"/>
        <v>13</v>
      </c>
      <c r="C466">
        <f t="shared" si="15"/>
        <v>8</v>
      </c>
      <c r="D466" cm="1">
        <f t="array" ref="D466">INDEX('Linha 06'!$A$4:$A$1000,B466)</f>
        <v>20070007</v>
      </c>
      <c r="E466" t="str" cm="1">
        <f t="array" ref="E466">INDEX('Linha 06'!$B$4:$B$1000,B466)</f>
        <v>Limpa Vidros Ito Recarga Cx/12 X 500ml</v>
      </c>
      <c r="F466" cm="1">
        <f t="array" ref="F466">INDEX('Linha 06'!$C$3:$ZZ$3,C466)</f>
        <v>20060016</v>
      </c>
      <c r="G466" t="str" cm="1">
        <f t="array" ref="G466">INDEX('Linha 06'!$C$2:$ZZ$2,C466)</f>
        <v>Limp Perf Aquafast Doce Romance Cx/12 X 1l</v>
      </c>
      <c r="H466" s="5" cm="1">
        <f t="array" ref="H466">INDEX('Linha 06'!$C$4:$ZZ$1000,B466,C466)</f>
        <v>0</v>
      </c>
    </row>
    <row r="467" spans="1:8" x14ac:dyDescent="0.25">
      <c r="A467">
        <v>465</v>
      </c>
      <c r="B467">
        <f t="shared" si="14"/>
        <v>13</v>
      </c>
      <c r="C467">
        <f t="shared" si="15"/>
        <v>9</v>
      </c>
      <c r="D467" cm="1">
        <f t="array" ref="D467">INDEX('Linha 06'!$A$4:$A$1000,B467)</f>
        <v>20070007</v>
      </c>
      <c r="E467" t="str" cm="1">
        <f t="array" ref="E467">INDEX('Linha 06'!$B$4:$B$1000,B467)</f>
        <v>Limpa Vidros Ito Recarga Cx/12 X 500ml</v>
      </c>
      <c r="F467" cm="1">
        <f t="array" ref="F467">INDEX('Linha 06'!$C$3:$ZZ$3,C467)</f>
        <v>20060027</v>
      </c>
      <c r="G467" t="str" cm="1">
        <f t="array" ref="G467">INDEX('Linha 06'!$C$2:$ZZ$2,C467)</f>
        <v>Limp Perf Aquafast Essencia Natural Cx/12 X 1l</v>
      </c>
      <c r="H467" s="5" cm="1">
        <f t="array" ref="H467">INDEX('Linha 06'!$C$4:$ZZ$1000,B467,C467)</f>
        <v>0</v>
      </c>
    </row>
    <row r="468" spans="1:8" x14ac:dyDescent="0.25">
      <c r="A468">
        <v>466</v>
      </c>
      <c r="B468">
        <f t="shared" si="14"/>
        <v>13</v>
      </c>
      <c r="C468">
        <f t="shared" si="15"/>
        <v>10</v>
      </c>
      <c r="D468" cm="1">
        <f t="array" ref="D468">INDEX('Linha 06'!$A$4:$A$1000,B468)</f>
        <v>20070007</v>
      </c>
      <c r="E468" t="str" cm="1">
        <f t="array" ref="E468">INDEX('Linha 06'!$B$4:$B$1000,B468)</f>
        <v>Limpa Vidros Ito Recarga Cx/12 X 500ml</v>
      </c>
      <c r="F468" cm="1">
        <f t="array" ref="F468">INDEX('Linha 06'!$C$3:$ZZ$3,C468)</f>
        <v>20070001</v>
      </c>
      <c r="G468" t="str" cm="1">
        <f t="array" ref="G468">INDEX('Linha 06'!$C$2:$ZZ$2,C468)</f>
        <v>Limpa Vidros Aquafast Pulverizador Cx/12 X 500ml</v>
      </c>
      <c r="H468" s="5" cm="1">
        <f t="array" ref="H468">INDEX('Linha 06'!$C$4:$ZZ$1000,B468,C468)</f>
        <v>0</v>
      </c>
    </row>
    <row r="469" spans="1:8" x14ac:dyDescent="0.25">
      <c r="A469">
        <v>467</v>
      </c>
      <c r="B469">
        <f t="shared" si="14"/>
        <v>13</v>
      </c>
      <c r="C469">
        <f t="shared" si="15"/>
        <v>11</v>
      </c>
      <c r="D469" cm="1">
        <f t="array" ref="D469">INDEX('Linha 06'!$A$4:$A$1000,B469)</f>
        <v>20070007</v>
      </c>
      <c r="E469" t="str" cm="1">
        <f t="array" ref="E469">INDEX('Linha 06'!$B$4:$B$1000,B469)</f>
        <v>Limpa Vidros Ito Recarga Cx/12 X 500ml</v>
      </c>
      <c r="F469" cm="1">
        <f t="array" ref="F469">INDEX('Linha 06'!$C$3:$ZZ$3,C469)</f>
        <v>20070002</v>
      </c>
      <c r="G469" t="str" cm="1">
        <f t="array" ref="G469">INDEX('Linha 06'!$C$2:$ZZ$2,C469)</f>
        <v>Limpa Vidros Aquafast Recarga Cx/12 X 500ml</v>
      </c>
      <c r="H469" s="5" cm="1">
        <f t="array" ref="H469">INDEX('Linha 06'!$C$4:$ZZ$1000,B469,C469)</f>
        <v>0</v>
      </c>
    </row>
    <row r="470" spans="1:8" x14ac:dyDescent="0.25">
      <c r="A470">
        <v>468</v>
      </c>
      <c r="B470">
        <f t="shared" si="14"/>
        <v>13</v>
      </c>
      <c r="C470">
        <f t="shared" si="15"/>
        <v>12</v>
      </c>
      <c r="D470" cm="1">
        <f t="array" ref="D470">INDEX('Linha 06'!$A$4:$A$1000,B470)</f>
        <v>20070007</v>
      </c>
      <c r="E470" t="str" cm="1">
        <f t="array" ref="E470">INDEX('Linha 06'!$B$4:$B$1000,B470)</f>
        <v>Limpa Vidros Ito Recarga Cx/12 X 500ml</v>
      </c>
      <c r="F470" cm="1">
        <f t="array" ref="F470">INDEX('Linha 06'!$C$3:$ZZ$3,C470)</f>
        <v>20070006</v>
      </c>
      <c r="G470" t="str" cm="1">
        <f t="array" ref="G470">INDEX('Linha 06'!$C$2:$ZZ$2,C470)</f>
        <v>Limpa Vidros Ito Pulverizador Cx/12 X 500ml</v>
      </c>
      <c r="H470" s="5" cm="1">
        <f t="array" ref="H470">INDEX('Linha 06'!$C$4:$ZZ$1000,B470,C470)</f>
        <v>0</v>
      </c>
    </row>
    <row r="471" spans="1:8" x14ac:dyDescent="0.25">
      <c r="A471">
        <v>469</v>
      </c>
      <c r="B471">
        <f t="shared" si="14"/>
        <v>13</v>
      </c>
      <c r="C471">
        <f t="shared" si="15"/>
        <v>13</v>
      </c>
      <c r="D471" cm="1">
        <f t="array" ref="D471">INDEX('Linha 06'!$A$4:$A$1000,B471)</f>
        <v>20070007</v>
      </c>
      <c r="E471" t="str" cm="1">
        <f t="array" ref="E471">INDEX('Linha 06'!$B$4:$B$1000,B471)</f>
        <v>Limpa Vidros Ito Recarga Cx/12 X 500ml</v>
      </c>
      <c r="F471" cm="1">
        <f t="array" ref="F471">INDEX('Linha 06'!$C$3:$ZZ$3,C471)</f>
        <v>20070007</v>
      </c>
      <c r="G471" t="str" cm="1">
        <f t="array" ref="G471">INDEX('Linha 06'!$C$2:$ZZ$2,C471)</f>
        <v>Limpa Vidros Ito Recarga Cx/12 X 500ml</v>
      </c>
      <c r="H471" s="5" cm="1">
        <f t="array" ref="H471">INDEX('Linha 06'!$C$4:$ZZ$1000,B471,C471)</f>
        <v>0</v>
      </c>
    </row>
    <row r="472" spans="1:8" x14ac:dyDescent="0.25">
      <c r="A472">
        <v>470</v>
      </c>
      <c r="B472">
        <f t="shared" si="14"/>
        <v>13</v>
      </c>
      <c r="C472">
        <f t="shared" si="15"/>
        <v>14</v>
      </c>
      <c r="D472" cm="1">
        <f t="array" ref="D472">INDEX('Linha 06'!$A$4:$A$1000,B472)</f>
        <v>20070007</v>
      </c>
      <c r="E472" t="str" cm="1">
        <f t="array" ref="E472">INDEX('Linha 06'!$B$4:$B$1000,B472)</f>
        <v>Limpa Vidros Ito Recarga Cx/12 X 500ml</v>
      </c>
      <c r="F472" cm="1">
        <f t="array" ref="F472">INDEX('Linha 06'!$C$3:$ZZ$3,C472)</f>
        <v>20070008</v>
      </c>
      <c r="G472" t="str" cm="1">
        <f t="array" ref="G472">INDEX('Linha 06'!$C$2:$ZZ$2,C472)</f>
        <v>Limpa Vidros Aquafast Squeeze Cx/12 X 500ml</v>
      </c>
      <c r="H472" s="5" cm="1">
        <f t="array" ref="H472">INDEX('Linha 06'!$C$4:$ZZ$1000,B472,C472)</f>
        <v>0</v>
      </c>
    </row>
    <row r="473" spans="1:8" x14ac:dyDescent="0.25">
      <c r="A473">
        <v>471</v>
      </c>
      <c r="B473">
        <f t="shared" si="14"/>
        <v>13</v>
      </c>
      <c r="C473">
        <f t="shared" si="15"/>
        <v>15</v>
      </c>
      <c r="D473" cm="1">
        <f t="array" ref="D473">INDEX('Linha 06'!$A$4:$A$1000,B473)</f>
        <v>20070007</v>
      </c>
      <c r="E473" t="str" cm="1">
        <f t="array" ref="E473">INDEX('Linha 06'!$B$4:$B$1000,B473)</f>
        <v>Limpa Vidros Ito Recarga Cx/12 X 500ml</v>
      </c>
      <c r="F473" cm="1">
        <f t="array" ref="F473">INDEX('Linha 06'!$C$3:$ZZ$3,C473)</f>
        <v>20090001</v>
      </c>
      <c r="G473" t="str" cm="1">
        <f t="array" ref="G473">INDEX('Linha 06'!$C$2:$ZZ$2,C473)</f>
        <v>Desengordurante Aquafast Pulverizador Cx/12 X 500ml</v>
      </c>
      <c r="H473" s="5" cm="1">
        <f t="array" ref="H473">INDEX('Linha 06'!$C$4:$ZZ$1000,B473,C473)</f>
        <v>0</v>
      </c>
    </row>
    <row r="474" spans="1:8" x14ac:dyDescent="0.25">
      <c r="A474">
        <v>472</v>
      </c>
      <c r="B474">
        <f t="shared" si="14"/>
        <v>13</v>
      </c>
      <c r="C474">
        <f t="shared" si="15"/>
        <v>16</v>
      </c>
      <c r="D474" cm="1">
        <f t="array" ref="D474">INDEX('Linha 06'!$A$4:$A$1000,B474)</f>
        <v>20070007</v>
      </c>
      <c r="E474" t="str" cm="1">
        <f t="array" ref="E474">INDEX('Linha 06'!$B$4:$B$1000,B474)</f>
        <v>Limpa Vidros Ito Recarga Cx/12 X 500ml</v>
      </c>
      <c r="F474" cm="1">
        <f t="array" ref="F474">INDEX('Linha 06'!$C$3:$ZZ$3,C474)</f>
        <v>20090002</v>
      </c>
      <c r="G474" t="str" cm="1">
        <f t="array" ref="G474">INDEX('Linha 06'!$C$2:$ZZ$2,C474)</f>
        <v>Desengordurante Aquafast Recarga Cx/12 X 500ml</v>
      </c>
      <c r="H474" s="5" cm="1">
        <f t="array" ref="H474">INDEX('Linha 06'!$C$4:$ZZ$1000,B474,C474)</f>
        <v>0</v>
      </c>
    </row>
    <row r="475" spans="1:8" x14ac:dyDescent="0.25">
      <c r="A475">
        <v>473</v>
      </c>
      <c r="B475">
        <f t="shared" si="14"/>
        <v>13</v>
      </c>
      <c r="C475">
        <f t="shared" si="15"/>
        <v>17</v>
      </c>
      <c r="D475" cm="1">
        <f t="array" ref="D475">INDEX('Linha 06'!$A$4:$A$1000,B475)</f>
        <v>20070007</v>
      </c>
      <c r="E475" t="str" cm="1">
        <f t="array" ref="E475">INDEX('Linha 06'!$B$4:$B$1000,B475)</f>
        <v>Limpa Vidros Ito Recarga Cx/12 X 500ml</v>
      </c>
      <c r="F475" cm="1">
        <f t="array" ref="F475">INDEX('Linha 06'!$C$3:$ZZ$3,C475)</f>
        <v>20090004</v>
      </c>
      <c r="G475" t="str" cm="1">
        <f t="array" ref="G475">INDEX('Linha 06'!$C$2:$ZZ$2,C475)</f>
        <v>Desengordurante Aquafast Squeeze Cx C/12 X 500ml</v>
      </c>
      <c r="H475" s="5" cm="1">
        <f t="array" ref="H475">INDEX('Linha 06'!$C$4:$ZZ$1000,B475,C475)</f>
        <v>0</v>
      </c>
    </row>
    <row r="476" spans="1:8" x14ac:dyDescent="0.25">
      <c r="A476">
        <v>474</v>
      </c>
      <c r="B476">
        <f t="shared" si="14"/>
        <v>13</v>
      </c>
      <c r="C476">
        <f t="shared" si="15"/>
        <v>18</v>
      </c>
      <c r="D476" cm="1">
        <f t="array" ref="D476">INDEX('Linha 06'!$A$4:$A$1000,B476)</f>
        <v>20070007</v>
      </c>
      <c r="E476" t="str" cm="1">
        <f t="array" ref="E476">INDEX('Linha 06'!$B$4:$B$1000,B476)</f>
        <v>Limpa Vidros Ito Recarga Cx/12 X 500ml</v>
      </c>
      <c r="F476" cm="1">
        <f t="array" ref="F476">INDEX('Linha 06'!$C$3:$ZZ$3,C476)</f>
        <v>20090005</v>
      </c>
      <c r="G476" t="str" cm="1">
        <f t="array" ref="G476">INDEX('Linha 06'!$C$2:$ZZ$2,C476)</f>
        <v>Desengordurante Aquafast Squeeze Cx C/12 X 1l</v>
      </c>
      <c r="H476" s="5" cm="1">
        <f t="array" ref="H476">INDEX('Linha 06'!$C$4:$ZZ$1000,B476,C476)</f>
        <v>0</v>
      </c>
    </row>
    <row r="477" spans="1:8" x14ac:dyDescent="0.25">
      <c r="A477">
        <v>475</v>
      </c>
      <c r="B477">
        <f t="shared" si="14"/>
        <v>13</v>
      </c>
      <c r="C477">
        <f t="shared" si="15"/>
        <v>19</v>
      </c>
      <c r="D477" cm="1">
        <f t="array" ref="D477">INDEX('Linha 06'!$A$4:$A$1000,B477)</f>
        <v>20070007</v>
      </c>
      <c r="E477" t="str" cm="1">
        <f t="array" ref="E477">INDEX('Linha 06'!$B$4:$B$1000,B477)</f>
        <v>Limpa Vidros Ito Recarga Cx/12 X 500ml</v>
      </c>
      <c r="F477" cm="1">
        <f t="array" ref="F477">INDEX('Linha 06'!$C$3:$ZZ$3,C477)</f>
        <v>20090010</v>
      </c>
      <c r="G477" t="str" cm="1">
        <f t="array" ref="G477">INDEX('Linha 06'!$C$2:$ZZ$2,C477)</f>
        <v>Intermed Pack Desengord Squeeze Cx C/18 X 500ml</v>
      </c>
      <c r="H477" s="5" cm="1">
        <f t="array" ref="H477">INDEX('Linha 06'!$C$4:$ZZ$1000,B477,C477)</f>
        <v>0</v>
      </c>
    </row>
    <row r="478" spans="1:8" x14ac:dyDescent="0.25">
      <c r="A478">
        <v>476</v>
      </c>
      <c r="B478">
        <f t="shared" si="14"/>
        <v>13</v>
      </c>
      <c r="C478">
        <f t="shared" si="15"/>
        <v>20</v>
      </c>
      <c r="D478" cm="1">
        <f t="array" ref="D478">INDEX('Linha 06'!$A$4:$A$1000,B478)</f>
        <v>20070007</v>
      </c>
      <c r="E478" t="str" cm="1">
        <f t="array" ref="E478">INDEX('Linha 06'!$B$4:$B$1000,B478)</f>
        <v>Limpa Vidros Ito Recarga Cx/12 X 500ml</v>
      </c>
      <c r="F478" cm="1">
        <f t="array" ref="F478">INDEX('Linha 06'!$C$3:$ZZ$3,C478)</f>
        <v>20110002</v>
      </c>
      <c r="G478" t="str" cm="1">
        <f t="array" ref="G478">INDEX('Linha 06'!$C$2:$ZZ$2,C478)</f>
        <v>Multi Uso Aquafast Squeeze Original Cx/12 X 500ml</v>
      </c>
      <c r="H478" s="5" cm="1">
        <f t="array" ref="H478">INDEX('Linha 06'!$C$4:$ZZ$1000,B478,C478)</f>
        <v>0</v>
      </c>
    </row>
    <row r="479" spans="1:8" x14ac:dyDescent="0.25">
      <c r="A479">
        <v>477</v>
      </c>
      <c r="B479">
        <f t="shared" si="14"/>
        <v>13</v>
      </c>
      <c r="C479">
        <f t="shared" si="15"/>
        <v>21</v>
      </c>
      <c r="D479" cm="1">
        <f t="array" ref="D479">INDEX('Linha 06'!$A$4:$A$1000,B479)</f>
        <v>20070007</v>
      </c>
      <c r="E479" t="str" cm="1">
        <f t="array" ref="E479">INDEX('Linha 06'!$B$4:$B$1000,B479)</f>
        <v>Limpa Vidros Ito Recarga Cx/12 X 500ml</v>
      </c>
      <c r="F479" cm="1">
        <f t="array" ref="F479">INDEX('Linha 06'!$C$3:$ZZ$3,C479)</f>
        <v>20110004</v>
      </c>
      <c r="G479" t="str" cm="1">
        <f t="array" ref="G479">INDEX('Linha 06'!$C$2:$ZZ$2,C479)</f>
        <v>Multi Uso Aquafast Squeeze Lavanda Cx/12 X 500ml</v>
      </c>
      <c r="H479" s="5" cm="1">
        <f t="array" ref="H479">INDEX('Linha 06'!$C$4:$ZZ$1000,B479,C479)</f>
        <v>0</v>
      </c>
    </row>
    <row r="480" spans="1:8" x14ac:dyDescent="0.25">
      <c r="A480">
        <v>478</v>
      </c>
      <c r="B480">
        <f t="shared" si="14"/>
        <v>13</v>
      </c>
      <c r="C480">
        <f t="shared" si="15"/>
        <v>22</v>
      </c>
      <c r="D480" cm="1">
        <f t="array" ref="D480">INDEX('Linha 06'!$A$4:$A$1000,B480)</f>
        <v>20070007</v>
      </c>
      <c r="E480" t="str" cm="1">
        <f t="array" ref="E480">INDEX('Linha 06'!$B$4:$B$1000,B480)</f>
        <v>Limpa Vidros Ito Recarga Cx/12 X 500ml</v>
      </c>
      <c r="F480" cm="1">
        <f t="array" ref="F480">INDEX('Linha 06'!$C$3:$ZZ$3,C480)</f>
        <v>20110007</v>
      </c>
      <c r="G480" t="str" cm="1">
        <f t="array" ref="G480">INDEX('Linha 06'!$C$2:$ZZ$2,C480)</f>
        <v>Multi Uso Aquafast Squeeze Seducao Cx/12 X 500ml</v>
      </c>
      <c r="H480" s="5" cm="1">
        <f t="array" ref="H480">INDEX('Linha 06'!$C$4:$ZZ$1000,B480,C480)</f>
        <v>0</v>
      </c>
    </row>
    <row r="481" spans="1:8" x14ac:dyDescent="0.25">
      <c r="A481">
        <v>479</v>
      </c>
      <c r="B481">
        <f t="shared" si="14"/>
        <v>13</v>
      </c>
      <c r="C481">
        <f t="shared" si="15"/>
        <v>23</v>
      </c>
      <c r="D481" cm="1">
        <f t="array" ref="D481">INDEX('Linha 06'!$A$4:$A$1000,B481)</f>
        <v>20070007</v>
      </c>
      <c r="E481" t="str" cm="1">
        <f t="array" ref="E481">INDEX('Linha 06'!$B$4:$B$1000,B481)</f>
        <v>Limpa Vidros Ito Recarga Cx/12 X 500ml</v>
      </c>
      <c r="F481" cm="1">
        <f t="array" ref="F481">INDEX('Linha 06'!$C$3:$ZZ$3,C481)</f>
        <v>20110008</v>
      </c>
      <c r="G481" t="str" cm="1">
        <f t="array" ref="G481">INDEX('Linha 06'!$C$2:$ZZ$2,C481)</f>
        <v>Multi Uso Aquafast Squeeze Original Cx/12 X 1l</v>
      </c>
      <c r="H481" s="5" cm="1">
        <f t="array" ref="H481">INDEX('Linha 06'!$C$4:$ZZ$1000,B481,C481)</f>
        <v>0</v>
      </c>
    </row>
    <row r="482" spans="1:8" x14ac:dyDescent="0.25">
      <c r="A482">
        <v>480</v>
      </c>
      <c r="B482">
        <f t="shared" si="14"/>
        <v>13</v>
      </c>
      <c r="C482">
        <f t="shared" si="15"/>
        <v>24</v>
      </c>
      <c r="D482" cm="1">
        <f t="array" ref="D482">INDEX('Linha 06'!$A$4:$A$1000,B482)</f>
        <v>20070007</v>
      </c>
      <c r="E482" t="str" cm="1">
        <f t="array" ref="E482">INDEX('Linha 06'!$B$4:$B$1000,B482)</f>
        <v>Limpa Vidros Ito Recarga Cx/12 X 500ml</v>
      </c>
      <c r="F482" cm="1">
        <f t="array" ref="F482">INDEX('Linha 06'!$C$3:$ZZ$3,C482)</f>
        <v>20110010</v>
      </c>
      <c r="G482" t="str" cm="1">
        <f t="array" ref="G482">INDEX('Linha 06'!$C$2:$ZZ$2,C482)</f>
        <v>Multi Uso Aquafast Squeeze Seducao Cx/12 1l</v>
      </c>
      <c r="H482" s="5" cm="1">
        <f t="array" ref="H482">INDEX('Linha 06'!$C$4:$ZZ$1000,B482,C482)</f>
        <v>0</v>
      </c>
    </row>
    <row r="483" spans="1:8" x14ac:dyDescent="0.25">
      <c r="A483">
        <v>481</v>
      </c>
      <c r="B483">
        <f t="shared" si="14"/>
        <v>13</v>
      </c>
      <c r="C483">
        <f t="shared" si="15"/>
        <v>25</v>
      </c>
      <c r="D483" cm="1">
        <f t="array" ref="D483">INDEX('Linha 06'!$A$4:$A$1000,B483)</f>
        <v>20070007</v>
      </c>
      <c r="E483" t="str" cm="1">
        <f t="array" ref="E483">INDEX('Linha 06'!$B$4:$B$1000,B483)</f>
        <v>Limpa Vidros Ito Recarga Cx/12 X 500ml</v>
      </c>
      <c r="F483" cm="1">
        <f t="array" ref="F483">INDEX('Linha 06'!$C$3:$ZZ$3,C483)</f>
        <v>20110013</v>
      </c>
      <c r="G483" t="str" cm="1">
        <f t="array" ref="G483">INDEX('Linha 06'!$C$2:$ZZ$2,C483)</f>
        <v>Multi Uso Aquafast Squeeze Lavanda Cx/12 X 1l</v>
      </c>
      <c r="H483" s="5" cm="1">
        <f t="array" ref="H483">INDEX('Linha 06'!$C$4:$ZZ$1000,B483,C483)</f>
        <v>0</v>
      </c>
    </row>
    <row r="484" spans="1:8" x14ac:dyDescent="0.25">
      <c r="A484">
        <v>482</v>
      </c>
      <c r="B484">
        <f t="shared" si="14"/>
        <v>13</v>
      </c>
      <c r="C484">
        <f t="shared" si="15"/>
        <v>26</v>
      </c>
      <c r="D484" cm="1">
        <f t="array" ref="D484">INDEX('Linha 06'!$A$4:$A$1000,B484)</f>
        <v>20070007</v>
      </c>
      <c r="E484" t="str" cm="1">
        <f t="array" ref="E484">INDEX('Linha 06'!$B$4:$B$1000,B484)</f>
        <v>Limpa Vidros Ito Recarga Cx/12 X 500ml</v>
      </c>
      <c r="F484" cm="1">
        <f t="array" ref="F484">INDEX('Linha 06'!$C$3:$ZZ$3,C484)</f>
        <v>20110022</v>
      </c>
      <c r="G484" t="str" cm="1">
        <f t="array" ref="G484">INDEX('Linha 06'!$C$2:$ZZ$2,C484)</f>
        <v>Intermed Pack Multi Uso Lavand C/Alcool Cx/18 X 500ml</v>
      </c>
      <c r="H484" s="5" cm="1">
        <f t="array" ref="H484">INDEX('Linha 06'!$C$4:$ZZ$1000,B484,C484)</f>
        <v>0</v>
      </c>
    </row>
    <row r="485" spans="1:8" x14ac:dyDescent="0.25">
      <c r="A485">
        <v>483</v>
      </c>
      <c r="B485">
        <f t="shared" si="14"/>
        <v>13</v>
      </c>
      <c r="C485">
        <f t="shared" si="15"/>
        <v>27</v>
      </c>
      <c r="D485" cm="1">
        <f t="array" ref="D485">INDEX('Linha 06'!$A$4:$A$1000,B485)</f>
        <v>20070007</v>
      </c>
      <c r="E485" t="str" cm="1">
        <f t="array" ref="E485">INDEX('Linha 06'!$B$4:$B$1000,B485)</f>
        <v>Limpa Vidros Ito Recarga Cx/12 X 500ml</v>
      </c>
      <c r="F485" cm="1">
        <f t="array" ref="F485">INDEX('Linha 06'!$C$3:$ZZ$3,C485)</f>
        <v>20110023</v>
      </c>
      <c r="G485" t="str" cm="1">
        <f t="array" ref="G485">INDEX('Linha 06'!$C$2:$ZZ$2,C485)</f>
        <v>Multi Uso Aquafast Squeeze Cha Branco  Cx/12 X 500ml</v>
      </c>
      <c r="H485" s="5" cm="1">
        <f t="array" ref="H485">INDEX('Linha 06'!$C$4:$ZZ$1000,B485,C485)</f>
        <v>0</v>
      </c>
    </row>
    <row r="486" spans="1:8" x14ac:dyDescent="0.25">
      <c r="A486">
        <v>484</v>
      </c>
      <c r="B486">
        <f t="shared" si="14"/>
        <v>13</v>
      </c>
      <c r="C486">
        <f t="shared" si="15"/>
        <v>28</v>
      </c>
      <c r="D486" cm="1">
        <f t="array" ref="D486">INDEX('Linha 06'!$A$4:$A$1000,B486)</f>
        <v>20070007</v>
      </c>
      <c r="E486" t="str" cm="1">
        <f t="array" ref="E486">INDEX('Linha 06'!$B$4:$B$1000,B486)</f>
        <v>Limpa Vidros Ito Recarga Cx/12 X 500ml</v>
      </c>
      <c r="F486" cm="1">
        <f t="array" ref="F486">INDEX('Linha 06'!$C$3:$ZZ$3,C486)</f>
        <v>20110024</v>
      </c>
      <c r="G486" t="str" cm="1">
        <f t="array" ref="G486">INDEX('Linha 06'!$C$2:$ZZ$2,C486)</f>
        <v>Multi Uso Aquafast Squeeze Cha Branco Cx12 X 1l</v>
      </c>
      <c r="H486" s="5" cm="1">
        <f t="array" ref="H486">INDEX('Linha 06'!$C$4:$ZZ$1000,B486,C486)</f>
        <v>0</v>
      </c>
    </row>
    <row r="487" spans="1:8" x14ac:dyDescent="0.25">
      <c r="A487">
        <v>485</v>
      </c>
      <c r="B487">
        <f t="shared" si="14"/>
        <v>13</v>
      </c>
      <c r="C487">
        <f t="shared" si="15"/>
        <v>29</v>
      </c>
      <c r="D487" cm="1">
        <f t="array" ref="D487">INDEX('Linha 06'!$A$4:$A$1000,B487)</f>
        <v>20070007</v>
      </c>
      <c r="E487" t="str" cm="1">
        <f t="array" ref="E487">INDEX('Linha 06'!$B$4:$B$1000,B487)</f>
        <v>Limpa Vidros Ito Recarga Cx/12 X 500ml</v>
      </c>
      <c r="F487" cm="1">
        <f t="array" ref="F487">INDEX('Linha 06'!$C$3:$ZZ$3,C487)</f>
        <v>20110025</v>
      </c>
      <c r="G487" t="str" cm="1">
        <f t="array" ref="G487">INDEX('Linha 06'!$C$2:$ZZ$2,C487)</f>
        <v>Multi Uso Aquafast Pulverizador Original Cx/12 X 1l</v>
      </c>
      <c r="H487" s="5" cm="1">
        <f t="array" ref="H487">INDEX('Linha 06'!$C$4:$ZZ$1000,B487,C487)</f>
        <v>0</v>
      </c>
    </row>
    <row r="488" spans="1:8" x14ac:dyDescent="0.25">
      <c r="A488">
        <v>486</v>
      </c>
      <c r="B488">
        <f t="shared" si="14"/>
        <v>13</v>
      </c>
      <c r="C488">
        <f t="shared" si="15"/>
        <v>30</v>
      </c>
      <c r="D488" cm="1">
        <f t="array" ref="D488">INDEX('Linha 06'!$A$4:$A$1000,B488)</f>
        <v>20070007</v>
      </c>
      <c r="E488" t="str" cm="1">
        <f t="array" ref="E488">INDEX('Linha 06'!$B$4:$B$1000,B488)</f>
        <v>Limpa Vidros Ito Recarga Cx/12 X 500ml</v>
      </c>
      <c r="F488" cm="1">
        <f t="array" ref="F488">INDEX('Linha 06'!$C$3:$ZZ$3,C488)</f>
        <v>20110026</v>
      </c>
      <c r="G488" t="str" cm="1">
        <f t="array" ref="G488">INDEX('Linha 06'!$C$2:$ZZ$2,C488)</f>
        <v>Multi Uso Aquafast Pulverizador Poder O2 Cx/12 X 1l</v>
      </c>
      <c r="H488" s="5" cm="1">
        <f t="array" ref="H488">INDEX('Linha 06'!$C$4:$ZZ$1000,B488,C488)</f>
        <v>0</v>
      </c>
    </row>
    <row r="489" spans="1:8" x14ac:dyDescent="0.25">
      <c r="A489">
        <v>487</v>
      </c>
      <c r="B489">
        <f t="shared" si="14"/>
        <v>13</v>
      </c>
      <c r="C489">
        <f t="shared" si="15"/>
        <v>31</v>
      </c>
      <c r="D489" cm="1">
        <f t="array" ref="D489">INDEX('Linha 06'!$A$4:$A$1000,B489)</f>
        <v>20070007</v>
      </c>
      <c r="E489" t="str" cm="1">
        <f t="array" ref="E489">INDEX('Linha 06'!$B$4:$B$1000,B489)</f>
        <v>Limpa Vidros Ito Recarga Cx/12 X 500ml</v>
      </c>
      <c r="F489" cm="1">
        <f t="array" ref="F489">INDEX('Linha 06'!$C$3:$ZZ$3,C489)</f>
        <v>20110027</v>
      </c>
      <c r="G489" t="str" cm="1">
        <f t="array" ref="G489">INDEX('Linha 06'!$C$2:$ZZ$2,C489)</f>
        <v>Multi Uso Aquafast Pulverizador Poder O2 Cx/12 X 500ml</v>
      </c>
      <c r="H489" s="5" cm="1">
        <f t="array" ref="H489">INDEX('Linha 06'!$C$4:$ZZ$1000,B489,C489)</f>
        <v>0</v>
      </c>
    </row>
    <row r="490" spans="1:8" x14ac:dyDescent="0.25">
      <c r="A490">
        <v>488</v>
      </c>
      <c r="B490">
        <f t="shared" si="14"/>
        <v>13</v>
      </c>
      <c r="C490">
        <f t="shared" si="15"/>
        <v>32</v>
      </c>
      <c r="D490" cm="1">
        <f t="array" ref="D490">INDEX('Linha 06'!$A$4:$A$1000,B490)</f>
        <v>20070007</v>
      </c>
      <c r="E490" t="str" cm="1">
        <f t="array" ref="E490">INDEX('Linha 06'!$B$4:$B$1000,B490)</f>
        <v>Limpa Vidros Ito Recarga Cx/12 X 500ml</v>
      </c>
      <c r="F490" cm="1">
        <f t="array" ref="F490">INDEX('Linha 06'!$C$3:$ZZ$3,C490)</f>
        <v>20200073</v>
      </c>
      <c r="G490" t="str" cm="1">
        <f t="array" ref="G490">INDEX('Linha 06'!$C$2:$ZZ$2,C490)</f>
        <v>Lava Roupas Aquafast Lavagem Rapida Total Clean Cx/9 X 1,5l</v>
      </c>
      <c r="H490" s="5" cm="1">
        <f t="array" ref="H490">INDEX('Linha 06'!$C$4:$ZZ$1000,B490,C490)</f>
        <v>0</v>
      </c>
    </row>
    <row r="491" spans="1:8" x14ac:dyDescent="0.25">
      <c r="A491">
        <v>489</v>
      </c>
      <c r="B491">
        <f t="shared" si="14"/>
        <v>13</v>
      </c>
      <c r="C491">
        <f t="shared" si="15"/>
        <v>33</v>
      </c>
      <c r="D491" cm="1">
        <f t="array" ref="D491">INDEX('Linha 06'!$A$4:$A$1000,B491)</f>
        <v>20070007</v>
      </c>
      <c r="E491" t="str" cm="1">
        <f t="array" ref="E491">INDEX('Linha 06'!$B$4:$B$1000,B491)</f>
        <v>Limpa Vidros Ito Recarga Cx/12 X 500ml</v>
      </c>
      <c r="F491" cm="1">
        <f t="array" ref="F491">INDEX('Linha 06'!$C$3:$ZZ$3,C491)</f>
        <v>20200075</v>
      </c>
      <c r="G491" t="str" cm="1">
        <f t="array" ref="G491">INDEX('Linha 06'!$C$2:$ZZ$2,C491)</f>
        <v>Lava Roupas Aquafast Lavagem Rapida Fresh Clean Cx/9 X 1,5l</v>
      </c>
      <c r="H491" s="5" cm="1">
        <f t="array" ref="H491">INDEX('Linha 06'!$C$4:$ZZ$1000,B491,C491)</f>
        <v>0</v>
      </c>
    </row>
    <row r="492" spans="1:8" x14ac:dyDescent="0.25">
      <c r="A492">
        <v>490</v>
      </c>
      <c r="B492">
        <f t="shared" si="14"/>
        <v>13</v>
      </c>
      <c r="C492">
        <f t="shared" si="15"/>
        <v>34</v>
      </c>
      <c r="D492" cm="1">
        <f t="array" ref="D492">INDEX('Linha 06'!$A$4:$A$1000,B492)</f>
        <v>20070007</v>
      </c>
      <c r="E492" t="str" cm="1">
        <f t="array" ref="E492">INDEX('Linha 06'!$B$4:$B$1000,B492)</f>
        <v>Limpa Vidros Ito Recarga Cx/12 X 500ml</v>
      </c>
      <c r="F492" cm="1">
        <f t="array" ref="F492">INDEX('Linha 06'!$C$3:$ZZ$3,C492)</f>
        <v>20220018</v>
      </c>
      <c r="G492" t="str" cm="1">
        <f t="array" ref="G492">INDEX('Linha 06'!$C$2:$ZZ$2,C492)</f>
        <v>Intermed. Aromat. Amoras E Baunilha Cx C/ 12un 250ml</v>
      </c>
      <c r="H492" s="5" cm="1">
        <f t="array" ref="H492">INDEX('Linha 06'!$C$4:$ZZ$1000,B492,C492)</f>
        <v>0</v>
      </c>
    </row>
    <row r="493" spans="1:8" x14ac:dyDescent="0.25">
      <c r="A493">
        <v>491</v>
      </c>
      <c r="B493">
        <f t="shared" si="14"/>
        <v>13</v>
      </c>
      <c r="C493">
        <f t="shared" si="15"/>
        <v>35</v>
      </c>
      <c r="D493" cm="1">
        <f t="array" ref="D493">INDEX('Linha 06'!$A$4:$A$1000,B493)</f>
        <v>20070007</v>
      </c>
      <c r="E493" t="str" cm="1">
        <f t="array" ref="E493">INDEX('Linha 06'!$B$4:$B$1000,B493)</f>
        <v>Limpa Vidros Ito Recarga Cx/12 X 500ml</v>
      </c>
      <c r="F493" cm="1">
        <f t="array" ref="F493">INDEX('Linha 06'!$C$3:$ZZ$3,C493)</f>
        <v>20220019</v>
      </c>
      <c r="G493" t="str" cm="1">
        <f t="array" ref="G493">INDEX('Linha 06'!$C$2:$ZZ$2,C493)</f>
        <v>Intermed. Aromat. Figo E Cedro Cx C/ 12un 250ml</v>
      </c>
      <c r="H493" s="5" cm="1">
        <f t="array" ref="H493">INDEX('Linha 06'!$C$4:$ZZ$1000,B493,C493)</f>
        <v>0</v>
      </c>
    </row>
    <row r="494" spans="1:8" x14ac:dyDescent="0.25">
      <c r="A494">
        <v>492</v>
      </c>
      <c r="B494">
        <f t="shared" si="14"/>
        <v>13</v>
      </c>
      <c r="C494">
        <f t="shared" si="15"/>
        <v>36</v>
      </c>
      <c r="D494" cm="1">
        <f t="array" ref="D494">INDEX('Linha 06'!$A$4:$A$1000,B494)</f>
        <v>20070007</v>
      </c>
      <c r="E494" t="str" cm="1">
        <f t="array" ref="E494">INDEX('Linha 06'!$B$4:$B$1000,B494)</f>
        <v>Limpa Vidros Ito Recarga Cx/12 X 500ml</v>
      </c>
      <c r="F494" cm="1">
        <f t="array" ref="F494">INDEX('Linha 06'!$C$3:$ZZ$3,C494)</f>
        <v>20220020</v>
      </c>
      <c r="G494" t="str" cm="1">
        <f t="array" ref="G494">INDEX('Linha 06'!$C$2:$ZZ$2,C494)</f>
        <v>Intermed. Aromat. Rosas E Magnolias Cx C/ 12un 250ml</v>
      </c>
      <c r="H494" s="5" cm="1">
        <f t="array" ref="H494">INDEX('Linha 06'!$C$4:$ZZ$1000,B494,C494)</f>
        <v>0</v>
      </c>
    </row>
    <row r="495" spans="1:8" x14ac:dyDescent="0.25">
      <c r="A495">
        <v>493</v>
      </c>
      <c r="B495">
        <f t="shared" si="14"/>
        <v>13</v>
      </c>
      <c r="C495">
        <f t="shared" si="15"/>
        <v>37</v>
      </c>
      <c r="D495" cm="1">
        <f t="array" ref="D495">INDEX('Linha 06'!$A$4:$A$1000,B495)</f>
        <v>20070007</v>
      </c>
      <c r="E495" t="str" cm="1">
        <f t="array" ref="E495">INDEX('Linha 06'!$B$4:$B$1000,B495)</f>
        <v>Limpa Vidros Ito Recarga Cx/12 X 500ml</v>
      </c>
      <c r="F495" cm="1">
        <f t="array" ref="F495">INDEX('Linha 06'!$C$3:$ZZ$3,C495)</f>
        <v>20220021</v>
      </c>
      <c r="G495" t="str" cm="1">
        <f t="array" ref="G495">INDEX('Linha 06'!$C$2:$ZZ$2,C495)</f>
        <v>Intermed. Aromat. Flores Exoticas Cx C/ 12un 250ml</v>
      </c>
      <c r="H495" s="5" cm="1">
        <f t="array" ref="H495">INDEX('Linha 06'!$C$4:$ZZ$1000,B495,C495)</f>
        <v>0</v>
      </c>
    </row>
    <row r="496" spans="1:8" x14ac:dyDescent="0.25">
      <c r="A496">
        <v>494</v>
      </c>
      <c r="B496">
        <f t="shared" si="14"/>
        <v>13</v>
      </c>
      <c r="C496">
        <f t="shared" si="15"/>
        <v>38</v>
      </c>
      <c r="D496" cm="1">
        <f t="array" ref="D496">INDEX('Linha 06'!$A$4:$A$1000,B496)</f>
        <v>20070007</v>
      </c>
      <c r="E496" t="str" cm="1">
        <f t="array" ref="E496">INDEX('Linha 06'!$B$4:$B$1000,B496)</f>
        <v>Limpa Vidros Ito Recarga Cx/12 X 500ml</v>
      </c>
      <c r="F496" cm="1">
        <f t="array" ref="F496">INDEX('Linha 06'!$C$3:$ZZ$3,C496)</f>
        <v>20220022</v>
      </c>
      <c r="G496" t="str" cm="1">
        <f t="array" ref="G496">INDEX('Linha 06'!$C$2:$ZZ$2,C496)</f>
        <v>Intermed. Aromat. Cha Verde E Grapef Cx C/ 12un 250ml</v>
      </c>
      <c r="H496" s="5" cm="1">
        <f t="array" ref="H496">INDEX('Linha 06'!$C$4:$ZZ$1000,B496,C496)</f>
        <v>0</v>
      </c>
    </row>
    <row r="497" spans="1:8" x14ac:dyDescent="0.25">
      <c r="A497">
        <v>495</v>
      </c>
      <c r="B497">
        <f t="shared" si="14"/>
        <v>14</v>
      </c>
      <c r="C497">
        <f t="shared" si="15"/>
        <v>1</v>
      </c>
      <c r="D497" cm="1">
        <f t="array" ref="D497">INDEX('Linha 06'!$A$4:$A$1000,B497)</f>
        <v>20070008</v>
      </c>
      <c r="E497" t="str" cm="1">
        <f t="array" ref="E497">INDEX('Linha 06'!$B$4:$B$1000,B497)</f>
        <v>Limpa Vidros Aquafast Squeeze Cx/12 X 500ml</v>
      </c>
      <c r="F497" cm="1">
        <f t="array" ref="F497">INDEX('Linha 06'!$C$3:$ZZ$3,C497)</f>
        <v>20060001</v>
      </c>
      <c r="G497" t="str" cm="1">
        <f t="array" ref="G497">INDEX('Linha 06'!$C$2:$ZZ$2,C497)</f>
        <v>Limp Perf Aquafast Magia Seducao Cx/12 X 500ml</v>
      </c>
      <c r="H497" s="5" cm="1">
        <f t="array" ref="H497">INDEX('Linha 06'!$C$4:$ZZ$1000,B497,C497)</f>
        <v>0</v>
      </c>
    </row>
    <row r="498" spans="1:8" x14ac:dyDescent="0.25">
      <c r="A498">
        <v>496</v>
      </c>
      <c r="B498">
        <f t="shared" si="14"/>
        <v>14</v>
      </c>
      <c r="C498">
        <f t="shared" si="15"/>
        <v>2</v>
      </c>
      <c r="D498" cm="1">
        <f t="array" ref="D498">INDEX('Linha 06'!$A$4:$A$1000,B498)</f>
        <v>20070008</v>
      </c>
      <c r="E498" t="str" cm="1">
        <f t="array" ref="E498">INDEX('Linha 06'!$B$4:$B$1000,B498)</f>
        <v>Limpa Vidros Aquafast Squeeze Cx/12 X 500ml</v>
      </c>
      <c r="F498" cm="1">
        <f t="array" ref="F498">INDEX('Linha 06'!$C$3:$ZZ$3,C498)</f>
        <v>20060004</v>
      </c>
      <c r="G498" t="str" cm="1">
        <f t="array" ref="G498">INDEX('Linha 06'!$C$2:$ZZ$2,C498)</f>
        <v>Limp Perf Aquafast Magia Seducao Cx/12 X 1l</v>
      </c>
      <c r="H498" s="5" cm="1">
        <f t="array" ref="H498">INDEX('Linha 06'!$C$4:$ZZ$1000,B498,C498)</f>
        <v>0</v>
      </c>
    </row>
    <row r="499" spans="1:8" x14ac:dyDescent="0.25">
      <c r="A499">
        <v>497</v>
      </c>
      <c r="B499">
        <f t="shared" si="14"/>
        <v>14</v>
      </c>
      <c r="C499">
        <f t="shared" si="15"/>
        <v>3</v>
      </c>
      <c r="D499" cm="1">
        <f t="array" ref="D499">INDEX('Linha 06'!$A$4:$A$1000,B499)</f>
        <v>20070008</v>
      </c>
      <c r="E499" t="str" cm="1">
        <f t="array" ref="E499">INDEX('Linha 06'!$B$4:$B$1000,B499)</f>
        <v>Limpa Vidros Aquafast Squeeze Cx/12 X 500ml</v>
      </c>
      <c r="F499" cm="1">
        <f t="array" ref="F499">INDEX('Linha 06'!$C$3:$ZZ$3,C499)</f>
        <v>20060010</v>
      </c>
      <c r="G499" t="str" cm="1">
        <f t="array" ref="G499">INDEX('Linha 06'!$C$2:$ZZ$2,C499)</f>
        <v>Limp Perf Aquafast Magia Da Infancia Cx/12 X 500ml</v>
      </c>
      <c r="H499" s="5" cm="1">
        <f t="array" ref="H499">INDEX('Linha 06'!$C$4:$ZZ$1000,B499,C499)</f>
        <v>0</v>
      </c>
    </row>
    <row r="500" spans="1:8" x14ac:dyDescent="0.25">
      <c r="A500">
        <v>498</v>
      </c>
      <c r="B500">
        <f t="shared" si="14"/>
        <v>14</v>
      </c>
      <c r="C500">
        <f t="shared" si="15"/>
        <v>4</v>
      </c>
      <c r="D500" cm="1">
        <f t="array" ref="D500">INDEX('Linha 06'!$A$4:$A$1000,B500)</f>
        <v>20070008</v>
      </c>
      <c r="E500" t="str" cm="1">
        <f t="array" ref="E500">INDEX('Linha 06'!$B$4:$B$1000,B500)</f>
        <v>Limpa Vidros Aquafast Squeeze Cx/12 X 500ml</v>
      </c>
      <c r="F500" cm="1">
        <f t="array" ref="F500">INDEX('Linha 06'!$C$3:$ZZ$3,C500)</f>
        <v>20060011</v>
      </c>
      <c r="G500" t="str" cm="1">
        <f t="array" ref="G500">INDEX('Linha 06'!$C$2:$ZZ$2,C500)</f>
        <v>Limp Perf Aquafast Frescor Da Manha Cx/12 X 500ml</v>
      </c>
      <c r="H500" s="5" cm="1">
        <f t="array" ref="H500">INDEX('Linha 06'!$C$4:$ZZ$1000,B500,C500)</f>
        <v>0</v>
      </c>
    </row>
    <row r="501" spans="1:8" x14ac:dyDescent="0.25">
      <c r="A501">
        <v>499</v>
      </c>
      <c r="B501">
        <f t="shared" si="14"/>
        <v>14</v>
      </c>
      <c r="C501">
        <f t="shared" si="15"/>
        <v>5</v>
      </c>
      <c r="D501" cm="1">
        <f t="array" ref="D501">INDEX('Linha 06'!$A$4:$A$1000,B501)</f>
        <v>20070008</v>
      </c>
      <c r="E501" t="str" cm="1">
        <f t="array" ref="E501">INDEX('Linha 06'!$B$4:$B$1000,B501)</f>
        <v>Limpa Vidros Aquafast Squeeze Cx/12 X 500ml</v>
      </c>
      <c r="F501" cm="1">
        <f t="array" ref="F501">INDEX('Linha 06'!$C$3:$ZZ$3,C501)</f>
        <v>20060012</v>
      </c>
      <c r="G501" t="str" cm="1">
        <f t="array" ref="G501">INDEX('Linha 06'!$C$2:$ZZ$2,C501)</f>
        <v>Limp Perf Aquafast Magia Da Infancia Cx/12 X 1l</v>
      </c>
      <c r="H501" s="5" cm="1">
        <f t="array" ref="H501">INDEX('Linha 06'!$C$4:$ZZ$1000,B501,C501)</f>
        <v>0</v>
      </c>
    </row>
    <row r="502" spans="1:8" x14ac:dyDescent="0.25">
      <c r="A502">
        <v>500</v>
      </c>
      <c r="B502">
        <f t="shared" si="14"/>
        <v>14</v>
      </c>
      <c r="C502">
        <f t="shared" si="15"/>
        <v>6</v>
      </c>
      <c r="D502" cm="1">
        <f t="array" ref="D502">INDEX('Linha 06'!$A$4:$A$1000,B502)</f>
        <v>20070008</v>
      </c>
      <c r="E502" t="str" cm="1">
        <f t="array" ref="E502">INDEX('Linha 06'!$B$4:$B$1000,B502)</f>
        <v>Limpa Vidros Aquafast Squeeze Cx/12 X 500ml</v>
      </c>
      <c r="F502" cm="1">
        <f t="array" ref="F502">INDEX('Linha 06'!$C$3:$ZZ$3,C502)</f>
        <v>20060013</v>
      </c>
      <c r="G502" t="str" cm="1">
        <f t="array" ref="G502">INDEX('Linha 06'!$C$2:$ZZ$2,C502)</f>
        <v>Limp Perf Aquafast Frescor Da Manha Cx/12 X 1l</v>
      </c>
      <c r="H502" s="5" cm="1">
        <f t="array" ref="H502">INDEX('Linha 06'!$C$4:$ZZ$1000,B502,C502)</f>
        <v>0</v>
      </c>
    </row>
    <row r="503" spans="1:8" x14ac:dyDescent="0.25">
      <c r="A503">
        <v>501</v>
      </c>
      <c r="B503">
        <f t="shared" si="14"/>
        <v>14</v>
      </c>
      <c r="C503">
        <f t="shared" si="15"/>
        <v>7</v>
      </c>
      <c r="D503" cm="1">
        <f t="array" ref="D503">INDEX('Linha 06'!$A$4:$A$1000,B503)</f>
        <v>20070008</v>
      </c>
      <c r="E503" t="str" cm="1">
        <f t="array" ref="E503">INDEX('Linha 06'!$B$4:$B$1000,B503)</f>
        <v>Limpa Vidros Aquafast Squeeze Cx/12 X 500ml</v>
      </c>
      <c r="F503" cm="1">
        <f t="array" ref="F503">INDEX('Linha 06'!$C$3:$ZZ$3,C503)</f>
        <v>20060015</v>
      </c>
      <c r="G503" t="str" cm="1">
        <f t="array" ref="G503">INDEX('Linha 06'!$C$2:$ZZ$2,C503)</f>
        <v>Limp Perf Aquafast Doce Romance Cx/12 X 500ml</v>
      </c>
      <c r="H503" s="5" cm="1">
        <f t="array" ref="H503">INDEX('Linha 06'!$C$4:$ZZ$1000,B503,C503)</f>
        <v>0</v>
      </c>
    </row>
    <row r="504" spans="1:8" x14ac:dyDescent="0.25">
      <c r="A504">
        <v>502</v>
      </c>
      <c r="B504">
        <f t="shared" si="14"/>
        <v>14</v>
      </c>
      <c r="C504">
        <f t="shared" si="15"/>
        <v>8</v>
      </c>
      <c r="D504" cm="1">
        <f t="array" ref="D504">INDEX('Linha 06'!$A$4:$A$1000,B504)</f>
        <v>20070008</v>
      </c>
      <c r="E504" t="str" cm="1">
        <f t="array" ref="E504">INDEX('Linha 06'!$B$4:$B$1000,B504)</f>
        <v>Limpa Vidros Aquafast Squeeze Cx/12 X 500ml</v>
      </c>
      <c r="F504" cm="1">
        <f t="array" ref="F504">INDEX('Linha 06'!$C$3:$ZZ$3,C504)</f>
        <v>20060016</v>
      </c>
      <c r="G504" t="str" cm="1">
        <f t="array" ref="G504">INDEX('Linha 06'!$C$2:$ZZ$2,C504)</f>
        <v>Limp Perf Aquafast Doce Romance Cx/12 X 1l</v>
      </c>
      <c r="H504" s="5" cm="1">
        <f t="array" ref="H504">INDEX('Linha 06'!$C$4:$ZZ$1000,B504,C504)</f>
        <v>0</v>
      </c>
    </row>
    <row r="505" spans="1:8" x14ac:dyDescent="0.25">
      <c r="A505">
        <v>503</v>
      </c>
      <c r="B505">
        <f t="shared" si="14"/>
        <v>14</v>
      </c>
      <c r="C505">
        <f t="shared" si="15"/>
        <v>9</v>
      </c>
      <c r="D505" cm="1">
        <f t="array" ref="D505">INDEX('Linha 06'!$A$4:$A$1000,B505)</f>
        <v>20070008</v>
      </c>
      <c r="E505" t="str" cm="1">
        <f t="array" ref="E505">INDEX('Linha 06'!$B$4:$B$1000,B505)</f>
        <v>Limpa Vidros Aquafast Squeeze Cx/12 X 500ml</v>
      </c>
      <c r="F505" cm="1">
        <f t="array" ref="F505">INDEX('Linha 06'!$C$3:$ZZ$3,C505)</f>
        <v>20060027</v>
      </c>
      <c r="G505" t="str" cm="1">
        <f t="array" ref="G505">INDEX('Linha 06'!$C$2:$ZZ$2,C505)</f>
        <v>Limp Perf Aquafast Essencia Natural Cx/12 X 1l</v>
      </c>
      <c r="H505" s="5" cm="1">
        <f t="array" ref="H505">INDEX('Linha 06'!$C$4:$ZZ$1000,B505,C505)</f>
        <v>0</v>
      </c>
    </row>
    <row r="506" spans="1:8" x14ac:dyDescent="0.25">
      <c r="A506">
        <v>504</v>
      </c>
      <c r="B506">
        <f t="shared" si="14"/>
        <v>14</v>
      </c>
      <c r="C506">
        <f t="shared" si="15"/>
        <v>10</v>
      </c>
      <c r="D506" cm="1">
        <f t="array" ref="D506">INDEX('Linha 06'!$A$4:$A$1000,B506)</f>
        <v>20070008</v>
      </c>
      <c r="E506" t="str" cm="1">
        <f t="array" ref="E506">INDEX('Linha 06'!$B$4:$B$1000,B506)</f>
        <v>Limpa Vidros Aquafast Squeeze Cx/12 X 500ml</v>
      </c>
      <c r="F506" cm="1">
        <f t="array" ref="F506">INDEX('Linha 06'!$C$3:$ZZ$3,C506)</f>
        <v>20070001</v>
      </c>
      <c r="G506" t="str" cm="1">
        <f t="array" ref="G506">INDEX('Linha 06'!$C$2:$ZZ$2,C506)</f>
        <v>Limpa Vidros Aquafast Pulverizador Cx/12 X 500ml</v>
      </c>
      <c r="H506" s="5" cm="1">
        <f t="array" ref="H506">INDEX('Linha 06'!$C$4:$ZZ$1000,B506,C506)</f>
        <v>0</v>
      </c>
    </row>
    <row r="507" spans="1:8" x14ac:dyDescent="0.25">
      <c r="A507">
        <v>505</v>
      </c>
      <c r="B507">
        <f t="shared" si="14"/>
        <v>14</v>
      </c>
      <c r="C507">
        <f t="shared" si="15"/>
        <v>11</v>
      </c>
      <c r="D507" cm="1">
        <f t="array" ref="D507">INDEX('Linha 06'!$A$4:$A$1000,B507)</f>
        <v>20070008</v>
      </c>
      <c r="E507" t="str" cm="1">
        <f t="array" ref="E507">INDEX('Linha 06'!$B$4:$B$1000,B507)</f>
        <v>Limpa Vidros Aquafast Squeeze Cx/12 X 500ml</v>
      </c>
      <c r="F507" cm="1">
        <f t="array" ref="F507">INDEX('Linha 06'!$C$3:$ZZ$3,C507)</f>
        <v>20070002</v>
      </c>
      <c r="G507" t="str" cm="1">
        <f t="array" ref="G507">INDEX('Linha 06'!$C$2:$ZZ$2,C507)</f>
        <v>Limpa Vidros Aquafast Recarga Cx/12 X 500ml</v>
      </c>
      <c r="H507" s="5" cm="1">
        <f t="array" ref="H507">INDEX('Linha 06'!$C$4:$ZZ$1000,B507,C507)</f>
        <v>0</v>
      </c>
    </row>
    <row r="508" spans="1:8" x14ac:dyDescent="0.25">
      <c r="A508">
        <v>506</v>
      </c>
      <c r="B508">
        <f t="shared" si="14"/>
        <v>14</v>
      </c>
      <c r="C508">
        <f t="shared" si="15"/>
        <v>12</v>
      </c>
      <c r="D508" cm="1">
        <f t="array" ref="D508">INDEX('Linha 06'!$A$4:$A$1000,B508)</f>
        <v>20070008</v>
      </c>
      <c r="E508" t="str" cm="1">
        <f t="array" ref="E508">INDEX('Linha 06'!$B$4:$B$1000,B508)</f>
        <v>Limpa Vidros Aquafast Squeeze Cx/12 X 500ml</v>
      </c>
      <c r="F508" cm="1">
        <f t="array" ref="F508">INDEX('Linha 06'!$C$3:$ZZ$3,C508)</f>
        <v>20070006</v>
      </c>
      <c r="G508" t="str" cm="1">
        <f t="array" ref="G508">INDEX('Linha 06'!$C$2:$ZZ$2,C508)</f>
        <v>Limpa Vidros Ito Pulverizador Cx/12 X 500ml</v>
      </c>
      <c r="H508" s="5" cm="1">
        <f t="array" ref="H508">INDEX('Linha 06'!$C$4:$ZZ$1000,B508,C508)</f>
        <v>0</v>
      </c>
    </row>
    <row r="509" spans="1:8" x14ac:dyDescent="0.25">
      <c r="A509">
        <v>507</v>
      </c>
      <c r="B509">
        <f t="shared" si="14"/>
        <v>14</v>
      </c>
      <c r="C509">
        <f t="shared" si="15"/>
        <v>13</v>
      </c>
      <c r="D509" cm="1">
        <f t="array" ref="D509">INDEX('Linha 06'!$A$4:$A$1000,B509)</f>
        <v>20070008</v>
      </c>
      <c r="E509" t="str" cm="1">
        <f t="array" ref="E509">INDEX('Linha 06'!$B$4:$B$1000,B509)</f>
        <v>Limpa Vidros Aquafast Squeeze Cx/12 X 500ml</v>
      </c>
      <c r="F509" cm="1">
        <f t="array" ref="F509">INDEX('Linha 06'!$C$3:$ZZ$3,C509)</f>
        <v>20070007</v>
      </c>
      <c r="G509" t="str" cm="1">
        <f t="array" ref="G509">INDEX('Linha 06'!$C$2:$ZZ$2,C509)</f>
        <v>Limpa Vidros Ito Recarga Cx/12 X 500ml</v>
      </c>
      <c r="H509" s="5" cm="1">
        <f t="array" ref="H509">INDEX('Linha 06'!$C$4:$ZZ$1000,B509,C509)</f>
        <v>0</v>
      </c>
    </row>
    <row r="510" spans="1:8" x14ac:dyDescent="0.25">
      <c r="A510">
        <v>508</v>
      </c>
      <c r="B510">
        <f t="shared" si="14"/>
        <v>14</v>
      </c>
      <c r="C510">
        <f t="shared" si="15"/>
        <v>14</v>
      </c>
      <c r="D510" cm="1">
        <f t="array" ref="D510">INDEX('Linha 06'!$A$4:$A$1000,B510)</f>
        <v>20070008</v>
      </c>
      <c r="E510" t="str" cm="1">
        <f t="array" ref="E510">INDEX('Linha 06'!$B$4:$B$1000,B510)</f>
        <v>Limpa Vidros Aquafast Squeeze Cx/12 X 500ml</v>
      </c>
      <c r="F510" cm="1">
        <f t="array" ref="F510">INDEX('Linha 06'!$C$3:$ZZ$3,C510)</f>
        <v>20070008</v>
      </c>
      <c r="G510" t="str" cm="1">
        <f t="array" ref="G510">INDEX('Linha 06'!$C$2:$ZZ$2,C510)</f>
        <v>Limpa Vidros Aquafast Squeeze Cx/12 X 500ml</v>
      </c>
      <c r="H510" s="5" cm="1">
        <f t="array" ref="H510">INDEX('Linha 06'!$C$4:$ZZ$1000,B510,C510)</f>
        <v>0</v>
      </c>
    </row>
    <row r="511" spans="1:8" x14ac:dyDescent="0.25">
      <c r="A511">
        <v>509</v>
      </c>
      <c r="B511">
        <f t="shared" si="14"/>
        <v>14</v>
      </c>
      <c r="C511">
        <f t="shared" si="15"/>
        <v>15</v>
      </c>
      <c r="D511" cm="1">
        <f t="array" ref="D511">INDEX('Linha 06'!$A$4:$A$1000,B511)</f>
        <v>20070008</v>
      </c>
      <c r="E511" t="str" cm="1">
        <f t="array" ref="E511">INDEX('Linha 06'!$B$4:$B$1000,B511)</f>
        <v>Limpa Vidros Aquafast Squeeze Cx/12 X 500ml</v>
      </c>
      <c r="F511" cm="1">
        <f t="array" ref="F511">INDEX('Linha 06'!$C$3:$ZZ$3,C511)</f>
        <v>20090001</v>
      </c>
      <c r="G511" t="str" cm="1">
        <f t="array" ref="G511">INDEX('Linha 06'!$C$2:$ZZ$2,C511)</f>
        <v>Desengordurante Aquafast Pulverizador Cx/12 X 500ml</v>
      </c>
      <c r="H511" s="5" cm="1">
        <f t="array" ref="H511">INDEX('Linha 06'!$C$4:$ZZ$1000,B511,C511)</f>
        <v>0</v>
      </c>
    </row>
    <row r="512" spans="1:8" x14ac:dyDescent="0.25">
      <c r="A512">
        <v>510</v>
      </c>
      <c r="B512">
        <f t="shared" si="14"/>
        <v>14</v>
      </c>
      <c r="C512">
        <f t="shared" si="15"/>
        <v>16</v>
      </c>
      <c r="D512" cm="1">
        <f t="array" ref="D512">INDEX('Linha 06'!$A$4:$A$1000,B512)</f>
        <v>20070008</v>
      </c>
      <c r="E512" t="str" cm="1">
        <f t="array" ref="E512">INDEX('Linha 06'!$B$4:$B$1000,B512)</f>
        <v>Limpa Vidros Aquafast Squeeze Cx/12 X 500ml</v>
      </c>
      <c r="F512" cm="1">
        <f t="array" ref="F512">INDEX('Linha 06'!$C$3:$ZZ$3,C512)</f>
        <v>20090002</v>
      </c>
      <c r="G512" t="str" cm="1">
        <f t="array" ref="G512">INDEX('Linha 06'!$C$2:$ZZ$2,C512)</f>
        <v>Desengordurante Aquafast Recarga Cx/12 X 500ml</v>
      </c>
      <c r="H512" s="5" cm="1">
        <f t="array" ref="H512">INDEX('Linha 06'!$C$4:$ZZ$1000,B512,C512)</f>
        <v>0</v>
      </c>
    </row>
    <row r="513" spans="1:8" x14ac:dyDescent="0.25">
      <c r="A513">
        <v>511</v>
      </c>
      <c r="B513">
        <f t="shared" si="14"/>
        <v>14</v>
      </c>
      <c r="C513">
        <f t="shared" si="15"/>
        <v>17</v>
      </c>
      <c r="D513" cm="1">
        <f t="array" ref="D513">INDEX('Linha 06'!$A$4:$A$1000,B513)</f>
        <v>20070008</v>
      </c>
      <c r="E513" t="str" cm="1">
        <f t="array" ref="E513">INDEX('Linha 06'!$B$4:$B$1000,B513)</f>
        <v>Limpa Vidros Aquafast Squeeze Cx/12 X 500ml</v>
      </c>
      <c r="F513" cm="1">
        <f t="array" ref="F513">INDEX('Linha 06'!$C$3:$ZZ$3,C513)</f>
        <v>20090004</v>
      </c>
      <c r="G513" t="str" cm="1">
        <f t="array" ref="G513">INDEX('Linha 06'!$C$2:$ZZ$2,C513)</f>
        <v>Desengordurante Aquafast Squeeze Cx C/12 X 500ml</v>
      </c>
      <c r="H513" s="5" cm="1">
        <f t="array" ref="H513">INDEX('Linha 06'!$C$4:$ZZ$1000,B513,C513)</f>
        <v>0</v>
      </c>
    </row>
    <row r="514" spans="1:8" x14ac:dyDescent="0.25">
      <c r="A514">
        <v>512</v>
      </c>
      <c r="B514">
        <f t="shared" si="14"/>
        <v>14</v>
      </c>
      <c r="C514">
        <f t="shared" si="15"/>
        <v>18</v>
      </c>
      <c r="D514" cm="1">
        <f t="array" ref="D514">INDEX('Linha 06'!$A$4:$A$1000,B514)</f>
        <v>20070008</v>
      </c>
      <c r="E514" t="str" cm="1">
        <f t="array" ref="E514">INDEX('Linha 06'!$B$4:$B$1000,B514)</f>
        <v>Limpa Vidros Aquafast Squeeze Cx/12 X 500ml</v>
      </c>
      <c r="F514" cm="1">
        <f t="array" ref="F514">INDEX('Linha 06'!$C$3:$ZZ$3,C514)</f>
        <v>20090005</v>
      </c>
      <c r="G514" t="str" cm="1">
        <f t="array" ref="G514">INDEX('Linha 06'!$C$2:$ZZ$2,C514)</f>
        <v>Desengordurante Aquafast Squeeze Cx C/12 X 1l</v>
      </c>
      <c r="H514" s="5" cm="1">
        <f t="array" ref="H514">INDEX('Linha 06'!$C$4:$ZZ$1000,B514,C514)</f>
        <v>0</v>
      </c>
    </row>
    <row r="515" spans="1:8" x14ac:dyDescent="0.25">
      <c r="A515">
        <v>513</v>
      </c>
      <c r="B515">
        <f t="shared" si="14"/>
        <v>14</v>
      </c>
      <c r="C515">
        <f t="shared" si="15"/>
        <v>19</v>
      </c>
      <c r="D515" cm="1">
        <f t="array" ref="D515">INDEX('Linha 06'!$A$4:$A$1000,B515)</f>
        <v>20070008</v>
      </c>
      <c r="E515" t="str" cm="1">
        <f t="array" ref="E515">INDEX('Linha 06'!$B$4:$B$1000,B515)</f>
        <v>Limpa Vidros Aquafast Squeeze Cx/12 X 500ml</v>
      </c>
      <c r="F515" cm="1">
        <f t="array" ref="F515">INDEX('Linha 06'!$C$3:$ZZ$3,C515)</f>
        <v>20090010</v>
      </c>
      <c r="G515" t="str" cm="1">
        <f t="array" ref="G515">INDEX('Linha 06'!$C$2:$ZZ$2,C515)</f>
        <v>Intermed Pack Desengord Squeeze Cx C/18 X 500ml</v>
      </c>
      <c r="H515" s="5" cm="1">
        <f t="array" ref="H515">INDEX('Linha 06'!$C$4:$ZZ$1000,B515,C515)</f>
        <v>0</v>
      </c>
    </row>
    <row r="516" spans="1:8" x14ac:dyDescent="0.25">
      <c r="A516">
        <v>514</v>
      </c>
      <c r="B516">
        <f t="shared" ref="B516:B579" si="16">INT((A516-1)/$B$1)+1</f>
        <v>14</v>
      </c>
      <c r="C516">
        <f t="shared" ref="C516:C579" si="17">MOD(A516-1,$B$1)+1</f>
        <v>20</v>
      </c>
      <c r="D516" cm="1">
        <f t="array" ref="D516">INDEX('Linha 06'!$A$4:$A$1000,B516)</f>
        <v>20070008</v>
      </c>
      <c r="E516" t="str" cm="1">
        <f t="array" ref="E516">INDEX('Linha 06'!$B$4:$B$1000,B516)</f>
        <v>Limpa Vidros Aquafast Squeeze Cx/12 X 500ml</v>
      </c>
      <c r="F516" cm="1">
        <f t="array" ref="F516">INDEX('Linha 06'!$C$3:$ZZ$3,C516)</f>
        <v>20110002</v>
      </c>
      <c r="G516" t="str" cm="1">
        <f t="array" ref="G516">INDEX('Linha 06'!$C$2:$ZZ$2,C516)</f>
        <v>Multi Uso Aquafast Squeeze Original Cx/12 X 500ml</v>
      </c>
      <c r="H516" s="5" cm="1">
        <f t="array" ref="H516">INDEX('Linha 06'!$C$4:$ZZ$1000,B516,C516)</f>
        <v>0</v>
      </c>
    </row>
    <row r="517" spans="1:8" x14ac:dyDescent="0.25">
      <c r="A517">
        <v>515</v>
      </c>
      <c r="B517">
        <f t="shared" si="16"/>
        <v>14</v>
      </c>
      <c r="C517">
        <f t="shared" si="17"/>
        <v>21</v>
      </c>
      <c r="D517" cm="1">
        <f t="array" ref="D517">INDEX('Linha 06'!$A$4:$A$1000,B517)</f>
        <v>20070008</v>
      </c>
      <c r="E517" t="str" cm="1">
        <f t="array" ref="E517">INDEX('Linha 06'!$B$4:$B$1000,B517)</f>
        <v>Limpa Vidros Aquafast Squeeze Cx/12 X 500ml</v>
      </c>
      <c r="F517" cm="1">
        <f t="array" ref="F517">INDEX('Linha 06'!$C$3:$ZZ$3,C517)</f>
        <v>20110004</v>
      </c>
      <c r="G517" t="str" cm="1">
        <f t="array" ref="G517">INDEX('Linha 06'!$C$2:$ZZ$2,C517)</f>
        <v>Multi Uso Aquafast Squeeze Lavanda Cx/12 X 500ml</v>
      </c>
      <c r="H517" s="5" cm="1">
        <f t="array" ref="H517">INDEX('Linha 06'!$C$4:$ZZ$1000,B517,C517)</f>
        <v>0</v>
      </c>
    </row>
    <row r="518" spans="1:8" x14ac:dyDescent="0.25">
      <c r="A518">
        <v>516</v>
      </c>
      <c r="B518">
        <f t="shared" si="16"/>
        <v>14</v>
      </c>
      <c r="C518">
        <f t="shared" si="17"/>
        <v>22</v>
      </c>
      <c r="D518" cm="1">
        <f t="array" ref="D518">INDEX('Linha 06'!$A$4:$A$1000,B518)</f>
        <v>20070008</v>
      </c>
      <c r="E518" t="str" cm="1">
        <f t="array" ref="E518">INDEX('Linha 06'!$B$4:$B$1000,B518)</f>
        <v>Limpa Vidros Aquafast Squeeze Cx/12 X 500ml</v>
      </c>
      <c r="F518" cm="1">
        <f t="array" ref="F518">INDEX('Linha 06'!$C$3:$ZZ$3,C518)</f>
        <v>20110007</v>
      </c>
      <c r="G518" t="str" cm="1">
        <f t="array" ref="G518">INDEX('Linha 06'!$C$2:$ZZ$2,C518)</f>
        <v>Multi Uso Aquafast Squeeze Seducao Cx/12 X 500ml</v>
      </c>
      <c r="H518" s="5" cm="1">
        <f t="array" ref="H518">INDEX('Linha 06'!$C$4:$ZZ$1000,B518,C518)</f>
        <v>0</v>
      </c>
    </row>
    <row r="519" spans="1:8" x14ac:dyDescent="0.25">
      <c r="A519">
        <v>517</v>
      </c>
      <c r="B519">
        <f t="shared" si="16"/>
        <v>14</v>
      </c>
      <c r="C519">
        <f t="shared" si="17"/>
        <v>23</v>
      </c>
      <c r="D519" cm="1">
        <f t="array" ref="D519">INDEX('Linha 06'!$A$4:$A$1000,B519)</f>
        <v>20070008</v>
      </c>
      <c r="E519" t="str" cm="1">
        <f t="array" ref="E519">INDEX('Linha 06'!$B$4:$B$1000,B519)</f>
        <v>Limpa Vidros Aquafast Squeeze Cx/12 X 500ml</v>
      </c>
      <c r="F519" cm="1">
        <f t="array" ref="F519">INDEX('Linha 06'!$C$3:$ZZ$3,C519)</f>
        <v>20110008</v>
      </c>
      <c r="G519" t="str" cm="1">
        <f t="array" ref="G519">INDEX('Linha 06'!$C$2:$ZZ$2,C519)</f>
        <v>Multi Uso Aquafast Squeeze Original Cx/12 X 1l</v>
      </c>
      <c r="H519" s="5" cm="1">
        <f t="array" ref="H519">INDEX('Linha 06'!$C$4:$ZZ$1000,B519,C519)</f>
        <v>0</v>
      </c>
    </row>
    <row r="520" spans="1:8" x14ac:dyDescent="0.25">
      <c r="A520">
        <v>518</v>
      </c>
      <c r="B520">
        <f t="shared" si="16"/>
        <v>14</v>
      </c>
      <c r="C520">
        <f t="shared" si="17"/>
        <v>24</v>
      </c>
      <c r="D520" cm="1">
        <f t="array" ref="D520">INDEX('Linha 06'!$A$4:$A$1000,B520)</f>
        <v>20070008</v>
      </c>
      <c r="E520" t="str" cm="1">
        <f t="array" ref="E520">INDEX('Linha 06'!$B$4:$B$1000,B520)</f>
        <v>Limpa Vidros Aquafast Squeeze Cx/12 X 500ml</v>
      </c>
      <c r="F520" cm="1">
        <f t="array" ref="F520">INDEX('Linha 06'!$C$3:$ZZ$3,C520)</f>
        <v>20110010</v>
      </c>
      <c r="G520" t="str" cm="1">
        <f t="array" ref="G520">INDEX('Linha 06'!$C$2:$ZZ$2,C520)</f>
        <v>Multi Uso Aquafast Squeeze Seducao Cx/12 1l</v>
      </c>
      <c r="H520" s="5" cm="1">
        <f t="array" ref="H520">INDEX('Linha 06'!$C$4:$ZZ$1000,B520,C520)</f>
        <v>0</v>
      </c>
    </row>
    <row r="521" spans="1:8" x14ac:dyDescent="0.25">
      <c r="A521">
        <v>519</v>
      </c>
      <c r="B521">
        <f t="shared" si="16"/>
        <v>14</v>
      </c>
      <c r="C521">
        <f t="shared" si="17"/>
        <v>25</v>
      </c>
      <c r="D521" cm="1">
        <f t="array" ref="D521">INDEX('Linha 06'!$A$4:$A$1000,B521)</f>
        <v>20070008</v>
      </c>
      <c r="E521" t="str" cm="1">
        <f t="array" ref="E521">INDEX('Linha 06'!$B$4:$B$1000,B521)</f>
        <v>Limpa Vidros Aquafast Squeeze Cx/12 X 500ml</v>
      </c>
      <c r="F521" cm="1">
        <f t="array" ref="F521">INDEX('Linha 06'!$C$3:$ZZ$3,C521)</f>
        <v>20110013</v>
      </c>
      <c r="G521" t="str" cm="1">
        <f t="array" ref="G521">INDEX('Linha 06'!$C$2:$ZZ$2,C521)</f>
        <v>Multi Uso Aquafast Squeeze Lavanda Cx/12 X 1l</v>
      </c>
      <c r="H521" s="5" cm="1">
        <f t="array" ref="H521">INDEX('Linha 06'!$C$4:$ZZ$1000,B521,C521)</f>
        <v>0</v>
      </c>
    </row>
    <row r="522" spans="1:8" x14ac:dyDescent="0.25">
      <c r="A522">
        <v>520</v>
      </c>
      <c r="B522">
        <f t="shared" si="16"/>
        <v>14</v>
      </c>
      <c r="C522">
        <f t="shared" si="17"/>
        <v>26</v>
      </c>
      <c r="D522" cm="1">
        <f t="array" ref="D522">INDEX('Linha 06'!$A$4:$A$1000,B522)</f>
        <v>20070008</v>
      </c>
      <c r="E522" t="str" cm="1">
        <f t="array" ref="E522">INDEX('Linha 06'!$B$4:$B$1000,B522)</f>
        <v>Limpa Vidros Aquafast Squeeze Cx/12 X 500ml</v>
      </c>
      <c r="F522" cm="1">
        <f t="array" ref="F522">INDEX('Linha 06'!$C$3:$ZZ$3,C522)</f>
        <v>20110022</v>
      </c>
      <c r="G522" t="str" cm="1">
        <f t="array" ref="G522">INDEX('Linha 06'!$C$2:$ZZ$2,C522)</f>
        <v>Intermed Pack Multi Uso Lavand C/Alcool Cx/18 X 500ml</v>
      </c>
      <c r="H522" s="5" cm="1">
        <f t="array" ref="H522">INDEX('Linha 06'!$C$4:$ZZ$1000,B522,C522)</f>
        <v>0</v>
      </c>
    </row>
    <row r="523" spans="1:8" x14ac:dyDescent="0.25">
      <c r="A523">
        <v>521</v>
      </c>
      <c r="B523">
        <f t="shared" si="16"/>
        <v>14</v>
      </c>
      <c r="C523">
        <f t="shared" si="17"/>
        <v>27</v>
      </c>
      <c r="D523" cm="1">
        <f t="array" ref="D523">INDEX('Linha 06'!$A$4:$A$1000,B523)</f>
        <v>20070008</v>
      </c>
      <c r="E523" t="str" cm="1">
        <f t="array" ref="E523">INDEX('Linha 06'!$B$4:$B$1000,B523)</f>
        <v>Limpa Vidros Aquafast Squeeze Cx/12 X 500ml</v>
      </c>
      <c r="F523" cm="1">
        <f t="array" ref="F523">INDEX('Linha 06'!$C$3:$ZZ$3,C523)</f>
        <v>20110023</v>
      </c>
      <c r="G523" t="str" cm="1">
        <f t="array" ref="G523">INDEX('Linha 06'!$C$2:$ZZ$2,C523)</f>
        <v>Multi Uso Aquafast Squeeze Cha Branco  Cx/12 X 500ml</v>
      </c>
      <c r="H523" s="5" cm="1">
        <f t="array" ref="H523">INDEX('Linha 06'!$C$4:$ZZ$1000,B523,C523)</f>
        <v>0</v>
      </c>
    </row>
    <row r="524" spans="1:8" x14ac:dyDescent="0.25">
      <c r="A524">
        <v>522</v>
      </c>
      <c r="B524">
        <f t="shared" si="16"/>
        <v>14</v>
      </c>
      <c r="C524">
        <f t="shared" si="17"/>
        <v>28</v>
      </c>
      <c r="D524" cm="1">
        <f t="array" ref="D524">INDEX('Linha 06'!$A$4:$A$1000,B524)</f>
        <v>20070008</v>
      </c>
      <c r="E524" t="str" cm="1">
        <f t="array" ref="E524">INDEX('Linha 06'!$B$4:$B$1000,B524)</f>
        <v>Limpa Vidros Aquafast Squeeze Cx/12 X 500ml</v>
      </c>
      <c r="F524" cm="1">
        <f t="array" ref="F524">INDEX('Linha 06'!$C$3:$ZZ$3,C524)</f>
        <v>20110024</v>
      </c>
      <c r="G524" t="str" cm="1">
        <f t="array" ref="G524">INDEX('Linha 06'!$C$2:$ZZ$2,C524)</f>
        <v>Multi Uso Aquafast Squeeze Cha Branco Cx12 X 1l</v>
      </c>
      <c r="H524" s="5" cm="1">
        <f t="array" ref="H524">INDEX('Linha 06'!$C$4:$ZZ$1000,B524,C524)</f>
        <v>0</v>
      </c>
    </row>
    <row r="525" spans="1:8" x14ac:dyDescent="0.25">
      <c r="A525">
        <v>523</v>
      </c>
      <c r="B525">
        <f t="shared" si="16"/>
        <v>14</v>
      </c>
      <c r="C525">
        <f t="shared" si="17"/>
        <v>29</v>
      </c>
      <c r="D525" cm="1">
        <f t="array" ref="D525">INDEX('Linha 06'!$A$4:$A$1000,B525)</f>
        <v>20070008</v>
      </c>
      <c r="E525" t="str" cm="1">
        <f t="array" ref="E525">INDEX('Linha 06'!$B$4:$B$1000,B525)</f>
        <v>Limpa Vidros Aquafast Squeeze Cx/12 X 500ml</v>
      </c>
      <c r="F525" cm="1">
        <f t="array" ref="F525">INDEX('Linha 06'!$C$3:$ZZ$3,C525)</f>
        <v>20110025</v>
      </c>
      <c r="G525" t="str" cm="1">
        <f t="array" ref="G525">INDEX('Linha 06'!$C$2:$ZZ$2,C525)</f>
        <v>Multi Uso Aquafast Pulverizador Original Cx/12 X 1l</v>
      </c>
      <c r="H525" s="5" cm="1">
        <f t="array" ref="H525">INDEX('Linha 06'!$C$4:$ZZ$1000,B525,C525)</f>
        <v>0</v>
      </c>
    </row>
    <row r="526" spans="1:8" x14ac:dyDescent="0.25">
      <c r="A526">
        <v>524</v>
      </c>
      <c r="B526">
        <f t="shared" si="16"/>
        <v>14</v>
      </c>
      <c r="C526">
        <f t="shared" si="17"/>
        <v>30</v>
      </c>
      <c r="D526" cm="1">
        <f t="array" ref="D526">INDEX('Linha 06'!$A$4:$A$1000,B526)</f>
        <v>20070008</v>
      </c>
      <c r="E526" t="str" cm="1">
        <f t="array" ref="E526">INDEX('Linha 06'!$B$4:$B$1000,B526)</f>
        <v>Limpa Vidros Aquafast Squeeze Cx/12 X 500ml</v>
      </c>
      <c r="F526" cm="1">
        <f t="array" ref="F526">INDEX('Linha 06'!$C$3:$ZZ$3,C526)</f>
        <v>20110026</v>
      </c>
      <c r="G526" t="str" cm="1">
        <f t="array" ref="G526">INDEX('Linha 06'!$C$2:$ZZ$2,C526)</f>
        <v>Multi Uso Aquafast Pulverizador Poder O2 Cx/12 X 1l</v>
      </c>
      <c r="H526" s="5" cm="1">
        <f t="array" ref="H526">INDEX('Linha 06'!$C$4:$ZZ$1000,B526,C526)</f>
        <v>0</v>
      </c>
    </row>
    <row r="527" spans="1:8" x14ac:dyDescent="0.25">
      <c r="A527">
        <v>525</v>
      </c>
      <c r="B527">
        <f t="shared" si="16"/>
        <v>14</v>
      </c>
      <c r="C527">
        <f t="shared" si="17"/>
        <v>31</v>
      </c>
      <c r="D527" cm="1">
        <f t="array" ref="D527">INDEX('Linha 06'!$A$4:$A$1000,B527)</f>
        <v>20070008</v>
      </c>
      <c r="E527" t="str" cm="1">
        <f t="array" ref="E527">INDEX('Linha 06'!$B$4:$B$1000,B527)</f>
        <v>Limpa Vidros Aquafast Squeeze Cx/12 X 500ml</v>
      </c>
      <c r="F527" cm="1">
        <f t="array" ref="F527">INDEX('Linha 06'!$C$3:$ZZ$3,C527)</f>
        <v>20110027</v>
      </c>
      <c r="G527" t="str" cm="1">
        <f t="array" ref="G527">INDEX('Linha 06'!$C$2:$ZZ$2,C527)</f>
        <v>Multi Uso Aquafast Pulverizador Poder O2 Cx/12 X 500ml</v>
      </c>
      <c r="H527" s="5" cm="1">
        <f t="array" ref="H527">INDEX('Linha 06'!$C$4:$ZZ$1000,B527,C527)</f>
        <v>0</v>
      </c>
    </row>
    <row r="528" spans="1:8" x14ac:dyDescent="0.25">
      <c r="A528">
        <v>526</v>
      </c>
      <c r="B528">
        <f t="shared" si="16"/>
        <v>14</v>
      </c>
      <c r="C528">
        <f t="shared" si="17"/>
        <v>32</v>
      </c>
      <c r="D528" cm="1">
        <f t="array" ref="D528">INDEX('Linha 06'!$A$4:$A$1000,B528)</f>
        <v>20070008</v>
      </c>
      <c r="E528" t="str" cm="1">
        <f t="array" ref="E528">INDEX('Linha 06'!$B$4:$B$1000,B528)</f>
        <v>Limpa Vidros Aquafast Squeeze Cx/12 X 500ml</v>
      </c>
      <c r="F528" cm="1">
        <f t="array" ref="F528">INDEX('Linha 06'!$C$3:$ZZ$3,C528)</f>
        <v>20200073</v>
      </c>
      <c r="G528" t="str" cm="1">
        <f t="array" ref="G528">INDEX('Linha 06'!$C$2:$ZZ$2,C528)</f>
        <v>Lava Roupas Aquafast Lavagem Rapida Total Clean Cx/9 X 1,5l</v>
      </c>
      <c r="H528" s="5" cm="1">
        <f t="array" ref="H528">INDEX('Linha 06'!$C$4:$ZZ$1000,B528,C528)</f>
        <v>0</v>
      </c>
    </row>
    <row r="529" spans="1:8" x14ac:dyDescent="0.25">
      <c r="A529">
        <v>527</v>
      </c>
      <c r="B529">
        <f t="shared" si="16"/>
        <v>14</v>
      </c>
      <c r="C529">
        <f t="shared" si="17"/>
        <v>33</v>
      </c>
      <c r="D529" cm="1">
        <f t="array" ref="D529">INDEX('Linha 06'!$A$4:$A$1000,B529)</f>
        <v>20070008</v>
      </c>
      <c r="E529" t="str" cm="1">
        <f t="array" ref="E529">INDEX('Linha 06'!$B$4:$B$1000,B529)</f>
        <v>Limpa Vidros Aquafast Squeeze Cx/12 X 500ml</v>
      </c>
      <c r="F529" cm="1">
        <f t="array" ref="F529">INDEX('Linha 06'!$C$3:$ZZ$3,C529)</f>
        <v>20200075</v>
      </c>
      <c r="G529" t="str" cm="1">
        <f t="array" ref="G529">INDEX('Linha 06'!$C$2:$ZZ$2,C529)</f>
        <v>Lava Roupas Aquafast Lavagem Rapida Fresh Clean Cx/9 X 1,5l</v>
      </c>
      <c r="H529" s="5" cm="1">
        <f t="array" ref="H529">INDEX('Linha 06'!$C$4:$ZZ$1000,B529,C529)</f>
        <v>0</v>
      </c>
    </row>
    <row r="530" spans="1:8" x14ac:dyDescent="0.25">
      <c r="A530">
        <v>528</v>
      </c>
      <c r="B530">
        <f t="shared" si="16"/>
        <v>14</v>
      </c>
      <c r="C530">
        <f t="shared" si="17"/>
        <v>34</v>
      </c>
      <c r="D530" cm="1">
        <f t="array" ref="D530">INDEX('Linha 06'!$A$4:$A$1000,B530)</f>
        <v>20070008</v>
      </c>
      <c r="E530" t="str" cm="1">
        <f t="array" ref="E530">INDEX('Linha 06'!$B$4:$B$1000,B530)</f>
        <v>Limpa Vidros Aquafast Squeeze Cx/12 X 500ml</v>
      </c>
      <c r="F530" cm="1">
        <f t="array" ref="F530">INDEX('Linha 06'!$C$3:$ZZ$3,C530)</f>
        <v>20220018</v>
      </c>
      <c r="G530" t="str" cm="1">
        <f t="array" ref="G530">INDEX('Linha 06'!$C$2:$ZZ$2,C530)</f>
        <v>Intermed. Aromat. Amoras E Baunilha Cx C/ 12un 250ml</v>
      </c>
      <c r="H530" s="5" cm="1">
        <f t="array" ref="H530">INDEX('Linha 06'!$C$4:$ZZ$1000,B530,C530)</f>
        <v>0</v>
      </c>
    </row>
    <row r="531" spans="1:8" x14ac:dyDescent="0.25">
      <c r="A531">
        <v>529</v>
      </c>
      <c r="B531">
        <f t="shared" si="16"/>
        <v>14</v>
      </c>
      <c r="C531">
        <f t="shared" si="17"/>
        <v>35</v>
      </c>
      <c r="D531" cm="1">
        <f t="array" ref="D531">INDEX('Linha 06'!$A$4:$A$1000,B531)</f>
        <v>20070008</v>
      </c>
      <c r="E531" t="str" cm="1">
        <f t="array" ref="E531">INDEX('Linha 06'!$B$4:$B$1000,B531)</f>
        <v>Limpa Vidros Aquafast Squeeze Cx/12 X 500ml</v>
      </c>
      <c r="F531" cm="1">
        <f t="array" ref="F531">INDEX('Linha 06'!$C$3:$ZZ$3,C531)</f>
        <v>20220019</v>
      </c>
      <c r="G531" t="str" cm="1">
        <f t="array" ref="G531">INDEX('Linha 06'!$C$2:$ZZ$2,C531)</f>
        <v>Intermed. Aromat. Figo E Cedro Cx C/ 12un 250ml</v>
      </c>
      <c r="H531" s="5" cm="1">
        <f t="array" ref="H531">INDEX('Linha 06'!$C$4:$ZZ$1000,B531,C531)</f>
        <v>0</v>
      </c>
    </row>
    <row r="532" spans="1:8" x14ac:dyDescent="0.25">
      <c r="A532">
        <v>530</v>
      </c>
      <c r="B532">
        <f t="shared" si="16"/>
        <v>14</v>
      </c>
      <c r="C532">
        <f t="shared" si="17"/>
        <v>36</v>
      </c>
      <c r="D532" cm="1">
        <f t="array" ref="D532">INDEX('Linha 06'!$A$4:$A$1000,B532)</f>
        <v>20070008</v>
      </c>
      <c r="E532" t="str" cm="1">
        <f t="array" ref="E532">INDEX('Linha 06'!$B$4:$B$1000,B532)</f>
        <v>Limpa Vidros Aquafast Squeeze Cx/12 X 500ml</v>
      </c>
      <c r="F532" cm="1">
        <f t="array" ref="F532">INDEX('Linha 06'!$C$3:$ZZ$3,C532)</f>
        <v>20220020</v>
      </c>
      <c r="G532" t="str" cm="1">
        <f t="array" ref="G532">INDEX('Linha 06'!$C$2:$ZZ$2,C532)</f>
        <v>Intermed. Aromat. Rosas E Magnolias Cx C/ 12un 250ml</v>
      </c>
      <c r="H532" s="5" cm="1">
        <f t="array" ref="H532">INDEX('Linha 06'!$C$4:$ZZ$1000,B532,C532)</f>
        <v>0</v>
      </c>
    </row>
    <row r="533" spans="1:8" x14ac:dyDescent="0.25">
      <c r="A533">
        <v>531</v>
      </c>
      <c r="B533">
        <f t="shared" si="16"/>
        <v>14</v>
      </c>
      <c r="C533">
        <f t="shared" si="17"/>
        <v>37</v>
      </c>
      <c r="D533" cm="1">
        <f t="array" ref="D533">INDEX('Linha 06'!$A$4:$A$1000,B533)</f>
        <v>20070008</v>
      </c>
      <c r="E533" t="str" cm="1">
        <f t="array" ref="E533">INDEX('Linha 06'!$B$4:$B$1000,B533)</f>
        <v>Limpa Vidros Aquafast Squeeze Cx/12 X 500ml</v>
      </c>
      <c r="F533" cm="1">
        <f t="array" ref="F533">INDEX('Linha 06'!$C$3:$ZZ$3,C533)</f>
        <v>20220021</v>
      </c>
      <c r="G533" t="str" cm="1">
        <f t="array" ref="G533">INDEX('Linha 06'!$C$2:$ZZ$2,C533)</f>
        <v>Intermed. Aromat. Flores Exoticas Cx C/ 12un 250ml</v>
      </c>
      <c r="H533" s="5" cm="1">
        <f t="array" ref="H533">INDEX('Linha 06'!$C$4:$ZZ$1000,B533,C533)</f>
        <v>0</v>
      </c>
    </row>
    <row r="534" spans="1:8" x14ac:dyDescent="0.25">
      <c r="A534">
        <v>532</v>
      </c>
      <c r="B534">
        <f t="shared" si="16"/>
        <v>14</v>
      </c>
      <c r="C534">
        <f t="shared" si="17"/>
        <v>38</v>
      </c>
      <c r="D534" cm="1">
        <f t="array" ref="D534">INDEX('Linha 06'!$A$4:$A$1000,B534)</f>
        <v>20070008</v>
      </c>
      <c r="E534" t="str" cm="1">
        <f t="array" ref="E534">INDEX('Linha 06'!$B$4:$B$1000,B534)</f>
        <v>Limpa Vidros Aquafast Squeeze Cx/12 X 500ml</v>
      </c>
      <c r="F534" cm="1">
        <f t="array" ref="F534">INDEX('Linha 06'!$C$3:$ZZ$3,C534)</f>
        <v>20220022</v>
      </c>
      <c r="G534" t="str" cm="1">
        <f t="array" ref="G534">INDEX('Linha 06'!$C$2:$ZZ$2,C534)</f>
        <v>Intermed. Aromat. Cha Verde E Grapef Cx C/ 12un 250ml</v>
      </c>
      <c r="H534" s="5" cm="1">
        <f t="array" ref="H534">INDEX('Linha 06'!$C$4:$ZZ$1000,B534,C534)</f>
        <v>0</v>
      </c>
    </row>
    <row r="535" spans="1:8" x14ac:dyDescent="0.25">
      <c r="A535">
        <v>533</v>
      </c>
      <c r="B535">
        <f t="shared" si="16"/>
        <v>15</v>
      </c>
      <c r="C535">
        <f t="shared" si="17"/>
        <v>1</v>
      </c>
      <c r="D535" cm="1">
        <f t="array" ref="D535">INDEX('Linha 06'!$A$4:$A$1000,B535)</f>
        <v>20090001</v>
      </c>
      <c r="E535" t="str" cm="1">
        <f t="array" ref="E535">INDEX('Linha 06'!$B$4:$B$1000,B535)</f>
        <v>Desengordurante Aquafast Pulverizador Cx/12 X 500ml</v>
      </c>
      <c r="F535" cm="1">
        <f t="array" ref="F535">INDEX('Linha 06'!$C$3:$ZZ$3,C535)</f>
        <v>20060001</v>
      </c>
      <c r="G535" t="str" cm="1">
        <f t="array" ref="G535">INDEX('Linha 06'!$C$2:$ZZ$2,C535)</f>
        <v>Limp Perf Aquafast Magia Seducao Cx/12 X 500ml</v>
      </c>
      <c r="H535" s="5" cm="1">
        <f t="array" ref="H535">INDEX('Linha 06'!$C$4:$ZZ$1000,B535,C535)</f>
        <v>0</v>
      </c>
    </row>
    <row r="536" spans="1:8" x14ac:dyDescent="0.25">
      <c r="A536">
        <v>534</v>
      </c>
      <c r="B536">
        <f t="shared" si="16"/>
        <v>15</v>
      </c>
      <c r="C536">
        <f t="shared" si="17"/>
        <v>2</v>
      </c>
      <c r="D536" cm="1">
        <f t="array" ref="D536">INDEX('Linha 06'!$A$4:$A$1000,B536)</f>
        <v>20090001</v>
      </c>
      <c r="E536" t="str" cm="1">
        <f t="array" ref="E536">INDEX('Linha 06'!$B$4:$B$1000,B536)</f>
        <v>Desengordurante Aquafast Pulverizador Cx/12 X 500ml</v>
      </c>
      <c r="F536" cm="1">
        <f t="array" ref="F536">INDEX('Linha 06'!$C$3:$ZZ$3,C536)</f>
        <v>20060004</v>
      </c>
      <c r="G536" t="str" cm="1">
        <f t="array" ref="G536">INDEX('Linha 06'!$C$2:$ZZ$2,C536)</f>
        <v>Limp Perf Aquafast Magia Seducao Cx/12 X 1l</v>
      </c>
      <c r="H536" s="5" cm="1">
        <f t="array" ref="H536">INDEX('Linha 06'!$C$4:$ZZ$1000,B536,C536)</f>
        <v>0</v>
      </c>
    </row>
    <row r="537" spans="1:8" x14ac:dyDescent="0.25">
      <c r="A537">
        <v>535</v>
      </c>
      <c r="B537">
        <f t="shared" si="16"/>
        <v>15</v>
      </c>
      <c r="C537">
        <f t="shared" si="17"/>
        <v>3</v>
      </c>
      <c r="D537" cm="1">
        <f t="array" ref="D537">INDEX('Linha 06'!$A$4:$A$1000,B537)</f>
        <v>20090001</v>
      </c>
      <c r="E537" t="str" cm="1">
        <f t="array" ref="E537">INDEX('Linha 06'!$B$4:$B$1000,B537)</f>
        <v>Desengordurante Aquafast Pulverizador Cx/12 X 500ml</v>
      </c>
      <c r="F537" cm="1">
        <f t="array" ref="F537">INDEX('Linha 06'!$C$3:$ZZ$3,C537)</f>
        <v>20060010</v>
      </c>
      <c r="G537" t="str" cm="1">
        <f t="array" ref="G537">INDEX('Linha 06'!$C$2:$ZZ$2,C537)</f>
        <v>Limp Perf Aquafast Magia Da Infancia Cx/12 X 500ml</v>
      </c>
      <c r="H537" s="5" cm="1">
        <f t="array" ref="H537">INDEX('Linha 06'!$C$4:$ZZ$1000,B537,C537)</f>
        <v>0</v>
      </c>
    </row>
    <row r="538" spans="1:8" x14ac:dyDescent="0.25">
      <c r="A538">
        <v>536</v>
      </c>
      <c r="B538">
        <f t="shared" si="16"/>
        <v>15</v>
      </c>
      <c r="C538">
        <f t="shared" si="17"/>
        <v>4</v>
      </c>
      <c r="D538" cm="1">
        <f t="array" ref="D538">INDEX('Linha 06'!$A$4:$A$1000,B538)</f>
        <v>20090001</v>
      </c>
      <c r="E538" t="str" cm="1">
        <f t="array" ref="E538">INDEX('Linha 06'!$B$4:$B$1000,B538)</f>
        <v>Desengordurante Aquafast Pulverizador Cx/12 X 500ml</v>
      </c>
      <c r="F538" cm="1">
        <f t="array" ref="F538">INDEX('Linha 06'!$C$3:$ZZ$3,C538)</f>
        <v>20060011</v>
      </c>
      <c r="G538" t="str" cm="1">
        <f t="array" ref="G538">INDEX('Linha 06'!$C$2:$ZZ$2,C538)</f>
        <v>Limp Perf Aquafast Frescor Da Manha Cx/12 X 500ml</v>
      </c>
      <c r="H538" s="5" cm="1">
        <f t="array" ref="H538">INDEX('Linha 06'!$C$4:$ZZ$1000,B538,C538)</f>
        <v>0</v>
      </c>
    </row>
    <row r="539" spans="1:8" x14ac:dyDescent="0.25">
      <c r="A539">
        <v>537</v>
      </c>
      <c r="B539">
        <f t="shared" si="16"/>
        <v>15</v>
      </c>
      <c r="C539">
        <f t="shared" si="17"/>
        <v>5</v>
      </c>
      <c r="D539" cm="1">
        <f t="array" ref="D539">INDEX('Linha 06'!$A$4:$A$1000,B539)</f>
        <v>20090001</v>
      </c>
      <c r="E539" t="str" cm="1">
        <f t="array" ref="E539">INDEX('Linha 06'!$B$4:$B$1000,B539)</f>
        <v>Desengordurante Aquafast Pulverizador Cx/12 X 500ml</v>
      </c>
      <c r="F539" cm="1">
        <f t="array" ref="F539">INDEX('Linha 06'!$C$3:$ZZ$3,C539)</f>
        <v>20060012</v>
      </c>
      <c r="G539" t="str" cm="1">
        <f t="array" ref="G539">INDEX('Linha 06'!$C$2:$ZZ$2,C539)</f>
        <v>Limp Perf Aquafast Magia Da Infancia Cx/12 X 1l</v>
      </c>
      <c r="H539" s="5" cm="1">
        <f t="array" ref="H539">INDEX('Linha 06'!$C$4:$ZZ$1000,B539,C539)</f>
        <v>0</v>
      </c>
    </row>
    <row r="540" spans="1:8" x14ac:dyDescent="0.25">
      <c r="A540">
        <v>538</v>
      </c>
      <c r="B540">
        <f t="shared" si="16"/>
        <v>15</v>
      </c>
      <c r="C540">
        <f t="shared" si="17"/>
        <v>6</v>
      </c>
      <c r="D540" cm="1">
        <f t="array" ref="D540">INDEX('Linha 06'!$A$4:$A$1000,B540)</f>
        <v>20090001</v>
      </c>
      <c r="E540" t="str" cm="1">
        <f t="array" ref="E540">INDEX('Linha 06'!$B$4:$B$1000,B540)</f>
        <v>Desengordurante Aquafast Pulverizador Cx/12 X 500ml</v>
      </c>
      <c r="F540" cm="1">
        <f t="array" ref="F540">INDEX('Linha 06'!$C$3:$ZZ$3,C540)</f>
        <v>20060013</v>
      </c>
      <c r="G540" t="str" cm="1">
        <f t="array" ref="G540">INDEX('Linha 06'!$C$2:$ZZ$2,C540)</f>
        <v>Limp Perf Aquafast Frescor Da Manha Cx/12 X 1l</v>
      </c>
      <c r="H540" s="5" cm="1">
        <f t="array" ref="H540">INDEX('Linha 06'!$C$4:$ZZ$1000,B540,C540)</f>
        <v>0</v>
      </c>
    </row>
    <row r="541" spans="1:8" x14ac:dyDescent="0.25">
      <c r="A541">
        <v>539</v>
      </c>
      <c r="B541">
        <f t="shared" si="16"/>
        <v>15</v>
      </c>
      <c r="C541">
        <f t="shared" si="17"/>
        <v>7</v>
      </c>
      <c r="D541" cm="1">
        <f t="array" ref="D541">INDEX('Linha 06'!$A$4:$A$1000,B541)</f>
        <v>20090001</v>
      </c>
      <c r="E541" t="str" cm="1">
        <f t="array" ref="E541">INDEX('Linha 06'!$B$4:$B$1000,B541)</f>
        <v>Desengordurante Aquafast Pulverizador Cx/12 X 500ml</v>
      </c>
      <c r="F541" cm="1">
        <f t="array" ref="F541">INDEX('Linha 06'!$C$3:$ZZ$3,C541)</f>
        <v>20060015</v>
      </c>
      <c r="G541" t="str" cm="1">
        <f t="array" ref="G541">INDEX('Linha 06'!$C$2:$ZZ$2,C541)</f>
        <v>Limp Perf Aquafast Doce Romance Cx/12 X 500ml</v>
      </c>
      <c r="H541" s="5" cm="1">
        <f t="array" ref="H541">INDEX('Linha 06'!$C$4:$ZZ$1000,B541,C541)</f>
        <v>0</v>
      </c>
    </row>
    <row r="542" spans="1:8" x14ac:dyDescent="0.25">
      <c r="A542">
        <v>540</v>
      </c>
      <c r="B542">
        <f t="shared" si="16"/>
        <v>15</v>
      </c>
      <c r="C542">
        <f t="shared" si="17"/>
        <v>8</v>
      </c>
      <c r="D542" cm="1">
        <f t="array" ref="D542">INDEX('Linha 06'!$A$4:$A$1000,B542)</f>
        <v>20090001</v>
      </c>
      <c r="E542" t="str" cm="1">
        <f t="array" ref="E542">INDEX('Linha 06'!$B$4:$B$1000,B542)</f>
        <v>Desengordurante Aquafast Pulverizador Cx/12 X 500ml</v>
      </c>
      <c r="F542" cm="1">
        <f t="array" ref="F542">INDEX('Linha 06'!$C$3:$ZZ$3,C542)</f>
        <v>20060016</v>
      </c>
      <c r="G542" t="str" cm="1">
        <f t="array" ref="G542">INDEX('Linha 06'!$C$2:$ZZ$2,C542)</f>
        <v>Limp Perf Aquafast Doce Romance Cx/12 X 1l</v>
      </c>
      <c r="H542" s="5" cm="1">
        <f t="array" ref="H542">INDEX('Linha 06'!$C$4:$ZZ$1000,B542,C542)</f>
        <v>0</v>
      </c>
    </row>
    <row r="543" spans="1:8" x14ac:dyDescent="0.25">
      <c r="A543">
        <v>541</v>
      </c>
      <c r="B543">
        <f t="shared" si="16"/>
        <v>15</v>
      </c>
      <c r="C543">
        <f t="shared" si="17"/>
        <v>9</v>
      </c>
      <c r="D543" cm="1">
        <f t="array" ref="D543">INDEX('Linha 06'!$A$4:$A$1000,B543)</f>
        <v>20090001</v>
      </c>
      <c r="E543" t="str" cm="1">
        <f t="array" ref="E543">INDEX('Linha 06'!$B$4:$B$1000,B543)</f>
        <v>Desengordurante Aquafast Pulverizador Cx/12 X 500ml</v>
      </c>
      <c r="F543" cm="1">
        <f t="array" ref="F543">INDEX('Linha 06'!$C$3:$ZZ$3,C543)</f>
        <v>20060027</v>
      </c>
      <c r="G543" t="str" cm="1">
        <f t="array" ref="G543">INDEX('Linha 06'!$C$2:$ZZ$2,C543)</f>
        <v>Limp Perf Aquafast Essencia Natural Cx/12 X 1l</v>
      </c>
      <c r="H543" s="5" cm="1">
        <f t="array" ref="H543">INDEX('Linha 06'!$C$4:$ZZ$1000,B543,C543)</f>
        <v>0</v>
      </c>
    </row>
    <row r="544" spans="1:8" x14ac:dyDescent="0.25">
      <c r="A544">
        <v>542</v>
      </c>
      <c r="B544">
        <f t="shared" si="16"/>
        <v>15</v>
      </c>
      <c r="C544">
        <f t="shared" si="17"/>
        <v>10</v>
      </c>
      <c r="D544" cm="1">
        <f t="array" ref="D544">INDEX('Linha 06'!$A$4:$A$1000,B544)</f>
        <v>20090001</v>
      </c>
      <c r="E544" t="str" cm="1">
        <f t="array" ref="E544">INDEX('Linha 06'!$B$4:$B$1000,B544)</f>
        <v>Desengordurante Aquafast Pulverizador Cx/12 X 500ml</v>
      </c>
      <c r="F544" cm="1">
        <f t="array" ref="F544">INDEX('Linha 06'!$C$3:$ZZ$3,C544)</f>
        <v>20070001</v>
      </c>
      <c r="G544" t="str" cm="1">
        <f t="array" ref="G544">INDEX('Linha 06'!$C$2:$ZZ$2,C544)</f>
        <v>Limpa Vidros Aquafast Pulverizador Cx/12 X 500ml</v>
      </c>
      <c r="H544" s="5" cm="1">
        <f t="array" ref="H544">INDEX('Linha 06'!$C$4:$ZZ$1000,B544,C544)</f>
        <v>0</v>
      </c>
    </row>
    <row r="545" spans="1:8" x14ac:dyDescent="0.25">
      <c r="A545">
        <v>543</v>
      </c>
      <c r="B545">
        <f t="shared" si="16"/>
        <v>15</v>
      </c>
      <c r="C545">
        <f t="shared" si="17"/>
        <v>11</v>
      </c>
      <c r="D545" cm="1">
        <f t="array" ref="D545">INDEX('Linha 06'!$A$4:$A$1000,B545)</f>
        <v>20090001</v>
      </c>
      <c r="E545" t="str" cm="1">
        <f t="array" ref="E545">INDEX('Linha 06'!$B$4:$B$1000,B545)</f>
        <v>Desengordurante Aquafast Pulverizador Cx/12 X 500ml</v>
      </c>
      <c r="F545" cm="1">
        <f t="array" ref="F545">INDEX('Linha 06'!$C$3:$ZZ$3,C545)</f>
        <v>20070002</v>
      </c>
      <c r="G545" t="str" cm="1">
        <f t="array" ref="G545">INDEX('Linha 06'!$C$2:$ZZ$2,C545)</f>
        <v>Limpa Vidros Aquafast Recarga Cx/12 X 500ml</v>
      </c>
      <c r="H545" s="5" cm="1">
        <f t="array" ref="H545">INDEX('Linha 06'!$C$4:$ZZ$1000,B545,C545)</f>
        <v>0</v>
      </c>
    </row>
    <row r="546" spans="1:8" x14ac:dyDescent="0.25">
      <c r="A546">
        <v>544</v>
      </c>
      <c r="B546">
        <f t="shared" si="16"/>
        <v>15</v>
      </c>
      <c r="C546">
        <f t="shared" si="17"/>
        <v>12</v>
      </c>
      <c r="D546" cm="1">
        <f t="array" ref="D546">INDEX('Linha 06'!$A$4:$A$1000,B546)</f>
        <v>20090001</v>
      </c>
      <c r="E546" t="str" cm="1">
        <f t="array" ref="E546">INDEX('Linha 06'!$B$4:$B$1000,B546)</f>
        <v>Desengordurante Aquafast Pulverizador Cx/12 X 500ml</v>
      </c>
      <c r="F546" cm="1">
        <f t="array" ref="F546">INDEX('Linha 06'!$C$3:$ZZ$3,C546)</f>
        <v>20070006</v>
      </c>
      <c r="G546" t="str" cm="1">
        <f t="array" ref="G546">INDEX('Linha 06'!$C$2:$ZZ$2,C546)</f>
        <v>Limpa Vidros Ito Pulverizador Cx/12 X 500ml</v>
      </c>
      <c r="H546" s="5" cm="1">
        <f t="array" ref="H546">INDEX('Linha 06'!$C$4:$ZZ$1000,B546,C546)</f>
        <v>0</v>
      </c>
    </row>
    <row r="547" spans="1:8" x14ac:dyDescent="0.25">
      <c r="A547">
        <v>545</v>
      </c>
      <c r="B547">
        <f t="shared" si="16"/>
        <v>15</v>
      </c>
      <c r="C547">
        <f t="shared" si="17"/>
        <v>13</v>
      </c>
      <c r="D547" cm="1">
        <f t="array" ref="D547">INDEX('Linha 06'!$A$4:$A$1000,B547)</f>
        <v>20090001</v>
      </c>
      <c r="E547" t="str" cm="1">
        <f t="array" ref="E547">INDEX('Linha 06'!$B$4:$B$1000,B547)</f>
        <v>Desengordurante Aquafast Pulverizador Cx/12 X 500ml</v>
      </c>
      <c r="F547" cm="1">
        <f t="array" ref="F547">INDEX('Linha 06'!$C$3:$ZZ$3,C547)</f>
        <v>20070007</v>
      </c>
      <c r="G547" t="str" cm="1">
        <f t="array" ref="G547">INDEX('Linha 06'!$C$2:$ZZ$2,C547)</f>
        <v>Limpa Vidros Ito Recarga Cx/12 X 500ml</v>
      </c>
      <c r="H547" s="5" cm="1">
        <f t="array" ref="H547">INDEX('Linha 06'!$C$4:$ZZ$1000,B547,C547)</f>
        <v>0</v>
      </c>
    </row>
    <row r="548" spans="1:8" x14ac:dyDescent="0.25">
      <c r="A548">
        <v>546</v>
      </c>
      <c r="B548">
        <f t="shared" si="16"/>
        <v>15</v>
      </c>
      <c r="C548">
        <f t="shared" si="17"/>
        <v>14</v>
      </c>
      <c r="D548" cm="1">
        <f t="array" ref="D548">INDEX('Linha 06'!$A$4:$A$1000,B548)</f>
        <v>20090001</v>
      </c>
      <c r="E548" t="str" cm="1">
        <f t="array" ref="E548">INDEX('Linha 06'!$B$4:$B$1000,B548)</f>
        <v>Desengordurante Aquafast Pulverizador Cx/12 X 500ml</v>
      </c>
      <c r="F548" cm="1">
        <f t="array" ref="F548">INDEX('Linha 06'!$C$3:$ZZ$3,C548)</f>
        <v>20070008</v>
      </c>
      <c r="G548" t="str" cm="1">
        <f t="array" ref="G548">INDEX('Linha 06'!$C$2:$ZZ$2,C548)</f>
        <v>Limpa Vidros Aquafast Squeeze Cx/12 X 500ml</v>
      </c>
      <c r="H548" s="5" cm="1">
        <f t="array" ref="H548">INDEX('Linha 06'!$C$4:$ZZ$1000,B548,C548)</f>
        <v>0</v>
      </c>
    </row>
    <row r="549" spans="1:8" x14ac:dyDescent="0.25">
      <c r="A549">
        <v>547</v>
      </c>
      <c r="B549">
        <f t="shared" si="16"/>
        <v>15</v>
      </c>
      <c r="C549">
        <f t="shared" si="17"/>
        <v>15</v>
      </c>
      <c r="D549" cm="1">
        <f t="array" ref="D549">INDEX('Linha 06'!$A$4:$A$1000,B549)</f>
        <v>20090001</v>
      </c>
      <c r="E549" t="str" cm="1">
        <f t="array" ref="E549">INDEX('Linha 06'!$B$4:$B$1000,B549)</f>
        <v>Desengordurante Aquafast Pulverizador Cx/12 X 500ml</v>
      </c>
      <c r="F549" cm="1">
        <f t="array" ref="F549">INDEX('Linha 06'!$C$3:$ZZ$3,C549)</f>
        <v>20090001</v>
      </c>
      <c r="G549" t="str" cm="1">
        <f t="array" ref="G549">INDEX('Linha 06'!$C$2:$ZZ$2,C549)</f>
        <v>Desengordurante Aquafast Pulverizador Cx/12 X 500ml</v>
      </c>
      <c r="H549" s="5" cm="1">
        <f t="array" ref="H549">INDEX('Linha 06'!$C$4:$ZZ$1000,B549,C549)</f>
        <v>0</v>
      </c>
    </row>
    <row r="550" spans="1:8" x14ac:dyDescent="0.25">
      <c r="A550">
        <v>548</v>
      </c>
      <c r="B550">
        <f t="shared" si="16"/>
        <v>15</v>
      </c>
      <c r="C550">
        <f t="shared" si="17"/>
        <v>16</v>
      </c>
      <c r="D550" cm="1">
        <f t="array" ref="D550">INDEX('Linha 06'!$A$4:$A$1000,B550)</f>
        <v>20090001</v>
      </c>
      <c r="E550" t="str" cm="1">
        <f t="array" ref="E550">INDEX('Linha 06'!$B$4:$B$1000,B550)</f>
        <v>Desengordurante Aquafast Pulverizador Cx/12 X 500ml</v>
      </c>
      <c r="F550" cm="1">
        <f t="array" ref="F550">INDEX('Linha 06'!$C$3:$ZZ$3,C550)</f>
        <v>20090002</v>
      </c>
      <c r="G550" t="str" cm="1">
        <f t="array" ref="G550">INDEX('Linha 06'!$C$2:$ZZ$2,C550)</f>
        <v>Desengordurante Aquafast Recarga Cx/12 X 500ml</v>
      </c>
      <c r="H550" s="5" cm="1">
        <f t="array" ref="H550">INDEX('Linha 06'!$C$4:$ZZ$1000,B550,C550)</f>
        <v>0</v>
      </c>
    </row>
    <row r="551" spans="1:8" x14ac:dyDescent="0.25">
      <c r="A551">
        <v>549</v>
      </c>
      <c r="B551">
        <f t="shared" si="16"/>
        <v>15</v>
      </c>
      <c r="C551">
        <f t="shared" si="17"/>
        <v>17</v>
      </c>
      <c r="D551" cm="1">
        <f t="array" ref="D551">INDEX('Linha 06'!$A$4:$A$1000,B551)</f>
        <v>20090001</v>
      </c>
      <c r="E551" t="str" cm="1">
        <f t="array" ref="E551">INDEX('Linha 06'!$B$4:$B$1000,B551)</f>
        <v>Desengordurante Aquafast Pulverizador Cx/12 X 500ml</v>
      </c>
      <c r="F551" cm="1">
        <f t="array" ref="F551">INDEX('Linha 06'!$C$3:$ZZ$3,C551)</f>
        <v>20090004</v>
      </c>
      <c r="G551" t="str" cm="1">
        <f t="array" ref="G551">INDEX('Linha 06'!$C$2:$ZZ$2,C551)</f>
        <v>Desengordurante Aquafast Squeeze Cx C/12 X 500ml</v>
      </c>
      <c r="H551" s="5" cm="1">
        <f t="array" ref="H551">INDEX('Linha 06'!$C$4:$ZZ$1000,B551,C551)</f>
        <v>0</v>
      </c>
    </row>
    <row r="552" spans="1:8" x14ac:dyDescent="0.25">
      <c r="A552">
        <v>550</v>
      </c>
      <c r="B552">
        <f t="shared" si="16"/>
        <v>15</v>
      </c>
      <c r="C552">
        <f t="shared" si="17"/>
        <v>18</v>
      </c>
      <c r="D552" cm="1">
        <f t="array" ref="D552">INDEX('Linha 06'!$A$4:$A$1000,B552)</f>
        <v>20090001</v>
      </c>
      <c r="E552" t="str" cm="1">
        <f t="array" ref="E552">INDEX('Linha 06'!$B$4:$B$1000,B552)</f>
        <v>Desengordurante Aquafast Pulverizador Cx/12 X 500ml</v>
      </c>
      <c r="F552" cm="1">
        <f t="array" ref="F552">INDEX('Linha 06'!$C$3:$ZZ$3,C552)</f>
        <v>20090005</v>
      </c>
      <c r="G552" t="str" cm="1">
        <f t="array" ref="G552">INDEX('Linha 06'!$C$2:$ZZ$2,C552)</f>
        <v>Desengordurante Aquafast Squeeze Cx C/12 X 1l</v>
      </c>
      <c r="H552" s="5" cm="1">
        <f t="array" ref="H552">INDEX('Linha 06'!$C$4:$ZZ$1000,B552,C552)</f>
        <v>0</v>
      </c>
    </row>
    <row r="553" spans="1:8" x14ac:dyDescent="0.25">
      <c r="A553">
        <v>551</v>
      </c>
      <c r="B553">
        <f t="shared" si="16"/>
        <v>15</v>
      </c>
      <c r="C553">
        <f t="shared" si="17"/>
        <v>19</v>
      </c>
      <c r="D553" cm="1">
        <f t="array" ref="D553">INDEX('Linha 06'!$A$4:$A$1000,B553)</f>
        <v>20090001</v>
      </c>
      <c r="E553" t="str" cm="1">
        <f t="array" ref="E553">INDEX('Linha 06'!$B$4:$B$1000,B553)</f>
        <v>Desengordurante Aquafast Pulverizador Cx/12 X 500ml</v>
      </c>
      <c r="F553" cm="1">
        <f t="array" ref="F553">INDEX('Linha 06'!$C$3:$ZZ$3,C553)</f>
        <v>20090010</v>
      </c>
      <c r="G553" t="str" cm="1">
        <f t="array" ref="G553">INDEX('Linha 06'!$C$2:$ZZ$2,C553)</f>
        <v>Intermed Pack Desengord Squeeze Cx C/18 X 500ml</v>
      </c>
      <c r="H553" s="5" cm="1">
        <f t="array" ref="H553">INDEX('Linha 06'!$C$4:$ZZ$1000,B553,C553)</f>
        <v>0</v>
      </c>
    </row>
    <row r="554" spans="1:8" x14ac:dyDescent="0.25">
      <c r="A554">
        <v>552</v>
      </c>
      <c r="B554">
        <f t="shared" si="16"/>
        <v>15</v>
      </c>
      <c r="C554">
        <f t="shared" si="17"/>
        <v>20</v>
      </c>
      <c r="D554" cm="1">
        <f t="array" ref="D554">INDEX('Linha 06'!$A$4:$A$1000,B554)</f>
        <v>20090001</v>
      </c>
      <c r="E554" t="str" cm="1">
        <f t="array" ref="E554">INDEX('Linha 06'!$B$4:$B$1000,B554)</f>
        <v>Desengordurante Aquafast Pulverizador Cx/12 X 500ml</v>
      </c>
      <c r="F554" cm="1">
        <f t="array" ref="F554">INDEX('Linha 06'!$C$3:$ZZ$3,C554)</f>
        <v>20110002</v>
      </c>
      <c r="G554" t="str" cm="1">
        <f t="array" ref="G554">INDEX('Linha 06'!$C$2:$ZZ$2,C554)</f>
        <v>Multi Uso Aquafast Squeeze Original Cx/12 X 500ml</v>
      </c>
      <c r="H554" s="5" cm="1">
        <f t="array" ref="H554">INDEX('Linha 06'!$C$4:$ZZ$1000,B554,C554)</f>
        <v>0</v>
      </c>
    </row>
    <row r="555" spans="1:8" x14ac:dyDescent="0.25">
      <c r="A555">
        <v>553</v>
      </c>
      <c r="B555">
        <f t="shared" si="16"/>
        <v>15</v>
      </c>
      <c r="C555">
        <f t="shared" si="17"/>
        <v>21</v>
      </c>
      <c r="D555" cm="1">
        <f t="array" ref="D555">INDEX('Linha 06'!$A$4:$A$1000,B555)</f>
        <v>20090001</v>
      </c>
      <c r="E555" t="str" cm="1">
        <f t="array" ref="E555">INDEX('Linha 06'!$B$4:$B$1000,B555)</f>
        <v>Desengordurante Aquafast Pulverizador Cx/12 X 500ml</v>
      </c>
      <c r="F555" cm="1">
        <f t="array" ref="F555">INDEX('Linha 06'!$C$3:$ZZ$3,C555)</f>
        <v>20110004</v>
      </c>
      <c r="G555" t="str" cm="1">
        <f t="array" ref="G555">INDEX('Linha 06'!$C$2:$ZZ$2,C555)</f>
        <v>Multi Uso Aquafast Squeeze Lavanda Cx/12 X 500ml</v>
      </c>
      <c r="H555" s="5" cm="1">
        <f t="array" ref="H555">INDEX('Linha 06'!$C$4:$ZZ$1000,B555,C555)</f>
        <v>0</v>
      </c>
    </row>
    <row r="556" spans="1:8" x14ac:dyDescent="0.25">
      <c r="A556">
        <v>554</v>
      </c>
      <c r="B556">
        <f t="shared" si="16"/>
        <v>15</v>
      </c>
      <c r="C556">
        <f t="shared" si="17"/>
        <v>22</v>
      </c>
      <c r="D556" cm="1">
        <f t="array" ref="D556">INDEX('Linha 06'!$A$4:$A$1000,B556)</f>
        <v>20090001</v>
      </c>
      <c r="E556" t="str" cm="1">
        <f t="array" ref="E556">INDEX('Linha 06'!$B$4:$B$1000,B556)</f>
        <v>Desengordurante Aquafast Pulverizador Cx/12 X 500ml</v>
      </c>
      <c r="F556" cm="1">
        <f t="array" ref="F556">INDEX('Linha 06'!$C$3:$ZZ$3,C556)</f>
        <v>20110007</v>
      </c>
      <c r="G556" t="str" cm="1">
        <f t="array" ref="G556">INDEX('Linha 06'!$C$2:$ZZ$2,C556)</f>
        <v>Multi Uso Aquafast Squeeze Seducao Cx/12 X 500ml</v>
      </c>
      <c r="H556" s="5" cm="1">
        <f t="array" ref="H556">INDEX('Linha 06'!$C$4:$ZZ$1000,B556,C556)</f>
        <v>0</v>
      </c>
    </row>
    <row r="557" spans="1:8" x14ac:dyDescent="0.25">
      <c r="A557">
        <v>555</v>
      </c>
      <c r="B557">
        <f t="shared" si="16"/>
        <v>15</v>
      </c>
      <c r="C557">
        <f t="shared" si="17"/>
        <v>23</v>
      </c>
      <c r="D557" cm="1">
        <f t="array" ref="D557">INDEX('Linha 06'!$A$4:$A$1000,B557)</f>
        <v>20090001</v>
      </c>
      <c r="E557" t="str" cm="1">
        <f t="array" ref="E557">INDEX('Linha 06'!$B$4:$B$1000,B557)</f>
        <v>Desengordurante Aquafast Pulverizador Cx/12 X 500ml</v>
      </c>
      <c r="F557" cm="1">
        <f t="array" ref="F557">INDEX('Linha 06'!$C$3:$ZZ$3,C557)</f>
        <v>20110008</v>
      </c>
      <c r="G557" t="str" cm="1">
        <f t="array" ref="G557">INDEX('Linha 06'!$C$2:$ZZ$2,C557)</f>
        <v>Multi Uso Aquafast Squeeze Original Cx/12 X 1l</v>
      </c>
      <c r="H557" s="5" cm="1">
        <f t="array" ref="H557">INDEX('Linha 06'!$C$4:$ZZ$1000,B557,C557)</f>
        <v>0</v>
      </c>
    </row>
    <row r="558" spans="1:8" x14ac:dyDescent="0.25">
      <c r="A558">
        <v>556</v>
      </c>
      <c r="B558">
        <f t="shared" si="16"/>
        <v>15</v>
      </c>
      <c r="C558">
        <f t="shared" si="17"/>
        <v>24</v>
      </c>
      <c r="D558" cm="1">
        <f t="array" ref="D558">INDEX('Linha 06'!$A$4:$A$1000,B558)</f>
        <v>20090001</v>
      </c>
      <c r="E558" t="str" cm="1">
        <f t="array" ref="E558">INDEX('Linha 06'!$B$4:$B$1000,B558)</f>
        <v>Desengordurante Aquafast Pulverizador Cx/12 X 500ml</v>
      </c>
      <c r="F558" cm="1">
        <f t="array" ref="F558">INDEX('Linha 06'!$C$3:$ZZ$3,C558)</f>
        <v>20110010</v>
      </c>
      <c r="G558" t="str" cm="1">
        <f t="array" ref="G558">INDEX('Linha 06'!$C$2:$ZZ$2,C558)</f>
        <v>Multi Uso Aquafast Squeeze Seducao Cx/12 1l</v>
      </c>
      <c r="H558" s="5" cm="1">
        <f t="array" ref="H558">INDEX('Linha 06'!$C$4:$ZZ$1000,B558,C558)</f>
        <v>0</v>
      </c>
    </row>
    <row r="559" spans="1:8" x14ac:dyDescent="0.25">
      <c r="A559">
        <v>557</v>
      </c>
      <c r="B559">
        <f t="shared" si="16"/>
        <v>15</v>
      </c>
      <c r="C559">
        <f t="shared" si="17"/>
        <v>25</v>
      </c>
      <c r="D559" cm="1">
        <f t="array" ref="D559">INDEX('Linha 06'!$A$4:$A$1000,B559)</f>
        <v>20090001</v>
      </c>
      <c r="E559" t="str" cm="1">
        <f t="array" ref="E559">INDEX('Linha 06'!$B$4:$B$1000,B559)</f>
        <v>Desengordurante Aquafast Pulverizador Cx/12 X 500ml</v>
      </c>
      <c r="F559" cm="1">
        <f t="array" ref="F559">INDEX('Linha 06'!$C$3:$ZZ$3,C559)</f>
        <v>20110013</v>
      </c>
      <c r="G559" t="str" cm="1">
        <f t="array" ref="G559">INDEX('Linha 06'!$C$2:$ZZ$2,C559)</f>
        <v>Multi Uso Aquafast Squeeze Lavanda Cx/12 X 1l</v>
      </c>
      <c r="H559" s="5" cm="1">
        <f t="array" ref="H559">INDEX('Linha 06'!$C$4:$ZZ$1000,B559,C559)</f>
        <v>0</v>
      </c>
    </row>
    <row r="560" spans="1:8" x14ac:dyDescent="0.25">
      <c r="A560">
        <v>558</v>
      </c>
      <c r="B560">
        <f t="shared" si="16"/>
        <v>15</v>
      </c>
      <c r="C560">
        <f t="shared" si="17"/>
        <v>26</v>
      </c>
      <c r="D560" cm="1">
        <f t="array" ref="D560">INDEX('Linha 06'!$A$4:$A$1000,B560)</f>
        <v>20090001</v>
      </c>
      <c r="E560" t="str" cm="1">
        <f t="array" ref="E560">INDEX('Linha 06'!$B$4:$B$1000,B560)</f>
        <v>Desengordurante Aquafast Pulverizador Cx/12 X 500ml</v>
      </c>
      <c r="F560" cm="1">
        <f t="array" ref="F560">INDEX('Linha 06'!$C$3:$ZZ$3,C560)</f>
        <v>20110022</v>
      </c>
      <c r="G560" t="str" cm="1">
        <f t="array" ref="G560">INDEX('Linha 06'!$C$2:$ZZ$2,C560)</f>
        <v>Intermed Pack Multi Uso Lavand C/Alcool Cx/18 X 500ml</v>
      </c>
      <c r="H560" s="5" cm="1">
        <f t="array" ref="H560">INDEX('Linha 06'!$C$4:$ZZ$1000,B560,C560)</f>
        <v>0</v>
      </c>
    </row>
    <row r="561" spans="1:8" x14ac:dyDescent="0.25">
      <c r="A561">
        <v>559</v>
      </c>
      <c r="B561">
        <f t="shared" si="16"/>
        <v>15</v>
      </c>
      <c r="C561">
        <f t="shared" si="17"/>
        <v>27</v>
      </c>
      <c r="D561" cm="1">
        <f t="array" ref="D561">INDEX('Linha 06'!$A$4:$A$1000,B561)</f>
        <v>20090001</v>
      </c>
      <c r="E561" t="str" cm="1">
        <f t="array" ref="E561">INDEX('Linha 06'!$B$4:$B$1000,B561)</f>
        <v>Desengordurante Aquafast Pulverizador Cx/12 X 500ml</v>
      </c>
      <c r="F561" cm="1">
        <f t="array" ref="F561">INDEX('Linha 06'!$C$3:$ZZ$3,C561)</f>
        <v>20110023</v>
      </c>
      <c r="G561" t="str" cm="1">
        <f t="array" ref="G561">INDEX('Linha 06'!$C$2:$ZZ$2,C561)</f>
        <v>Multi Uso Aquafast Squeeze Cha Branco  Cx/12 X 500ml</v>
      </c>
      <c r="H561" s="5" cm="1">
        <f t="array" ref="H561">INDEX('Linha 06'!$C$4:$ZZ$1000,B561,C561)</f>
        <v>0</v>
      </c>
    </row>
    <row r="562" spans="1:8" x14ac:dyDescent="0.25">
      <c r="A562">
        <v>560</v>
      </c>
      <c r="B562">
        <f t="shared" si="16"/>
        <v>15</v>
      </c>
      <c r="C562">
        <f t="shared" si="17"/>
        <v>28</v>
      </c>
      <c r="D562" cm="1">
        <f t="array" ref="D562">INDEX('Linha 06'!$A$4:$A$1000,B562)</f>
        <v>20090001</v>
      </c>
      <c r="E562" t="str" cm="1">
        <f t="array" ref="E562">INDEX('Linha 06'!$B$4:$B$1000,B562)</f>
        <v>Desengordurante Aquafast Pulverizador Cx/12 X 500ml</v>
      </c>
      <c r="F562" cm="1">
        <f t="array" ref="F562">INDEX('Linha 06'!$C$3:$ZZ$3,C562)</f>
        <v>20110024</v>
      </c>
      <c r="G562" t="str" cm="1">
        <f t="array" ref="G562">INDEX('Linha 06'!$C$2:$ZZ$2,C562)</f>
        <v>Multi Uso Aquafast Squeeze Cha Branco Cx12 X 1l</v>
      </c>
      <c r="H562" s="5" cm="1">
        <f t="array" ref="H562">INDEX('Linha 06'!$C$4:$ZZ$1000,B562,C562)</f>
        <v>0</v>
      </c>
    </row>
    <row r="563" spans="1:8" x14ac:dyDescent="0.25">
      <c r="A563">
        <v>561</v>
      </c>
      <c r="B563">
        <f t="shared" si="16"/>
        <v>15</v>
      </c>
      <c r="C563">
        <f t="shared" si="17"/>
        <v>29</v>
      </c>
      <c r="D563" cm="1">
        <f t="array" ref="D563">INDEX('Linha 06'!$A$4:$A$1000,B563)</f>
        <v>20090001</v>
      </c>
      <c r="E563" t="str" cm="1">
        <f t="array" ref="E563">INDEX('Linha 06'!$B$4:$B$1000,B563)</f>
        <v>Desengordurante Aquafast Pulverizador Cx/12 X 500ml</v>
      </c>
      <c r="F563" cm="1">
        <f t="array" ref="F563">INDEX('Linha 06'!$C$3:$ZZ$3,C563)</f>
        <v>20110025</v>
      </c>
      <c r="G563" t="str" cm="1">
        <f t="array" ref="G563">INDEX('Linha 06'!$C$2:$ZZ$2,C563)</f>
        <v>Multi Uso Aquafast Pulverizador Original Cx/12 X 1l</v>
      </c>
      <c r="H563" s="5" cm="1">
        <f t="array" ref="H563">INDEX('Linha 06'!$C$4:$ZZ$1000,B563,C563)</f>
        <v>0</v>
      </c>
    </row>
    <row r="564" spans="1:8" x14ac:dyDescent="0.25">
      <c r="A564">
        <v>562</v>
      </c>
      <c r="B564">
        <f t="shared" si="16"/>
        <v>15</v>
      </c>
      <c r="C564">
        <f t="shared" si="17"/>
        <v>30</v>
      </c>
      <c r="D564" cm="1">
        <f t="array" ref="D564">INDEX('Linha 06'!$A$4:$A$1000,B564)</f>
        <v>20090001</v>
      </c>
      <c r="E564" t="str" cm="1">
        <f t="array" ref="E564">INDEX('Linha 06'!$B$4:$B$1000,B564)</f>
        <v>Desengordurante Aquafast Pulverizador Cx/12 X 500ml</v>
      </c>
      <c r="F564" cm="1">
        <f t="array" ref="F564">INDEX('Linha 06'!$C$3:$ZZ$3,C564)</f>
        <v>20110026</v>
      </c>
      <c r="G564" t="str" cm="1">
        <f t="array" ref="G564">INDEX('Linha 06'!$C$2:$ZZ$2,C564)</f>
        <v>Multi Uso Aquafast Pulverizador Poder O2 Cx/12 X 1l</v>
      </c>
      <c r="H564" s="5" cm="1">
        <f t="array" ref="H564">INDEX('Linha 06'!$C$4:$ZZ$1000,B564,C564)</f>
        <v>0</v>
      </c>
    </row>
    <row r="565" spans="1:8" x14ac:dyDescent="0.25">
      <c r="A565">
        <v>563</v>
      </c>
      <c r="B565">
        <f t="shared" si="16"/>
        <v>15</v>
      </c>
      <c r="C565">
        <f t="shared" si="17"/>
        <v>31</v>
      </c>
      <c r="D565" cm="1">
        <f t="array" ref="D565">INDEX('Linha 06'!$A$4:$A$1000,B565)</f>
        <v>20090001</v>
      </c>
      <c r="E565" t="str" cm="1">
        <f t="array" ref="E565">INDEX('Linha 06'!$B$4:$B$1000,B565)</f>
        <v>Desengordurante Aquafast Pulverizador Cx/12 X 500ml</v>
      </c>
      <c r="F565" cm="1">
        <f t="array" ref="F565">INDEX('Linha 06'!$C$3:$ZZ$3,C565)</f>
        <v>20110027</v>
      </c>
      <c r="G565" t="str" cm="1">
        <f t="array" ref="G565">INDEX('Linha 06'!$C$2:$ZZ$2,C565)</f>
        <v>Multi Uso Aquafast Pulverizador Poder O2 Cx/12 X 500ml</v>
      </c>
      <c r="H565" s="5" cm="1">
        <f t="array" ref="H565">INDEX('Linha 06'!$C$4:$ZZ$1000,B565,C565)</f>
        <v>0</v>
      </c>
    </row>
    <row r="566" spans="1:8" x14ac:dyDescent="0.25">
      <c r="A566">
        <v>564</v>
      </c>
      <c r="B566">
        <f t="shared" si="16"/>
        <v>15</v>
      </c>
      <c r="C566">
        <f t="shared" si="17"/>
        <v>32</v>
      </c>
      <c r="D566" cm="1">
        <f t="array" ref="D566">INDEX('Linha 06'!$A$4:$A$1000,B566)</f>
        <v>20090001</v>
      </c>
      <c r="E566" t="str" cm="1">
        <f t="array" ref="E566">INDEX('Linha 06'!$B$4:$B$1000,B566)</f>
        <v>Desengordurante Aquafast Pulverizador Cx/12 X 500ml</v>
      </c>
      <c r="F566" cm="1">
        <f t="array" ref="F566">INDEX('Linha 06'!$C$3:$ZZ$3,C566)</f>
        <v>20200073</v>
      </c>
      <c r="G566" t="str" cm="1">
        <f t="array" ref="G566">INDEX('Linha 06'!$C$2:$ZZ$2,C566)</f>
        <v>Lava Roupas Aquafast Lavagem Rapida Total Clean Cx/9 X 1,5l</v>
      </c>
      <c r="H566" s="5" cm="1">
        <f t="array" ref="H566">INDEX('Linha 06'!$C$4:$ZZ$1000,B566,C566)</f>
        <v>0</v>
      </c>
    </row>
    <row r="567" spans="1:8" x14ac:dyDescent="0.25">
      <c r="A567">
        <v>565</v>
      </c>
      <c r="B567">
        <f t="shared" si="16"/>
        <v>15</v>
      </c>
      <c r="C567">
        <f t="shared" si="17"/>
        <v>33</v>
      </c>
      <c r="D567" cm="1">
        <f t="array" ref="D567">INDEX('Linha 06'!$A$4:$A$1000,B567)</f>
        <v>20090001</v>
      </c>
      <c r="E567" t="str" cm="1">
        <f t="array" ref="E567">INDEX('Linha 06'!$B$4:$B$1000,B567)</f>
        <v>Desengordurante Aquafast Pulverizador Cx/12 X 500ml</v>
      </c>
      <c r="F567" cm="1">
        <f t="array" ref="F567">INDEX('Linha 06'!$C$3:$ZZ$3,C567)</f>
        <v>20200075</v>
      </c>
      <c r="G567" t="str" cm="1">
        <f t="array" ref="G567">INDEX('Linha 06'!$C$2:$ZZ$2,C567)</f>
        <v>Lava Roupas Aquafast Lavagem Rapida Fresh Clean Cx/9 X 1,5l</v>
      </c>
      <c r="H567" s="5" cm="1">
        <f t="array" ref="H567">INDEX('Linha 06'!$C$4:$ZZ$1000,B567,C567)</f>
        <v>0</v>
      </c>
    </row>
    <row r="568" spans="1:8" x14ac:dyDescent="0.25">
      <c r="A568">
        <v>566</v>
      </c>
      <c r="B568">
        <f t="shared" si="16"/>
        <v>15</v>
      </c>
      <c r="C568">
        <f t="shared" si="17"/>
        <v>34</v>
      </c>
      <c r="D568" cm="1">
        <f t="array" ref="D568">INDEX('Linha 06'!$A$4:$A$1000,B568)</f>
        <v>20090001</v>
      </c>
      <c r="E568" t="str" cm="1">
        <f t="array" ref="E568">INDEX('Linha 06'!$B$4:$B$1000,B568)</f>
        <v>Desengordurante Aquafast Pulverizador Cx/12 X 500ml</v>
      </c>
      <c r="F568" cm="1">
        <f t="array" ref="F568">INDEX('Linha 06'!$C$3:$ZZ$3,C568)</f>
        <v>20220018</v>
      </c>
      <c r="G568" t="str" cm="1">
        <f t="array" ref="G568">INDEX('Linha 06'!$C$2:$ZZ$2,C568)</f>
        <v>Intermed. Aromat. Amoras E Baunilha Cx C/ 12un 250ml</v>
      </c>
      <c r="H568" s="5" cm="1">
        <f t="array" ref="H568">INDEX('Linha 06'!$C$4:$ZZ$1000,B568,C568)</f>
        <v>0</v>
      </c>
    </row>
    <row r="569" spans="1:8" x14ac:dyDescent="0.25">
      <c r="A569">
        <v>567</v>
      </c>
      <c r="B569">
        <f t="shared" si="16"/>
        <v>15</v>
      </c>
      <c r="C569">
        <f t="shared" si="17"/>
        <v>35</v>
      </c>
      <c r="D569" cm="1">
        <f t="array" ref="D569">INDEX('Linha 06'!$A$4:$A$1000,B569)</f>
        <v>20090001</v>
      </c>
      <c r="E569" t="str" cm="1">
        <f t="array" ref="E569">INDEX('Linha 06'!$B$4:$B$1000,B569)</f>
        <v>Desengordurante Aquafast Pulverizador Cx/12 X 500ml</v>
      </c>
      <c r="F569" cm="1">
        <f t="array" ref="F569">INDEX('Linha 06'!$C$3:$ZZ$3,C569)</f>
        <v>20220019</v>
      </c>
      <c r="G569" t="str" cm="1">
        <f t="array" ref="G569">INDEX('Linha 06'!$C$2:$ZZ$2,C569)</f>
        <v>Intermed. Aromat. Figo E Cedro Cx C/ 12un 250ml</v>
      </c>
      <c r="H569" s="5" cm="1">
        <f t="array" ref="H569">INDEX('Linha 06'!$C$4:$ZZ$1000,B569,C569)</f>
        <v>0</v>
      </c>
    </row>
    <row r="570" spans="1:8" x14ac:dyDescent="0.25">
      <c r="A570">
        <v>568</v>
      </c>
      <c r="B570">
        <f t="shared" si="16"/>
        <v>15</v>
      </c>
      <c r="C570">
        <f t="shared" si="17"/>
        <v>36</v>
      </c>
      <c r="D570" cm="1">
        <f t="array" ref="D570">INDEX('Linha 06'!$A$4:$A$1000,B570)</f>
        <v>20090001</v>
      </c>
      <c r="E570" t="str" cm="1">
        <f t="array" ref="E570">INDEX('Linha 06'!$B$4:$B$1000,B570)</f>
        <v>Desengordurante Aquafast Pulverizador Cx/12 X 500ml</v>
      </c>
      <c r="F570" cm="1">
        <f t="array" ref="F570">INDEX('Linha 06'!$C$3:$ZZ$3,C570)</f>
        <v>20220020</v>
      </c>
      <c r="G570" t="str" cm="1">
        <f t="array" ref="G570">INDEX('Linha 06'!$C$2:$ZZ$2,C570)</f>
        <v>Intermed. Aromat. Rosas E Magnolias Cx C/ 12un 250ml</v>
      </c>
      <c r="H570" s="5" cm="1">
        <f t="array" ref="H570">INDEX('Linha 06'!$C$4:$ZZ$1000,B570,C570)</f>
        <v>0</v>
      </c>
    </row>
    <row r="571" spans="1:8" x14ac:dyDescent="0.25">
      <c r="A571">
        <v>569</v>
      </c>
      <c r="B571">
        <f t="shared" si="16"/>
        <v>15</v>
      </c>
      <c r="C571">
        <f t="shared" si="17"/>
        <v>37</v>
      </c>
      <c r="D571" cm="1">
        <f t="array" ref="D571">INDEX('Linha 06'!$A$4:$A$1000,B571)</f>
        <v>20090001</v>
      </c>
      <c r="E571" t="str" cm="1">
        <f t="array" ref="E571">INDEX('Linha 06'!$B$4:$B$1000,B571)</f>
        <v>Desengordurante Aquafast Pulverizador Cx/12 X 500ml</v>
      </c>
      <c r="F571" cm="1">
        <f t="array" ref="F571">INDEX('Linha 06'!$C$3:$ZZ$3,C571)</f>
        <v>20220021</v>
      </c>
      <c r="G571" t="str" cm="1">
        <f t="array" ref="G571">INDEX('Linha 06'!$C$2:$ZZ$2,C571)</f>
        <v>Intermed. Aromat. Flores Exoticas Cx C/ 12un 250ml</v>
      </c>
      <c r="H571" s="5" cm="1">
        <f t="array" ref="H571">INDEX('Linha 06'!$C$4:$ZZ$1000,B571,C571)</f>
        <v>0</v>
      </c>
    </row>
    <row r="572" spans="1:8" x14ac:dyDescent="0.25">
      <c r="A572">
        <v>570</v>
      </c>
      <c r="B572">
        <f t="shared" si="16"/>
        <v>15</v>
      </c>
      <c r="C572">
        <f t="shared" si="17"/>
        <v>38</v>
      </c>
      <c r="D572" cm="1">
        <f t="array" ref="D572">INDEX('Linha 06'!$A$4:$A$1000,B572)</f>
        <v>20090001</v>
      </c>
      <c r="E572" t="str" cm="1">
        <f t="array" ref="E572">INDEX('Linha 06'!$B$4:$B$1000,B572)</f>
        <v>Desengordurante Aquafast Pulverizador Cx/12 X 500ml</v>
      </c>
      <c r="F572" cm="1">
        <f t="array" ref="F572">INDEX('Linha 06'!$C$3:$ZZ$3,C572)</f>
        <v>20220022</v>
      </c>
      <c r="G572" t="str" cm="1">
        <f t="array" ref="G572">INDEX('Linha 06'!$C$2:$ZZ$2,C572)</f>
        <v>Intermed. Aromat. Cha Verde E Grapef Cx C/ 12un 250ml</v>
      </c>
      <c r="H572" s="5" cm="1">
        <f t="array" ref="H572">INDEX('Linha 06'!$C$4:$ZZ$1000,B572,C572)</f>
        <v>0</v>
      </c>
    </row>
    <row r="573" spans="1:8" x14ac:dyDescent="0.25">
      <c r="A573">
        <v>571</v>
      </c>
      <c r="B573">
        <f t="shared" si="16"/>
        <v>16</v>
      </c>
      <c r="C573">
        <f t="shared" si="17"/>
        <v>1</v>
      </c>
      <c r="D573" cm="1">
        <f t="array" ref="D573">INDEX('Linha 06'!$A$4:$A$1000,B573)</f>
        <v>20090002</v>
      </c>
      <c r="E573" t="str" cm="1">
        <f t="array" ref="E573">INDEX('Linha 06'!$B$4:$B$1000,B573)</f>
        <v>Desengordurante Aquafast Recarga Cx/12 X 500ml</v>
      </c>
      <c r="F573" cm="1">
        <f t="array" ref="F573">INDEX('Linha 06'!$C$3:$ZZ$3,C573)</f>
        <v>20060001</v>
      </c>
      <c r="G573" t="str" cm="1">
        <f t="array" ref="G573">INDEX('Linha 06'!$C$2:$ZZ$2,C573)</f>
        <v>Limp Perf Aquafast Magia Seducao Cx/12 X 500ml</v>
      </c>
      <c r="H573" s="5" cm="1">
        <f t="array" ref="H573">INDEX('Linha 06'!$C$4:$ZZ$1000,B573,C573)</f>
        <v>0</v>
      </c>
    </row>
    <row r="574" spans="1:8" x14ac:dyDescent="0.25">
      <c r="A574">
        <v>572</v>
      </c>
      <c r="B574">
        <f t="shared" si="16"/>
        <v>16</v>
      </c>
      <c r="C574">
        <f t="shared" si="17"/>
        <v>2</v>
      </c>
      <c r="D574" cm="1">
        <f t="array" ref="D574">INDEX('Linha 06'!$A$4:$A$1000,B574)</f>
        <v>20090002</v>
      </c>
      <c r="E574" t="str" cm="1">
        <f t="array" ref="E574">INDEX('Linha 06'!$B$4:$B$1000,B574)</f>
        <v>Desengordurante Aquafast Recarga Cx/12 X 500ml</v>
      </c>
      <c r="F574" cm="1">
        <f t="array" ref="F574">INDEX('Linha 06'!$C$3:$ZZ$3,C574)</f>
        <v>20060004</v>
      </c>
      <c r="G574" t="str" cm="1">
        <f t="array" ref="G574">INDEX('Linha 06'!$C$2:$ZZ$2,C574)</f>
        <v>Limp Perf Aquafast Magia Seducao Cx/12 X 1l</v>
      </c>
      <c r="H574" s="5" cm="1">
        <f t="array" ref="H574">INDEX('Linha 06'!$C$4:$ZZ$1000,B574,C574)</f>
        <v>0</v>
      </c>
    </row>
    <row r="575" spans="1:8" x14ac:dyDescent="0.25">
      <c r="A575">
        <v>573</v>
      </c>
      <c r="B575">
        <f t="shared" si="16"/>
        <v>16</v>
      </c>
      <c r="C575">
        <f t="shared" si="17"/>
        <v>3</v>
      </c>
      <c r="D575" cm="1">
        <f t="array" ref="D575">INDEX('Linha 06'!$A$4:$A$1000,B575)</f>
        <v>20090002</v>
      </c>
      <c r="E575" t="str" cm="1">
        <f t="array" ref="E575">INDEX('Linha 06'!$B$4:$B$1000,B575)</f>
        <v>Desengordurante Aquafast Recarga Cx/12 X 500ml</v>
      </c>
      <c r="F575" cm="1">
        <f t="array" ref="F575">INDEX('Linha 06'!$C$3:$ZZ$3,C575)</f>
        <v>20060010</v>
      </c>
      <c r="G575" t="str" cm="1">
        <f t="array" ref="G575">INDEX('Linha 06'!$C$2:$ZZ$2,C575)</f>
        <v>Limp Perf Aquafast Magia Da Infancia Cx/12 X 500ml</v>
      </c>
      <c r="H575" s="5" cm="1">
        <f t="array" ref="H575">INDEX('Linha 06'!$C$4:$ZZ$1000,B575,C575)</f>
        <v>0</v>
      </c>
    </row>
    <row r="576" spans="1:8" x14ac:dyDescent="0.25">
      <c r="A576">
        <v>574</v>
      </c>
      <c r="B576">
        <f t="shared" si="16"/>
        <v>16</v>
      </c>
      <c r="C576">
        <f t="shared" si="17"/>
        <v>4</v>
      </c>
      <c r="D576" cm="1">
        <f t="array" ref="D576">INDEX('Linha 06'!$A$4:$A$1000,B576)</f>
        <v>20090002</v>
      </c>
      <c r="E576" t="str" cm="1">
        <f t="array" ref="E576">INDEX('Linha 06'!$B$4:$B$1000,B576)</f>
        <v>Desengordurante Aquafast Recarga Cx/12 X 500ml</v>
      </c>
      <c r="F576" cm="1">
        <f t="array" ref="F576">INDEX('Linha 06'!$C$3:$ZZ$3,C576)</f>
        <v>20060011</v>
      </c>
      <c r="G576" t="str" cm="1">
        <f t="array" ref="G576">INDEX('Linha 06'!$C$2:$ZZ$2,C576)</f>
        <v>Limp Perf Aquafast Frescor Da Manha Cx/12 X 500ml</v>
      </c>
      <c r="H576" s="5" cm="1">
        <f t="array" ref="H576">INDEX('Linha 06'!$C$4:$ZZ$1000,B576,C576)</f>
        <v>0</v>
      </c>
    </row>
    <row r="577" spans="1:8" x14ac:dyDescent="0.25">
      <c r="A577">
        <v>575</v>
      </c>
      <c r="B577">
        <f t="shared" si="16"/>
        <v>16</v>
      </c>
      <c r="C577">
        <f t="shared" si="17"/>
        <v>5</v>
      </c>
      <c r="D577" cm="1">
        <f t="array" ref="D577">INDEX('Linha 06'!$A$4:$A$1000,B577)</f>
        <v>20090002</v>
      </c>
      <c r="E577" t="str" cm="1">
        <f t="array" ref="E577">INDEX('Linha 06'!$B$4:$B$1000,B577)</f>
        <v>Desengordurante Aquafast Recarga Cx/12 X 500ml</v>
      </c>
      <c r="F577" cm="1">
        <f t="array" ref="F577">INDEX('Linha 06'!$C$3:$ZZ$3,C577)</f>
        <v>20060012</v>
      </c>
      <c r="G577" t="str" cm="1">
        <f t="array" ref="G577">INDEX('Linha 06'!$C$2:$ZZ$2,C577)</f>
        <v>Limp Perf Aquafast Magia Da Infancia Cx/12 X 1l</v>
      </c>
      <c r="H577" s="5" cm="1">
        <f t="array" ref="H577">INDEX('Linha 06'!$C$4:$ZZ$1000,B577,C577)</f>
        <v>0</v>
      </c>
    </row>
    <row r="578" spans="1:8" x14ac:dyDescent="0.25">
      <c r="A578">
        <v>576</v>
      </c>
      <c r="B578">
        <f t="shared" si="16"/>
        <v>16</v>
      </c>
      <c r="C578">
        <f t="shared" si="17"/>
        <v>6</v>
      </c>
      <c r="D578" cm="1">
        <f t="array" ref="D578">INDEX('Linha 06'!$A$4:$A$1000,B578)</f>
        <v>20090002</v>
      </c>
      <c r="E578" t="str" cm="1">
        <f t="array" ref="E578">INDEX('Linha 06'!$B$4:$B$1000,B578)</f>
        <v>Desengordurante Aquafast Recarga Cx/12 X 500ml</v>
      </c>
      <c r="F578" cm="1">
        <f t="array" ref="F578">INDEX('Linha 06'!$C$3:$ZZ$3,C578)</f>
        <v>20060013</v>
      </c>
      <c r="G578" t="str" cm="1">
        <f t="array" ref="G578">INDEX('Linha 06'!$C$2:$ZZ$2,C578)</f>
        <v>Limp Perf Aquafast Frescor Da Manha Cx/12 X 1l</v>
      </c>
      <c r="H578" s="5" cm="1">
        <f t="array" ref="H578">INDEX('Linha 06'!$C$4:$ZZ$1000,B578,C578)</f>
        <v>0</v>
      </c>
    </row>
    <row r="579" spans="1:8" x14ac:dyDescent="0.25">
      <c r="A579">
        <v>577</v>
      </c>
      <c r="B579">
        <f t="shared" si="16"/>
        <v>16</v>
      </c>
      <c r="C579">
        <f t="shared" si="17"/>
        <v>7</v>
      </c>
      <c r="D579" cm="1">
        <f t="array" ref="D579">INDEX('Linha 06'!$A$4:$A$1000,B579)</f>
        <v>20090002</v>
      </c>
      <c r="E579" t="str" cm="1">
        <f t="array" ref="E579">INDEX('Linha 06'!$B$4:$B$1000,B579)</f>
        <v>Desengordurante Aquafast Recarga Cx/12 X 500ml</v>
      </c>
      <c r="F579" cm="1">
        <f t="array" ref="F579">INDEX('Linha 06'!$C$3:$ZZ$3,C579)</f>
        <v>20060015</v>
      </c>
      <c r="G579" t="str" cm="1">
        <f t="array" ref="G579">INDEX('Linha 06'!$C$2:$ZZ$2,C579)</f>
        <v>Limp Perf Aquafast Doce Romance Cx/12 X 500ml</v>
      </c>
      <c r="H579" s="5" cm="1">
        <f t="array" ref="H579">INDEX('Linha 06'!$C$4:$ZZ$1000,B579,C579)</f>
        <v>0</v>
      </c>
    </row>
    <row r="580" spans="1:8" x14ac:dyDescent="0.25">
      <c r="A580">
        <v>578</v>
      </c>
      <c r="B580">
        <f t="shared" ref="B580:B643" si="18">INT((A580-1)/$B$1)+1</f>
        <v>16</v>
      </c>
      <c r="C580">
        <f t="shared" ref="C580:C643" si="19">MOD(A580-1,$B$1)+1</f>
        <v>8</v>
      </c>
      <c r="D580" cm="1">
        <f t="array" ref="D580">INDEX('Linha 06'!$A$4:$A$1000,B580)</f>
        <v>20090002</v>
      </c>
      <c r="E580" t="str" cm="1">
        <f t="array" ref="E580">INDEX('Linha 06'!$B$4:$B$1000,B580)</f>
        <v>Desengordurante Aquafast Recarga Cx/12 X 500ml</v>
      </c>
      <c r="F580" cm="1">
        <f t="array" ref="F580">INDEX('Linha 06'!$C$3:$ZZ$3,C580)</f>
        <v>20060016</v>
      </c>
      <c r="G580" t="str" cm="1">
        <f t="array" ref="G580">INDEX('Linha 06'!$C$2:$ZZ$2,C580)</f>
        <v>Limp Perf Aquafast Doce Romance Cx/12 X 1l</v>
      </c>
      <c r="H580" s="5" cm="1">
        <f t="array" ref="H580">INDEX('Linha 06'!$C$4:$ZZ$1000,B580,C580)</f>
        <v>0</v>
      </c>
    </row>
    <row r="581" spans="1:8" x14ac:dyDescent="0.25">
      <c r="A581">
        <v>579</v>
      </c>
      <c r="B581">
        <f t="shared" si="18"/>
        <v>16</v>
      </c>
      <c r="C581">
        <f t="shared" si="19"/>
        <v>9</v>
      </c>
      <c r="D581" cm="1">
        <f t="array" ref="D581">INDEX('Linha 06'!$A$4:$A$1000,B581)</f>
        <v>20090002</v>
      </c>
      <c r="E581" t="str" cm="1">
        <f t="array" ref="E581">INDEX('Linha 06'!$B$4:$B$1000,B581)</f>
        <v>Desengordurante Aquafast Recarga Cx/12 X 500ml</v>
      </c>
      <c r="F581" cm="1">
        <f t="array" ref="F581">INDEX('Linha 06'!$C$3:$ZZ$3,C581)</f>
        <v>20060027</v>
      </c>
      <c r="G581" t="str" cm="1">
        <f t="array" ref="G581">INDEX('Linha 06'!$C$2:$ZZ$2,C581)</f>
        <v>Limp Perf Aquafast Essencia Natural Cx/12 X 1l</v>
      </c>
      <c r="H581" s="5" cm="1">
        <f t="array" ref="H581">INDEX('Linha 06'!$C$4:$ZZ$1000,B581,C581)</f>
        <v>0</v>
      </c>
    </row>
    <row r="582" spans="1:8" x14ac:dyDescent="0.25">
      <c r="A582">
        <v>580</v>
      </c>
      <c r="B582">
        <f t="shared" si="18"/>
        <v>16</v>
      </c>
      <c r="C582">
        <f t="shared" si="19"/>
        <v>10</v>
      </c>
      <c r="D582" cm="1">
        <f t="array" ref="D582">INDEX('Linha 06'!$A$4:$A$1000,B582)</f>
        <v>20090002</v>
      </c>
      <c r="E582" t="str" cm="1">
        <f t="array" ref="E582">INDEX('Linha 06'!$B$4:$B$1000,B582)</f>
        <v>Desengordurante Aquafast Recarga Cx/12 X 500ml</v>
      </c>
      <c r="F582" cm="1">
        <f t="array" ref="F582">INDEX('Linha 06'!$C$3:$ZZ$3,C582)</f>
        <v>20070001</v>
      </c>
      <c r="G582" t="str" cm="1">
        <f t="array" ref="G582">INDEX('Linha 06'!$C$2:$ZZ$2,C582)</f>
        <v>Limpa Vidros Aquafast Pulverizador Cx/12 X 500ml</v>
      </c>
      <c r="H582" s="5" cm="1">
        <f t="array" ref="H582">INDEX('Linha 06'!$C$4:$ZZ$1000,B582,C582)</f>
        <v>0</v>
      </c>
    </row>
    <row r="583" spans="1:8" x14ac:dyDescent="0.25">
      <c r="A583">
        <v>581</v>
      </c>
      <c r="B583">
        <f t="shared" si="18"/>
        <v>16</v>
      </c>
      <c r="C583">
        <f t="shared" si="19"/>
        <v>11</v>
      </c>
      <c r="D583" cm="1">
        <f t="array" ref="D583">INDEX('Linha 06'!$A$4:$A$1000,B583)</f>
        <v>20090002</v>
      </c>
      <c r="E583" t="str" cm="1">
        <f t="array" ref="E583">INDEX('Linha 06'!$B$4:$B$1000,B583)</f>
        <v>Desengordurante Aquafast Recarga Cx/12 X 500ml</v>
      </c>
      <c r="F583" cm="1">
        <f t="array" ref="F583">INDEX('Linha 06'!$C$3:$ZZ$3,C583)</f>
        <v>20070002</v>
      </c>
      <c r="G583" t="str" cm="1">
        <f t="array" ref="G583">INDEX('Linha 06'!$C$2:$ZZ$2,C583)</f>
        <v>Limpa Vidros Aquafast Recarga Cx/12 X 500ml</v>
      </c>
      <c r="H583" s="5" cm="1">
        <f t="array" ref="H583">INDEX('Linha 06'!$C$4:$ZZ$1000,B583,C583)</f>
        <v>0</v>
      </c>
    </row>
    <row r="584" spans="1:8" x14ac:dyDescent="0.25">
      <c r="A584">
        <v>582</v>
      </c>
      <c r="B584">
        <f t="shared" si="18"/>
        <v>16</v>
      </c>
      <c r="C584">
        <f t="shared" si="19"/>
        <v>12</v>
      </c>
      <c r="D584" cm="1">
        <f t="array" ref="D584">INDEX('Linha 06'!$A$4:$A$1000,B584)</f>
        <v>20090002</v>
      </c>
      <c r="E584" t="str" cm="1">
        <f t="array" ref="E584">INDEX('Linha 06'!$B$4:$B$1000,B584)</f>
        <v>Desengordurante Aquafast Recarga Cx/12 X 500ml</v>
      </c>
      <c r="F584" cm="1">
        <f t="array" ref="F584">INDEX('Linha 06'!$C$3:$ZZ$3,C584)</f>
        <v>20070006</v>
      </c>
      <c r="G584" t="str" cm="1">
        <f t="array" ref="G584">INDEX('Linha 06'!$C$2:$ZZ$2,C584)</f>
        <v>Limpa Vidros Ito Pulverizador Cx/12 X 500ml</v>
      </c>
      <c r="H584" s="5" cm="1">
        <f t="array" ref="H584">INDEX('Linha 06'!$C$4:$ZZ$1000,B584,C584)</f>
        <v>0</v>
      </c>
    </row>
    <row r="585" spans="1:8" x14ac:dyDescent="0.25">
      <c r="A585">
        <v>583</v>
      </c>
      <c r="B585">
        <f t="shared" si="18"/>
        <v>16</v>
      </c>
      <c r="C585">
        <f t="shared" si="19"/>
        <v>13</v>
      </c>
      <c r="D585" cm="1">
        <f t="array" ref="D585">INDEX('Linha 06'!$A$4:$A$1000,B585)</f>
        <v>20090002</v>
      </c>
      <c r="E585" t="str" cm="1">
        <f t="array" ref="E585">INDEX('Linha 06'!$B$4:$B$1000,B585)</f>
        <v>Desengordurante Aquafast Recarga Cx/12 X 500ml</v>
      </c>
      <c r="F585" cm="1">
        <f t="array" ref="F585">INDEX('Linha 06'!$C$3:$ZZ$3,C585)</f>
        <v>20070007</v>
      </c>
      <c r="G585" t="str" cm="1">
        <f t="array" ref="G585">INDEX('Linha 06'!$C$2:$ZZ$2,C585)</f>
        <v>Limpa Vidros Ito Recarga Cx/12 X 500ml</v>
      </c>
      <c r="H585" s="5" cm="1">
        <f t="array" ref="H585">INDEX('Linha 06'!$C$4:$ZZ$1000,B585,C585)</f>
        <v>0</v>
      </c>
    </row>
    <row r="586" spans="1:8" x14ac:dyDescent="0.25">
      <c r="A586">
        <v>584</v>
      </c>
      <c r="B586">
        <f t="shared" si="18"/>
        <v>16</v>
      </c>
      <c r="C586">
        <f t="shared" si="19"/>
        <v>14</v>
      </c>
      <c r="D586" cm="1">
        <f t="array" ref="D586">INDEX('Linha 06'!$A$4:$A$1000,B586)</f>
        <v>20090002</v>
      </c>
      <c r="E586" t="str" cm="1">
        <f t="array" ref="E586">INDEX('Linha 06'!$B$4:$B$1000,B586)</f>
        <v>Desengordurante Aquafast Recarga Cx/12 X 500ml</v>
      </c>
      <c r="F586" cm="1">
        <f t="array" ref="F586">INDEX('Linha 06'!$C$3:$ZZ$3,C586)</f>
        <v>20070008</v>
      </c>
      <c r="G586" t="str" cm="1">
        <f t="array" ref="G586">INDEX('Linha 06'!$C$2:$ZZ$2,C586)</f>
        <v>Limpa Vidros Aquafast Squeeze Cx/12 X 500ml</v>
      </c>
      <c r="H586" s="5" cm="1">
        <f t="array" ref="H586">INDEX('Linha 06'!$C$4:$ZZ$1000,B586,C586)</f>
        <v>0</v>
      </c>
    </row>
    <row r="587" spans="1:8" x14ac:dyDescent="0.25">
      <c r="A587">
        <v>585</v>
      </c>
      <c r="B587">
        <f t="shared" si="18"/>
        <v>16</v>
      </c>
      <c r="C587">
        <f t="shared" si="19"/>
        <v>15</v>
      </c>
      <c r="D587" cm="1">
        <f t="array" ref="D587">INDEX('Linha 06'!$A$4:$A$1000,B587)</f>
        <v>20090002</v>
      </c>
      <c r="E587" t="str" cm="1">
        <f t="array" ref="E587">INDEX('Linha 06'!$B$4:$B$1000,B587)</f>
        <v>Desengordurante Aquafast Recarga Cx/12 X 500ml</v>
      </c>
      <c r="F587" cm="1">
        <f t="array" ref="F587">INDEX('Linha 06'!$C$3:$ZZ$3,C587)</f>
        <v>20090001</v>
      </c>
      <c r="G587" t="str" cm="1">
        <f t="array" ref="G587">INDEX('Linha 06'!$C$2:$ZZ$2,C587)</f>
        <v>Desengordurante Aquafast Pulverizador Cx/12 X 500ml</v>
      </c>
      <c r="H587" s="5" cm="1">
        <f t="array" ref="H587">INDEX('Linha 06'!$C$4:$ZZ$1000,B587,C587)</f>
        <v>0</v>
      </c>
    </row>
    <row r="588" spans="1:8" x14ac:dyDescent="0.25">
      <c r="A588">
        <v>586</v>
      </c>
      <c r="B588">
        <f t="shared" si="18"/>
        <v>16</v>
      </c>
      <c r="C588">
        <f t="shared" si="19"/>
        <v>16</v>
      </c>
      <c r="D588" cm="1">
        <f t="array" ref="D588">INDEX('Linha 06'!$A$4:$A$1000,B588)</f>
        <v>20090002</v>
      </c>
      <c r="E588" t="str" cm="1">
        <f t="array" ref="E588">INDEX('Linha 06'!$B$4:$B$1000,B588)</f>
        <v>Desengordurante Aquafast Recarga Cx/12 X 500ml</v>
      </c>
      <c r="F588" cm="1">
        <f t="array" ref="F588">INDEX('Linha 06'!$C$3:$ZZ$3,C588)</f>
        <v>20090002</v>
      </c>
      <c r="G588" t="str" cm="1">
        <f t="array" ref="G588">INDEX('Linha 06'!$C$2:$ZZ$2,C588)</f>
        <v>Desengordurante Aquafast Recarga Cx/12 X 500ml</v>
      </c>
      <c r="H588" s="5" cm="1">
        <f t="array" ref="H588">INDEX('Linha 06'!$C$4:$ZZ$1000,B588,C588)</f>
        <v>0</v>
      </c>
    </row>
    <row r="589" spans="1:8" x14ac:dyDescent="0.25">
      <c r="A589">
        <v>587</v>
      </c>
      <c r="B589">
        <f t="shared" si="18"/>
        <v>16</v>
      </c>
      <c r="C589">
        <f t="shared" si="19"/>
        <v>17</v>
      </c>
      <c r="D589" cm="1">
        <f t="array" ref="D589">INDEX('Linha 06'!$A$4:$A$1000,B589)</f>
        <v>20090002</v>
      </c>
      <c r="E589" t="str" cm="1">
        <f t="array" ref="E589">INDEX('Linha 06'!$B$4:$B$1000,B589)</f>
        <v>Desengordurante Aquafast Recarga Cx/12 X 500ml</v>
      </c>
      <c r="F589" cm="1">
        <f t="array" ref="F589">INDEX('Linha 06'!$C$3:$ZZ$3,C589)</f>
        <v>20090004</v>
      </c>
      <c r="G589" t="str" cm="1">
        <f t="array" ref="G589">INDEX('Linha 06'!$C$2:$ZZ$2,C589)</f>
        <v>Desengordurante Aquafast Squeeze Cx C/12 X 500ml</v>
      </c>
      <c r="H589" s="5" cm="1">
        <f t="array" ref="H589">INDEX('Linha 06'!$C$4:$ZZ$1000,B589,C589)</f>
        <v>0</v>
      </c>
    </row>
    <row r="590" spans="1:8" x14ac:dyDescent="0.25">
      <c r="A590">
        <v>588</v>
      </c>
      <c r="B590">
        <f t="shared" si="18"/>
        <v>16</v>
      </c>
      <c r="C590">
        <f t="shared" si="19"/>
        <v>18</v>
      </c>
      <c r="D590" cm="1">
        <f t="array" ref="D590">INDEX('Linha 06'!$A$4:$A$1000,B590)</f>
        <v>20090002</v>
      </c>
      <c r="E590" t="str" cm="1">
        <f t="array" ref="E590">INDEX('Linha 06'!$B$4:$B$1000,B590)</f>
        <v>Desengordurante Aquafast Recarga Cx/12 X 500ml</v>
      </c>
      <c r="F590" cm="1">
        <f t="array" ref="F590">INDEX('Linha 06'!$C$3:$ZZ$3,C590)</f>
        <v>20090005</v>
      </c>
      <c r="G590" t="str" cm="1">
        <f t="array" ref="G590">INDEX('Linha 06'!$C$2:$ZZ$2,C590)</f>
        <v>Desengordurante Aquafast Squeeze Cx C/12 X 1l</v>
      </c>
      <c r="H590" s="5" cm="1">
        <f t="array" ref="H590">INDEX('Linha 06'!$C$4:$ZZ$1000,B590,C590)</f>
        <v>0</v>
      </c>
    </row>
    <row r="591" spans="1:8" x14ac:dyDescent="0.25">
      <c r="A591">
        <v>589</v>
      </c>
      <c r="B591">
        <f t="shared" si="18"/>
        <v>16</v>
      </c>
      <c r="C591">
        <f t="shared" si="19"/>
        <v>19</v>
      </c>
      <c r="D591" cm="1">
        <f t="array" ref="D591">INDEX('Linha 06'!$A$4:$A$1000,B591)</f>
        <v>20090002</v>
      </c>
      <c r="E591" t="str" cm="1">
        <f t="array" ref="E591">INDEX('Linha 06'!$B$4:$B$1000,B591)</f>
        <v>Desengordurante Aquafast Recarga Cx/12 X 500ml</v>
      </c>
      <c r="F591" cm="1">
        <f t="array" ref="F591">INDEX('Linha 06'!$C$3:$ZZ$3,C591)</f>
        <v>20090010</v>
      </c>
      <c r="G591" t="str" cm="1">
        <f t="array" ref="G591">INDEX('Linha 06'!$C$2:$ZZ$2,C591)</f>
        <v>Intermed Pack Desengord Squeeze Cx C/18 X 500ml</v>
      </c>
      <c r="H591" s="5" cm="1">
        <f t="array" ref="H591">INDEX('Linha 06'!$C$4:$ZZ$1000,B591,C591)</f>
        <v>0</v>
      </c>
    </row>
    <row r="592" spans="1:8" x14ac:dyDescent="0.25">
      <c r="A592">
        <v>590</v>
      </c>
      <c r="B592">
        <f t="shared" si="18"/>
        <v>16</v>
      </c>
      <c r="C592">
        <f t="shared" si="19"/>
        <v>20</v>
      </c>
      <c r="D592" cm="1">
        <f t="array" ref="D592">INDEX('Linha 06'!$A$4:$A$1000,B592)</f>
        <v>20090002</v>
      </c>
      <c r="E592" t="str" cm="1">
        <f t="array" ref="E592">INDEX('Linha 06'!$B$4:$B$1000,B592)</f>
        <v>Desengordurante Aquafast Recarga Cx/12 X 500ml</v>
      </c>
      <c r="F592" cm="1">
        <f t="array" ref="F592">INDEX('Linha 06'!$C$3:$ZZ$3,C592)</f>
        <v>20110002</v>
      </c>
      <c r="G592" t="str" cm="1">
        <f t="array" ref="G592">INDEX('Linha 06'!$C$2:$ZZ$2,C592)</f>
        <v>Multi Uso Aquafast Squeeze Original Cx/12 X 500ml</v>
      </c>
      <c r="H592" s="5" cm="1">
        <f t="array" ref="H592">INDEX('Linha 06'!$C$4:$ZZ$1000,B592,C592)</f>
        <v>0</v>
      </c>
    </row>
    <row r="593" spans="1:8" x14ac:dyDescent="0.25">
      <c r="A593">
        <v>591</v>
      </c>
      <c r="B593">
        <f t="shared" si="18"/>
        <v>16</v>
      </c>
      <c r="C593">
        <f t="shared" si="19"/>
        <v>21</v>
      </c>
      <c r="D593" cm="1">
        <f t="array" ref="D593">INDEX('Linha 06'!$A$4:$A$1000,B593)</f>
        <v>20090002</v>
      </c>
      <c r="E593" t="str" cm="1">
        <f t="array" ref="E593">INDEX('Linha 06'!$B$4:$B$1000,B593)</f>
        <v>Desengordurante Aquafast Recarga Cx/12 X 500ml</v>
      </c>
      <c r="F593" cm="1">
        <f t="array" ref="F593">INDEX('Linha 06'!$C$3:$ZZ$3,C593)</f>
        <v>20110004</v>
      </c>
      <c r="G593" t="str" cm="1">
        <f t="array" ref="G593">INDEX('Linha 06'!$C$2:$ZZ$2,C593)</f>
        <v>Multi Uso Aquafast Squeeze Lavanda Cx/12 X 500ml</v>
      </c>
      <c r="H593" s="5" cm="1">
        <f t="array" ref="H593">INDEX('Linha 06'!$C$4:$ZZ$1000,B593,C593)</f>
        <v>0</v>
      </c>
    </row>
    <row r="594" spans="1:8" x14ac:dyDescent="0.25">
      <c r="A594">
        <v>592</v>
      </c>
      <c r="B594">
        <f t="shared" si="18"/>
        <v>16</v>
      </c>
      <c r="C594">
        <f t="shared" si="19"/>
        <v>22</v>
      </c>
      <c r="D594" cm="1">
        <f t="array" ref="D594">INDEX('Linha 06'!$A$4:$A$1000,B594)</f>
        <v>20090002</v>
      </c>
      <c r="E594" t="str" cm="1">
        <f t="array" ref="E594">INDEX('Linha 06'!$B$4:$B$1000,B594)</f>
        <v>Desengordurante Aquafast Recarga Cx/12 X 500ml</v>
      </c>
      <c r="F594" cm="1">
        <f t="array" ref="F594">INDEX('Linha 06'!$C$3:$ZZ$3,C594)</f>
        <v>20110007</v>
      </c>
      <c r="G594" t="str" cm="1">
        <f t="array" ref="G594">INDEX('Linha 06'!$C$2:$ZZ$2,C594)</f>
        <v>Multi Uso Aquafast Squeeze Seducao Cx/12 X 500ml</v>
      </c>
      <c r="H594" s="5" cm="1">
        <f t="array" ref="H594">INDEX('Linha 06'!$C$4:$ZZ$1000,B594,C594)</f>
        <v>0</v>
      </c>
    </row>
    <row r="595" spans="1:8" x14ac:dyDescent="0.25">
      <c r="A595">
        <v>593</v>
      </c>
      <c r="B595">
        <f t="shared" si="18"/>
        <v>16</v>
      </c>
      <c r="C595">
        <f t="shared" si="19"/>
        <v>23</v>
      </c>
      <c r="D595" cm="1">
        <f t="array" ref="D595">INDEX('Linha 06'!$A$4:$A$1000,B595)</f>
        <v>20090002</v>
      </c>
      <c r="E595" t="str" cm="1">
        <f t="array" ref="E595">INDEX('Linha 06'!$B$4:$B$1000,B595)</f>
        <v>Desengordurante Aquafast Recarga Cx/12 X 500ml</v>
      </c>
      <c r="F595" cm="1">
        <f t="array" ref="F595">INDEX('Linha 06'!$C$3:$ZZ$3,C595)</f>
        <v>20110008</v>
      </c>
      <c r="G595" t="str" cm="1">
        <f t="array" ref="G595">INDEX('Linha 06'!$C$2:$ZZ$2,C595)</f>
        <v>Multi Uso Aquafast Squeeze Original Cx/12 X 1l</v>
      </c>
      <c r="H595" s="5" cm="1">
        <f t="array" ref="H595">INDEX('Linha 06'!$C$4:$ZZ$1000,B595,C595)</f>
        <v>0</v>
      </c>
    </row>
    <row r="596" spans="1:8" x14ac:dyDescent="0.25">
      <c r="A596">
        <v>594</v>
      </c>
      <c r="B596">
        <f t="shared" si="18"/>
        <v>16</v>
      </c>
      <c r="C596">
        <f t="shared" si="19"/>
        <v>24</v>
      </c>
      <c r="D596" cm="1">
        <f t="array" ref="D596">INDEX('Linha 06'!$A$4:$A$1000,B596)</f>
        <v>20090002</v>
      </c>
      <c r="E596" t="str" cm="1">
        <f t="array" ref="E596">INDEX('Linha 06'!$B$4:$B$1000,B596)</f>
        <v>Desengordurante Aquafast Recarga Cx/12 X 500ml</v>
      </c>
      <c r="F596" cm="1">
        <f t="array" ref="F596">INDEX('Linha 06'!$C$3:$ZZ$3,C596)</f>
        <v>20110010</v>
      </c>
      <c r="G596" t="str" cm="1">
        <f t="array" ref="G596">INDEX('Linha 06'!$C$2:$ZZ$2,C596)</f>
        <v>Multi Uso Aquafast Squeeze Seducao Cx/12 1l</v>
      </c>
      <c r="H596" s="5" cm="1">
        <f t="array" ref="H596">INDEX('Linha 06'!$C$4:$ZZ$1000,B596,C596)</f>
        <v>0</v>
      </c>
    </row>
    <row r="597" spans="1:8" x14ac:dyDescent="0.25">
      <c r="A597">
        <v>595</v>
      </c>
      <c r="B597">
        <f t="shared" si="18"/>
        <v>16</v>
      </c>
      <c r="C597">
        <f t="shared" si="19"/>
        <v>25</v>
      </c>
      <c r="D597" cm="1">
        <f t="array" ref="D597">INDEX('Linha 06'!$A$4:$A$1000,B597)</f>
        <v>20090002</v>
      </c>
      <c r="E597" t="str" cm="1">
        <f t="array" ref="E597">INDEX('Linha 06'!$B$4:$B$1000,B597)</f>
        <v>Desengordurante Aquafast Recarga Cx/12 X 500ml</v>
      </c>
      <c r="F597" cm="1">
        <f t="array" ref="F597">INDEX('Linha 06'!$C$3:$ZZ$3,C597)</f>
        <v>20110013</v>
      </c>
      <c r="G597" t="str" cm="1">
        <f t="array" ref="G597">INDEX('Linha 06'!$C$2:$ZZ$2,C597)</f>
        <v>Multi Uso Aquafast Squeeze Lavanda Cx/12 X 1l</v>
      </c>
      <c r="H597" s="5" cm="1">
        <f t="array" ref="H597">INDEX('Linha 06'!$C$4:$ZZ$1000,B597,C597)</f>
        <v>0</v>
      </c>
    </row>
    <row r="598" spans="1:8" x14ac:dyDescent="0.25">
      <c r="A598">
        <v>596</v>
      </c>
      <c r="B598">
        <f t="shared" si="18"/>
        <v>16</v>
      </c>
      <c r="C598">
        <f t="shared" si="19"/>
        <v>26</v>
      </c>
      <c r="D598" cm="1">
        <f t="array" ref="D598">INDEX('Linha 06'!$A$4:$A$1000,B598)</f>
        <v>20090002</v>
      </c>
      <c r="E598" t="str" cm="1">
        <f t="array" ref="E598">INDEX('Linha 06'!$B$4:$B$1000,B598)</f>
        <v>Desengordurante Aquafast Recarga Cx/12 X 500ml</v>
      </c>
      <c r="F598" cm="1">
        <f t="array" ref="F598">INDEX('Linha 06'!$C$3:$ZZ$3,C598)</f>
        <v>20110022</v>
      </c>
      <c r="G598" t="str" cm="1">
        <f t="array" ref="G598">INDEX('Linha 06'!$C$2:$ZZ$2,C598)</f>
        <v>Intermed Pack Multi Uso Lavand C/Alcool Cx/18 X 500ml</v>
      </c>
      <c r="H598" s="5" cm="1">
        <f t="array" ref="H598">INDEX('Linha 06'!$C$4:$ZZ$1000,B598,C598)</f>
        <v>0</v>
      </c>
    </row>
    <row r="599" spans="1:8" x14ac:dyDescent="0.25">
      <c r="A599">
        <v>597</v>
      </c>
      <c r="B599">
        <f t="shared" si="18"/>
        <v>16</v>
      </c>
      <c r="C599">
        <f t="shared" si="19"/>
        <v>27</v>
      </c>
      <c r="D599" cm="1">
        <f t="array" ref="D599">INDEX('Linha 06'!$A$4:$A$1000,B599)</f>
        <v>20090002</v>
      </c>
      <c r="E599" t="str" cm="1">
        <f t="array" ref="E599">INDEX('Linha 06'!$B$4:$B$1000,B599)</f>
        <v>Desengordurante Aquafast Recarga Cx/12 X 500ml</v>
      </c>
      <c r="F599" cm="1">
        <f t="array" ref="F599">INDEX('Linha 06'!$C$3:$ZZ$3,C599)</f>
        <v>20110023</v>
      </c>
      <c r="G599" t="str" cm="1">
        <f t="array" ref="G599">INDEX('Linha 06'!$C$2:$ZZ$2,C599)</f>
        <v>Multi Uso Aquafast Squeeze Cha Branco  Cx/12 X 500ml</v>
      </c>
      <c r="H599" s="5" cm="1">
        <f t="array" ref="H599">INDEX('Linha 06'!$C$4:$ZZ$1000,B599,C599)</f>
        <v>0</v>
      </c>
    </row>
    <row r="600" spans="1:8" x14ac:dyDescent="0.25">
      <c r="A600">
        <v>598</v>
      </c>
      <c r="B600">
        <f t="shared" si="18"/>
        <v>16</v>
      </c>
      <c r="C600">
        <f t="shared" si="19"/>
        <v>28</v>
      </c>
      <c r="D600" cm="1">
        <f t="array" ref="D600">INDEX('Linha 06'!$A$4:$A$1000,B600)</f>
        <v>20090002</v>
      </c>
      <c r="E600" t="str" cm="1">
        <f t="array" ref="E600">INDEX('Linha 06'!$B$4:$B$1000,B600)</f>
        <v>Desengordurante Aquafast Recarga Cx/12 X 500ml</v>
      </c>
      <c r="F600" cm="1">
        <f t="array" ref="F600">INDEX('Linha 06'!$C$3:$ZZ$3,C600)</f>
        <v>20110024</v>
      </c>
      <c r="G600" t="str" cm="1">
        <f t="array" ref="G600">INDEX('Linha 06'!$C$2:$ZZ$2,C600)</f>
        <v>Multi Uso Aquafast Squeeze Cha Branco Cx12 X 1l</v>
      </c>
      <c r="H600" s="5" cm="1">
        <f t="array" ref="H600">INDEX('Linha 06'!$C$4:$ZZ$1000,B600,C600)</f>
        <v>0</v>
      </c>
    </row>
    <row r="601" spans="1:8" x14ac:dyDescent="0.25">
      <c r="A601">
        <v>599</v>
      </c>
      <c r="B601">
        <f t="shared" si="18"/>
        <v>16</v>
      </c>
      <c r="C601">
        <f t="shared" si="19"/>
        <v>29</v>
      </c>
      <c r="D601" cm="1">
        <f t="array" ref="D601">INDEX('Linha 06'!$A$4:$A$1000,B601)</f>
        <v>20090002</v>
      </c>
      <c r="E601" t="str" cm="1">
        <f t="array" ref="E601">INDEX('Linha 06'!$B$4:$B$1000,B601)</f>
        <v>Desengordurante Aquafast Recarga Cx/12 X 500ml</v>
      </c>
      <c r="F601" cm="1">
        <f t="array" ref="F601">INDEX('Linha 06'!$C$3:$ZZ$3,C601)</f>
        <v>20110025</v>
      </c>
      <c r="G601" t="str" cm="1">
        <f t="array" ref="G601">INDEX('Linha 06'!$C$2:$ZZ$2,C601)</f>
        <v>Multi Uso Aquafast Pulverizador Original Cx/12 X 1l</v>
      </c>
      <c r="H601" s="5" cm="1">
        <f t="array" ref="H601">INDEX('Linha 06'!$C$4:$ZZ$1000,B601,C601)</f>
        <v>0</v>
      </c>
    </row>
    <row r="602" spans="1:8" x14ac:dyDescent="0.25">
      <c r="A602">
        <v>600</v>
      </c>
      <c r="B602">
        <f t="shared" si="18"/>
        <v>16</v>
      </c>
      <c r="C602">
        <f t="shared" si="19"/>
        <v>30</v>
      </c>
      <c r="D602" cm="1">
        <f t="array" ref="D602">INDEX('Linha 06'!$A$4:$A$1000,B602)</f>
        <v>20090002</v>
      </c>
      <c r="E602" t="str" cm="1">
        <f t="array" ref="E602">INDEX('Linha 06'!$B$4:$B$1000,B602)</f>
        <v>Desengordurante Aquafast Recarga Cx/12 X 500ml</v>
      </c>
      <c r="F602" cm="1">
        <f t="array" ref="F602">INDEX('Linha 06'!$C$3:$ZZ$3,C602)</f>
        <v>20110026</v>
      </c>
      <c r="G602" t="str" cm="1">
        <f t="array" ref="G602">INDEX('Linha 06'!$C$2:$ZZ$2,C602)</f>
        <v>Multi Uso Aquafast Pulverizador Poder O2 Cx/12 X 1l</v>
      </c>
      <c r="H602" s="5" cm="1">
        <f t="array" ref="H602">INDEX('Linha 06'!$C$4:$ZZ$1000,B602,C602)</f>
        <v>0</v>
      </c>
    </row>
    <row r="603" spans="1:8" x14ac:dyDescent="0.25">
      <c r="A603">
        <v>601</v>
      </c>
      <c r="B603">
        <f t="shared" si="18"/>
        <v>16</v>
      </c>
      <c r="C603">
        <f t="shared" si="19"/>
        <v>31</v>
      </c>
      <c r="D603" cm="1">
        <f t="array" ref="D603">INDEX('Linha 06'!$A$4:$A$1000,B603)</f>
        <v>20090002</v>
      </c>
      <c r="E603" t="str" cm="1">
        <f t="array" ref="E603">INDEX('Linha 06'!$B$4:$B$1000,B603)</f>
        <v>Desengordurante Aquafast Recarga Cx/12 X 500ml</v>
      </c>
      <c r="F603" cm="1">
        <f t="array" ref="F603">INDEX('Linha 06'!$C$3:$ZZ$3,C603)</f>
        <v>20110027</v>
      </c>
      <c r="G603" t="str" cm="1">
        <f t="array" ref="G603">INDEX('Linha 06'!$C$2:$ZZ$2,C603)</f>
        <v>Multi Uso Aquafast Pulverizador Poder O2 Cx/12 X 500ml</v>
      </c>
      <c r="H603" s="5" cm="1">
        <f t="array" ref="H603">INDEX('Linha 06'!$C$4:$ZZ$1000,B603,C603)</f>
        <v>0</v>
      </c>
    </row>
    <row r="604" spans="1:8" x14ac:dyDescent="0.25">
      <c r="A604">
        <v>602</v>
      </c>
      <c r="B604">
        <f t="shared" si="18"/>
        <v>16</v>
      </c>
      <c r="C604">
        <f t="shared" si="19"/>
        <v>32</v>
      </c>
      <c r="D604" cm="1">
        <f t="array" ref="D604">INDEX('Linha 06'!$A$4:$A$1000,B604)</f>
        <v>20090002</v>
      </c>
      <c r="E604" t="str" cm="1">
        <f t="array" ref="E604">INDEX('Linha 06'!$B$4:$B$1000,B604)</f>
        <v>Desengordurante Aquafast Recarga Cx/12 X 500ml</v>
      </c>
      <c r="F604" cm="1">
        <f t="array" ref="F604">INDEX('Linha 06'!$C$3:$ZZ$3,C604)</f>
        <v>20200073</v>
      </c>
      <c r="G604" t="str" cm="1">
        <f t="array" ref="G604">INDEX('Linha 06'!$C$2:$ZZ$2,C604)</f>
        <v>Lava Roupas Aquafast Lavagem Rapida Total Clean Cx/9 X 1,5l</v>
      </c>
      <c r="H604" s="5" cm="1">
        <f t="array" ref="H604">INDEX('Linha 06'!$C$4:$ZZ$1000,B604,C604)</f>
        <v>0</v>
      </c>
    </row>
    <row r="605" spans="1:8" x14ac:dyDescent="0.25">
      <c r="A605">
        <v>603</v>
      </c>
      <c r="B605">
        <f t="shared" si="18"/>
        <v>16</v>
      </c>
      <c r="C605">
        <f t="shared" si="19"/>
        <v>33</v>
      </c>
      <c r="D605" cm="1">
        <f t="array" ref="D605">INDEX('Linha 06'!$A$4:$A$1000,B605)</f>
        <v>20090002</v>
      </c>
      <c r="E605" t="str" cm="1">
        <f t="array" ref="E605">INDEX('Linha 06'!$B$4:$B$1000,B605)</f>
        <v>Desengordurante Aquafast Recarga Cx/12 X 500ml</v>
      </c>
      <c r="F605" cm="1">
        <f t="array" ref="F605">INDEX('Linha 06'!$C$3:$ZZ$3,C605)</f>
        <v>20200075</v>
      </c>
      <c r="G605" t="str" cm="1">
        <f t="array" ref="G605">INDEX('Linha 06'!$C$2:$ZZ$2,C605)</f>
        <v>Lava Roupas Aquafast Lavagem Rapida Fresh Clean Cx/9 X 1,5l</v>
      </c>
      <c r="H605" s="5" cm="1">
        <f t="array" ref="H605">INDEX('Linha 06'!$C$4:$ZZ$1000,B605,C605)</f>
        <v>0</v>
      </c>
    </row>
    <row r="606" spans="1:8" x14ac:dyDescent="0.25">
      <c r="A606">
        <v>604</v>
      </c>
      <c r="B606">
        <f t="shared" si="18"/>
        <v>16</v>
      </c>
      <c r="C606">
        <f t="shared" si="19"/>
        <v>34</v>
      </c>
      <c r="D606" cm="1">
        <f t="array" ref="D606">INDEX('Linha 06'!$A$4:$A$1000,B606)</f>
        <v>20090002</v>
      </c>
      <c r="E606" t="str" cm="1">
        <f t="array" ref="E606">INDEX('Linha 06'!$B$4:$B$1000,B606)</f>
        <v>Desengordurante Aquafast Recarga Cx/12 X 500ml</v>
      </c>
      <c r="F606" cm="1">
        <f t="array" ref="F606">INDEX('Linha 06'!$C$3:$ZZ$3,C606)</f>
        <v>20220018</v>
      </c>
      <c r="G606" t="str" cm="1">
        <f t="array" ref="G606">INDEX('Linha 06'!$C$2:$ZZ$2,C606)</f>
        <v>Intermed. Aromat. Amoras E Baunilha Cx C/ 12un 250ml</v>
      </c>
      <c r="H606" s="5" cm="1">
        <f t="array" ref="H606">INDEX('Linha 06'!$C$4:$ZZ$1000,B606,C606)</f>
        <v>0</v>
      </c>
    </row>
    <row r="607" spans="1:8" x14ac:dyDescent="0.25">
      <c r="A607">
        <v>605</v>
      </c>
      <c r="B607">
        <f t="shared" si="18"/>
        <v>16</v>
      </c>
      <c r="C607">
        <f t="shared" si="19"/>
        <v>35</v>
      </c>
      <c r="D607" cm="1">
        <f t="array" ref="D607">INDEX('Linha 06'!$A$4:$A$1000,B607)</f>
        <v>20090002</v>
      </c>
      <c r="E607" t="str" cm="1">
        <f t="array" ref="E607">INDEX('Linha 06'!$B$4:$B$1000,B607)</f>
        <v>Desengordurante Aquafast Recarga Cx/12 X 500ml</v>
      </c>
      <c r="F607" cm="1">
        <f t="array" ref="F607">INDEX('Linha 06'!$C$3:$ZZ$3,C607)</f>
        <v>20220019</v>
      </c>
      <c r="G607" t="str" cm="1">
        <f t="array" ref="G607">INDEX('Linha 06'!$C$2:$ZZ$2,C607)</f>
        <v>Intermed. Aromat. Figo E Cedro Cx C/ 12un 250ml</v>
      </c>
      <c r="H607" s="5" cm="1">
        <f t="array" ref="H607">INDEX('Linha 06'!$C$4:$ZZ$1000,B607,C607)</f>
        <v>0</v>
      </c>
    </row>
    <row r="608" spans="1:8" x14ac:dyDescent="0.25">
      <c r="A608">
        <v>606</v>
      </c>
      <c r="B608">
        <f t="shared" si="18"/>
        <v>16</v>
      </c>
      <c r="C608">
        <f t="shared" si="19"/>
        <v>36</v>
      </c>
      <c r="D608" cm="1">
        <f t="array" ref="D608">INDEX('Linha 06'!$A$4:$A$1000,B608)</f>
        <v>20090002</v>
      </c>
      <c r="E608" t="str" cm="1">
        <f t="array" ref="E608">INDEX('Linha 06'!$B$4:$B$1000,B608)</f>
        <v>Desengordurante Aquafast Recarga Cx/12 X 500ml</v>
      </c>
      <c r="F608" cm="1">
        <f t="array" ref="F608">INDEX('Linha 06'!$C$3:$ZZ$3,C608)</f>
        <v>20220020</v>
      </c>
      <c r="G608" t="str" cm="1">
        <f t="array" ref="G608">INDEX('Linha 06'!$C$2:$ZZ$2,C608)</f>
        <v>Intermed. Aromat. Rosas E Magnolias Cx C/ 12un 250ml</v>
      </c>
      <c r="H608" s="5" cm="1">
        <f t="array" ref="H608">INDEX('Linha 06'!$C$4:$ZZ$1000,B608,C608)</f>
        <v>0</v>
      </c>
    </row>
    <row r="609" spans="1:8" x14ac:dyDescent="0.25">
      <c r="A609">
        <v>607</v>
      </c>
      <c r="B609">
        <f t="shared" si="18"/>
        <v>16</v>
      </c>
      <c r="C609">
        <f t="shared" si="19"/>
        <v>37</v>
      </c>
      <c r="D609" cm="1">
        <f t="array" ref="D609">INDEX('Linha 06'!$A$4:$A$1000,B609)</f>
        <v>20090002</v>
      </c>
      <c r="E609" t="str" cm="1">
        <f t="array" ref="E609">INDEX('Linha 06'!$B$4:$B$1000,B609)</f>
        <v>Desengordurante Aquafast Recarga Cx/12 X 500ml</v>
      </c>
      <c r="F609" cm="1">
        <f t="array" ref="F609">INDEX('Linha 06'!$C$3:$ZZ$3,C609)</f>
        <v>20220021</v>
      </c>
      <c r="G609" t="str" cm="1">
        <f t="array" ref="G609">INDEX('Linha 06'!$C$2:$ZZ$2,C609)</f>
        <v>Intermed. Aromat. Flores Exoticas Cx C/ 12un 250ml</v>
      </c>
      <c r="H609" s="5" cm="1">
        <f t="array" ref="H609">INDEX('Linha 06'!$C$4:$ZZ$1000,B609,C609)</f>
        <v>0</v>
      </c>
    </row>
    <row r="610" spans="1:8" x14ac:dyDescent="0.25">
      <c r="A610">
        <v>608</v>
      </c>
      <c r="B610">
        <f t="shared" si="18"/>
        <v>16</v>
      </c>
      <c r="C610">
        <f t="shared" si="19"/>
        <v>38</v>
      </c>
      <c r="D610" cm="1">
        <f t="array" ref="D610">INDEX('Linha 06'!$A$4:$A$1000,B610)</f>
        <v>20090002</v>
      </c>
      <c r="E610" t="str" cm="1">
        <f t="array" ref="E610">INDEX('Linha 06'!$B$4:$B$1000,B610)</f>
        <v>Desengordurante Aquafast Recarga Cx/12 X 500ml</v>
      </c>
      <c r="F610" cm="1">
        <f t="array" ref="F610">INDEX('Linha 06'!$C$3:$ZZ$3,C610)</f>
        <v>20220022</v>
      </c>
      <c r="G610" t="str" cm="1">
        <f t="array" ref="G610">INDEX('Linha 06'!$C$2:$ZZ$2,C610)</f>
        <v>Intermed. Aromat. Cha Verde E Grapef Cx C/ 12un 250ml</v>
      </c>
      <c r="H610" s="5" cm="1">
        <f t="array" ref="H610">INDEX('Linha 06'!$C$4:$ZZ$1000,B610,C610)</f>
        <v>0</v>
      </c>
    </row>
    <row r="611" spans="1:8" x14ac:dyDescent="0.25">
      <c r="A611">
        <v>609</v>
      </c>
      <c r="B611">
        <f t="shared" si="18"/>
        <v>17</v>
      </c>
      <c r="C611">
        <f t="shared" si="19"/>
        <v>1</v>
      </c>
      <c r="D611" cm="1">
        <f t="array" ref="D611">INDEX('Linha 06'!$A$4:$A$1000,B611)</f>
        <v>20090004</v>
      </c>
      <c r="E611" t="str" cm="1">
        <f t="array" ref="E611">INDEX('Linha 06'!$B$4:$B$1000,B611)</f>
        <v>Desengordurante Aquafast Squeeze Cx C/12 X 500ml</v>
      </c>
      <c r="F611" cm="1">
        <f t="array" ref="F611">INDEX('Linha 06'!$C$3:$ZZ$3,C611)</f>
        <v>20060001</v>
      </c>
      <c r="G611" t="str" cm="1">
        <f t="array" ref="G611">INDEX('Linha 06'!$C$2:$ZZ$2,C611)</f>
        <v>Limp Perf Aquafast Magia Seducao Cx/12 X 500ml</v>
      </c>
      <c r="H611" s="5" cm="1">
        <f t="array" ref="H611">INDEX('Linha 06'!$C$4:$ZZ$1000,B611,C611)</f>
        <v>0</v>
      </c>
    </row>
    <row r="612" spans="1:8" x14ac:dyDescent="0.25">
      <c r="A612">
        <v>610</v>
      </c>
      <c r="B612">
        <f t="shared" si="18"/>
        <v>17</v>
      </c>
      <c r="C612">
        <f t="shared" si="19"/>
        <v>2</v>
      </c>
      <c r="D612" cm="1">
        <f t="array" ref="D612">INDEX('Linha 06'!$A$4:$A$1000,B612)</f>
        <v>20090004</v>
      </c>
      <c r="E612" t="str" cm="1">
        <f t="array" ref="E612">INDEX('Linha 06'!$B$4:$B$1000,B612)</f>
        <v>Desengordurante Aquafast Squeeze Cx C/12 X 500ml</v>
      </c>
      <c r="F612" cm="1">
        <f t="array" ref="F612">INDEX('Linha 06'!$C$3:$ZZ$3,C612)</f>
        <v>20060004</v>
      </c>
      <c r="G612" t="str" cm="1">
        <f t="array" ref="G612">INDEX('Linha 06'!$C$2:$ZZ$2,C612)</f>
        <v>Limp Perf Aquafast Magia Seducao Cx/12 X 1l</v>
      </c>
      <c r="H612" s="5" cm="1">
        <f t="array" ref="H612">INDEX('Linha 06'!$C$4:$ZZ$1000,B612,C612)</f>
        <v>0</v>
      </c>
    </row>
    <row r="613" spans="1:8" x14ac:dyDescent="0.25">
      <c r="A613">
        <v>611</v>
      </c>
      <c r="B613">
        <f t="shared" si="18"/>
        <v>17</v>
      </c>
      <c r="C613">
        <f t="shared" si="19"/>
        <v>3</v>
      </c>
      <c r="D613" cm="1">
        <f t="array" ref="D613">INDEX('Linha 06'!$A$4:$A$1000,B613)</f>
        <v>20090004</v>
      </c>
      <c r="E613" t="str" cm="1">
        <f t="array" ref="E613">INDEX('Linha 06'!$B$4:$B$1000,B613)</f>
        <v>Desengordurante Aquafast Squeeze Cx C/12 X 500ml</v>
      </c>
      <c r="F613" cm="1">
        <f t="array" ref="F613">INDEX('Linha 06'!$C$3:$ZZ$3,C613)</f>
        <v>20060010</v>
      </c>
      <c r="G613" t="str" cm="1">
        <f t="array" ref="G613">INDEX('Linha 06'!$C$2:$ZZ$2,C613)</f>
        <v>Limp Perf Aquafast Magia Da Infancia Cx/12 X 500ml</v>
      </c>
      <c r="H613" s="5" cm="1">
        <f t="array" ref="H613">INDEX('Linha 06'!$C$4:$ZZ$1000,B613,C613)</f>
        <v>0</v>
      </c>
    </row>
    <row r="614" spans="1:8" x14ac:dyDescent="0.25">
      <c r="A614">
        <v>612</v>
      </c>
      <c r="B614">
        <f t="shared" si="18"/>
        <v>17</v>
      </c>
      <c r="C614">
        <f t="shared" si="19"/>
        <v>4</v>
      </c>
      <c r="D614" cm="1">
        <f t="array" ref="D614">INDEX('Linha 06'!$A$4:$A$1000,B614)</f>
        <v>20090004</v>
      </c>
      <c r="E614" t="str" cm="1">
        <f t="array" ref="E614">INDEX('Linha 06'!$B$4:$B$1000,B614)</f>
        <v>Desengordurante Aquafast Squeeze Cx C/12 X 500ml</v>
      </c>
      <c r="F614" cm="1">
        <f t="array" ref="F614">INDEX('Linha 06'!$C$3:$ZZ$3,C614)</f>
        <v>20060011</v>
      </c>
      <c r="G614" t="str" cm="1">
        <f t="array" ref="G614">INDEX('Linha 06'!$C$2:$ZZ$2,C614)</f>
        <v>Limp Perf Aquafast Frescor Da Manha Cx/12 X 500ml</v>
      </c>
      <c r="H614" s="5" cm="1">
        <f t="array" ref="H614">INDEX('Linha 06'!$C$4:$ZZ$1000,B614,C614)</f>
        <v>0</v>
      </c>
    </row>
    <row r="615" spans="1:8" x14ac:dyDescent="0.25">
      <c r="A615">
        <v>613</v>
      </c>
      <c r="B615">
        <f t="shared" si="18"/>
        <v>17</v>
      </c>
      <c r="C615">
        <f t="shared" si="19"/>
        <v>5</v>
      </c>
      <c r="D615" cm="1">
        <f t="array" ref="D615">INDEX('Linha 06'!$A$4:$A$1000,B615)</f>
        <v>20090004</v>
      </c>
      <c r="E615" t="str" cm="1">
        <f t="array" ref="E615">INDEX('Linha 06'!$B$4:$B$1000,B615)</f>
        <v>Desengordurante Aquafast Squeeze Cx C/12 X 500ml</v>
      </c>
      <c r="F615" cm="1">
        <f t="array" ref="F615">INDEX('Linha 06'!$C$3:$ZZ$3,C615)</f>
        <v>20060012</v>
      </c>
      <c r="G615" t="str" cm="1">
        <f t="array" ref="G615">INDEX('Linha 06'!$C$2:$ZZ$2,C615)</f>
        <v>Limp Perf Aquafast Magia Da Infancia Cx/12 X 1l</v>
      </c>
      <c r="H615" s="5" cm="1">
        <f t="array" ref="H615">INDEX('Linha 06'!$C$4:$ZZ$1000,B615,C615)</f>
        <v>0</v>
      </c>
    </row>
    <row r="616" spans="1:8" x14ac:dyDescent="0.25">
      <c r="A616">
        <v>614</v>
      </c>
      <c r="B616">
        <f t="shared" si="18"/>
        <v>17</v>
      </c>
      <c r="C616">
        <f t="shared" si="19"/>
        <v>6</v>
      </c>
      <c r="D616" cm="1">
        <f t="array" ref="D616">INDEX('Linha 06'!$A$4:$A$1000,B616)</f>
        <v>20090004</v>
      </c>
      <c r="E616" t="str" cm="1">
        <f t="array" ref="E616">INDEX('Linha 06'!$B$4:$B$1000,B616)</f>
        <v>Desengordurante Aquafast Squeeze Cx C/12 X 500ml</v>
      </c>
      <c r="F616" cm="1">
        <f t="array" ref="F616">INDEX('Linha 06'!$C$3:$ZZ$3,C616)</f>
        <v>20060013</v>
      </c>
      <c r="G616" t="str" cm="1">
        <f t="array" ref="G616">INDEX('Linha 06'!$C$2:$ZZ$2,C616)</f>
        <v>Limp Perf Aquafast Frescor Da Manha Cx/12 X 1l</v>
      </c>
      <c r="H616" s="5" cm="1">
        <f t="array" ref="H616">INDEX('Linha 06'!$C$4:$ZZ$1000,B616,C616)</f>
        <v>0</v>
      </c>
    </row>
    <row r="617" spans="1:8" x14ac:dyDescent="0.25">
      <c r="A617">
        <v>615</v>
      </c>
      <c r="B617">
        <f t="shared" si="18"/>
        <v>17</v>
      </c>
      <c r="C617">
        <f t="shared" si="19"/>
        <v>7</v>
      </c>
      <c r="D617" cm="1">
        <f t="array" ref="D617">INDEX('Linha 06'!$A$4:$A$1000,B617)</f>
        <v>20090004</v>
      </c>
      <c r="E617" t="str" cm="1">
        <f t="array" ref="E617">INDEX('Linha 06'!$B$4:$B$1000,B617)</f>
        <v>Desengordurante Aquafast Squeeze Cx C/12 X 500ml</v>
      </c>
      <c r="F617" cm="1">
        <f t="array" ref="F617">INDEX('Linha 06'!$C$3:$ZZ$3,C617)</f>
        <v>20060015</v>
      </c>
      <c r="G617" t="str" cm="1">
        <f t="array" ref="G617">INDEX('Linha 06'!$C$2:$ZZ$2,C617)</f>
        <v>Limp Perf Aquafast Doce Romance Cx/12 X 500ml</v>
      </c>
      <c r="H617" s="5" cm="1">
        <f t="array" ref="H617">INDEX('Linha 06'!$C$4:$ZZ$1000,B617,C617)</f>
        <v>0</v>
      </c>
    </row>
    <row r="618" spans="1:8" x14ac:dyDescent="0.25">
      <c r="A618">
        <v>616</v>
      </c>
      <c r="B618">
        <f t="shared" si="18"/>
        <v>17</v>
      </c>
      <c r="C618">
        <f t="shared" si="19"/>
        <v>8</v>
      </c>
      <c r="D618" cm="1">
        <f t="array" ref="D618">INDEX('Linha 06'!$A$4:$A$1000,B618)</f>
        <v>20090004</v>
      </c>
      <c r="E618" t="str" cm="1">
        <f t="array" ref="E618">INDEX('Linha 06'!$B$4:$B$1000,B618)</f>
        <v>Desengordurante Aquafast Squeeze Cx C/12 X 500ml</v>
      </c>
      <c r="F618" cm="1">
        <f t="array" ref="F618">INDEX('Linha 06'!$C$3:$ZZ$3,C618)</f>
        <v>20060016</v>
      </c>
      <c r="G618" t="str" cm="1">
        <f t="array" ref="G618">INDEX('Linha 06'!$C$2:$ZZ$2,C618)</f>
        <v>Limp Perf Aquafast Doce Romance Cx/12 X 1l</v>
      </c>
      <c r="H618" s="5" cm="1">
        <f t="array" ref="H618">INDEX('Linha 06'!$C$4:$ZZ$1000,B618,C618)</f>
        <v>0</v>
      </c>
    </row>
    <row r="619" spans="1:8" x14ac:dyDescent="0.25">
      <c r="A619">
        <v>617</v>
      </c>
      <c r="B619">
        <f t="shared" si="18"/>
        <v>17</v>
      </c>
      <c r="C619">
        <f t="shared" si="19"/>
        <v>9</v>
      </c>
      <c r="D619" cm="1">
        <f t="array" ref="D619">INDEX('Linha 06'!$A$4:$A$1000,B619)</f>
        <v>20090004</v>
      </c>
      <c r="E619" t="str" cm="1">
        <f t="array" ref="E619">INDEX('Linha 06'!$B$4:$B$1000,B619)</f>
        <v>Desengordurante Aquafast Squeeze Cx C/12 X 500ml</v>
      </c>
      <c r="F619" cm="1">
        <f t="array" ref="F619">INDEX('Linha 06'!$C$3:$ZZ$3,C619)</f>
        <v>20060027</v>
      </c>
      <c r="G619" t="str" cm="1">
        <f t="array" ref="G619">INDEX('Linha 06'!$C$2:$ZZ$2,C619)</f>
        <v>Limp Perf Aquafast Essencia Natural Cx/12 X 1l</v>
      </c>
      <c r="H619" s="5" cm="1">
        <f t="array" ref="H619">INDEX('Linha 06'!$C$4:$ZZ$1000,B619,C619)</f>
        <v>0</v>
      </c>
    </row>
    <row r="620" spans="1:8" x14ac:dyDescent="0.25">
      <c r="A620">
        <v>618</v>
      </c>
      <c r="B620">
        <f t="shared" si="18"/>
        <v>17</v>
      </c>
      <c r="C620">
        <f t="shared" si="19"/>
        <v>10</v>
      </c>
      <c r="D620" cm="1">
        <f t="array" ref="D620">INDEX('Linha 06'!$A$4:$A$1000,B620)</f>
        <v>20090004</v>
      </c>
      <c r="E620" t="str" cm="1">
        <f t="array" ref="E620">INDEX('Linha 06'!$B$4:$B$1000,B620)</f>
        <v>Desengordurante Aquafast Squeeze Cx C/12 X 500ml</v>
      </c>
      <c r="F620" cm="1">
        <f t="array" ref="F620">INDEX('Linha 06'!$C$3:$ZZ$3,C620)</f>
        <v>20070001</v>
      </c>
      <c r="G620" t="str" cm="1">
        <f t="array" ref="G620">INDEX('Linha 06'!$C$2:$ZZ$2,C620)</f>
        <v>Limpa Vidros Aquafast Pulverizador Cx/12 X 500ml</v>
      </c>
      <c r="H620" s="5" cm="1">
        <f t="array" ref="H620">INDEX('Linha 06'!$C$4:$ZZ$1000,B620,C620)</f>
        <v>0</v>
      </c>
    </row>
    <row r="621" spans="1:8" x14ac:dyDescent="0.25">
      <c r="A621">
        <v>619</v>
      </c>
      <c r="B621">
        <f t="shared" si="18"/>
        <v>17</v>
      </c>
      <c r="C621">
        <f t="shared" si="19"/>
        <v>11</v>
      </c>
      <c r="D621" cm="1">
        <f t="array" ref="D621">INDEX('Linha 06'!$A$4:$A$1000,B621)</f>
        <v>20090004</v>
      </c>
      <c r="E621" t="str" cm="1">
        <f t="array" ref="E621">INDEX('Linha 06'!$B$4:$B$1000,B621)</f>
        <v>Desengordurante Aquafast Squeeze Cx C/12 X 500ml</v>
      </c>
      <c r="F621" cm="1">
        <f t="array" ref="F621">INDEX('Linha 06'!$C$3:$ZZ$3,C621)</f>
        <v>20070002</v>
      </c>
      <c r="G621" t="str" cm="1">
        <f t="array" ref="G621">INDEX('Linha 06'!$C$2:$ZZ$2,C621)</f>
        <v>Limpa Vidros Aquafast Recarga Cx/12 X 500ml</v>
      </c>
      <c r="H621" s="5" cm="1">
        <f t="array" ref="H621">INDEX('Linha 06'!$C$4:$ZZ$1000,B621,C621)</f>
        <v>0</v>
      </c>
    </row>
    <row r="622" spans="1:8" x14ac:dyDescent="0.25">
      <c r="A622">
        <v>620</v>
      </c>
      <c r="B622">
        <f t="shared" si="18"/>
        <v>17</v>
      </c>
      <c r="C622">
        <f t="shared" si="19"/>
        <v>12</v>
      </c>
      <c r="D622" cm="1">
        <f t="array" ref="D622">INDEX('Linha 06'!$A$4:$A$1000,B622)</f>
        <v>20090004</v>
      </c>
      <c r="E622" t="str" cm="1">
        <f t="array" ref="E622">INDEX('Linha 06'!$B$4:$B$1000,B622)</f>
        <v>Desengordurante Aquafast Squeeze Cx C/12 X 500ml</v>
      </c>
      <c r="F622" cm="1">
        <f t="array" ref="F622">INDEX('Linha 06'!$C$3:$ZZ$3,C622)</f>
        <v>20070006</v>
      </c>
      <c r="G622" t="str" cm="1">
        <f t="array" ref="G622">INDEX('Linha 06'!$C$2:$ZZ$2,C622)</f>
        <v>Limpa Vidros Ito Pulverizador Cx/12 X 500ml</v>
      </c>
      <c r="H622" s="5" cm="1">
        <f t="array" ref="H622">INDEX('Linha 06'!$C$4:$ZZ$1000,B622,C622)</f>
        <v>0</v>
      </c>
    </row>
    <row r="623" spans="1:8" x14ac:dyDescent="0.25">
      <c r="A623">
        <v>621</v>
      </c>
      <c r="B623">
        <f t="shared" si="18"/>
        <v>17</v>
      </c>
      <c r="C623">
        <f t="shared" si="19"/>
        <v>13</v>
      </c>
      <c r="D623" cm="1">
        <f t="array" ref="D623">INDEX('Linha 06'!$A$4:$A$1000,B623)</f>
        <v>20090004</v>
      </c>
      <c r="E623" t="str" cm="1">
        <f t="array" ref="E623">INDEX('Linha 06'!$B$4:$B$1000,B623)</f>
        <v>Desengordurante Aquafast Squeeze Cx C/12 X 500ml</v>
      </c>
      <c r="F623" cm="1">
        <f t="array" ref="F623">INDEX('Linha 06'!$C$3:$ZZ$3,C623)</f>
        <v>20070007</v>
      </c>
      <c r="G623" t="str" cm="1">
        <f t="array" ref="G623">INDEX('Linha 06'!$C$2:$ZZ$2,C623)</f>
        <v>Limpa Vidros Ito Recarga Cx/12 X 500ml</v>
      </c>
      <c r="H623" s="5" cm="1">
        <f t="array" ref="H623">INDEX('Linha 06'!$C$4:$ZZ$1000,B623,C623)</f>
        <v>0</v>
      </c>
    </row>
    <row r="624" spans="1:8" x14ac:dyDescent="0.25">
      <c r="A624">
        <v>622</v>
      </c>
      <c r="B624">
        <f t="shared" si="18"/>
        <v>17</v>
      </c>
      <c r="C624">
        <f t="shared" si="19"/>
        <v>14</v>
      </c>
      <c r="D624" cm="1">
        <f t="array" ref="D624">INDEX('Linha 06'!$A$4:$A$1000,B624)</f>
        <v>20090004</v>
      </c>
      <c r="E624" t="str" cm="1">
        <f t="array" ref="E624">INDEX('Linha 06'!$B$4:$B$1000,B624)</f>
        <v>Desengordurante Aquafast Squeeze Cx C/12 X 500ml</v>
      </c>
      <c r="F624" cm="1">
        <f t="array" ref="F624">INDEX('Linha 06'!$C$3:$ZZ$3,C624)</f>
        <v>20070008</v>
      </c>
      <c r="G624" t="str" cm="1">
        <f t="array" ref="G624">INDEX('Linha 06'!$C$2:$ZZ$2,C624)</f>
        <v>Limpa Vidros Aquafast Squeeze Cx/12 X 500ml</v>
      </c>
      <c r="H624" s="5" cm="1">
        <f t="array" ref="H624">INDEX('Linha 06'!$C$4:$ZZ$1000,B624,C624)</f>
        <v>0</v>
      </c>
    </row>
    <row r="625" spans="1:8" x14ac:dyDescent="0.25">
      <c r="A625">
        <v>623</v>
      </c>
      <c r="B625">
        <f t="shared" si="18"/>
        <v>17</v>
      </c>
      <c r="C625">
        <f t="shared" si="19"/>
        <v>15</v>
      </c>
      <c r="D625" cm="1">
        <f t="array" ref="D625">INDEX('Linha 06'!$A$4:$A$1000,B625)</f>
        <v>20090004</v>
      </c>
      <c r="E625" t="str" cm="1">
        <f t="array" ref="E625">INDEX('Linha 06'!$B$4:$B$1000,B625)</f>
        <v>Desengordurante Aquafast Squeeze Cx C/12 X 500ml</v>
      </c>
      <c r="F625" cm="1">
        <f t="array" ref="F625">INDEX('Linha 06'!$C$3:$ZZ$3,C625)</f>
        <v>20090001</v>
      </c>
      <c r="G625" t="str" cm="1">
        <f t="array" ref="G625">INDEX('Linha 06'!$C$2:$ZZ$2,C625)</f>
        <v>Desengordurante Aquafast Pulverizador Cx/12 X 500ml</v>
      </c>
      <c r="H625" s="5" cm="1">
        <f t="array" ref="H625">INDEX('Linha 06'!$C$4:$ZZ$1000,B625,C625)</f>
        <v>0</v>
      </c>
    </row>
    <row r="626" spans="1:8" x14ac:dyDescent="0.25">
      <c r="A626">
        <v>624</v>
      </c>
      <c r="B626">
        <f t="shared" si="18"/>
        <v>17</v>
      </c>
      <c r="C626">
        <f t="shared" si="19"/>
        <v>16</v>
      </c>
      <c r="D626" cm="1">
        <f t="array" ref="D626">INDEX('Linha 06'!$A$4:$A$1000,B626)</f>
        <v>20090004</v>
      </c>
      <c r="E626" t="str" cm="1">
        <f t="array" ref="E626">INDEX('Linha 06'!$B$4:$B$1000,B626)</f>
        <v>Desengordurante Aquafast Squeeze Cx C/12 X 500ml</v>
      </c>
      <c r="F626" cm="1">
        <f t="array" ref="F626">INDEX('Linha 06'!$C$3:$ZZ$3,C626)</f>
        <v>20090002</v>
      </c>
      <c r="G626" t="str" cm="1">
        <f t="array" ref="G626">INDEX('Linha 06'!$C$2:$ZZ$2,C626)</f>
        <v>Desengordurante Aquafast Recarga Cx/12 X 500ml</v>
      </c>
      <c r="H626" s="5" cm="1">
        <f t="array" ref="H626">INDEX('Linha 06'!$C$4:$ZZ$1000,B626,C626)</f>
        <v>0</v>
      </c>
    </row>
    <row r="627" spans="1:8" x14ac:dyDescent="0.25">
      <c r="A627">
        <v>625</v>
      </c>
      <c r="B627">
        <f t="shared" si="18"/>
        <v>17</v>
      </c>
      <c r="C627">
        <f t="shared" si="19"/>
        <v>17</v>
      </c>
      <c r="D627" cm="1">
        <f t="array" ref="D627">INDEX('Linha 06'!$A$4:$A$1000,B627)</f>
        <v>20090004</v>
      </c>
      <c r="E627" t="str" cm="1">
        <f t="array" ref="E627">INDEX('Linha 06'!$B$4:$B$1000,B627)</f>
        <v>Desengordurante Aquafast Squeeze Cx C/12 X 500ml</v>
      </c>
      <c r="F627" cm="1">
        <f t="array" ref="F627">INDEX('Linha 06'!$C$3:$ZZ$3,C627)</f>
        <v>20090004</v>
      </c>
      <c r="G627" t="str" cm="1">
        <f t="array" ref="G627">INDEX('Linha 06'!$C$2:$ZZ$2,C627)</f>
        <v>Desengordurante Aquafast Squeeze Cx C/12 X 500ml</v>
      </c>
      <c r="H627" s="5" cm="1">
        <f t="array" ref="H627">INDEX('Linha 06'!$C$4:$ZZ$1000,B627,C627)</f>
        <v>0</v>
      </c>
    </row>
    <row r="628" spans="1:8" x14ac:dyDescent="0.25">
      <c r="A628">
        <v>626</v>
      </c>
      <c r="B628">
        <f t="shared" si="18"/>
        <v>17</v>
      </c>
      <c r="C628">
        <f t="shared" si="19"/>
        <v>18</v>
      </c>
      <c r="D628" cm="1">
        <f t="array" ref="D628">INDEX('Linha 06'!$A$4:$A$1000,B628)</f>
        <v>20090004</v>
      </c>
      <c r="E628" t="str" cm="1">
        <f t="array" ref="E628">INDEX('Linha 06'!$B$4:$B$1000,B628)</f>
        <v>Desengordurante Aquafast Squeeze Cx C/12 X 500ml</v>
      </c>
      <c r="F628" cm="1">
        <f t="array" ref="F628">INDEX('Linha 06'!$C$3:$ZZ$3,C628)</f>
        <v>20090005</v>
      </c>
      <c r="G628" t="str" cm="1">
        <f t="array" ref="G628">INDEX('Linha 06'!$C$2:$ZZ$2,C628)</f>
        <v>Desengordurante Aquafast Squeeze Cx C/12 X 1l</v>
      </c>
      <c r="H628" s="5" cm="1">
        <f t="array" ref="H628">INDEX('Linha 06'!$C$4:$ZZ$1000,B628,C628)</f>
        <v>0</v>
      </c>
    </row>
    <row r="629" spans="1:8" x14ac:dyDescent="0.25">
      <c r="A629">
        <v>627</v>
      </c>
      <c r="B629">
        <f t="shared" si="18"/>
        <v>17</v>
      </c>
      <c r="C629">
        <f t="shared" si="19"/>
        <v>19</v>
      </c>
      <c r="D629" cm="1">
        <f t="array" ref="D629">INDEX('Linha 06'!$A$4:$A$1000,B629)</f>
        <v>20090004</v>
      </c>
      <c r="E629" t="str" cm="1">
        <f t="array" ref="E629">INDEX('Linha 06'!$B$4:$B$1000,B629)</f>
        <v>Desengordurante Aquafast Squeeze Cx C/12 X 500ml</v>
      </c>
      <c r="F629" cm="1">
        <f t="array" ref="F629">INDEX('Linha 06'!$C$3:$ZZ$3,C629)</f>
        <v>20090010</v>
      </c>
      <c r="G629" t="str" cm="1">
        <f t="array" ref="G629">INDEX('Linha 06'!$C$2:$ZZ$2,C629)</f>
        <v>Intermed Pack Desengord Squeeze Cx C/18 X 500ml</v>
      </c>
      <c r="H629" s="5" cm="1">
        <f t="array" ref="H629">INDEX('Linha 06'!$C$4:$ZZ$1000,B629,C629)</f>
        <v>0</v>
      </c>
    </row>
    <row r="630" spans="1:8" x14ac:dyDescent="0.25">
      <c r="A630">
        <v>628</v>
      </c>
      <c r="B630">
        <f t="shared" si="18"/>
        <v>17</v>
      </c>
      <c r="C630">
        <f t="shared" si="19"/>
        <v>20</v>
      </c>
      <c r="D630" cm="1">
        <f t="array" ref="D630">INDEX('Linha 06'!$A$4:$A$1000,B630)</f>
        <v>20090004</v>
      </c>
      <c r="E630" t="str" cm="1">
        <f t="array" ref="E630">INDEX('Linha 06'!$B$4:$B$1000,B630)</f>
        <v>Desengordurante Aquafast Squeeze Cx C/12 X 500ml</v>
      </c>
      <c r="F630" cm="1">
        <f t="array" ref="F630">INDEX('Linha 06'!$C$3:$ZZ$3,C630)</f>
        <v>20110002</v>
      </c>
      <c r="G630" t="str" cm="1">
        <f t="array" ref="G630">INDEX('Linha 06'!$C$2:$ZZ$2,C630)</f>
        <v>Multi Uso Aquafast Squeeze Original Cx/12 X 500ml</v>
      </c>
      <c r="H630" s="5" cm="1">
        <f t="array" ref="H630">INDEX('Linha 06'!$C$4:$ZZ$1000,B630,C630)</f>
        <v>0</v>
      </c>
    </row>
    <row r="631" spans="1:8" x14ac:dyDescent="0.25">
      <c r="A631">
        <v>629</v>
      </c>
      <c r="B631">
        <f t="shared" si="18"/>
        <v>17</v>
      </c>
      <c r="C631">
        <f t="shared" si="19"/>
        <v>21</v>
      </c>
      <c r="D631" cm="1">
        <f t="array" ref="D631">INDEX('Linha 06'!$A$4:$A$1000,B631)</f>
        <v>20090004</v>
      </c>
      <c r="E631" t="str" cm="1">
        <f t="array" ref="E631">INDEX('Linha 06'!$B$4:$B$1000,B631)</f>
        <v>Desengordurante Aquafast Squeeze Cx C/12 X 500ml</v>
      </c>
      <c r="F631" cm="1">
        <f t="array" ref="F631">INDEX('Linha 06'!$C$3:$ZZ$3,C631)</f>
        <v>20110004</v>
      </c>
      <c r="G631" t="str" cm="1">
        <f t="array" ref="G631">INDEX('Linha 06'!$C$2:$ZZ$2,C631)</f>
        <v>Multi Uso Aquafast Squeeze Lavanda Cx/12 X 500ml</v>
      </c>
      <c r="H631" s="5" cm="1">
        <f t="array" ref="H631">INDEX('Linha 06'!$C$4:$ZZ$1000,B631,C631)</f>
        <v>0</v>
      </c>
    </row>
    <row r="632" spans="1:8" x14ac:dyDescent="0.25">
      <c r="A632">
        <v>630</v>
      </c>
      <c r="B632">
        <f t="shared" si="18"/>
        <v>17</v>
      </c>
      <c r="C632">
        <f t="shared" si="19"/>
        <v>22</v>
      </c>
      <c r="D632" cm="1">
        <f t="array" ref="D632">INDEX('Linha 06'!$A$4:$A$1000,B632)</f>
        <v>20090004</v>
      </c>
      <c r="E632" t="str" cm="1">
        <f t="array" ref="E632">INDEX('Linha 06'!$B$4:$B$1000,B632)</f>
        <v>Desengordurante Aquafast Squeeze Cx C/12 X 500ml</v>
      </c>
      <c r="F632" cm="1">
        <f t="array" ref="F632">INDEX('Linha 06'!$C$3:$ZZ$3,C632)</f>
        <v>20110007</v>
      </c>
      <c r="G632" t="str" cm="1">
        <f t="array" ref="G632">INDEX('Linha 06'!$C$2:$ZZ$2,C632)</f>
        <v>Multi Uso Aquafast Squeeze Seducao Cx/12 X 500ml</v>
      </c>
      <c r="H632" s="5" cm="1">
        <f t="array" ref="H632">INDEX('Linha 06'!$C$4:$ZZ$1000,B632,C632)</f>
        <v>0</v>
      </c>
    </row>
    <row r="633" spans="1:8" x14ac:dyDescent="0.25">
      <c r="A633">
        <v>631</v>
      </c>
      <c r="B633">
        <f t="shared" si="18"/>
        <v>17</v>
      </c>
      <c r="C633">
        <f t="shared" si="19"/>
        <v>23</v>
      </c>
      <c r="D633" cm="1">
        <f t="array" ref="D633">INDEX('Linha 06'!$A$4:$A$1000,B633)</f>
        <v>20090004</v>
      </c>
      <c r="E633" t="str" cm="1">
        <f t="array" ref="E633">INDEX('Linha 06'!$B$4:$B$1000,B633)</f>
        <v>Desengordurante Aquafast Squeeze Cx C/12 X 500ml</v>
      </c>
      <c r="F633" cm="1">
        <f t="array" ref="F633">INDEX('Linha 06'!$C$3:$ZZ$3,C633)</f>
        <v>20110008</v>
      </c>
      <c r="G633" t="str" cm="1">
        <f t="array" ref="G633">INDEX('Linha 06'!$C$2:$ZZ$2,C633)</f>
        <v>Multi Uso Aquafast Squeeze Original Cx/12 X 1l</v>
      </c>
      <c r="H633" s="5" cm="1">
        <f t="array" ref="H633">INDEX('Linha 06'!$C$4:$ZZ$1000,B633,C633)</f>
        <v>0</v>
      </c>
    </row>
    <row r="634" spans="1:8" x14ac:dyDescent="0.25">
      <c r="A634">
        <v>632</v>
      </c>
      <c r="B634">
        <f t="shared" si="18"/>
        <v>17</v>
      </c>
      <c r="C634">
        <f t="shared" si="19"/>
        <v>24</v>
      </c>
      <c r="D634" cm="1">
        <f t="array" ref="D634">INDEX('Linha 06'!$A$4:$A$1000,B634)</f>
        <v>20090004</v>
      </c>
      <c r="E634" t="str" cm="1">
        <f t="array" ref="E634">INDEX('Linha 06'!$B$4:$B$1000,B634)</f>
        <v>Desengordurante Aquafast Squeeze Cx C/12 X 500ml</v>
      </c>
      <c r="F634" cm="1">
        <f t="array" ref="F634">INDEX('Linha 06'!$C$3:$ZZ$3,C634)</f>
        <v>20110010</v>
      </c>
      <c r="G634" t="str" cm="1">
        <f t="array" ref="G634">INDEX('Linha 06'!$C$2:$ZZ$2,C634)</f>
        <v>Multi Uso Aquafast Squeeze Seducao Cx/12 1l</v>
      </c>
      <c r="H634" s="5" cm="1">
        <f t="array" ref="H634">INDEX('Linha 06'!$C$4:$ZZ$1000,B634,C634)</f>
        <v>0</v>
      </c>
    </row>
    <row r="635" spans="1:8" x14ac:dyDescent="0.25">
      <c r="A635">
        <v>633</v>
      </c>
      <c r="B635">
        <f t="shared" si="18"/>
        <v>17</v>
      </c>
      <c r="C635">
        <f t="shared" si="19"/>
        <v>25</v>
      </c>
      <c r="D635" cm="1">
        <f t="array" ref="D635">INDEX('Linha 06'!$A$4:$A$1000,B635)</f>
        <v>20090004</v>
      </c>
      <c r="E635" t="str" cm="1">
        <f t="array" ref="E635">INDEX('Linha 06'!$B$4:$B$1000,B635)</f>
        <v>Desengordurante Aquafast Squeeze Cx C/12 X 500ml</v>
      </c>
      <c r="F635" cm="1">
        <f t="array" ref="F635">INDEX('Linha 06'!$C$3:$ZZ$3,C635)</f>
        <v>20110013</v>
      </c>
      <c r="G635" t="str" cm="1">
        <f t="array" ref="G635">INDEX('Linha 06'!$C$2:$ZZ$2,C635)</f>
        <v>Multi Uso Aquafast Squeeze Lavanda Cx/12 X 1l</v>
      </c>
      <c r="H635" s="5" cm="1">
        <f t="array" ref="H635">INDEX('Linha 06'!$C$4:$ZZ$1000,B635,C635)</f>
        <v>0</v>
      </c>
    </row>
    <row r="636" spans="1:8" x14ac:dyDescent="0.25">
      <c r="A636">
        <v>634</v>
      </c>
      <c r="B636">
        <f t="shared" si="18"/>
        <v>17</v>
      </c>
      <c r="C636">
        <f t="shared" si="19"/>
        <v>26</v>
      </c>
      <c r="D636" cm="1">
        <f t="array" ref="D636">INDEX('Linha 06'!$A$4:$A$1000,B636)</f>
        <v>20090004</v>
      </c>
      <c r="E636" t="str" cm="1">
        <f t="array" ref="E636">INDEX('Linha 06'!$B$4:$B$1000,B636)</f>
        <v>Desengordurante Aquafast Squeeze Cx C/12 X 500ml</v>
      </c>
      <c r="F636" cm="1">
        <f t="array" ref="F636">INDEX('Linha 06'!$C$3:$ZZ$3,C636)</f>
        <v>20110022</v>
      </c>
      <c r="G636" t="str" cm="1">
        <f t="array" ref="G636">INDEX('Linha 06'!$C$2:$ZZ$2,C636)</f>
        <v>Intermed Pack Multi Uso Lavand C/Alcool Cx/18 X 500ml</v>
      </c>
      <c r="H636" s="5" cm="1">
        <f t="array" ref="H636">INDEX('Linha 06'!$C$4:$ZZ$1000,B636,C636)</f>
        <v>0</v>
      </c>
    </row>
    <row r="637" spans="1:8" x14ac:dyDescent="0.25">
      <c r="A637">
        <v>635</v>
      </c>
      <c r="B637">
        <f t="shared" si="18"/>
        <v>17</v>
      </c>
      <c r="C637">
        <f t="shared" si="19"/>
        <v>27</v>
      </c>
      <c r="D637" cm="1">
        <f t="array" ref="D637">INDEX('Linha 06'!$A$4:$A$1000,B637)</f>
        <v>20090004</v>
      </c>
      <c r="E637" t="str" cm="1">
        <f t="array" ref="E637">INDEX('Linha 06'!$B$4:$B$1000,B637)</f>
        <v>Desengordurante Aquafast Squeeze Cx C/12 X 500ml</v>
      </c>
      <c r="F637" cm="1">
        <f t="array" ref="F637">INDEX('Linha 06'!$C$3:$ZZ$3,C637)</f>
        <v>20110023</v>
      </c>
      <c r="G637" t="str" cm="1">
        <f t="array" ref="G637">INDEX('Linha 06'!$C$2:$ZZ$2,C637)</f>
        <v>Multi Uso Aquafast Squeeze Cha Branco  Cx/12 X 500ml</v>
      </c>
      <c r="H637" s="5" cm="1">
        <f t="array" ref="H637">INDEX('Linha 06'!$C$4:$ZZ$1000,B637,C637)</f>
        <v>0</v>
      </c>
    </row>
    <row r="638" spans="1:8" x14ac:dyDescent="0.25">
      <c r="A638">
        <v>636</v>
      </c>
      <c r="B638">
        <f t="shared" si="18"/>
        <v>17</v>
      </c>
      <c r="C638">
        <f t="shared" si="19"/>
        <v>28</v>
      </c>
      <c r="D638" cm="1">
        <f t="array" ref="D638">INDEX('Linha 06'!$A$4:$A$1000,B638)</f>
        <v>20090004</v>
      </c>
      <c r="E638" t="str" cm="1">
        <f t="array" ref="E638">INDEX('Linha 06'!$B$4:$B$1000,B638)</f>
        <v>Desengordurante Aquafast Squeeze Cx C/12 X 500ml</v>
      </c>
      <c r="F638" cm="1">
        <f t="array" ref="F638">INDEX('Linha 06'!$C$3:$ZZ$3,C638)</f>
        <v>20110024</v>
      </c>
      <c r="G638" t="str" cm="1">
        <f t="array" ref="G638">INDEX('Linha 06'!$C$2:$ZZ$2,C638)</f>
        <v>Multi Uso Aquafast Squeeze Cha Branco Cx12 X 1l</v>
      </c>
      <c r="H638" s="5" cm="1">
        <f t="array" ref="H638">INDEX('Linha 06'!$C$4:$ZZ$1000,B638,C638)</f>
        <v>0</v>
      </c>
    </row>
    <row r="639" spans="1:8" x14ac:dyDescent="0.25">
      <c r="A639">
        <v>637</v>
      </c>
      <c r="B639">
        <f t="shared" si="18"/>
        <v>17</v>
      </c>
      <c r="C639">
        <f t="shared" si="19"/>
        <v>29</v>
      </c>
      <c r="D639" cm="1">
        <f t="array" ref="D639">INDEX('Linha 06'!$A$4:$A$1000,B639)</f>
        <v>20090004</v>
      </c>
      <c r="E639" t="str" cm="1">
        <f t="array" ref="E639">INDEX('Linha 06'!$B$4:$B$1000,B639)</f>
        <v>Desengordurante Aquafast Squeeze Cx C/12 X 500ml</v>
      </c>
      <c r="F639" cm="1">
        <f t="array" ref="F639">INDEX('Linha 06'!$C$3:$ZZ$3,C639)</f>
        <v>20110025</v>
      </c>
      <c r="G639" t="str" cm="1">
        <f t="array" ref="G639">INDEX('Linha 06'!$C$2:$ZZ$2,C639)</f>
        <v>Multi Uso Aquafast Pulverizador Original Cx/12 X 1l</v>
      </c>
      <c r="H639" s="5" cm="1">
        <f t="array" ref="H639">INDEX('Linha 06'!$C$4:$ZZ$1000,B639,C639)</f>
        <v>0</v>
      </c>
    </row>
    <row r="640" spans="1:8" x14ac:dyDescent="0.25">
      <c r="A640">
        <v>638</v>
      </c>
      <c r="B640">
        <f t="shared" si="18"/>
        <v>17</v>
      </c>
      <c r="C640">
        <f t="shared" si="19"/>
        <v>30</v>
      </c>
      <c r="D640" cm="1">
        <f t="array" ref="D640">INDEX('Linha 06'!$A$4:$A$1000,B640)</f>
        <v>20090004</v>
      </c>
      <c r="E640" t="str" cm="1">
        <f t="array" ref="E640">INDEX('Linha 06'!$B$4:$B$1000,B640)</f>
        <v>Desengordurante Aquafast Squeeze Cx C/12 X 500ml</v>
      </c>
      <c r="F640" cm="1">
        <f t="array" ref="F640">INDEX('Linha 06'!$C$3:$ZZ$3,C640)</f>
        <v>20110026</v>
      </c>
      <c r="G640" t="str" cm="1">
        <f t="array" ref="G640">INDEX('Linha 06'!$C$2:$ZZ$2,C640)</f>
        <v>Multi Uso Aquafast Pulverizador Poder O2 Cx/12 X 1l</v>
      </c>
      <c r="H640" s="5" cm="1">
        <f t="array" ref="H640">INDEX('Linha 06'!$C$4:$ZZ$1000,B640,C640)</f>
        <v>0</v>
      </c>
    </row>
    <row r="641" spans="1:8" x14ac:dyDescent="0.25">
      <c r="A641">
        <v>639</v>
      </c>
      <c r="B641">
        <f t="shared" si="18"/>
        <v>17</v>
      </c>
      <c r="C641">
        <f t="shared" si="19"/>
        <v>31</v>
      </c>
      <c r="D641" cm="1">
        <f t="array" ref="D641">INDEX('Linha 06'!$A$4:$A$1000,B641)</f>
        <v>20090004</v>
      </c>
      <c r="E641" t="str" cm="1">
        <f t="array" ref="E641">INDEX('Linha 06'!$B$4:$B$1000,B641)</f>
        <v>Desengordurante Aquafast Squeeze Cx C/12 X 500ml</v>
      </c>
      <c r="F641" cm="1">
        <f t="array" ref="F641">INDEX('Linha 06'!$C$3:$ZZ$3,C641)</f>
        <v>20110027</v>
      </c>
      <c r="G641" t="str" cm="1">
        <f t="array" ref="G641">INDEX('Linha 06'!$C$2:$ZZ$2,C641)</f>
        <v>Multi Uso Aquafast Pulverizador Poder O2 Cx/12 X 500ml</v>
      </c>
      <c r="H641" s="5" cm="1">
        <f t="array" ref="H641">INDEX('Linha 06'!$C$4:$ZZ$1000,B641,C641)</f>
        <v>0</v>
      </c>
    </row>
    <row r="642" spans="1:8" x14ac:dyDescent="0.25">
      <c r="A642">
        <v>640</v>
      </c>
      <c r="B642">
        <f t="shared" si="18"/>
        <v>17</v>
      </c>
      <c r="C642">
        <f t="shared" si="19"/>
        <v>32</v>
      </c>
      <c r="D642" cm="1">
        <f t="array" ref="D642">INDEX('Linha 06'!$A$4:$A$1000,B642)</f>
        <v>20090004</v>
      </c>
      <c r="E642" t="str" cm="1">
        <f t="array" ref="E642">INDEX('Linha 06'!$B$4:$B$1000,B642)</f>
        <v>Desengordurante Aquafast Squeeze Cx C/12 X 500ml</v>
      </c>
      <c r="F642" cm="1">
        <f t="array" ref="F642">INDEX('Linha 06'!$C$3:$ZZ$3,C642)</f>
        <v>20200073</v>
      </c>
      <c r="G642" t="str" cm="1">
        <f t="array" ref="G642">INDEX('Linha 06'!$C$2:$ZZ$2,C642)</f>
        <v>Lava Roupas Aquafast Lavagem Rapida Total Clean Cx/9 X 1,5l</v>
      </c>
      <c r="H642" s="5" cm="1">
        <f t="array" ref="H642">INDEX('Linha 06'!$C$4:$ZZ$1000,B642,C642)</f>
        <v>0</v>
      </c>
    </row>
    <row r="643" spans="1:8" x14ac:dyDescent="0.25">
      <c r="A643">
        <v>641</v>
      </c>
      <c r="B643">
        <f t="shared" si="18"/>
        <v>17</v>
      </c>
      <c r="C643">
        <f t="shared" si="19"/>
        <v>33</v>
      </c>
      <c r="D643" cm="1">
        <f t="array" ref="D643">INDEX('Linha 06'!$A$4:$A$1000,B643)</f>
        <v>20090004</v>
      </c>
      <c r="E643" t="str" cm="1">
        <f t="array" ref="E643">INDEX('Linha 06'!$B$4:$B$1000,B643)</f>
        <v>Desengordurante Aquafast Squeeze Cx C/12 X 500ml</v>
      </c>
      <c r="F643" cm="1">
        <f t="array" ref="F643">INDEX('Linha 06'!$C$3:$ZZ$3,C643)</f>
        <v>20200075</v>
      </c>
      <c r="G643" t="str" cm="1">
        <f t="array" ref="G643">INDEX('Linha 06'!$C$2:$ZZ$2,C643)</f>
        <v>Lava Roupas Aquafast Lavagem Rapida Fresh Clean Cx/9 X 1,5l</v>
      </c>
      <c r="H643" s="5" cm="1">
        <f t="array" ref="H643">INDEX('Linha 06'!$C$4:$ZZ$1000,B643,C643)</f>
        <v>0</v>
      </c>
    </row>
    <row r="644" spans="1:8" x14ac:dyDescent="0.25">
      <c r="A644">
        <v>642</v>
      </c>
      <c r="B644">
        <f t="shared" ref="B644:B707" si="20">INT((A644-1)/$B$1)+1</f>
        <v>17</v>
      </c>
      <c r="C644">
        <f t="shared" ref="C644:C707" si="21">MOD(A644-1,$B$1)+1</f>
        <v>34</v>
      </c>
      <c r="D644" cm="1">
        <f t="array" ref="D644">INDEX('Linha 06'!$A$4:$A$1000,B644)</f>
        <v>20090004</v>
      </c>
      <c r="E644" t="str" cm="1">
        <f t="array" ref="E644">INDEX('Linha 06'!$B$4:$B$1000,B644)</f>
        <v>Desengordurante Aquafast Squeeze Cx C/12 X 500ml</v>
      </c>
      <c r="F644" cm="1">
        <f t="array" ref="F644">INDEX('Linha 06'!$C$3:$ZZ$3,C644)</f>
        <v>20220018</v>
      </c>
      <c r="G644" t="str" cm="1">
        <f t="array" ref="G644">INDEX('Linha 06'!$C$2:$ZZ$2,C644)</f>
        <v>Intermed. Aromat. Amoras E Baunilha Cx C/ 12un 250ml</v>
      </c>
      <c r="H644" s="5" cm="1">
        <f t="array" ref="H644">INDEX('Linha 06'!$C$4:$ZZ$1000,B644,C644)</f>
        <v>0</v>
      </c>
    </row>
    <row r="645" spans="1:8" x14ac:dyDescent="0.25">
      <c r="A645">
        <v>643</v>
      </c>
      <c r="B645">
        <f t="shared" si="20"/>
        <v>17</v>
      </c>
      <c r="C645">
        <f t="shared" si="21"/>
        <v>35</v>
      </c>
      <c r="D645" cm="1">
        <f t="array" ref="D645">INDEX('Linha 06'!$A$4:$A$1000,B645)</f>
        <v>20090004</v>
      </c>
      <c r="E645" t="str" cm="1">
        <f t="array" ref="E645">INDEX('Linha 06'!$B$4:$B$1000,B645)</f>
        <v>Desengordurante Aquafast Squeeze Cx C/12 X 500ml</v>
      </c>
      <c r="F645" cm="1">
        <f t="array" ref="F645">INDEX('Linha 06'!$C$3:$ZZ$3,C645)</f>
        <v>20220019</v>
      </c>
      <c r="G645" t="str" cm="1">
        <f t="array" ref="G645">INDEX('Linha 06'!$C$2:$ZZ$2,C645)</f>
        <v>Intermed. Aromat. Figo E Cedro Cx C/ 12un 250ml</v>
      </c>
      <c r="H645" s="5" cm="1">
        <f t="array" ref="H645">INDEX('Linha 06'!$C$4:$ZZ$1000,B645,C645)</f>
        <v>0</v>
      </c>
    </row>
    <row r="646" spans="1:8" x14ac:dyDescent="0.25">
      <c r="A646">
        <v>644</v>
      </c>
      <c r="B646">
        <f t="shared" si="20"/>
        <v>17</v>
      </c>
      <c r="C646">
        <f t="shared" si="21"/>
        <v>36</v>
      </c>
      <c r="D646" cm="1">
        <f t="array" ref="D646">INDEX('Linha 06'!$A$4:$A$1000,B646)</f>
        <v>20090004</v>
      </c>
      <c r="E646" t="str" cm="1">
        <f t="array" ref="E646">INDEX('Linha 06'!$B$4:$B$1000,B646)</f>
        <v>Desengordurante Aquafast Squeeze Cx C/12 X 500ml</v>
      </c>
      <c r="F646" cm="1">
        <f t="array" ref="F646">INDEX('Linha 06'!$C$3:$ZZ$3,C646)</f>
        <v>20220020</v>
      </c>
      <c r="G646" t="str" cm="1">
        <f t="array" ref="G646">INDEX('Linha 06'!$C$2:$ZZ$2,C646)</f>
        <v>Intermed. Aromat. Rosas E Magnolias Cx C/ 12un 250ml</v>
      </c>
      <c r="H646" s="5" cm="1">
        <f t="array" ref="H646">INDEX('Linha 06'!$C$4:$ZZ$1000,B646,C646)</f>
        <v>0</v>
      </c>
    </row>
    <row r="647" spans="1:8" x14ac:dyDescent="0.25">
      <c r="A647">
        <v>645</v>
      </c>
      <c r="B647">
        <f t="shared" si="20"/>
        <v>17</v>
      </c>
      <c r="C647">
        <f t="shared" si="21"/>
        <v>37</v>
      </c>
      <c r="D647" cm="1">
        <f t="array" ref="D647">INDEX('Linha 06'!$A$4:$A$1000,B647)</f>
        <v>20090004</v>
      </c>
      <c r="E647" t="str" cm="1">
        <f t="array" ref="E647">INDEX('Linha 06'!$B$4:$B$1000,B647)</f>
        <v>Desengordurante Aquafast Squeeze Cx C/12 X 500ml</v>
      </c>
      <c r="F647" cm="1">
        <f t="array" ref="F647">INDEX('Linha 06'!$C$3:$ZZ$3,C647)</f>
        <v>20220021</v>
      </c>
      <c r="G647" t="str" cm="1">
        <f t="array" ref="G647">INDEX('Linha 06'!$C$2:$ZZ$2,C647)</f>
        <v>Intermed. Aromat. Flores Exoticas Cx C/ 12un 250ml</v>
      </c>
      <c r="H647" s="5" cm="1">
        <f t="array" ref="H647">INDEX('Linha 06'!$C$4:$ZZ$1000,B647,C647)</f>
        <v>0</v>
      </c>
    </row>
    <row r="648" spans="1:8" x14ac:dyDescent="0.25">
      <c r="A648">
        <v>646</v>
      </c>
      <c r="B648">
        <f t="shared" si="20"/>
        <v>17</v>
      </c>
      <c r="C648">
        <f t="shared" si="21"/>
        <v>38</v>
      </c>
      <c r="D648" cm="1">
        <f t="array" ref="D648">INDEX('Linha 06'!$A$4:$A$1000,B648)</f>
        <v>20090004</v>
      </c>
      <c r="E648" t="str" cm="1">
        <f t="array" ref="E648">INDEX('Linha 06'!$B$4:$B$1000,B648)</f>
        <v>Desengordurante Aquafast Squeeze Cx C/12 X 500ml</v>
      </c>
      <c r="F648" cm="1">
        <f t="array" ref="F648">INDEX('Linha 06'!$C$3:$ZZ$3,C648)</f>
        <v>20220022</v>
      </c>
      <c r="G648" t="str" cm="1">
        <f t="array" ref="G648">INDEX('Linha 06'!$C$2:$ZZ$2,C648)</f>
        <v>Intermed. Aromat. Cha Verde E Grapef Cx C/ 12un 250ml</v>
      </c>
      <c r="H648" s="5" cm="1">
        <f t="array" ref="H648">INDEX('Linha 06'!$C$4:$ZZ$1000,B648,C648)</f>
        <v>0</v>
      </c>
    </row>
    <row r="649" spans="1:8" x14ac:dyDescent="0.25">
      <c r="A649">
        <v>647</v>
      </c>
      <c r="B649">
        <f t="shared" si="20"/>
        <v>18</v>
      </c>
      <c r="C649">
        <f t="shared" si="21"/>
        <v>1</v>
      </c>
      <c r="D649" cm="1">
        <f t="array" ref="D649">INDEX('Linha 06'!$A$4:$A$1000,B649)</f>
        <v>20090005</v>
      </c>
      <c r="E649" t="str" cm="1">
        <f t="array" ref="E649">INDEX('Linha 06'!$B$4:$B$1000,B649)</f>
        <v>Desengordurante Aquafast Squeeze Cx C/12 X 1l</v>
      </c>
      <c r="F649" cm="1">
        <f t="array" ref="F649">INDEX('Linha 06'!$C$3:$ZZ$3,C649)</f>
        <v>20060001</v>
      </c>
      <c r="G649" t="str" cm="1">
        <f t="array" ref="G649">INDEX('Linha 06'!$C$2:$ZZ$2,C649)</f>
        <v>Limp Perf Aquafast Magia Seducao Cx/12 X 500ml</v>
      </c>
      <c r="H649" s="5" cm="1">
        <f t="array" ref="H649">INDEX('Linha 06'!$C$4:$ZZ$1000,B649,C649)</f>
        <v>0</v>
      </c>
    </row>
    <row r="650" spans="1:8" x14ac:dyDescent="0.25">
      <c r="A650">
        <v>648</v>
      </c>
      <c r="B650">
        <f t="shared" si="20"/>
        <v>18</v>
      </c>
      <c r="C650">
        <f t="shared" si="21"/>
        <v>2</v>
      </c>
      <c r="D650" cm="1">
        <f t="array" ref="D650">INDEX('Linha 06'!$A$4:$A$1000,B650)</f>
        <v>20090005</v>
      </c>
      <c r="E650" t="str" cm="1">
        <f t="array" ref="E650">INDEX('Linha 06'!$B$4:$B$1000,B650)</f>
        <v>Desengordurante Aquafast Squeeze Cx C/12 X 1l</v>
      </c>
      <c r="F650" cm="1">
        <f t="array" ref="F650">INDEX('Linha 06'!$C$3:$ZZ$3,C650)</f>
        <v>20060004</v>
      </c>
      <c r="G650" t="str" cm="1">
        <f t="array" ref="G650">INDEX('Linha 06'!$C$2:$ZZ$2,C650)</f>
        <v>Limp Perf Aquafast Magia Seducao Cx/12 X 1l</v>
      </c>
      <c r="H650" s="5" cm="1">
        <f t="array" ref="H650">INDEX('Linha 06'!$C$4:$ZZ$1000,B650,C650)</f>
        <v>0</v>
      </c>
    </row>
    <row r="651" spans="1:8" x14ac:dyDescent="0.25">
      <c r="A651">
        <v>649</v>
      </c>
      <c r="B651">
        <f t="shared" si="20"/>
        <v>18</v>
      </c>
      <c r="C651">
        <f t="shared" si="21"/>
        <v>3</v>
      </c>
      <c r="D651" cm="1">
        <f t="array" ref="D651">INDEX('Linha 06'!$A$4:$A$1000,B651)</f>
        <v>20090005</v>
      </c>
      <c r="E651" t="str" cm="1">
        <f t="array" ref="E651">INDEX('Linha 06'!$B$4:$B$1000,B651)</f>
        <v>Desengordurante Aquafast Squeeze Cx C/12 X 1l</v>
      </c>
      <c r="F651" cm="1">
        <f t="array" ref="F651">INDEX('Linha 06'!$C$3:$ZZ$3,C651)</f>
        <v>20060010</v>
      </c>
      <c r="G651" t="str" cm="1">
        <f t="array" ref="G651">INDEX('Linha 06'!$C$2:$ZZ$2,C651)</f>
        <v>Limp Perf Aquafast Magia Da Infancia Cx/12 X 500ml</v>
      </c>
      <c r="H651" s="5" cm="1">
        <f t="array" ref="H651">INDEX('Linha 06'!$C$4:$ZZ$1000,B651,C651)</f>
        <v>0</v>
      </c>
    </row>
    <row r="652" spans="1:8" x14ac:dyDescent="0.25">
      <c r="A652">
        <v>650</v>
      </c>
      <c r="B652">
        <f t="shared" si="20"/>
        <v>18</v>
      </c>
      <c r="C652">
        <f t="shared" si="21"/>
        <v>4</v>
      </c>
      <c r="D652" cm="1">
        <f t="array" ref="D652">INDEX('Linha 06'!$A$4:$A$1000,B652)</f>
        <v>20090005</v>
      </c>
      <c r="E652" t="str" cm="1">
        <f t="array" ref="E652">INDEX('Linha 06'!$B$4:$B$1000,B652)</f>
        <v>Desengordurante Aquafast Squeeze Cx C/12 X 1l</v>
      </c>
      <c r="F652" cm="1">
        <f t="array" ref="F652">INDEX('Linha 06'!$C$3:$ZZ$3,C652)</f>
        <v>20060011</v>
      </c>
      <c r="G652" t="str" cm="1">
        <f t="array" ref="G652">INDEX('Linha 06'!$C$2:$ZZ$2,C652)</f>
        <v>Limp Perf Aquafast Frescor Da Manha Cx/12 X 500ml</v>
      </c>
      <c r="H652" s="5" cm="1">
        <f t="array" ref="H652">INDEX('Linha 06'!$C$4:$ZZ$1000,B652,C652)</f>
        <v>0</v>
      </c>
    </row>
    <row r="653" spans="1:8" x14ac:dyDescent="0.25">
      <c r="A653">
        <v>651</v>
      </c>
      <c r="B653">
        <f t="shared" si="20"/>
        <v>18</v>
      </c>
      <c r="C653">
        <f t="shared" si="21"/>
        <v>5</v>
      </c>
      <c r="D653" cm="1">
        <f t="array" ref="D653">INDEX('Linha 06'!$A$4:$A$1000,B653)</f>
        <v>20090005</v>
      </c>
      <c r="E653" t="str" cm="1">
        <f t="array" ref="E653">INDEX('Linha 06'!$B$4:$B$1000,B653)</f>
        <v>Desengordurante Aquafast Squeeze Cx C/12 X 1l</v>
      </c>
      <c r="F653" cm="1">
        <f t="array" ref="F653">INDEX('Linha 06'!$C$3:$ZZ$3,C653)</f>
        <v>20060012</v>
      </c>
      <c r="G653" t="str" cm="1">
        <f t="array" ref="G653">INDEX('Linha 06'!$C$2:$ZZ$2,C653)</f>
        <v>Limp Perf Aquafast Magia Da Infancia Cx/12 X 1l</v>
      </c>
      <c r="H653" s="5" cm="1">
        <f t="array" ref="H653">INDEX('Linha 06'!$C$4:$ZZ$1000,B653,C653)</f>
        <v>0</v>
      </c>
    </row>
    <row r="654" spans="1:8" x14ac:dyDescent="0.25">
      <c r="A654">
        <v>652</v>
      </c>
      <c r="B654">
        <f t="shared" si="20"/>
        <v>18</v>
      </c>
      <c r="C654">
        <f t="shared" si="21"/>
        <v>6</v>
      </c>
      <c r="D654" cm="1">
        <f t="array" ref="D654">INDEX('Linha 06'!$A$4:$A$1000,B654)</f>
        <v>20090005</v>
      </c>
      <c r="E654" t="str" cm="1">
        <f t="array" ref="E654">INDEX('Linha 06'!$B$4:$B$1000,B654)</f>
        <v>Desengordurante Aquafast Squeeze Cx C/12 X 1l</v>
      </c>
      <c r="F654" cm="1">
        <f t="array" ref="F654">INDEX('Linha 06'!$C$3:$ZZ$3,C654)</f>
        <v>20060013</v>
      </c>
      <c r="G654" t="str" cm="1">
        <f t="array" ref="G654">INDEX('Linha 06'!$C$2:$ZZ$2,C654)</f>
        <v>Limp Perf Aquafast Frescor Da Manha Cx/12 X 1l</v>
      </c>
      <c r="H654" s="5" cm="1">
        <f t="array" ref="H654">INDEX('Linha 06'!$C$4:$ZZ$1000,B654,C654)</f>
        <v>0</v>
      </c>
    </row>
    <row r="655" spans="1:8" x14ac:dyDescent="0.25">
      <c r="A655">
        <v>653</v>
      </c>
      <c r="B655">
        <f t="shared" si="20"/>
        <v>18</v>
      </c>
      <c r="C655">
        <f t="shared" si="21"/>
        <v>7</v>
      </c>
      <c r="D655" cm="1">
        <f t="array" ref="D655">INDEX('Linha 06'!$A$4:$A$1000,B655)</f>
        <v>20090005</v>
      </c>
      <c r="E655" t="str" cm="1">
        <f t="array" ref="E655">INDEX('Linha 06'!$B$4:$B$1000,B655)</f>
        <v>Desengordurante Aquafast Squeeze Cx C/12 X 1l</v>
      </c>
      <c r="F655" cm="1">
        <f t="array" ref="F655">INDEX('Linha 06'!$C$3:$ZZ$3,C655)</f>
        <v>20060015</v>
      </c>
      <c r="G655" t="str" cm="1">
        <f t="array" ref="G655">INDEX('Linha 06'!$C$2:$ZZ$2,C655)</f>
        <v>Limp Perf Aquafast Doce Romance Cx/12 X 500ml</v>
      </c>
      <c r="H655" s="5" cm="1">
        <f t="array" ref="H655">INDEX('Linha 06'!$C$4:$ZZ$1000,B655,C655)</f>
        <v>0</v>
      </c>
    </row>
    <row r="656" spans="1:8" x14ac:dyDescent="0.25">
      <c r="A656">
        <v>654</v>
      </c>
      <c r="B656">
        <f t="shared" si="20"/>
        <v>18</v>
      </c>
      <c r="C656">
        <f t="shared" si="21"/>
        <v>8</v>
      </c>
      <c r="D656" cm="1">
        <f t="array" ref="D656">INDEX('Linha 06'!$A$4:$A$1000,B656)</f>
        <v>20090005</v>
      </c>
      <c r="E656" t="str" cm="1">
        <f t="array" ref="E656">INDEX('Linha 06'!$B$4:$B$1000,B656)</f>
        <v>Desengordurante Aquafast Squeeze Cx C/12 X 1l</v>
      </c>
      <c r="F656" cm="1">
        <f t="array" ref="F656">INDEX('Linha 06'!$C$3:$ZZ$3,C656)</f>
        <v>20060016</v>
      </c>
      <c r="G656" t="str" cm="1">
        <f t="array" ref="G656">INDEX('Linha 06'!$C$2:$ZZ$2,C656)</f>
        <v>Limp Perf Aquafast Doce Romance Cx/12 X 1l</v>
      </c>
      <c r="H656" s="5" cm="1">
        <f t="array" ref="H656">INDEX('Linha 06'!$C$4:$ZZ$1000,B656,C656)</f>
        <v>0</v>
      </c>
    </row>
    <row r="657" spans="1:8" x14ac:dyDescent="0.25">
      <c r="A657">
        <v>655</v>
      </c>
      <c r="B657">
        <f t="shared" si="20"/>
        <v>18</v>
      </c>
      <c r="C657">
        <f t="shared" si="21"/>
        <v>9</v>
      </c>
      <c r="D657" cm="1">
        <f t="array" ref="D657">INDEX('Linha 06'!$A$4:$A$1000,B657)</f>
        <v>20090005</v>
      </c>
      <c r="E657" t="str" cm="1">
        <f t="array" ref="E657">INDEX('Linha 06'!$B$4:$B$1000,B657)</f>
        <v>Desengordurante Aquafast Squeeze Cx C/12 X 1l</v>
      </c>
      <c r="F657" cm="1">
        <f t="array" ref="F657">INDEX('Linha 06'!$C$3:$ZZ$3,C657)</f>
        <v>20060027</v>
      </c>
      <c r="G657" t="str" cm="1">
        <f t="array" ref="G657">INDEX('Linha 06'!$C$2:$ZZ$2,C657)</f>
        <v>Limp Perf Aquafast Essencia Natural Cx/12 X 1l</v>
      </c>
      <c r="H657" s="5" cm="1">
        <f t="array" ref="H657">INDEX('Linha 06'!$C$4:$ZZ$1000,B657,C657)</f>
        <v>0</v>
      </c>
    </row>
    <row r="658" spans="1:8" x14ac:dyDescent="0.25">
      <c r="A658">
        <v>656</v>
      </c>
      <c r="B658">
        <f t="shared" si="20"/>
        <v>18</v>
      </c>
      <c r="C658">
        <f t="shared" si="21"/>
        <v>10</v>
      </c>
      <c r="D658" cm="1">
        <f t="array" ref="D658">INDEX('Linha 06'!$A$4:$A$1000,B658)</f>
        <v>20090005</v>
      </c>
      <c r="E658" t="str" cm="1">
        <f t="array" ref="E658">INDEX('Linha 06'!$B$4:$B$1000,B658)</f>
        <v>Desengordurante Aquafast Squeeze Cx C/12 X 1l</v>
      </c>
      <c r="F658" cm="1">
        <f t="array" ref="F658">INDEX('Linha 06'!$C$3:$ZZ$3,C658)</f>
        <v>20070001</v>
      </c>
      <c r="G658" t="str" cm="1">
        <f t="array" ref="G658">INDEX('Linha 06'!$C$2:$ZZ$2,C658)</f>
        <v>Limpa Vidros Aquafast Pulverizador Cx/12 X 500ml</v>
      </c>
      <c r="H658" s="5" cm="1">
        <f t="array" ref="H658">INDEX('Linha 06'!$C$4:$ZZ$1000,B658,C658)</f>
        <v>0</v>
      </c>
    </row>
    <row r="659" spans="1:8" x14ac:dyDescent="0.25">
      <c r="A659">
        <v>657</v>
      </c>
      <c r="B659">
        <f t="shared" si="20"/>
        <v>18</v>
      </c>
      <c r="C659">
        <f t="shared" si="21"/>
        <v>11</v>
      </c>
      <c r="D659" cm="1">
        <f t="array" ref="D659">INDEX('Linha 06'!$A$4:$A$1000,B659)</f>
        <v>20090005</v>
      </c>
      <c r="E659" t="str" cm="1">
        <f t="array" ref="E659">INDEX('Linha 06'!$B$4:$B$1000,B659)</f>
        <v>Desengordurante Aquafast Squeeze Cx C/12 X 1l</v>
      </c>
      <c r="F659" cm="1">
        <f t="array" ref="F659">INDEX('Linha 06'!$C$3:$ZZ$3,C659)</f>
        <v>20070002</v>
      </c>
      <c r="G659" t="str" cm="1">
        <f t="array" ref="G659">INDEX('Linha 06'!$C$2:$ZZ$2,C659)</f>
        <v>Limpa Vidros Aquafast Recarga Cx/12 X 500ml</v>
      </c>
      <c r="H659" s="5" cm="1">
        <f t="array" ref="H659">INDEX('Linha 06'!$C$4:$ZZ$1000,B659,C659)</f>
        <v>0</v>
      </c>
    </row>
    <row r="660" spans="1:8" x14ac:dyDescent="0.25">
      <c r="A660">
        <v>658</v>
      </c>
      <c r="B660">
        <f t="shared" si="20"/>
        <v>18</v>
      </c>
      <c r="C660">
        <f t="shared" si="21"/>
        <v>12</v>
      </c>
      <c r="D660" cm="1">
        <f t="array" ref="D660">INDEX('Linha 06'!$A$4:$A$1000,B660)</f>
        <v>20090005</v>
      </c>
      <c r="E660" t="str" cm="1">
        <f t="array" ref="E660">INDEX('Linha 06'!$B$4:$B$1000,B660)</f>
        <v>Desengordurante Aquafast Squeeze Cx C/12 X 1l</v>
      </c>
      <c r="F660" cm="1">
        <f t="array" ref="F660">INDEX('Linha 06'!$C$3:$ZZ$3,C660)</f>
        <v>20070006</v>
      </c>
      <c r="G660" t="str" cm="1">
        <f t="array" ref="G660">INDEX('Linha 06'!$C$2:$ZZ$2,C660)</f>
        <v>Limpa Vidros Ito Pulverizador Cx/12 X 500ml</v>
      </c>
      <c r="H660" s="5" cm="1">
        <f t="array" ref="H660">INDEX('Linha 06'!$C$4:$ZZ$1000,B660,C660)</f>
        <v>0</v>
      </c>
    </row>
    <row r="661" spans="1:8" x14ac:dyDescent="0.25">
      <c r="A661">
        <v>659</v>
      </c>
      <c r="B661">
        <f t="shared" si="20"/>
        <v>18</v>
      </c>
      <c r="C661">
        <f t="shared" si="21"/>
        <v>13</v>
      </c>
      <c r="D661" cm="1">
        <f t="array" ref="D661">INDEX('Linha 06'!$A$4:$A$1000,B661)</f>
        <v>20090005</v>
      </c>
      <c r="E661" t="str" cm="1">
        <f t="array" ref="E661">INDEX('Linha 06'!$B$4:$B$1000,B661)</f>
        <v>Desengordurante Aquafast Squeeze Cx C/12 X 1l</v>
      </c>
      <c r="F661" cm="1">
        <f t="array" ref="F661">INDEX('Linha 06'!$C$3:$ZZ$3,C661)</f>
        <v>20070007</v>
      </c>
      <c r="G661" t="str" cm="1">
        <f t="array" ref="G661">INDEX('Linha 06'!$C$2:$ZZ$2,C661)</f>
        <v>Limpa Vidros Ito Recarga Cx/12 X 500ml</v>
      </c>
      <c r="H661" s="5" cm="1">
        <f t="array" ref="H661">INDEX('Linha 06'!$C$4:$ZZ$1000,B661,C661)</f>
        <v>0</v>
      </c>
    </row>
    <row r="662" spans="1:8" x14ac:dyDescent="0.25">
      <c r="A662">
        <v>660</v>
      </c>
      <c r="B662">
        <f t="shared" si="20"/>
        <v>18</v>
      </c>
      <c r="C662">
        <f t="shared" si="21"/>
        <v>14</v>
      </c>
      <c r="D662" cm="1">
        <f t="array" ref="D662">INDEX('Linha 06'!$A$4:$A$1000,B662)</f>
        <v>20090005</v>
      </c>
      <c r="E662" t="str" cm="1">
        <f t="array" ref="E662">INDEX('Linha 06'!$B$4:$B$1000,B662)</f>
        <v>Desengordurante Aquafast Squeeze Cx C/12 X 1l</v>
      </c>
      <c r="F662" cm="1">
        <f t="array" ref="F662">INDEX('Linha 06'!$C$3:$ZZ$3,C662)</f>
        <v>20070008</v>
      </c>
      <c r="G662" t="str" cm="1">
        <f t="array" ref="G662">INDEX('Linha 06'!$C$2:$ZZ$2,C662)</f>
        <v>Limpa Vidros Aquafast Squeeze Cx/12 X 500ml</v>
      </c>
      <c r="H662" s="5" cm="1">
        <f t="array" ref="H662">INDEX('Linha 06'!$C$4:$ZZ$1000,B662,C662)</f>
        <v>0</v>
      </c>
    </row>
    <row r="663" spans="1:8" x14ac:dyDescent="0.25">
      <c r="A663">
        <v>661</v>
      </c>
      <c r="B663">
        <f t="shared" si="20"/>
        <v>18</v>
      </c>
      <c r="C663">
        <f t="shared" si="21"/>
        <v>15</v>
      </c>
      <c r="D663" cm="1">
        <f t="array" ref="D663">INDEX('Linha 06'!$A$4:$A$1000,B663)</f>
        <v>20090005</v>
      </c>
      <c r="E663" t="str" cm="1">
        <f t="array" ref="E663">INDEX('Linha 06'!$B$4:$B$1000,B663)</f>
        <v>Desengordurante Aquafast Squeeze Cx C/12 X 1l</v>
      </c>
      <c r="F663" cm="1">
        <f t="array" ref="F663">INDEX('Linha 06'!$C$3:$ZZ$3,C663)</f>
        <v>20090001</v>
      </c>
      <c r="G663" t="str" cm="1">
        <f t="array" ref="G663">INDEX('Linha 06'!$C$2:$ZZ$2,C663)</f>
        <v>Desengordurante Aquafast Pulverizador Cx/12 X 500ml</v>
      </c>
      <c r="H663" s="5" cm="1">
        <f t="array" ref="H663">INDEX('Linha 06'!$C$4:$ZZ$1000,B663,C663)</f>
        <v>0</v>
      </c>
    </row>
    <row r="664" spans="1:8" x14ac:dyDescent="0.25">
      <c r="A664">
        <v>662</v>
      </c>
      <c r="B664">
        <f t="shared" si="20"/>
        <v>18</v>
      </c>
      <c r="C664">
        <f t="shared" si="21"/>
        <v>16</v>
      </c>
      <c r="D664" cm="1">
        <f t="array" ref="D664">INDEX('Linha 06'!$A$4:$A$1000,B664)</f>
        <v>20090005</v>
      </c>
      <c r="E664" t="str" cm="1">
        <f t="array" ref="E664">INDEX('Linha 06'!$B$4:$B$1000,B664)</f>
        <v>Desengordurante Aquafast Squeeze Cx C/12 X 1l</v>
      </c>
      <c r="F664" cm="1">
        <f t="array" ref="F664">INDEX('Linha 06'!$C$3:$ZZ$3,C664)</f>
        <v>20090002</v>
      </c>
      <c r="G664" t="str" cm="1">
        <f t="array" ref="G664">INDEX('Linha 06'!$C$2:$ZZ$2,C664)</f>
        <v>Desengordurante Aquafast Recarga Cx/12 X 500ml</v>
      </c>
      <c r="H664" s="5" cm="1">
        <f t="array" ref="H664">INDEX('Linha 06'!$C$4:$ZZ$1000,B664,C664)</f>
        <v>0</v>
      </c>
    </row>
    <row r="665" spans="1:8" x14ac:dyDescent="0.25">
      <c r="A665">
        <v>663</v>
      </c>
      <c r="B665">
        <f t="shared" si="20"/>
        <v>18</v>
      </c>
      <c r="C665">
        <f t="shared" si="21"/>
        <v>17</v>
      </c>
      <c r="D665" cm="1">
        <f t="array" ref="D665">INDEX('Linha 06'!$A$4:$A$1000,B665)</f>
        <v>20090005</v>
      </c>
      <c r="E665" t="str" cm="1">
        <f t="array" ref="E665">INDEX('Linha 06'!$B$4:$B$1000,B665)</f>
        <v>Desengordurante Aquafast Squeeze Cx C/12 X 1l</v>
      </c>
      <c r="F665" cm="1">
        <f t="array" ref="F665">INDEX('Linha 06'!$C$3:$ZZ$3,C665)</f>
        <v>20090004</v>
      </c>
      <c r="G665" t="str" cm="1">
        <f t="array" ref="G665">INDEX('Linha 06'!$C$2:$ZZ$2,C665)</f>
        <v>Desengordurante Aquafast Squeeze Cx C/12 X 500ml</v>
      </c>
      <c r="H665" s="5" cm="1">
        <f t="array" ref="H665">INDEX('Linha 06'!$C$4:$ZZ$1000,B665,C665)</f>
        <v>0</v>
      </c>
    </row>
    <row r="666" spans="1:8" x14ac:dyDescent="0.25">
      <c r="A666">
        <v>664</v>
      </c>
      <c r="B666">
        <f t="shared" si="20"/>
        <v>18</v>
      </c>
      <c r="C666">
        <f t="shared" si="21"/>
        <v>18</v>
      </c>
      <c r="D666" cm="1">
        <f t="array" ref="D666">INDEX('Linha 06'!$A$4:$A$1000,B666)</f>
        <v>20090005</v>
      </c>
      <c r="E666" t="str" cm="1">
        <f t="array" ref="E666">INDEX('Linha 06'!$B$4:$B$1000,B666)</f>
        <v>Desengordurante Aquafast Squeeze Cx C/12 X 1l</v>
      </c>
      <c r="F666" cm="1">
        <f t="array" ref="F666">INDEX('Linha 06'!$C$3:$ZZ$3,C666)</f>
        <v>20090005</v>
      </c>
      <c r="G666" t="str" cm="1">
        <f t="array" ref="G666">INDEX('Linha 06'!$C$2:$ZZ$2,C666)</f>
        <v>Desengordurante Aquafast Squeeze Cx C/12 X 1l</v>
      </c>
      <c r="H666" s="5" cm="1">
        <f t="array" ref="H666">INDEX('Linha 06'!$C$4:$ZZ$1000,B666,C666)</f>
        <v>0</v>
      </c>
    </row>
    <row r="667" spans="1:8" x14ac:dyDescent="0.25">
      <c r="A667">
        <v>665</v>
      </c>
      <c r="B667">
        <f t="shared" si="20"/>
        <v>18</v>
      </c>
      <c r="C667">
        <f t="shared" si="21"/>
        <v>19</v>
      </c>
      <c r="D667" cm="1">
        <f t="array" ref="D667">INDEX('Linha 06'!$A$4:$A$1000,B667)</f>
        <v>20090005</v>
      </c>
      <c r="E667" t="str" cm="1">
        <f t="array" ref="E667">INDEX('Linha 06'!$B$4:$B$1000,B667)</f>
        <v>Desengordurante Aquafast Squeeze Cx C/12 X 1l</v>
      </c>
      <c r="F667" cm="1">
        <f t="array" ref="F667">INDEX('Linha 06'!$C$3:$ZZ$3,C667)</f>
        <v>20090010</v>
      </c>
      <c r="G667" t="str" cm="1">
        <f t="array" ref="G667">INDEX('Linha 06'!$C$2:$ZZ$2,C667)</f>
        <v>Intermed Pack Desengord Squeeze Cx C/18 X 500ml</v>
      </c>
      <c r="H667" s="5" cm="1">
        <f t="array" ref="H667">INDEX('Linha 06'!$C$4:$ZZ$1000,B667,C667)</f>
        <v>0</v>
      </c>
    </row>
    <row r="668" spans="1:8" x14ac:dyDescent="0.25">
      <c r="A668">
        <v>666</v>
      </c>
      <c r="B668">
        <f t="shared" si="20"/>
        <v>18</v>
      </c>
      <c r="C668">
        <f t="shared" si="21"/>
        <v>20</v>
      </c>
      <c r="D668" cm="1">
        <f t="array" ref="D668">INDEX('Linha 06'!$A$4:$A$1000,B668)</f>
        <v>20090005</v>
      </c>
      <c r="E668" t="str" cm="1">
        <f t="array" ref="E668">INDEX('Linha 06'!$B$4:$B$1000,B668)</f>
        <v>Desengordurante Aquafast Squeeze Cx C/12 X 1l</v>
      </c>
      <c r="F668" cm="1">
        <f t="array" ref="F668">INDEX('Linha 06'!$C$3:$ZZ$3,C668)</f>
        <v>20110002</v>
      </c>
      <c r="G668" t="str" cm="1">
        <f t="array" ref="G668">INDEX('Linha 06'!$C$2:$ZZ$2,C668)</f>
        <v>Multi Uso Aquafast Squeeze Original Cx/12 X 500ml</v>
      </c>
      <c r="H668" s="5" cm="1">
        <f t="array" ref="H668">INDEX('Linha 06'!$C$4:$ZZ$1000,B668,C668)</f>
        <v>0</v>
      </c>
    </row>
    <row r="669" spans="1:8" x14ac:dyDescent="0.25">
      <c r="A669">
        <v>667</v>
      </c>
      <c r="B669">
        <f t="shared" si="20"/>
        <v>18</v>
      </c>
      <c r="C669">
        <f t="shared" si="21"/>
        <v>21</v>
      </c>
      <c r="D669" cm="1">
        <f t="array" ref="D669">INDEX('Linha 06'!$A$4:$A$1000,B669)</f>
        <v>20090005</v>
      </c>
      <c r="E669" t="str" cm="1">
        <f t="array" ref="E669">INDEX('Linha 06'!$B$4:$B$1000,B669)</f>
        <v>Desengordurante Aquafast Squeeze Cx C/12 X 1l</v>
      </c>
      <c r="F669" cm="1">
        <f t="array" ref="F669">INDEX('Linha 06'!$C$3:$ZZ$3,C669)</f>
        <v>20110004</v>
      </c>
      <c r="G669" t="str" cm="1">
        <f t="array" ref="G669">INDEX('Linha 06'!$C$2:$ZZ$2,C669)</f>
        <v>Multi Uso Aquafast Squeeze Lavanda Cx/12 X 500ml</v>
      </c>
      <c r="H669" s="5" cm="1">
        <f t="array" ref="H669">INDEX('Linha 06'!$C$4:$ZZ$1000,B669,C669)</f>
        <v>0</v>
      </c>
    </row>
    <row r="670" spans="1:8" x14ac:dyDescent="0.25">
      <c r="A670">
        <v>668</v>
      </c>
      <c r="B670">
        <f t="shared" si="20"/>
        <v>18</v>
      </c>
      <c r="C670">
        <f t="shared" si="21"/>
        <v>22</v>
      </c>
      <c r="D670" cm="1">
        <f t="array" ref="D670">INDEX('Linha 06'!$A$4:$A$1000,B670)</f>
        <v>20090005</v>
      </c>
      <c r="E670" t="str" cm="1">
        <f t="array" ref="E670">INDEX('Linha 06'!$B$4:$B$1000,B670)</f>
        <v>Desengordurante Aquafast Squeeze Cx C/12 X 1l</v>
      </c>
      <c r="F670" cm="1">
        <f t="array" ref="F670">INDEX('Linha 06'!$C$3:$ZZ$3,C670)</f>
        <v>20110007</v>
      </c>
      <c r="G670" t="str" cm="1">
        <f t="array" ref="G670">INDEX('Linha 06'!$C$2:$ZZ$2,C670)</f>
        <v>Multi Uso Aquafast Squeeze Seducao Cx/12 X 500ml</v>
      </c>
      <c r="H670" s="5" cm="1">
        <f t="array" ref="H670">INDEX('Linha 06'!$C$4:$ZZ$1000,B670,C670)</f>
        <v>0</v>
      </c>
    </row>
    <row r="671" spans="1:8" x14ac:dyDescent="0.25">
      <c r="A671">
        <v>669</v>
      </c>
      <c r="B671">
        <f t="shared" si="20"/>
        <v>18</v>
      </c>
      <c r="C671">
        <f t="shared" si="21"/>
        <v>23</v>
      </c>
      <c r="D671" cm="1">
        <f t="array" ref="D671">INDEX('Linha 06'!$A$4:$A$1000,B671)</f>
        <v>20090005</v>
      </c>
      <c r="E671" t="str" cm="1">
        <f t="array" ref="E671">INDEX('Linha 06'!$B$4:$B$1000,B671)</f>
        <v>Desengordurante Aquafast Squeeze Cx C/12 X 1l</v>
      </c>
      <c r="F671" cm="1">
        <f t="array" ref="F671">INDEX('Linha 06'!$C$3:$ZZ$3,C671)</f>
        <v>20110008</v>
      </c>
      <c r="G671" t="str" cm="1">
        <f t="array" ref="G671">INDEX('Linha 06'!$C$2:$ZZ$2,C671)</f>
        <v>Multi Uso Aquafast Squeeze Original Cx/12 X 1l</v>
      </c>
      <c r="H671" s="5" cm="1">
        <f t="array" ref="H671">INDEX('Linha 06'!$C$4:$ZZ$1000,B671,C671)</f>
        <v>0</v>
      </c>
    </row>
    <row r="672" spans="1:8" x14ac:dyDescent="0.25">
      <c r="A672">
        <v>670</v>
      </c>
      <c r="B672">
        <f t="shared" si="20"/>
        <v>18</v>
      </c>
      <c r="C672">
        <f t="shared" si="21"/>
        <v>24</v>
      </c>
      <c r="D672" cm="1">
        <f t="array" ref="D672">INDEX('Linha 06'!$A$4:$A$1000,B672)</f>
        <v>20090005</v>
      </c>
      <c r="E672" t="str" cm="1">
        <f t="array" ref="E672">INDEX('Linha 06'!$B$4:$B$1000,B672)</f>
        <v>Desengordurante Aquafast Squeeze Cx C/12 X 1l</v>
      </c>
      <c r="F672" cm="1">
        <f t="array" ref="F672">INDEX('Linha 06'!$C$3:$ZZ$3,C672)</f>
        <v>20110010</v>
      </c>
      <c r="G672" t="str" cm="1">
        <f t="array" ref="G672">INDEX('Linha 06'!$C$2:$ZZ$2,C672)</f>
        <v>Multi Uso Aquafast Squeeze Seducao Cx/12 1l</v>
      </c>
      <c r="H672" s="5" cm="1">
        <f t="array" ref="H672">INDEX('Linha 06'!$C$4:$ZZ$1000,B672,C672)</f>
        <v>0</v>
      </c>
    </row>
    <row r="673" spans="1:8" x14ac:dyDescent="0.25">
      <c r="A673">
        <v>671</v>
      </c>
      <c r="B673">
        <f t="shared" si="20"/>
        <v>18</v>
      </c>
      <c r="C673">
        <f t="shared" si="21"/>
        <v>25</v>
      </c>
      <c r="D673" cm="1">
        <f t="array" ref="D673">INDEX('Linha 06'!$A$4:$A$1000,B673)</f>
        <v>20090005</v>
      </c>
      <c r="E673" t="str" cm="1">
        <f t="array" ref="E673">INDEX('Linha 06'!$B$4:$B$1000,B673)</f>
        <v>Desengordurante Aquafast Squeeze Cx C/12 X 1l</v>
      </c>
      <c r="F673" cm="1">
        <f t="array" ref="F673">INDEX('Linha 06'!$C$3:$ZZ$3,C673)</f>
        <v>20110013</v>
      </c>
      <c r="G673" t="str" cm="1">
        <f t="array" ref="G673">INDEX('Linha 06'!$C$2:$ZZ$2,C673)</f>
        <v>Multi Uso Aquafast Squeeze Lavanda Cx/12 X 1l</v>
      </c>
      <c r="H673" s="5" cm="1">
        <f t="array" ref="H673">INDEX('Linha 06'!$C$4:$ZZ$1000,B673,C673)</f>
        <v>0</v>
      </c>
    </row>
    <row r="674" spans="1:8" x14ac:dyDescent="0.25">
      <c r="A674">
        <v>672</v>
      </c>
      <c r="B674">
        <f t="shared" si="20"/>
        <v>18</v>
      </c>
      <c r="C674">
        <f t="shared" si="21"/>
        <v>26</v>
      </c>
      <c r="D674" cm="1">
        <f t="array" ref="D674">INDEX('Linha 06'!$A$4:$A$1000,B674)</f>
        <v>20090005</v>
      </c>
      <c r="E674" t="str" cm="1">
        <f t="array" ref="E674">INDEX('Linha 06'!$B$4:$B$1000,B674)</f>
        <v>Desengordurante Aquafast Squeeze Cx C/12 X 1l</v>
      </c>
      <c r="F674" cm="1">
        <f t="array" ref="F674">INDEX('Linha 06'!$C$3:$ZZ$3,C674)</f>
        <v>20110022</v>
      </c>
      <c r="G674" t="str" cm="1">
        <f t="array" ref="G674">INDEX('Linha 06'!$C$2:$ZZ$2,C674)</f>
        <v>Intermed Pack Multi Uso Lavand C/Alcool Cx/18 X 500ml</v>
      </c>
      <c r="H674" s="5" cm="1">
        <f t="array" ref="H674">INDEX('Linha 06'!$C$4:$ZZ$1000,B674,C674)</f>
        <v>0</v>
      </c>
    </row>
    <row r="675" spans="1:8" x14ac:dyDescent="0.25">
      <c r="A675">
        <v>673</v>
      </c>
      <c r="B675">
        <f t="shared" si="20"/>
        <v>18</v>
      </c>
      <c r="C675">
        <f t="shared" si="21"/>
        <v>27</v>
      </c>
      <c r="D675" cm="1">
        <f t="array" ref="D675">INDEX('Linha 06'!$A$4:$A$1000,B675)</f>
        <v>20090005</v>
      </c>
      <c r="E675" t="str" cm="1">
        <f t="array" ref="E675">INDEX('Linha 06'!$B$4:$B$1000,B675)</f>
        <v>Desengordurante Aquafast Squeeze Cx C/12 X 1l</v>
      </c>
      <c r="F675" cm="1">
        <f t="array" ref="F675">INDEX('Linha 06'!$C$3:$ZZ$3,C675)</f>
        <v>20110023</v>
      </c>
      <c r="G675" t="str" cm="1">
        <f t="array" ref="G675">INDEX('Linha 06'!$C$2:$ZZ$2,C675)</f>
        <v>Multi Uso Aquafast Squeeze Cha Branco  Cx/12 X 500ml</v>
      </c>
      <c r="H675" s="5" cm="1">
        <f t="array" ref="H675">INDEX('Linha 06'!$C$4:$ZZ$1000,B675,C675)</f>
        <v>0</v>
      </c>
    </row>
    <row r="676" spans="1:8" x14ac:dyDescent="0.25">
      <c r="A676">
        <v>674</v>
      </c>
      <c r="B676">
        <f t="shared" si="20"/>
        <v>18</v>
      </c>
      <c r="C676">
        <f t="shared" si="21"/>
        <v>28</v>
      </c>
      <c r="D676" cm="1">
        <f t="array" ref="D676">INDEX('Linha 06'!$A$4:$A$1000,B676)</f>
        <v>20090005</v>
      </c>
      <c r="E676" t="str" cm="1">
        <f t="array" ref="E676">INDEX('Linha 06'!$B$4:$B$1000,B676)</f>
        <v>Desengordurante Aquafast Squeeze Cx C/12 X 1l</v>
      </c>
      <c r="F676" cm="1">
        <f t="array" ref="F676">INDEX('Linha 06'!$C$3:$ZZ$3,C676)</f>
        <v>20110024</v>
      </c>
      <c r="G676" t="str" cm="1">
        <f t="array" ref="G676">INDEX('Linha 06'!$C$2:$ZZ$2,C676)</f>
        <v>Multi Uso Aquafast Squeeze Cha Branco Cx12 X 1l</v>
      </c>
      <c r="H676" s="5" cm="1">
        <f t="array" ref="H676">INDEX('Linha 06'!$C$4:$ZZ$1000,B676,C676)</f>
        <v>0</v>
      </c>
    </row>
    <row r="677" spans="1:8" x14ac:dyDescent="0.25">
      <c r="A677">
        <v>675</v>
      </c>
      <c r="B677">
        <f t="shared" si="20"/>
        <v>18</v>
      </c>
      <c r="C677">
        <f t="shared" si="21"/>
        <v>29</v>
      </c>
      <c r="D677" cm="1">
        <f t="array" ref="D677">INDEX('Linha 06'!$A$4:$A$1000,B677)</f>
        <v>20090005</v>
      </c>
      <c r="E677" t="str" cm="1">
        <f t="array" ref="E677">INDEX('Linha 06'!$B$4:$B$1000,B677)</f>
        <v>Desengordurante Aquafast Squeeze Cx C/12 X 1l</v>
      </c>
      <c r="F677" cm="1">
        <f t="array" ref="F677">INDEX('Linha 06'!$C$3:$ZZ$3,C677)</f>
        <v>20110025</v>
      </c>
      <c r="G677" t="str" cm="1">
        <f t="array" ref="G677">INDEX('Linha 06'!$C$2:$ZZ$2,C677)</f>
        <v>Multi Uso Aquafast Pulverizador Original Cx/12 X 1l</v>
      </c>
      <c r="H677" s="5" cm="1">
        <f t="array" ref="H677">INDEX('Linha 06'!$C$4:$ZZ$1000,B677,C677)</f>
        <v>0</v>
      </c>
    </row>
    <row r="678" spans="1:8" x14ac:dyDescent="0.25">
      <c r="A678">
        <v>676</v>
      </c>
      <c r="B678">
        <f t="shared" si="20"/>
        <v>18</v>
      </c>
      <c r="C678">
        <f t="shared" si="21"/>
        <v>30</v>
      </c>
      <c r="D678" cm="1">
        <f t="array" ref="D678">INDEX('Linha 06'!$A$4:$A$1000,B678)</f>
        <v>20090005</v>
      </c>
      <c r="E678" t="str" cm="1">
        <f t="array" ref="E678">INDEX('Linha 06'!$B$4:$B$1000,B678)</f>
        <v>Desengordurante Aquafast Squeeze Cx C/12 X 1l</v>
      </c>
      <c r="F678" cm="1">
        <f t="array" ref="F678">INDEX('Linha 06'!$C$3:$ZZ$3,C678)</f>
        <v>20110026</v>
      </c>
      <c r="G678" t="str" cm="1">
        <f t="array" ref="G678">INDEX('Linha 06'!$C$2:$ZZ$2,C678)</f>
        <v>Multi Uso Aquafast Pulverizador Poder O2 Cx/12 X 1l</v>
      </c>
      <c r="H678" s="5" cm="1">
        <f t="array" ref="H678">INDEX('Linha 06'!$C$4:$ZZ$1000,B678,C678)</f>
        <v>0</v>
      </c>
    </row>
    <row r="679" spans="1:8" x14ac:dyDescent="0.25">
      <c r="A679">
        <v>677</v>
      </c>
      <c r="B679">
        <f t="shared" si="20"/>
        <v>18</v>
      </c>
      <c r="C679">
        <f t="shared" si="21"/>
        <v>31</v>
      </c>
      <c r="D679" cm="1">
        <f t="array" ref="D679">INDEX('Linha 06'!$A$4:$A$1000,B679)</f>
        <v>20090005</v>
      </c>
      <c r="E679" t="str" cm="1">
        <f t="array" ref="E679">INDEX('Linha 06'!$B$4:$B$1000,B679)</f>
        <v>Desengordurante Aquafast Squeeze Cx C/12 X 1l</v>
      </c>
      <c r="F679" cm="1">
        <f t="array" ref="F679">INDEX('Linha 06'!$C$3:$ZZ$3,C679)</f>
        <v>20110027</v>
      </c>
      <c r="G679" t="str" cm="1">
        <f t="array" ref="G679">INDEX('Linha 06'!$C$2:$ZZ$2,C679)</f>
        <v>Multi Uso Aquafast Pulverizador Poder O2 Cx/12 X 500ml</v>
      </c>
      <c r="H679" s="5" cm="1">
        <f t="array" ref="H679">INDEX('Linha 06'!$C$4:$ZZ$1000,B679,C679)</f>
        <v>0</v>
      </c>
    </row>
    <row r="680" spans="1:8" x14ac:dyDescent="0.25">
      <c r="A680">
        <v>678</v>
      </c>
      <c r="B680">
        <f t="shared" si="20"/>
        <v>18</v>
      </c>
      <c r="C680">
        <f t="shared" si="21"/>
        <v>32</v>
      </c>
      <c r="D680" cm="1">
        <f t="array" ref="D680">INDEX('Linha 06'!$A$4:$A$1000,B680)</f>
        <v>20090005</v>
      </c>
      <c r="E680" t="str" cm="1">
        <f t="array" ref="E680">INDEX('Linha 06'!$B$4:$B$1000,B680)</f>
        <v>Desengordurante Aquafast Squeeze Cx C/12 X 1l</v>
      </c>
      <c r="F680" cm="1">
        <f t="array" ref="F680">INDEX('Linha 06'!$C$3:$ZZ$3,C680)</f>
        <v>20200073</v>
      </c>
      <c r="G680" t="str" cm="1">
        <f t="array" ref="G680">INDEX('Linha 06'!$C$2:$ZZ$2,C680)</f>
        <v>Lava Roupas Aquafast Lavagem Rapida Total Clean Cx/9 X 1,5l</v>
      </c>
      <c r="H680" s="5" cm="1">
        <f t="array" ref="H680">INDEX('Linha 06'!$C$4:$ZZ$1000,B680,C680)</f>
        <v>0</v>
      </c>
    </row>
    <row r="681" spans="1:8" x14ac:dyDescent="0.25">
      <c r="A681">
        <v>679</v>
      </c>
      <c r="B681">
        <f t="shared" si="20"/>
        <v>18</v>
      </c>
      <c r="C681">
        <f t="shared" si="21"/>
        <v>33</v>
      </c>
      <c r="D681" cm="1">
        <f t="array" ref="D681">INDEX('Linha 06'!$A$4:$A$1000,B681)</f>
        <v>20090005</v>
      </c>
      <c r="E681" t="str" cm="1">
        <f t="array" ref="E681">INDEX('Linha 06'!$B$4:$B$1000,B681)</f>
        <v>Desengordurante Aquafast Squeeze Cx C/12 X 1l</v>
      </c>
      <c r="F681" cm="1">
        <f t="array" ref="F681">INDEX('Linha 06'!$C$3:$ZZ$3,C681)</f>
        <v>20200075</v>
      </c>
      <c r="G681" t="str" cm="1">
        <f t="array" ref="G681">INDEX('Linha 06'!$C$2:$ZZ$2,C681)</f>
        <v>Lava Roupas Aquafast Lavagem Rapida Fresh Clean Cx/9 X 1,5l</v>
      </c>
      <c r="H681" s="5" cm="1">
        <f t="array" ref="H681">INDEX('Linha 06'!$C$4:$ZZ$1000,B681,C681)</f>
        <v>0</v>
      </c>
    </row>
    <row r="682" spans="1:8" x14ac:dyDescent="0.25">
      <c r="A682">
        <v>680</v>
      </c>
      <c r="B682">
        <f t="shared" si="20"/>
        <v>18</v>
      </c>
      <c r="C682">
        <f t="shared" si="21"/>
        <v>34</v>
      </c>
      <c r="D682" cm="1">
        <f t="array" ref="D682">INDEX('Linha 06'!$A$4:$A$1000,B682)</f>
        <v>20090005</v>
      </c>
      <c r="E682" t="str" cm="1">
        <f t="array" ref="E682">INDEX('Linha 06'!$B$4:$B$1000,B682)</f>
        <v>Desengordurante Aquafast Squeeze Cx C/12 X 1l</v>
      </c>
      <c r="F682" cm="1">
        <f t="array" ref="F682">INDEX('Linha 06'!$C$3:$ZZ$3,C682)</f>
        <v>20220018</v>
      </c>
      <c r="G682" t="str" cm="1">
        <f t="array" ref="G682">INDEX('Linha 06'!$C$2:$ZZ$2,C682)</f>
        <v>Intermed. Aromat. Amoras E Baunilha Cx C/ 12un 250ml</v>
      </c>
      <c r="H682" s="5" cm="1">
        <f t="array" ref="H682">INDEX('Linha 06'!$C$4:$ZZ$1000,B682,C682)</f>
        <v>0</v>
      </c>
    </row>
    <row r="683" spans="1:8" x14ac:dyDescent="0.25">
      <c r="A683">
        <v>681</v>
      </c>
      <c r="B683">
        <f t="shared" si="20"/>
        <v>18</v>
      </c>
      <c r="C683">
        <f t="shared" si="21"/>
        <v>35</v>
      </c>
      <c r="D683" cm="1">
        <f t="array" ref="D683">INDEX('Linha 06'!$A$4:$A$1000,B683)</f>
        <v>20090005</v>
      </c>
      <c r="E683" t="str" cm="1">
        <f t="array" ref="E683">INDEX('Linha 06'!$B$4:$B$1000,B683)</f>
        <v>Desengordurante Aquafast Squeeze Cx C/12 X 1l</v>
      </c>
      <c r="F683" cm="1">
        <f t="array" ref="F683">INDEX('Linha 06'!$C$3:$ZZ$3,C683)</f>
        <v>20220019</v>
      </c>
      <c r="G683" t="str" cm="1">
        <f t="array" ref="G683">INDEX('Linha 06'!$C$2:$ZZ$2,C683)</f>
        <v>Intermed. Aromat. Figo E Cedro Cx C/ 12un 250ml</v>
      </c>
      <c r="H683" s="5" cm="1">
        <f t="array" ref="H683">INDEX('Linha 06'!$C$4:$ZZ$1000,B683,C683)</f>
        <v>0</v>
      </c>
    </row>
    <row r="684" spans="1:8" x14ac:dyDescent="0.25">
      <c r="A684">
        <v>682</v>
      </c>
      <c r="B684">
        <f t="shared" si="20"/>
        <v>18</v>
      </c>
      <c r="C684">
        <f t="shared" si="21"/>
        <v>36</v>
      </c>
      <c r="D684" cm="1">
        <f t="array" ref="D684">INDEX('Linha 06'!$A$4:$A$1000,B684)</f>
        <v>20090005</v>
      </c>
      <c r="E684" t="str" cm="1">
        <f t="array" ref="E684">INDEX('Linha 06'!$B$4:$B$1000,B684)</f>
        <v>Desengordurante Aquafast Squeeze Cx C/12 X 1l</v>
      </c>
      <c r="F684" cm="1">
        <f t="array" ref="F684">INDEX('Linha 06'!$C$3:$ZZ$3,C684)</f>
        <v>20220020</v>
      </c>
      <c r="G684" t="str" cm="1">
        <f t="array" ref="G684">INDEX('Linha 06'!$C$2:$ZZ$2,C684)</f>
        <v>Intermed. Aromat. Rosas E Magnolias Cx C/ 12un 250ml</v>
      </c>
      <c r="H684" s="5" cm="1">
        <f t="array" ref="H684">INDEX('Linha 06'!$C$4:$ZZ$1000,B684,C684)</f>
        <v>0</v>
      </c>
    </row>
    <row r="685" spans="1:8" x14ac:dyDescent="0.25">
      <c r="A685">
        <v>683</v>
      </c>
      <c r="B685">
        <f t="shared" si="20"/>
        <v>18</v>
      </c>
      <c r="C685">
        <f t="shared" si="21"/>
        <v>37</v>
      </c>
      <c r="D685" cm="1">
        <f t="array" ref="D685">INDEX('Linha 06'!$A$4:$A$1000,B685)</f>
        <v>20090005</v>
      </c>
      <c r="E685" t="str" cm="1">
        <f t="array" ref="E685">INDEX('Linha 06'!$B$4:$B$1000,B685)</f>
        <v>Desengordurante Aquafast Squeeze Cx C/12 X 1l</v>
      </c>
      <c r="F685" cm="1">
        <f t="array" ref="F685">INDEX('Linha 06'!$C$3:$ZZ$3,C685)</f>
        <v>20220021</v>
      </c>
      <c r="G685" t="str" cm="1">
        <f t="array" ref="G685">INDEX('Linha 06'!$C$2:$ZZ$2,C685)</f>
        <v>Intermed. Aromat. Flores Exoticas Cx C/ 12un 250ml</v>
      </c>
      <c r="H685" s="5" cm="1">
        <f t="array" ref="H685">INDEX('Linha 06'!$C$4:$ZZ$1000,B685,C685)</f>
        <v>0</v>
      </c>
    </row>
    <row r="686" spans="1:8" x14ac:dyDescent="0.25">
      <c r="A686">
        <v>684</v>
      </c>
      <c r="B686">
        <f t="shared" si="20"/>
        <v>18</v>
      </c>
      <c r="C686">
        <f t="shared" si="21"/>
        <v>38</v>
      </c>
      <c r="D686" cm="1">
        <f t="array" ref="D686">INDEX('Linha 06'!$A$4:$A$1000,B686)</f>
        <v>20090005</v>
      </c>
      <c r="E686" t="str" cm="1">
        <f t="array" ref="E686">INDEX('Linha 06'!$B$4:$B$1000,B686)</f>
        <v>Desengordurante Aquafast Squeeze Cx C/12 X 1l</v>
      </c>
      <c r="F686" cm="1">
        <f t="array" ref="F686">INDEX('Linha 06'!$C$3:$ZZ$3,C686)</f>
        <v>20220022</v>
      </c>
      <c r="G686" t="str" cm="1">
        <f t="array" ref="G686">INDEX('Linha 06'!$C$2:$ZZ$2,C686)</f>
        <v>Intermed. Aromat. Cha Verde E Grapef Cx C/ 12un 250ml</v>
      </c>
      <c r="H686" s="5" cm="1">
        <f t="array" ref="H686">INDEX('Linha 06'!$C$4:$ZZ$1000,B686,C686)</f>
        <v>0</v>
      </c>
    </row>
    <row r="687" spans="1:8" x14ac:dyDescent="0.25">
      <c r="A687">
        <v>685</v>
      </c>
      <c r="B687">
        <f t="shared" si="20"/>
        <v>19</v>
      </c>
      <c r="C687">
        <f t="shared" si="21"/>
        <v>1</v>
      </c>
      <c r="D687" cm="1">
        <f t="array" ref="D687">INDEX('Linha 06'!$A$4:$A$1000,B687)</f>
        <v>20090010</v>
      </c>
      <c r="E687" t="str" cm="1">
        <f t="array" ref="E687">INDEX('Linha 06'!$B$4:$B$1000,B687)</f>
        <v>Intermed Pack Desengord Squeeze Cx C/18 X 500ml</v>
      </c>
      <c r="F687" cm="1">
        <f t="array" ref="F687">INDEX('Linha 06'!$C$3:$ZZ$3,C687)</f>
        <v>20060001</v>
      </c>
      <c r="G687" t="str" cm="1">
        <f t="array" ref="G687">INDEX('Linha 06'!$C$2:$ZZ$2,C687)</f>
        <v>Limp Perf Aquafast Magia Seducao Cx/12 X 500ml</v>
      </c>
      <c r="H687" s="5" cm="1">
        <f t="array" ref="H687">INDEX('Linha 06'!$C$4:$ZZ$1000,B687,C687)</f>
        <v>0</v>
      </c>
    </row>
    <row r="688" spans="1:8" x14ac:dyDescent="0.25">
      <c r="A688">
        <v>686</v>
      </c>
      <c r="B688">
        <f t="shared" si="20"/>
        <v>19</v>
      </c>
      <c r="C688">
        <f t="shared" si="21"/>
        <v>2</v>
      </c>
      <c r="D688" cm="1">
        <f t="array" ref="D688">INDEX('Linha 06'!$A$4:$A$1000,B688)</f>
        <v>20090010</v>
      </c>
      <c r="E688" t="str" cm="1">
        <f t="array" ref="E688">INDEX('Linha 06'!$B$4:$B$1000,B688)</f>
        <v>Intermed Pack Desengord Squeeze Cx C/18 X 500ml</v>
      </c>
      <c r="F688" cm="1">
        <f t="array" ref="F688">INDEX('Linha 06'!$C$3:$ZZ$3,C688)</f>
        <v>20060004</v>
      </c>
      <c r="G688" t="str" cm="1">
        <f t="array" ref="G688">INDEX('Linha 06'!$C$2:$ZZ$2,C688)</f>
        <v>Limp Perf Aquafast Magia Seducao Cx/12 X 1l</v>
      </c>
      <c r="H688" s="5" cm="1">
        <f t="array" ref="H688">INDEX('Linha 06'!$C$4:$ZZ$1000,B688,C688)</f>
        <v>0</v>
      </c>
    </row>
    <row r="689" spans="1:8" x14ac:dyDescent="0.25">
      <c r="A689">
        <v>687</v>
      </c>
      <c r="B689">
        <f t="shared" si="20"/>
        <v>19</v>
      </c>
      <c r="C689">
        <f t="shared" si="21"/>
        <v>3</v>
      </c>
      <c r="D689" cm="1">
        <f t="array" ref="D689">INDEX('Linha 06'!$A$4:$A$1000,B689)</f>
        <v>20090010</v>
      </c>
      <c r="E689" t="str" cm="1">
        <f t="array" ref="E689">INDEX('Linha 06'!$B$4:$B$1000,B689)</f>
        <v>Intermed Pack Desengord Squeeze Cx C/18 X 500ml</v>
      </c>
      <c r="F689" cm="1">
        <f t="array" ref="F689">INDEX('Linha 06'!$C$3:$ZZ$3,C689)</f>
        <v>20060010</v>
      </c>
      <c r="G689" t="str" cm="1">
        <f t="array" ref="G689">INDEX('Linha 06'!$C$2:$ZZ$2,C689)</f>
        <v>Limp Perf Aquafast Magia Da Infancia Cx/12 X 500ml</v>
      </c>
      <c r="H689" s="5" cm="1">
        <f t="array" ref="H689">INDEX('Linha 06'!$C$4:$ZZ$1000,B689,C689)</f>
        <v>0</v>
      </c>
    </row>
    <row r="690" spans="1:8" x14ac:dyDescent="0.25">
      <c r="A690">
        <v>688</v>
      </c>
      <c r="B690">
        <f t="shared" si="20"/>
        <v>19</v>
      </c>
      <c r="C690">
        <f t="shared" si="21"/>
        <v>4</v>
      </c>
      <c r="D690" cm="1">
        <f t="array" ref="D690">INDEX('Linha 06'!$A$4:$A$1000,B690)</f>
        <v>20090010</v>
      </c>
      <c r="E690" t="str" cm="1">
        <f t="array" ref="E690">INDEX('Linha 06'!$B$4:$B$1000,B690)</f>
        <v>Intermed Pack Desengord Squeeze Cx C/18 X 500ml</v>
      </c>
      <c r="F690" cm="1">
        <f t="array" ref="F690">INDEX('Linha 06'!$C$3:$ZZ$3,C690)</f>
        <v>20060011</v>
      </c>
      <c r="G690" t="str" cm="1">
        <f t="array" ref="G690">INDEX('Linha 06'!$C$2:$ZZ$2,C690)</f>
        <v>Limp Perf Aquafast Frescor Da Manha Cx/12 X 500ml</v>
      </c>
      <c r="H690" s="5" cm="1">
        <f t="array" ref="H690">INDEX('Linha 06'!$C$4:$ZZ$1000,B690,C690)</f>
        <v>0</v>
      </c>
    </row>
    <row r="691" spans="1:8" x14ac:dyDescent="0.25">
      <c r="A691">
        <v>689</v>
      </c>
      <c r="B691">
        <f t="shared" si="20"/>
        <v>19</v>
      </c>
      <c r="C691">
        <f t="shared" si="21"/>
        <v>5</v>
      </c>
      <c r="D691" cm="1">
        <f t="array" ref="D691">INDEX('Linha 06'!$A$4:$A$1000,B691)</f>
        <v>20090010</v>
      </c>
      <c r="E691" t="str" cm="1">
        <f t="array" ref="E691">INDEX('Linha 06'!$B$4:$B$1000,B691)</f>
        <v>Intermed Pack Desengord Squeeze Cx C/18 X 500ml</v>
      </c>
      <c r="F691" cm="1">
        <f t="array" ref="F691">INDEX('Linha 06'!$C$3:$ZZ$3,C691)</f>
        <v>20060012</v>
      </c>
      <c r="G691" t="str" cm="1">
        <f t="array" ref="G691">INDEX('Linha 06'!$C$2:$ZZ$2,C691)</f>
        <v>Limp Perf Aquafast Magia Da Infancia Cx/12 X 1l</v>
      </c>
      <c r="H691" s="5" cm="1">
        <f t="array" ref="H691">INDEX('Linha 06'!$C$4:$ZZ$1000,B691,C691)</f>
        <v>0</v>
      </c>
    </row>
    <row r="692" spans="1:8" x14ac:dyDescent="0.25">
      <c r="A692">
        <v>690</v>
      </c>
      <c r="B692">
        <f t="shared" si="20"/>
        <v>19</v>
      </c>
      <c r="C692">
        <f t="shared" si="21"/>
        <v>6</v>
      </c>
      <c r="D692" cm="1">
        <f t="array" ref="D692">INDEX('Linha 06'!$A$4:$A$1000,B692)</f>
        <v>20090010</v>
      </c>
      <c r="E692" t="str" cm="1">
        <f t="array" ref="E692">INDEX('Linha 06'!$B$4:$B$1000,B692)</f>
        <v>Intermed Pack Desengord Squeeze Cx C/18 X 500ml</v>
      </c>
      <c r="F692" cm="1">
        <f t="array" ref="F692">INDEX('Linha 06'!$C$3:$ZZ$3,C692)</f>
        <v>20060013</v>
      </c>
      <c r="G692" t="str" cm="1">
        <f t="array" ref="G692">INDEX('Linha 06'!$C$2:$ZZ$2,C692)</f>
        <v>Limp Perf Aquafast Frescor Da Manha Cx/12 X 1l</v>
      </c>
      <c r="H692" s="5" cm="1">
        <f t="array" ref="H692">INDEX('Linha 06'!$C$4:$ZZ$1000,B692,C692)</f>
        <v>0</v>
      </c>
    </row>
    <row r="693" spans="1:8" x14ac:dyDescent="0.25">
      <c r="A693">
        <v>691</v>
      </c>
      <c r="B693">
        <f t="shared" si="20"/>
        <v>19</v>
      </c>
      <c r="C693">
        <f t="shared" si="21"/>
        <v>7</v>
      </c>
      <c r="D693" cm="1">
        <f t="array" ref="D693">INDEX('Linha 06'!$A$4:$A$1000,B693)</f>
        <v>20090010</v>
      </c>
      <c r="E693" t="str" cm="1">
        <f t="array" ref="E693">INDEX('Linha 06'!$B$4:$B$1000,B693)</f>
        <v>Intermed Pack Desengord Squeeze Cx C/18 X 500ml</v>
      </c>
      <c r="F693" cm="1">
        <f t="array" ref="F693">INDEX('Linha 06'!$C$3:$ZZ$3,C693)</f>
        <v>20060015</v>
      </c>
      <c r="G693" t="str" cm="1">
        <f t="array" ref="G693">INDEX('Linha 06'!$C$2:$ZZ$2,C693)</f>
        <v>Limp Perf Aquafast Doce Romance Cx/12 X 500ml</v>
      </c>
      <c r="H693" s="5" cm="1">
        <f t="array" ref="H693">INDEX('Linha 06'!$C$4:$ZZ$1000,B693,C693)</f>
        <v>0</v>
      </c>
    </row>
    <row r="694" spans="1:8" x14ac:dyDescent="0.25">
      <c r="A694">
        <v>692</v>
      </c>
      <c r="B694">
        <f t="shared" si="20"/>
        <v>19</v>
      </c>
      <c r="C694">
        <f t="shared" si="21"/>
        <v>8</v>
      </c>
      <c r="D694" cm="1">
        <f t="array" ref="D694">INDEX('Linha 06'!$A$4:$A$1000,B694)</f>
        <v>20090010</v>
      </c>
      <c r="E694" t="str" cm="1">
        <f t="array" ref="E694">INDEX('Linha 06'!$B$4:$B$1000,B694)</f>
        <v>Intermed Pack Desengord Squeeze Cx C/18 X 500ml</v>
      </c>
      <c r="F694" cm="1">
        <f t="array" ref="F694">INDEX('Linha 06'!$C$3:$ZZ$3,C694)</f>
        <v>20060016</v>
      </c>
      <c r="G694" t="str" cm="1">
        <f t="array" ref="G694">INDEX('Linha 06'!$C$2:$ZZ$2,C694)</f>
        <v>Limp Perf Aquafast Doce Romance Cx/12 X 1l</v>
      </c>
      <c r="H694" s="5" cm="1">
        <f t="array" ref="H694">INDEX('Linha 06'!$C$4:$ZZ$1000,B694,C694)</f>
        <v>0</v>
      </c>
    </row>
    <row r="695" spans="1:8" x14ac:dyDescent="0.25">
      <c r="A695">
        <v>693</v>
      </c>
      <c r="B695">
        <f t="shared" si="20"/>
        <v>19</v>
      </c>
      <c r="C695">
        <f t="shared" si="21"/>
        <v>9</v>
      </c>
      <c r="D695" cm="1">
        <f t="array" ref="D695">INDEX('Linha 06'!$A$4:$A$1000,B695)</f>
        <v>20090010</v>
      </c>
      <c r="E695" t="str" cm="1">
        <f t="array" ref="E695">INDEX('Linha 06'!$B$4:$B$1000,B695)</f>
        <v>Intermed Pack Desengord Squeeze Cx C/18 X 500ml</v>
      </c>
      <c r="F695" cm="1">
        <f t="array" ref="F695">INDEX('Linha 06'!$C$3:$ZZ$3,C695)</f>
        <v>20060027</v>
      </c>
      <c r="G695" t="str" cm="1">
        <f t="array" ref="G695">INDEX('Linha 06'!$C$2:$ZZ$2,C695)</f>
        <v>Limp Perf Aquafast Essencia Natural Cx/12 X 1l</v>
      </c>
      <c r="H695" s="5" cm="1">
        <f t="array" ref="H695">INDEX('Linha 06'!$C$4:$ZZ$1000,B695,C695)</f>
        <v>0</v>
      </c>
    </row>
    <row r="696" spans="1:8" x14ac:dyDescent="0.25">
      <c r="A696">
        <v>694</v>
      </c>
      <c r="B696">
        <f t="shared" si="20"/>
        <v>19</v>
      </c>
      <c r="C696">
        <f t="shared" si="21"/>
        <v>10</v>
      </c>
      <c r="D696" cm="1">
        <f t="array" ref="D696">INDEX('Linha 06'!$A$4:$A$1000,B696)</f>
        <v>20090010</v>
      </c>
      <c r="E696" t="str" cm="1">
        <f t="array" ref="E696">INDEX('Linha 06'!$B$4:$B$1000,B696)</f>
        <v>Intermed Pack Desengord Squeeze Cx C/18 X 500ml</v>
      </c>
      <c r="F696" cm="1">
        <f t="array" ref="F696">INDEX('Linha 06'!$C$3:$ZZ$3,C696)</f>
        <v>20070001</v>
      </c>
      <c r="G696" t="str" cm="1">
        <f t="array" ref="G696">INDEX('Linha 06'!$C$2:$ZZ$2,C696)</f>
        <v>Limpa Vidros Aquafast Pulverizador Cx/12 X 500ml</v>
      </c>
      <c r="H696" s="5" cm="1">
        <f t="array" ref="H696">INDEX('Linha 06'!$C$4:$ZZ$1000,B696,C696)</f>
        <v>0</v>
      </c>
    </row>
    <row r="697" spans="1:8" x14ac:dyDescent="0.25">
      <c r="A697">
        <v>695</v>
      </c>
      <c r="B697">
        <f t="shared" si="20"/>
        <v>19</v>
      </c>
      <c r="C697">
        <f t="shared" si="21"/>
        <v>11</v>
      </c>
      <c r="D697" cm="1">
        <f t="array" ref="D697">INDEX('Linha 06'!$A$4:$A$1000,B697)</f>
        <v>20090010</v>
      </c>
      <c r="E697" t="str" cm="1">
        <f t="array" ref="E697">INDEX('Linha 06'!$B$4:$B$1000,B697)</f>
        <v>Intermed Pack Desengord Squeeze Cx C/18 X 500ml</v>
      </c>
      <c r="F697" cm="1">
        <f t="array" ref="F697">INDEX('Linha 06'!$C$3:$ZZ$3,C697)</f>
        <v>20070002</v>
      </c>
      <c r="G697" t="str" cm="1">
        <f t="array" ref="G697">INDEX('Linha 06'!$C$2:$ZZ$2,C697)</f>
        <v>Limpa Vidros Aquafast Recarga Cx/12 X 500ml</v>
      </c>
      <c r="H697" s="5" cm="1">
        <f t="array" ref="H697">INDEX('Linha 06'!$C$4:$ZZ$1000,B697,C697)</f>
        <v>0</v>
      </c>
    </row>
    <row r="698" spans="1:8" x14ac:dyDescent="0.25">
      <c r="A698">
        <v>696</v>
      </c>
      <c r="B698">
        <f t="shared" si="20"/>
        <v>19</v>
      </c>
      <c r="C698">
        <f t="shared" si="21"/>
        <v>12</v>
      </c>
      <c r="D698" cm="1">
        <f t="array" ref="D698">INDEX('Linha 06'!$A$4:$A$1000,B698)</f>
        <v>20090010</v>
      </c>
      <c r="E698" t="str" cm="1">
        <f t="array" ref="E698">INDEX('Linha 06'!$B$4:$B$1000,B698)</f>
        <v>Intermed Pack Desengord Squeeze Cx C/18 X 500ml</v>
      </c>
      <c r="F698" cm="1">
        <f t="array" ref="F698">INDEX('Linha 06'!$C$3:$ZZ$3,C698)</f>
        <v>20070006</v>
      </c>
      <c r="G698" t="str" cm="1">
        <f t="array" ref="G698">INDEX('Linha 06'!$C$2:$ZZ$2,C698)</f>
        <v>Limpa Vidros Ito Pulverizador Cx/12 X 500ml</v>
      </c>
      <c r="H698" s="5" cm="1">
        <f t="array" ref="H698">INDEX('Linha 06'!$C$4:$ZZ$1000,B698,C698)</f>
        <v>0</v>
      </c>
    </row>
    <row r="699" spans="1:8" x14ac:dyDescent="0.25">
      <c r="A699">
        <v>697</v>
      </c>
      <c r="B699">
        <f t="shared" si="20"/>
        <v>19</v>
      </c>
      <c r="C699">
        <f t="shared" si="21"/>
        <v>13</v>
      </c>
      <c r="D699" cm="1">
        <f t="array" ref="D699">INDEX('Linha 06'!$A$4:$A$1000,B699)</f>
        <v>20090010</v>
      </c>
      <c r="E699" t="str" cm="1">
        <f t="array" ref="E699">INDEX('Linha 06'!$B$4:$B$1000,B699)</f>
        <v>Intermed Pack Desengord Squeeze Cx C/18 X 500ml</v>
      </c>
      <c r="F699" cm="1">
        <f t="array" ref="F699">INDEX('Linha 06'!$C$3:$ZZ$3,C699)</f>
        <v>20070007</v>
      </c>
      <c r="G699" t="str" cm="1">
        <f t="array" ref="G699">INDEX('Linha 06'!$C$2:$ZZ$2,C699)</f>
        <v>Limpa Vidros Ito Recarga Cx/12 X 500ml</v>
      </c>
      <c r="H699" s="5" cm="1">
        <f t="array" ref="H699">INDEX('Linha 06'!$C$4:$ZZ$1000,B699,C699)</f>
        <v>0</v>
      </c>
    </row>
    <row r="700" spans="1:8" x14ac:dyDescent="0.25">
      <c r="A700">
        <v>698</v>
      </c>
      <c r="B700">
        <f t="shared" si="20"/>
        <v>19</v>
      </c>
      <c r="C700">
        <f t="shared" si="21"/>
        <v>14</v>
      </c>
      <c r="D700" cm="1">
        <f t="array" ref="D700">INDEX('Linha 06'!$A$4:$A$1000,B700)</f>
        <v>20090010</v>
      </c>
      <c r="E700" t="str" cm="1">
        <f t="array" ref="E700">INDEX('Linha 06'!$B$4:$B$1000,B700)</f>
        <v>Intermed Pack Desengord Squeeze Cx C/18 X 500ml</v>
      </c>
      <c r="F700" cm="1">
        <f t="array" ref="F700">INDEX('Linha 06'!$C$3:$ZZ$3,C700)</f>
        <v>20070008</v>
      </c>
      <c r="G700" t="str" cm="1">
        <f t="array" ref="G700">INDEX('Linha 06'!$C$2:$ZZ$2,C700)</f>
        <v>Limpa Vidros Aquafast Squeeze Cx/12 X 500ml</v>
      </c>
      <c r="H700" s="5" cm="1">
        <f t="array" ref="H700">INDEX('Linha 06'!$C$4:$ZZ$1000,B700,C700)</f>
        <v>0</v>
      </c>
    </row>
    <row r="701" spans="1:8" x14ac:dyDescent="0.25">
      <c r="A701">
        <v>699</v>
      </c>
      <c r="B701">
        <f t="shared" si="20"/>
        <v>19</v>
      </c>
      <c r="C701">
        <f t="shared" si="21"/>
        <v>15</v>
      </c>
      <c r="D701" cm="1">
        <f t="array" ref="D701">INDEX('Linha 06'!$A$4:$A$1000,B701)</f>
        <v>20090010</v>
      </c>
      <c r="E701" t="str" cm="1">
        <f t="array" ref="E701">INDEX('Linha 06'!$B$4:$B$1000,B701)</f>
        <v>Intermed Pack Desengord Squeeze Cx C/18 X 500ml</v>
      </c>
      <c r="F701" cm="1">
        <f t="array" ref="F701">INDEX('Linha 06'!$C$3:$ZZ$3,C701)</f>
        <v>20090001</v>
      </c>
      <c r="G701" t="str" cm="1">
        <f t="array" ref="G701">INDEX('Linha 06'!$C$2:$ZZ$2,C701)</f>
        <v>Desengordurante Aquafast Pulverizador Cx/12 X 500ml</v>
      </c>
      <c r="H701" s="5" cm="1">
        <f t="array" ref="H701">INDEX('Linha 06'!$C$4:$ZZ$1000,B701,C701)</f>
        <v>0</v>
      </c>
    </row>
    <row r="702" spans="1:8" x14ac:dyDescent="0.25">
      <c r="A702">
        <v>700</v>
      </c>
      <c r="B702">
        <f t="shared" si="20"/>
        <v>19</v>
      </c>
      <c r="C702">
        <f t="shared" si="21"/>
        <v>16</v>
      </c>
      <c r="D702" cm="1">
        <f t="array" ref="D702">INDEX('Linha 06'!$A$4:$A$1000,B702)</f>
        <v>20090010</v>
      </c>
      <c r="E702" t="str" cm="1">
        <f t="array" ref="E702">INDEX('Linha 06'!$B$4:$B$1000,B702)</f>
        <v>Intermed Pack Desengord Squeeze Cx C/18 X 500ml</v>
      </c>
      <c r="F702" cm="1">
        <f t="array" ref="F702">INDEX('Linha 06'!$C$3:$ZZ$3,C702)</f>
        <v>20090002</v>
      </c>
      <c r="G702" t="str" cm="1">
        <f t="array" ref="G702">INDEX('Linha 06'!$C$2:$ZZ$2,C702)</f>
        <v>Desengordurante Aquafast Recarga Cx/12 X 500ml</v>
      </c>
      <c r="H702" s="5" cm="1">
        <f t="array" ref="H702">INDEX('Linha 06'!$C$4:$ZZ$1000,B702,C702)</f>
        <v>0</v>
      </c>
    </row>
    <row r="703" spans="1:8" x14ac:dyDescent="0.25">
      <c r="A703">
        <v>701</v>
      </c>
      <c r="B703">
        <f t="shared" si="20"/>
        <v>19</v>
      </c>
      <c r="C703">
        <f t="shared" si="21"/>
        <v>17</v>
      </c>
      <c r="D703" cm="1">
        <f t="array" ref="D703">INDEX('Linha 06'!$A$4:$A$1000,B703)</f>
        <v>20090010</v>
      </c>
      <c r="E703" t="str" cm="1">
        <f t="array" ref="E703">INDEX('Linha 06'!$B$4:$B$1000,B703)</f>
        <v>Intermed Pack Desengord Squeeze Cx C/18 X 500ml</v>
      </c>
      <c r="F703" cm="1">
        <f t="array" ref="F703">INDEX('Linha 06'!$C$3:$ZZ$3,C703)</f>
        <v>20090004</v>
      </c>
      <c r="G703" t="str" cm="1">
        <f t="array" ref="G703">INDEX('Linha 06'!$C$2:$ZZ$2,C703)</f>
        <v>Desengordurante Aquafast Squeeze Cx C/12 X 500ml</v>
      </c>
      <c r="H703" s="5" cm="1">
        <f t="array" ref="H703">INDEX('Linha 06'!$C$4:$ZZ$1000,B703,C703)</f>
        <v>0</v>
      </c>
    </row>
    <row r="704" spans="1:8" x14ac:dyDescent="0.25">
      <c r="A704">
        <v>702</v>
      </c>
      <c r="B704">
        <f t="shared" si="20"/>
        <v>19</v>
      </c>
      <c r="C704">
        <f t="shared" si="21"/>
        <v>18</v>
      </c>
      <c r="D704" cm="1">
        <f t="array" ref="D704">INDEX('Linha 06'!$A$4:$A$1000,B704)</f>
        <v>20090010</v>
      </c>
      <c r="E704" t="str" cm="1">
        <f t="array" ref="E704">INDEX('Linha 06'!$B$4:$B$1000,B704)</f>
        <v>Intermed Pack Desengord Squeeze Cx C/18 X 500ml</v>
      </c>
      <c r="F704" cm="1">
        <f t="array" ref="F704">INDEX('Linha 06'!$C$3:$ZZ$3,C704)</f>
        <v>20090005</v>
      </c>
      <c r="G704" t="str" cm="1">
        <f t="array" ref="G704">INDEX('Linha 06'!$C$2:$ZZ$2,C704)</f>
        <v>Desengordurante Aquafast Squeeze Cx C/12 X 1l</v>
      </c>
      <c r="H704" s="5" cm="1">
        <f t="array" ref="H704">INDEX('Linha 06'!$C$4:$ZZ$1000,B704,C704)</f>
        <v>0</v>
      </c>
    </row>
    <row r="705" spans="1:8" x14ac:dyDescent="0.25">
      <c r="A705">
        <v>703</v>
      </c>
      <c r="B705">
        <f t="shared" si="20"/>
        <v>19</v>
      </c>
      <c r="C705">
        <f t="shared" si="21"/>
        <v>19</v>
      </c>
      <c r="D705" cm="1">
        <f t="array" ref="D705">INDEX('Linha 06'!$A$4:$A$1000,B705)</f>
        <v>20090010</v>
      </c>
      <c r="E705" t="str" cm="1">
        <f t="array" ref="E705">INDEX('Linha 06'!$B$4:$B$1000,B705)</f>
        <v>Intermed Pack Desengord Squeeze Cx C/18 X 500ml</v>
      </c>
      <c r="F705" cm="1">
        <f t="array" ref="F705">INDEX('Linha 06'!$C$3:$ZZ$3,C705)</f>
        <v>20090010</v>
      </c>
      <c r="G705" t="str" cm="1">
        <f t="array" ref="G705">INDEX('Linha 06'!$C$2:$ZZ$2,C705)</f>
        <v>Intermed Pack Desengord Squeeze Cx C/18 X 500ml</v>
      </c>
      <c r="H705" s="5" cm="1">
        <f t="array" ref="H705">INDEX('Linha 06'!$C$4:$ZZ$1000,B705,C705)</f>
        <v>0</v>
      </c>
    </row>
    <row r="706" spans="1:8" x14ac:dyDescent="0.25">
      <c r="A706">
        <v>704</v>
      </c>
      <c r="B706">
        <f t="shared" si="20"/>
        <v>19</v>
      </c>
      <c r="C706">
        <f t="shared" si="21"/>
        <v>20</v>
      </c>
      <c r="D706" cm="1">
        <f t="array" ref="D706">INDEX('Linha 06'!$A$4:$A$1000,B706)</f>
        <v>20090010</v>
      </c>
      <c r="E706" t="str" cm="1">
        <f t="array" ref="E706">INDEX('Linha 06'!$B$4:$B$1000,B706)</f>
        <v>Intermed Pack Desengord Squeeze Cx C/18 X 500ml</v>
      </c>
      <c r="F706" cm="1">
        <f t="array" ref="F706">INDEX('Linha 06'!$C$3:$ZZ$3,C706)</f>
        <v>20110002</v>
      </c>
      <c r="G706" t="str" cm="1">
        <f t="array" ref="G706">INDEX('Linha 06'!$C$2:$ZZ$2,C706)</f>
        <v>Multi Uso Aquafast Squeeze Original Cx/12 X 500ml</v>
      </c>
      <c r="H706" s="5" cm="1">
        <f t="array" ref="H706">INDEX('Linha 06'!$C$4:$ZZ$1000,B706,C706)</f>
        <v>0</v>
      </c>
    </row>
    <row r="707" spans="1:8" x14ac:dyDescent="0.25">
      <c r="A707">
        <v>705</v>
      </c>
      <c r="B707">
        <f t="shared" si="20"/>
        <v>19</v>
      </c>
      <c r="C707">
        <f t="shared" si="21"/>
        <v>21</v>
      </c>
      <c r="D707" cm="1">
        <f t="array" ref="D707">INDEX('Linha 06'!$A$4:$A$1000,B707)</f>
        <v>20090010</v>
      </c>
      <c r="E707" t="str" cm="1">
        <f t="array" ref="E707">INDEX('Linha 06'!$B$4:$B$1000,B707)</f>
        <v>Intermed Pack Desengord Squeeze Cx C/18 X 500ml</v>
      </c>
      <c r="F707" cm="1">
        <f t="array" ref="F707">INDEX('Linha 06'!$C$3:$ZZ$3,C707)</f>
        <v>20110004</v>
      </c>
      <c r="G707" t="str" cm="1">
        <f t="array" ref="G707">INDEX('Linha 06'!$C$2:$ZZ$2,C707)</f>
        <v>Multi Uso Aquafast Squeeze Lavanda Cx/12 X 500ml</v>
      </c>
      <c r="H707" s="5" cm="1">
        <f t="array" ref="H707">INDEX('Linha 06'!$C$4:$ZZ$1000,B707,C707)</f>
        <v>0</v>
      </c>
    </row>
    <row r="708" spans="1:8" x14ac:dyDescent="0.25">
      <c r="A708">
        <v>706</v>
      </c>
      <c r="B708">
        <f t="shared" ref="B708:B771" si="22">INT((A708-1)/$B$1)+1</f>
        <v>19</v>
      </c>
      <c r="C708">
        <f t="shared" ref="C708:C771" si="23">MOD(A708-1,$B$1)+1</f>
        <v>22</v>
      </c>
      <c r="D708" cm="1">
        <f t="array" ref="D708">INDEX('Linha 06'!$A$4:$A$1000,B708)</f>
        <v>20090010</v>
      </c>
      <c r="E708" t="str" cm="1">
        <f t="array" ref="E708">INDEX('Linha 06'!$B$4:$B$1000,B708)</f>
        <v>Intermed Pack Desengord Squeeze Cx C/18 X 500ml</v>
      </c>
      <c r="F708" cm="1">
        <f t="array" ref="F708">INDEX('Linha 06'!$C$3:$ZZ$3,C708)</f>
        <v>20110007</v>
      </c>
      <c r="G708" t="str" cm="1">
        <f t="array" ref="G708">INDEX('Linha 06'!$C$2:$ZZ$2,C708)</f>
        <v>Multi Uso Aquafast Squeeze Seducao Cx/12 X 500ml</v>
      </c>
      <c r="H708" s="5" cm="1">
        <f t="array" ref="H708">INDEX('Linha 06'!$C$4:$ZZ$1000,B708,C708)</f>
        <v>0</v>
      </c>
    </row>
    <row r="709" spans="1:8" x14ac:dyDescent="0.25">
      <c r="A709">
        <v>707</v>
      </c>
      <c r="B709">
        <f t="shared" si="22"/>
        <v>19</v>
      </c>
      <c r="C709">
        <f t="shared" si="23"/>
        <v>23</v>
      </c>
      <c r="D709" cm="1">
        <f t="array" ref="D709">INDEX('Linha 06'!$A$4:$A$1000,B709)</f>
        <v>20090010</v>
      </c>
      <c r="E709" t="str" cm="1">
        <f t="array" ref="E709">INDEX('Linha 06'!$B$4:$B$1000,B709)</f>
        <v>Intermed Pack Desengord Squeeze Cx C/18 X 500ml</v>
      </c>
      <c r="F709" cm="1">
        <f t="array" ref="F709">INDEX('Linha 06'!$C$3:$ZZ$3,C709)</f>
        <v>20110008</v>
      </c>
      <c r="G709" t="str" cm="1">
        <f t="array" ref="G709">INDEX('Linha 06'!$C$2:$ZZ$2,C709)</f>
        <v>Multi Uso Aquafast Squeeze Original Cx/12 X 1l</v>
      </c>
      <c r="H709" s="5" cm="1">
        <f t="array" ref="H709">INDEX('Linha 06'!$C$4:$ZZ$1000,B709,C709)</f>
        <v>0</v>
      </c>
    </row>
    <row r="710" spans="1:8" x14ac:dyDescent="0.25">
      <c r="A710">
        <v>708</v>
      </c>
      <c r="B710">
        <f t="shared" si="22"/>
        <v>19</v>
      </c>
      <c r="C710">
        <f t="shared" si="23"/>
        <v>24</v>
      </c>
      <c r="D710" cm="1">
        <f t="array" ref="D710">INDEX('Linha 06'!$A$4:$A$1000,B710)</f>
        <v>20090010</v>
      </c>
      <c r="E710" t="str" cm="1">
        <f t="array" ref="E710">INDEX('Linha 06'!$B$4:$B$1000,B710)</f>
        <v>Intermed Pack Desengord Squeeze Cx C/18 X 500ml</v>
      </c>
      <c r="F710" cm="1">
        <f t="array" ref="F710">INDEX('Linha 06'!$C$3:$ZZ$3,C710)</f>
        <v>20110010</v>
      </c>
      <c r="G710" t="str" cm="1">
        <f t="array" ref="G710">INDEX('Linha 06'!$C$2:$ZZ$2,C710)</f>
        <v>Multi Uso Aquafast Squeeze Seducao Cx/12 1l</v>
      </c>
      <c r="H710" s="5" cm="1">
        <f t="array" ref="H710">INDEX('Linha 06'!$C$4:$ZZ$1000,B710,C710)</f>
        <v>0</v>
      </c>
    </row>
    <row r="711" spans="1:8" x14ac:dyDescent="0.25">
      <c r="A711">
        <v>709</v>
      </c>
      <c r="B711">
        <f t="shared" si="22"/>
        <v>19</v>
      </c>
      <c r="C711">
        <f t="shared" si="23"/>
        <v>25</v>
      </c>
      <c r="D711" cm="1">
        <f t="array" ref="D711">INDEX('Linha 06'!$A$4:$A$1000,B711)</f>
        <v>20090010</v>
      </c>
      <c r="E711" t="str" cm="1">
        <f t="array" ref="E711">INDEX('Linha 06'!$B$4:$B$1000,B711)</f>
        <v>Intermed Pack Desengord Squeeze Cx C/18 X 500ml</v>
      </c>
      <c r="F711" cm="1">
        <f t="array" ref="F711">INDEX('Linha 06'!$C$3:$ZZ$3,C711)</f>
        <v>20110013</v>
      </c>
      <c r="G711" t="str" cm="1">
        <f t="array" ref="G711">INDEX('Linha 06'!$C$2:$ZZ$2,C711)</f>
        <v>Multi Uso Aquafast Squeeze Lavanda Cx/12 X 1l</v>
      </c>
      <c r="H711" s="5" cm="1">
        <f t="array" ref="H711">INDEX('Linha 06'!$C$4:$ZZ$1000,B711,C711)</f>
        <v>0</v>
      </c>
    </row>
    <row r="712" spans="1:8" x14ac:dyDescent="0.25">
      <c r="A712">
        <v>710</v>
      </c>
      <c r="B712">
        <f t="shared" si="22"/>
        <v>19</v>
      </c>
      <c r="C712">
        <f t="shared" si="23"/>
        <v>26</v>
      </c>
      <c r="D712" cm="1">
        <f t="array" ref="D712">INDEX('Linha 06'!$A$4:$A$1000,B712)</f>
        <v>20090010</v>
      </c>
      <c r="E712" t="str" cm="1">
        <f t="array" ref="E712">INDEX('Linha 06'!$B$4:$B$1000,B712)</f>
        <v>Intermed Pack Desengord Squeeze Cx C/18 X 500ml</v>
      </c>
      <c r="F712" cm="1">
        <f t="array" ref="F712">INDEX('Linha 06'!$C$3:$ZZ$3,C712)</f>
        <v>20110022</v>
      </c>
      <c r="G712" t="str" cm="1">
        <f t="array" ref="G712">INDEX('Linha 06'!$C$2:$ZZ$2,C712)</f>
        <v>Intermed Pack Multi Uso Lavand C/Alcool Cx/18 X 500ml</v>
      </c>
      <c r="H712" s="5" cm="1">
        <f t="array" ref="H712">INDEX('Linha 06'!$C$4:$ZZ$1000,B712,C712)</f>
        <v>0</v>
      </c>
    </row>
    <row r="713" spans="1:8" x14ac:dyDescent="0.25">
      <c r="A713">
        <v>711</v>
      </c>
      <c r="B713">
        <f t="shared" si="22"/>
        <v>19</v>
      </c>
      <c r="C713">
        <f t="shared" si="23"/>
        <v>27</v>
      </c>
      <c r="D713" cm="1">
        <f t="array" ref="D713">INDEX('Linha 06'!$A$4:$A$1000,B713)</f>
        <v>20090010</v>
      </c>
      <c r="E713" t="str" cm="1">
        <f t="array" ref="E713">INDEX('Linha 06'!$B$4:$B$1000,B713)</f>
        <v>Intermed Pack Desengord Squeeze Cx C/18 X 500ml</v>
      </c>
      <c r="F713" cm="1">
        <f t="array" ref="F713">INDEX('Linha 06'!$C$3:$ZZ$3,C713)</f>
        <v>20110023</v>
      </c>
      <c r="G713" t="str" cm="1">
        <f t="array" ref="G713">INDEX('Linha 06'!$C$2:$ZZ$2,C713)</f>
        <v>Multi Uso Aquafast Squeeze Cha Branco  Cx/12 X 500ml</v>
      </c>
      <c r="H713" s="5" cm="1">
        <f t="array" ref="H713">INDEX('Linha 06'!$C$4:$ZZ$1000,B713,C713)</f>
        <v>0</v>
      </c>
    </row>
    <row r="714" spans="1:8" x14ac:dyDescent="0.25">
      <c r="A714">
        <v>712</v>
      </c>
      <c r="B714">
        <f t="shared" si="22"/>
        <v>19</v>
      </c>
      <c r="C714">
        <f t="shared" si="23"/>
        <v>28</v>
      </c>
      <c r="D714" cm="1">
        <f t="array" ref="D714">INDEX('Linha 06'!$A$4:$A$1000,B714)</f>
        <v>20090010</v>
      </c>
      <c r="E714" t="str" cm="1">
        <f t="array" ref="E714">INDEX('Linha 06'!$B$4:$B$1000,B714)</f>
        <v>Intermed Pack Desengord Squeeze Cx C/18 X 500ml</v>
      </c>
      <c r="F714" cm="1">
        <f t="array" ref="F714">INDEX('Linha 06'!$C$3:$ZZ$3,C714)</f>
        <v>20110024</v>
      </c>
      <c r="G714" t="str" cm="1">
        <f t="array" ref="G714">INDEX('Linha 06'!$C$2:$ZZ$2,C714)</f>
        <v>Multi Uso Aquafast Squeeze Cha Branco Cx12 X 1l</v>
      </c>
      <c r="H714" s="5" cm="1">
        <f t="array" ref="H714">INDEX('Linha 06'!$C$4:$ZZ$1000,B714,C714)</f>
        <v>0</v>
      </c>
    </row>
    <row r="715" spans="1:8" x14ac:dyDescent="0.25">
      <c r="A715">
        <v>713</v>
      </c>
      <c r="B715">
        <f t="shared" si="22"/>
        <v>19</v>
      </c>
      <c r="C715">
        <f t="shared" si="23"/>
        <v>29</v>
      </c>
      <c r="D715" cm="1">
        <f t="array" ref="D715">INDEX('Linha 06'!$A$4:$A$1000,B715)</f>
        <v>20090010</v>
      </c>
      <c r="E715" t="str" cm="1">
        <f t="array" ref="E715">INDEX('Linha 06'!$B$4:$B$1000,B715)</f>
        <v>Intermed Pack Desengord Squeeze Cx C/18 X 500ml</v>
      </c>
      <c r="F715" cm="1">
        <f t="array" ref="F715">INDEX('Linha 06'!$C$3:$ZZ$3,C715)</f>
        <v>20110025</v>
      </c>
      <c r="G715" t="str" cm="1">
        <f t="array" ref="G715">INDEX('Linha 06'!$C$2:$ZZ$2,C715)</f>
        <v>Multi Uso Aquafast Pulverizador Original Cx/12 X 1l</v>
      </c>
      <c r="H715" s="5" cm="1">
        <f t="array" ref="H715">INDEX('Linha 06'!$C$4:$ZZ$1000,B715,C715)</f>
        <v>0</v>
      </c>
    </row>
    <row r="716" spans="1:8" x14ac:dyDescent="0.25">
      <c r="A716">
        <v>714</v>
      </c>
      <c r="B716">
        <f t="shared" si="22"/>
        <v>19</v>
      </c>
      <c r="C716">
        <f t="shared" si="23"/>
        <v>30</v>
      </c>
      <c r="D716" cm="1">
        <f t="array" ref="D716">INDEX('Linha 06'!$A$4:$A$1000,B716)</f>
        <v>20090010</v>
      </c>
      <c r="E716" t="str" cm="1">
        <f t="array" ref="E716">INDEX('Linha 06'!$B$4:$B$1000,B716)</f>
        <v>Intermed Pack Desengord Squeeze Cx C/18 X 500ml</v>
      </c>
      <c r="F716" cm="1">
        <f t="array" ref="F716">INDEX('Linha 06'!$C$3:$ZZ$3,C716)</f>
        <v>20110026</v>
      </c>
      <c r="G716" t="str" cm="1">
        <f t="array" ref="G716">INDEX('Linha 06'!$C$2:$ZZ$2,C716)</f>
        <v>Multi Uso Aquafast Pulverizador Poder O2 Cx/12 X 1l</v>
      </c>
      <c r="H716" s="5" cm="1">
        <f t="array" ref="H716">INDEX('Linha 06'!$C$4:$ZZ$1000,B716,C716)</f>
        <v>0</v>
      </c>
    </row>
    <row r="717" spans="1:8" x14ac:dyDescent="0.25">
      <c r="A717">
        <v>715</v>
      </c>
      <c r="B717">
        <f t="shared" si="22"/>
        <v>19</v>
      </c>
      <c r="C717">
        <f t="shared" si="23"/>
        <v>31</v>
      </c>
      <c r="D717" cm="1">
        <f t="array" ref="D717">INDEX('Linha 06'!$A$4:$A$1000,B717)</f>
        <v>20090010</v>
      </c>
      <c r="E717" t="str" cm="1">
        <f t="array" ref="E717">INDEX('Linha 06'!$B$4:$B$1000,B717)</f>
        <v>Intermed Pack Desengord Squeeze Cx C/18 X 500ml</v>
      </c>
      <c r="F717" cm="1">
        <f t="array" ref="F717">INDEX('Linha 06'!$C$3:$ZZ$3,C717)</f>
        <v>20110027</v>
      </c>
      <c r="G717" t="str" cm="1">
        <f t="array" ref="G717">INDEX('Linha 06'!$C$2:$ZZ$2,C717)</f>
        <v>Multi Uso Aquafast Pulverizador Poder O2 Cx/12 X 500ml</v>
      </c>
      <c r="H717" s="5" cm="1">
        <f t="array" ref="H717">INDEX('Linha 06'!$C$4:$ZZ$1000,B717,C717)</f>
        <v>0</v>
      </c>
    </row>
    <row r="718" spans="1:8" x14ac:dyDescent="0.25">
      <c r="A718">
        <v>716</v>
      </c>
      <c r="B718">
        <f t="shared" si="22"/>
        <v>19</v>
      </c>
      <c r="C718">
        <f t="shared" si="23"/>
        <v>32</v>
      </c>
      <c r="D718" cm="1">
        <f t="array" ref="D718">INDEX('Linha 06'!$A$4:$A$1000,B718)</f>
        <v>20090010</v>
      </c>
      <c r="E718" t="str" cm="1">
        <f t="array" ref="E718">INDEX('Linha 06'!$B$4:$B$1000,B718)</f>
        <v>Intermed Pack Desengord Squeeze Cx C/18 X 500ml</v>
      </c>
      <c r="F718" cm="1">
        <f t="array" ref="F718">INDEX('Linha 06'!$C$3:$ZZ$3,C718)</f>
        <v>20200073</v>
      </c>
      <c r="G718" t="str" cm="1">
        <f t="array" ref="G718">INDEX('Linha 06'!$C$2:$ZZ$2,C718)</f>
        <v>Lava Roupas Aquafast Lavagem Rapida Total Clean Cx/9 X 1,5l</v>
      </c>
      <c r="H718" s="5" cm="1">
        <f t="array" ref="H718">INDEX('Linha 06'!$C$4:$ZZ$1000,B718,C718)</f>
        <v>0</v>
      </c>
    </row>
    <row r="719" spans="1:8" x14ac:dyDescent="0.25">
      <c r="A719">
        <v>717</v>
      </c>
      <c r="B719">
        <f t="shared" si="22"/>
        <v>19</v>
      </c>
      <c r="C719">
        <f t="shared" si="23"/>
        <v>33</v>
      </c>
      <c r="D719" cm="1">
        <f t="array" ref="D719">INDEX('Linha 06'!$A$4:$A$1000,B719)</f>
        <v>20090010</v>
      </c>
      <c r="E719" t="str" cm="1">
        <f t="array" ref="E719">INDEX('Linha 06'!$B$4:$B$1000,B719)</f>
        <v>Intermed Pack Desengord Squeeze Cx C/18 X 500ml</v>
      </c>
      <c r="F719" cm="1">
        <f t="array" ref="F719">INDEX('Linha 06'!$C$3:$ZZ$3,C719)</f>
        <v>20200075</v>
      </c>
      <c r="G719" t="str" cm="1">
        <f t="array" ref="G719">INDEX('Linha 06'!$C$2:$ZZ$2,C719)</f>
        <v>Lava Roupas Aquafast Lavagem Rapida Fresh Clean Cx/9 X 1,5l</v>
      </c>
      <c r="H719" s="5" cm="1">
        <f t="array" ref="H719">INDEX('Linha 06'!$C$4:$ZZ$1000,B719,C719)</f>
        <v>0</v>
      </c>
    </row>
    <row r="720" spans="1:8" x14ac:dyDescent="0.25">
      <c r="A720">
        <v>718</v>
      </c>
      <c r="B720">
        <f t="shared" si="22"/>
        <v>19</v>
      </c>
      <c r="C720">
        <f t="shared" si="23"/>
        <v>34</v>
      </c>
      <c r="D720" cm="1">
        <f t="array" ref="D720">INDEX('Linha 06'!$A$4:$A$1000,B720)</f>
        <v>20090010</v>
      </c>
      <c r="E720" t="str" cm="1">
        <f t="array" ref="E720">INDEX('Linha 06'!$B$4:$B$1000,B720)</f>
        <v>Intermed Pack Desengord Squeeze Cx C/18 X 500ml</v>
      </c>
      <c r="F720" cm="1">
        <f t="array" ref="F720">INDEX('Linha 06'!$C$3:$ZZ$3,C720)</f>
        <v>20220018</v>
      </c>
      <c r="G720" t="str" cm="1">
        <f t="array" ref="G720">INDEX('Linha 06'!$C$2:$ZZ$2,C720)</f>
        <v>Intermed. Aromat. Amoras E Baunilha Cx C/ 12un 250ml</v>
      </c>
      <c r="H720" s="5" cm="1">
        <f t="array" ref="H720">INDEX('Linha 06'!$C$4:$ZZ$1000,B720,C720)</f>
        <v>0</v>
      </c>
    </row>
    <row r="721" spans="1:8" x14ac:dyDescent="0.25">
      <c r="A721">
        <v>719</v>
      </c>
      <c r="B721">
        <f t="shared" si="22"/>
        <v>19</v>
      </c>
      <c r="C721">
        <f t="shared" si="23"/>
        <v>35</v>
      </c>
      <c r="D721" cm="1">
        <f t="array" ref="D721">INDEX('Linha 06'!$A$4:$A$1000,B721)</f>
        <v>20090010</v>
      </c>
      <c r="E721" t="str" cm="1">
        <f t="array" ref="E721">INDEX('Linha 06'!$B$4:$B$1000,B721)</f>
        <v>Intermed Pack Desengord Squeeze Cx C/18 X 500ml</v>
      </c>
      <c r="F721" cm="1">
        <f t="array" ref="F721">INDEX('Linha 06'!$C$3:$ZZ$3,C721)</f>
        <v>20220019</v>
      </c>
      <c r="G721" t="str" cm="1">
        <f t="array" ref="G721">INDEX('Linha 06'!$C$2:$ZZ$2,C721)</f>
        <v>Intermed. Aromat. Figo E Cedro Cx C/ 12un 250ml</v>
      </c>
      <c r="H721" s="5" cm="1">
        <f t="array" ref="H721">INDEX('Linha 06'!$C$4:$ZZ$1000,B721,C721)</f>
        <v>0</v>
      </c>
    </row>
    <row r="722" spans="1:8" x14ac:dyDescent="0.25">
      <c r="A722">
        <v>720</v>
      </c>
      <c r="B722">
        <f t="shared" si="22"/>
        <v>19</v>
      </c>
      <c r="C722">
        <f t="shared" si="23"/>
        <v>36</v>
      </c>
      <c r="D722" cm="1">
        <f t="array" ref="D722">INDEX('Linha 06'!$A$4:$A$1000,B722)</f>
        <v>20090010</v>
      </c>
      <c r="E722" t="str" cm="1">
        <f t="array" ref="E722">INDEX('Linha 06'!$B$4:$B$1000,B722)</f>
        <v>Intermed Pack Desengord Squeeze Cx C/18 X 500ml</v>
      </c>
      <c r="F722" cm="1">
        <f t="array" ref="F722">INDEX('Linha 06'!$C$3:$ZZ$3,C722)</f>
        <v>20220020</v>
      </c>
      <c r="G722" t="str" cm="1">
        <f t="array" ref="G722">INDEX('Linha 06'!$C$2:$ZZ$2,C722)</f>
        <v>Intermed. Aromat. Rosas E Magnolias Cx C/ 12un 250ml</v>
      </c>
      <c r="H722" s="5" cm="1">
        <f t="array" ref="H722">INDEX('Linha 06'!$C$4:$ZZ$1000,B722,C722)</f>
        <v>0</v>
      </c>
    </row>
    <row r="723" spans="1:8" x14ac:dyDescent="0.25">
      <c r="A723">
        <v>721</v>
      </c>
      <c r="B723">
        <f t="shared" si="22"/>
        <v>19</v>
      </c>
      <c r="C723">
        <f t="shared" si="23"/>
        <v>37</v>
      </c>
      <c r="D723" cm="1">
        <f t="array" ref="D723">INDEX('Linha 06'!$A$4:$A$1000,B723)</f>
        <v>20090010</v>
      </c>
      <c r="E723" t="str" cm="1">
        <f t="array" ref="E723">INDEX('Linha 06'!$B$4:$B$1000,B723)</f>
        <v>Intermed Pack Desengord Squeeze Cx C/18 X 500ml</v>
      </c>
      <c r="F723" cm="1">
        <f t="array" ref="F723">INDEX('Linha 06'!$C$3:$ZZ$3,C723)</f>
        <v>20220021</v>
      </c>
      <c r="G723" t="str" cm="1">
        <f t="array" ref="G723">INDEX('Linha 06'!$C$2:$ZZ$2,C723)</f>
        <v>Intermed. Aromat. Flores Exoticas Cx C/ 12un 250ml</v>
      </c>
      <c r="H723" s="5" cm="1">
        <f t="array" ref="H723">INDEX('Linha 06'!$C$4:$ZZ$1000,B723,C723)</f>
        <v>0</v>
      </c>
    </row>
    <row r="724" spans="1:8" x14ac:dyDescent="0.25">
      <c r="A724">
        <v>722</v>
      </c>
      <c r="B724">
        <f t="shared" si="22"/>
        <v>19</v>
      </c>
      <c r="C724">
        <f t="shared" si="23"/>
        <v>38</v>
      </c>
      <c r="D724" cm="1">
        <f t="array" ref="D724">INDEX('Linha 06'!$A$4:$A$1000,B724)</f>
        <v>20090010</v>
      </c>
      <c r="E724" t="str" cm="1">
        <f t="array" ref="E724">INDEX('Linha 06'!$B$4:$B$1000,B724)</f>
        <v>Intermed Pack Desengord Squeeze Cx C/18 X 500ml</v>
      </c>
      <c r="F724" cm="1">
        <f t="array" ref="F724">INDEX('Linha 06'!$C$3:$ZZ$3,C724)</f>
        <v>20220022</v>
      </c>
      <c r="G724" t="str" cm="1">
        <f t="array" ref="G724">INDEX('Linha 06'!$C$2:$ZZ$2,C724)</f>
        <v>Intermed. Aromat. Cha Verde E Grapef Cx C/ 12un 250ml</v>
      </c>
      <c r="H724" s="5" cm="1">
        <f t="array" ref="H724">INDEX('Linha 06'!$C$4:$ZZ$1000,B724,C724)</f>
        <v>0</v>
      </c>
    </row>
    <row r="725" spans="1:8" x14ac:dyDescent="0.25">
      <c r="A725">
        <v>723</v>
      </c>
      <c r="B725">
        <f t="shared" si="22"/>
        <v>20</v>
      </c>
      <c r="C725">
        <f t="shared" si="23"/>
        <v>1</v>
      </c>
      <c r="D725" cm="1">
        <f t="array" ref="D725">INDEX('Linha 06'!$A$4:$A$1000,B725)</f>
        <v>20110002</v>
      </c>
      <c r="E725" t="str" cm="1">
        <f t="array" ref="E725">INDEX('Linha 06'!$B$4:$B$1000,B725)</f>
        <v>Multi Uso Aquafast Squeeze Original Cx/12 X 500ml</v>
      </c>
      <c r="F725" cm="1">
        <f t="array" ref="F725">INDEX('Linha 06'!$C$3:$ZZ$3,C725)</f>
        <v>20060001</v>
      </c>
      <c r="G725" t="str" cm="1">
        <f t="array" ref="G725">INDEX('Linha 06'!$C$2:$ZZ$2,C725)</f>
        <v>Limp Perf Aquafast Magia Seducao Cx/12 X 500ml</v>
      </c>
      <c r="H725" s="5" cm="1">
        <f t="array" ref="H725">INDEX('Linha 06'!$C$4:$ZZ$1000,B725,C725)</f>
        <v>0</v>
      </c>
    </row>
    <row r="726" spans="1:8" x14ac:dyDescent="0.25">
      <c r="A726">
        <v>724</v>
      </c>
      <c r="B726">
        <f t="shared" si="22"/>
        <v>20</v>
      </c>
      <c r="C726">
        <f t="shared" si="23"/>
        <v>2</v>
      </c>
      <c r="D726" cm="1">
        <f t="array" ref="D726">INDEX('Linha 06'!$A$4:$A$1000,B726)</f>
        <v>20110002</v>
      </c>
      <c r="E726" t="str" cm="1">
        <f t="array" ref="E726">INDEX('Linha 06'!$B$4:$B$1000,B726)</f>
        <v>Multi Uso Aquafast Squeeze Original Cx/12 X 500ml</v>
      </c>
      <c r="F726" cm="1">
        <f t="array" ref="F726">INDEX('Linha 06'!$C$3:$ZZ$3,C726)</f>
        <v>20060004</v>
      </c>
      <c r="G726" t="str" cm="1">
        <f t="array" ref="G726">INDEX('Linha 06'!$C$2:$ZZ$2,C726)</f>
        <v>Limp Perf Aquafast Magia Seducao Cx/12 X 1l</v>
      </c>
      <c r="H726" s="5" cm="1">
        <f t="array" ref="H726">INDEX('Linha 06'!$C$4:$ZZ$1000,B726,C726)</f>
        <v>0</v>
      </c>
    </row>
    <row r="727" spans="1:8" x14ac:dyDescent="0.25">
      <c r="A727">
        <v>725</v>
      </c>
      <c r="B727">
        <f t="shared" si="22"/>
        <v>20</v>
      </c>
      <c r="C727">
        <f t="shared" si="23"/>
        <v>3</v>
      </c>
      <c r="D727" cm="1">
        <f t="array" ref="D727">INDEX('Linha 06'!$A$4:$A$1000,B727)</f>
        <v>20110002</v>
      </c>
      <c r="E727" t="str" cm="1">
        <f t="array" ref="E727">INDEX('Linha 06'!$B$4:$B$1000,B727)</f>
        <v>Multi Uso Aquafast Squeeze Original Cx/12 X 500ml</v>
      </c>
      <c r="F727" cm="1">
        <f t="array" ref="F727">INDEX('Linha 06'!$C$3:$ZZ$3,C727)</f>
        <v>20060010</v>
      </c>
      <c r="G727" t="str" cm="1">
        <f t="array" ref="G727">INDEX('Linha 06'!$C$2:$ZZ$2,C727)</f>
        <v>Limp Perf Aquafast Magia Da Infancia Cx/12 X 500ml</v>
      </c>
      <c r="H727" s="5" cm="1">
        <f t="array" ref="H727">INDEX('Linha 06'!$C$4:$ZZ$1000,B727,C727)</f>
        <v>0</v>
      </c>
    </row>
    <row r="728" spans="1:8" x14ac:dyDescent="0.25">
      <c r="A728">
        <v>726</v>
      </c>
      <c r="B728">
        <f t="shared" si="22"/>
        <v>20</v>
      </c>
      <c r="C728">
        <f t="shared" si="23"/>
        <v>4</v>
      </c>
      <c r="D728" cm="1">
        <f t="array" ref="D728">INDEX('Linha 06'!$A$4:$A$1000,B728)</f>
        <v>20110002</v>
      </c>
      <c r="E728" t="str" cm="1">
        <f t="array" ref="E728">INDEX('Linha 06'!$B$4:$B$1000,B728)</f>
        <v>Multi Uso Aquafast Squeeze Original Cx/12 X 500ml</v>
      </c>
      <c r="F728" cm="1">
        <f t="array" ref="F728">INDEX('Linha 06'!$C$3:$ZZ$3,C728)</f>
        <v>20060011</v>
      </c>
      <c r="G728" t="str" cm="1">
        <f t="array" ref="G728">INDEX('Linha 06'!$C$2:$ZZ$2,C728)</f>
        <v>Limp Perf Aquafast Frescor Da Manha Cx/12 X 500ml</v>
      </c>
      <c r="H728" s="5" cm="1">
        <f t="array" ref="H728">INDEX('Linha 06'!$C$4:$ZZ$1000,B728,C728)</f>
        <v>0</v>
      </c>
    </row>
    <row r="729" spans="1:8" x14ac:dyDescent="0.25">
      <c r="A729">
        <v>727</v>
      </c>
      <c r="B729">
        <f t="shared" si="22"/>
        <v>20</v>
      </c>
      <c r="C729">
        <f t="shared" si="23"/>
        <v>5</v>
      </c>
      <c r="D729" cm="1">
        <f t="array" ref="D729">INDEX('Linha 06'!$A$4:$A$1000,B729)</f>
        <v>20110002</v>
      </c>
      <c r="E729" t="str" cm="1">
        <f t="array" ref="E729">INDEX('Linha 06'!$B$4:$B$1000,B729)</f>
        <v>Multi Uso Aquafast Squeeze Original Cx/12 X 500ml</v>
      </c>
      <c r="F729" cm="1">
        <f t="array" ref="F729">INDEX('Linha 06'!$C$3:$ZZ$3,C729)</f>
        <v>20060012</v>
      </c>
      <c r="G729" t="str" cm="1">
        <f t="array" ref="G729">INDEX('Linha 06'!$C$2:$ZZ$2,C729)</f>
        <v>Limp Perf Aquafast Magia Da Infancia Cx/12 X 1l</v>
      </c>
      <c r="H729" s="5" cm="1">
        <f t="array" ref="H729">INDEX('Linha 06'!$C$4:$ZZ$1000,B729,C729)</f>
        <v>0</v>
      </c>
    </row>
    <row r="730" spans="1:8" x14ac:dyDescent="0.25">
      <c r="A730">
        <v>728</v>
      </c>
      <c r="B730">
        <f t="shared" si="22"/>
        <v>20</v>
      </c>
      <c r="C730">
        <f t="shared" si="23"/>
        <v>6</v>
      </c>
      <c r="D730" cm="1">
        <f t="array" ref="D730">INDEX('Linha 06'!$A$4:$A$1000,B730)</f>
        <v>20110002</v>
      </c>
      <c r="E730" t="str" cm="1">
        <f t="array" ref="E730">INDEX('Linha 06'!$B$4:$B$1000,B730)</f>
        <v>Multi Uso Aquafast Squeeze Original Cx/12 X 500ml</v>
      </c>
      <c r="F730" cm="1">
        <f t="array" ref="F730">INDEX('Linha 06'!$C$3:$ZZ$3,C730)</f>
        <v>20060013</v>
      </c>
      <c r="G730" t="str" cm="1">
        <f t="array" ref="G730">INDEX('Linha 06'!$C$2:$ZZ$2,C730)</f>
        <v>Limp Perf Aquafast Frescor Da Manha Cx/12 X 1l</v>
      </c>
      <c r="H730" s="5" cm="1">
        <f t="array" ref="H730">INDEX('Linha 06'!$C$4:$ZZ$1000,B730,C730)</f>
        <v>0</v>
      </c>
    </row>
    <row r="731" spans="1:8" x14ac:dyDescent="0.25">
      <c r="A731">
        <v>729</v>
      </c>
      <c r="B731">
        <f t="shared" si="22"/>
        <v>20</v>
      </c>
      <c r="C731">
        <f t="shared" si="23"/>
        <v>7</v>
      </c>
      <c r="D731" cm="1">
        <f t="array" ref="D731">INDEX('Linha 06'!$A$4:$A$1000,B731)</f>
        <v>20110002</v>
      </c>
      <c r="E731" t="str" cm="1">
        <f t="array" ref="E731">INDEX('Linha 06'!$B$4:$B$1000,B731)</f>
        <v>Multi Uso Aquafast Squeeze Original Cx/12 X 500ml</v>
      </c>
      <c r="F731" cm="1">
        <f t="array" ref="F731">INDEX('Linha 06'!$C$3:$ZZ$3,C731)</f>
        <v>20060015</v>
      </c>
      <c r="G731" t="str" cm="1">
        <f t="array" ref="G731">INDEX('Linha 06'!$C$2:$ZZ$2,C731)</f>
        <v>Limp Perf Aquafast Doce Romance Cx/12 X 500ml</v>
      </c>
      <c r="H731" s="5" cm="1">
        <f t="array" ref="H731">INDEX('Linha 06'!$C$4:$ZZ$1000,B731,C731)</f>
        <v>0</v>
      </c>
    </row>
    <row r="732" spans="1:8" x14ac:dyDescent="0.25">
      <c r="A732">
        <v>730</v>
      </c>
      <c r="B732">
        <f t="shared" si="22"/>
        <v>20</v>
      </c>
      <c r="C732">
        <f t="shared" si="23"/>
        <v>8</v>
      </c>
      <c r="D732" cm="1">
        <f t="array" ref="D732">INDEX('Linha 06'!$A$4:$A$1000,B732)</f>
        <v>20110002</v>
      </c>
      <c r="E732" t="str" cm="1">
        <f t="array" ref="E732">INDEX('Linha 06'!$B$4:$B$1000,B732)</f>
        <v>Multi Uso Aquafast Squeeze Original Cx/12 X 500ml</v>
      </c>
      <c r="F732" cm="1">
        <f t="array" ref="F732">INDEX('Linha 06'!$C$3:$ZZ$3,C732)</f>
        <v>20060016</v>
      </c>
      <c r="G732" t="str" cm="1">
        <f t="array" ref="G732">INDEX('Linha 06'!$C$2:$ZZ$2,C732)</f>
        <v>Limp Perf Aquafast Doce Romance Cx/12 X 1l</v>
      </c>
      <c r="H732" s="5" cm="1">
        <f t="array" ref="H732">INDEX('Linha 06'!$C$4:$ZZ$1000,B732,C732)</f>
        <v>0</v>
      </c>
    </row>
    <row r="733" spans="1:8" x14ac:dyDescent="0.25">
      <c r="A733">
        <v>731</v>
      </c>
      <c r="B733">
        <f t="shared" si="22"/>
        <v>20</v>
      </c>
      <c r="C733">
        <f t="shared" si="23"/>
        <v>9</v>
      </c>
      <c r="D733" cm="1">
        <f t="array" ref="D733">INDEX('Linha 06'!$A$4:$A$1000,B733)</f>
        <v>20110002</v>
      </c>
      <c r="E733" t="str" cm="1">
        <f t="array" ref="E733">INDEX('Linha 06'!$B$4:$B$1000,B733)</f>
        <v>Multi Uso Aquafast Squeeze Original Cx/12 X 500ml</v>
      </c>
      <c r="F733" cm="1">
        <f t="array" ref="F733">INDEX('Linha 06'!$C$3:$ZZ$3,C733)</f>
        <v>20060027</v>
      </c>
      <c r="G733" t="str" cm="1">
        <f t="array" ref="G733">INDEX('Linha 06'!$C$2:$ZZ$2,C733)</f>
        <v>Limp Perf Aquafast Essencia Natural Cx/12 X 1l</v>
      </c>
      <c r="H733" s="5" cm="1">
        <f t="array" ref="H733">INDEX('Linha 06'!$C$4:$ZZ$1000,B733,C733)</f>
        <v>0</v>
      </c>
    </row>
    <row r="734" spans="1:8" x14ac:dyDescent="0.25">
      <c r="A734">
        <v>732</v>
      </c>
      <c r="B734">
        <f t="shared" si="22"/>
        <v>20</v>
      </c>
      <c r="C734">
        <f t="shared" si="23"/>
        <v>10</v>
      </c>
      <c r="D734" cm="1">
        <f t="array" ref="D734">INDEX('Linha 06'!$A$4:$A$1000,B734)</f>
        <v>20110002</v>
      </c>
      <c r="E734" t="str" cm="1">
        <f t="array" ref="E734">INDEX('Linha 06'!$B$4:$B$1000,B734)</f>
        <v>Multi Uso Aquafast Squeeze Original Cx/12 X 500ml</v>
      </c>
      <c r="F734" cm="1">
        <f t="array" ref="F734">INDEX('Linha 06'!$C$3:$ZZ$3,C734)</f>
        <v>20070001</v>
      </c>
      <c r="G734" t="str" cm="1">
        <f t="array" ref="G734">INDEX('Linha 06'!$C$2:$ZZ$2,C734)</f>
        <v>Limpa Vidros Aquafast Pulverizador Cx/12 X 500ml</v>
      </c>
      <c r="H734" s="5" cm="1">
        <f t="array" ref="H734">INDEX('Linha 06'!$C$4:$ZZ$1000,B734,C734)</f>
        <v>0</v>
      </c>
    </row>
    <row r="735" spans="1:8" x14ac:dyDescent="0.25">
      <c r="A735">
        <v>733</v>
      </c>
      <c r="B735">
        <f t="shared" si="22"/>
        <v>20</v>
      </c>
      <c r="C735">
        <f t="shared" si="23"/>
        <v>11</v>
      </c>
      <c r="D735" cm="1">
        <f t="array" ref="D735">INDEX('Linha 06'!$A$4:$A$1000,B735)</f>
        <v>20110002</v>
      </c>
      <c r="E735" t="str" cm="1">
        <f t="array" ref="E735">INDEX('Linha 06'!$B$4:$B$1000,B735)</f>
        <v>Multi Uso Aquafast Squeeze Original Cx/12 X 500ml</v>
      </c>
      <c r="F735" cm="1">
        <f t="array" ref="F735">INDEX('Linha 06'!$C$3:$ZZ$3,C735)</f>
        <v>20070002</v>
      </c>
      <c r="G735" t="str" cm="1">
        <f t="array" ref="G735">INDEX('Linha 06'!$C$2:$ZZ$2,C735)</f>
        <v>Limpa Vidros Aquafast Recarga Cx/12 X 500ml</v>
      </c>
      <c r="H735" s="5" cm="1">
        <f t="array" ref="H735">INDEX('Linha 06'!$C$4:$ZZ$1000,B735,C735)</f>
        <v>0</v>
      </c>
    </row>
    <row r="736" spans="1:8" x14ac:dyDescent="0.25">
      <c r="A736">
        <v>734</v>
      </c>
      <c r="B736">
        <f t="shared" si="22"/>
        <v>20</v>
      </c>
      <c r="C736">
        <f t="shared" si="23"/>
        <v>12</v>
      </c>
      <c r="D736" cm="1">
        <f t="array" ref="D736">INDEX('Linha 06'!$A$4:$A$1000,B736)</f>
        <v>20110002</v>
      </c>
      <c r="E736" t="str" cm="1">
        <f t="array" ref="E736">INDEX('Linha 06'!$B$4:$B$1000,B736)</f>
        <v>Multi Uso Aquafast Squeeze Original Cx/12 X 500ml</v>
      </c>
      <c r="F736" cm="1">
        <f t="array" ref="F736">INDEX('Linha 06'!$C$3:$ZZ$3,C736)</f>
        <v>20070006</v>
      </c>
      <c r="G736" t="str" cm="1">
        <f t="array" ref="G736">INDEX('Linha 06'!$C$2:$ZZ$2,C736)</f>
        <v>Limpa Vidros Ito Pulverizador Cx/12 X 500ml</v>
      </c>
      <c r="H736" s="5" cm="1">
        <f t="array" ref="H736">INDEX('Linha 06'!$C$4:$ZZ$1000,B736,C736)</f>
        <v>0</v>
      </c>
    </row>
    <row r="737" spans="1:8" x14ac:dyDescent="0.25">
      <c r="A737">
        <v>735</v>
      </c>
      <c r="B737">
        <f t="shared" si="22"/>
        <v>20</v>
      </c>
      <c r="C737">
        <f t="shared" si="23"/>
        <v>13</v>
      </c>
      <c r="D737" cm="1">
        <f t="array" ref="D737">INDEX('Linha 06'!$A$4:$A$1000,B737)</f>
        <v>20110002</v>
      </c>
      <c r="E737" t="str" cm="1">
        <f t="array" ref="E737">INDEX('Linha 06'!$B$4:$B$1000,B737)</f>
        <v>Multi Uso Aquafast Squeeze Original Cx/12 X 500ml</v>
      </c>
      <c r="F737" cm="1">
        <f t="array" ref="F737">INDEX('Linha 06'!$C$3:$ZZ$3,C737)</f>
        <v>20070007</v>
      </c>
      <c r="G737" t="str" cm="1">
        <f t="array" ref="G737">INDEX('Linha 06'!$C$2:$ZZ$2,C737)</f>
        <v>Limpa Vidros Ito Recarga Cx/12 X 500ml</v>
      </c>
      <c r="H737" s="5" cm="1">
        <f t="array" ref="H737">INDEX('Linha 06'!$C$4:$ZZ$1000,B737,C737)</f>
        <v>0</v>
      </c>
    </row>
    <row r="738" spans="1:8" x14ac:dyDescent="0.25">
      <c r="A738">
        <v>736</v>
      </c>
      <c r="B738">
        <f t="shared" si="22"/>
        <v>20</v>
      </c>
      <c r="C738">
        <f t="shared" si="23"/>
        <v>14</v>
      </c>
      <c r="D738" cm="1">
        <f t="array" ref="D738">INDEX('Linha 06'!$A$4:$A$1000,B738)</f>
        <v>20110002</v>
      </c>
      <c r="E738" t="str" cm="1">
        <f t="array" ref="E738">INDEX('Linha 06'!$B$4:$B$1000,B738)</f>
        <v>Multi Uso Aquafast Squeeze Original Cx/12 X 500ml</v>
      </c>
      <c r="F738" cm="1">
        <f t="array" ref="F738">INDEX('Linha 06'!$C$3:$ZZ$3,C738)</f>
        <v>20070008</v>
      </c>
      <c r="G738" t="str" cm="1">
        <f t="array" ref="G738">INDEX('Linha 06'!$C$2:$ZZ$2,C738)</f>
        <v>Limpa Vidros Aquafast Squeeze Cx/12 X 500ml</v>
      </c>
      <c r="H738" s="5" cm="1">
        <f t="array" ref="H738">INDEX('Linha 06'!$C$4:$ZZ$1000,B738,C738)</f>
        <v>0</v>
      </c>
    </row>
    <row r="739" spans="1:8" x14ac:dyDescent="0.25">
      <c r="A739">
        <v>737</v>
      </c>
      <c r="B739">
        <f t="shared" si="22"/>
        <v>20</v>
      </c>
      <c r="C739">
        <f t="shared" si="23"/>
        <v>15</v>
      </c>
      <c r="D739" cm="1">
        <f t="array" ref="D739">INDEX('Linha 06'!$A$4:$A$1000,B739)</f>
        <v>20110002</v>
      </c>
      <c r="E739" t="str" cm="1">
        <f t="array" ref="E739">INDEX('Linha 06'!$B$4:$B$1000,B739)</f>
        <v>Multi Uso Aquafast Squeeze Original Cx/12 X 500ml</v>
      </c>
      <c r="F739" cm="1">
        <f t="array" ref="F739">INDEX('Linha 06'!$C$3:$ZZ$3,C739)</f>
        <v>20090001</v>
      </c>
      <c r="G739" t="str" cm="1">
        <f t="array" ref="G739">INDEX('Linha 06'!$C$2:$ZZ$2,C739)</f>
        <v>Desengordurante Aquafast Pulverizador Cx/12 X 500ml</v>
      </c>
      <c r="H739" s="5" cm="1">
        <f t="array" ref="H739">INDEX('Linha 06'!$C$4:$ZZ$1000,B739,C739)</f>
        <v>0</v>
      </c>
    </row>
    <row r="740" spans="1:8" x14ac:dyDescent="0.25">
      <c r="A740">
        <v>738</v>
      </c>
      <c r="B740">
        <f t="shared" si="22"/>
        <v>20</v>
      </c>
      <c r="C740">
        <f t="shared" si="23"/>
        <v>16</v>
      </c>
      <c r="D740" cm="1">
        <f t="array" ref="D740">INDEX('Linha 06'!$A$4:$A$1000,B740)</f>
        <v>20110002</v>
      </c>
      <c r="E740" t="str" cm="1">
        <f t="array" ref="E740">INDEX('Linha 06'!$B$4:$B$1000,B740)</f>
        <v>Multi Uso Aquafast Squeeze Original Cx/12 X 500ml</v>
      </c>
      <c r="F740" cm="1">
        <f t="array" ref="F740">INDEX('Linha 06'!$C$3:$ZZ$3,C740)</f>
        <v>20090002</v>
      </c>
      <c r="G740" t="str" cm="1">
        <f t="array" ref="G740">INDEX('Linha 06'!$C$2:$ZZ$2,C740)</f>
        <v>Desengordurante Aquafast Recarga Cx/12 X 500ml</v>
      </c>
      <c r="H740" s="5" cm="1">
        <f t="array" ref="H740">INDEX('Linha 06'!$C$4:$ZZ$1000,B740,C740)</f>
        <v>0</v>
      </c>
    </row>
    <row r="741" spans="1:8" x14ac:dyDescent="0.25">
      <c r="A741">
        <v>739</v>
      </c>
      <c r="B741">
        <f t="shared" si="22"/>
        <v>20</v>
      </c>
      <c r="C741">
        <f t="shared" si="23"/>
        <v>17</v>
      </c>
      <c r="D741" cm="1">
        <f t="array" ref="D741">INDEX('Linha 06'!$A$4:$A$1000,B741)</f>
        <v>20110002</v>
      </c>
      <c r="E741" t="str" cm="1">
        <f t="array" ref="E741">INDEX('Linha 06'!$B$4:$B$1000,B741)</f>
        <v>Multi Uso Aquafast Squeeze Original Cx/12 X 500ml</v>
      </c>
      <c r="F741" cm="1">
        <f t="array" ref="F741">INDEX('Linha 06'!$C$3:$ZZ$3,C741)</f>
        <v>20090004</v>
      </c>
      <c r="G741" t="str" cm="1">
        <f t="array" ref="G741">INDEX('Linha 06'!$C$2:$ZZ$2,C741)</f>
        <v>Desengordurante Aquafast Squeeze Cx C/12 X 500ml</v>
      </c>
      <c r="H741" s="5" cm="1">
        <f t="array" ref="H741">INDEX('Linha 06'!$C$4:$ZZ$1000,B741,C741)</f>
        <v>0</v>
      </c>
    </row>
    <row r="742" spans="1:8" x14ac:dyDescent="0.25">
      <c r="A742">
        <v>740</v>
      </c>
      <c r="B742">
        <f t="shared" si="22"/>
        <v>20</v>
      </c>
      <c r="C742">
        <f t="shared" si="23"/>
        <v>18</v>
      </c>
      <c r="D742" cm="1">
        <f t="array" ref="D742">INDEX('Linha 06'!$A$4:$A$1000,B742)</f>
        <v>20110002</v>
      </c>
      <c r="E742" t="str" cm="1">
        <f t="array" ref="E742">INDEX('Linha 06'!$B$4:$B$1000,B742)</f>
        <v>Multi Uso Aquafast Squeeze Original Cx/12 X 500ml</v>
      </c>
      <c r="F742" cm="1">
        <f t="array" ref="F742">INDEX('Linha 06'!$C$3:$ZZ$3,C742)</f>
        <v>20090005</v>
      </c>
      <c r="G742" t="str" cm="1">
        <f t="array" ref="G742">INDEX('Linha 06'!$C$2:$ZZ$2,C742)</f>
        <v>Desengordurante Aquafast Squeeze Cx C/12 X 1l</v>
      </c>
      <c r="H742" s="5" cm="1">
        <f t="array" ref="H742">INDEX('Linha 06'!$C$4:$ZZ$1000,B742,C742)</f>
        <v>0</v>
      </c>
    </row>
    <row r="743" spans="1:8" x14ac:dyDescent="0.25">
      <c r="A743">
        <v>741</v>
      </c>
      <c r="B743">
        <f t="shared" si="22"/>
        <v>20</v>
      </c>
      <c r="C743">
        <f t="shared" si="23"/>
        <v>19</v>
      </c>
      <c r="D743" cm="1">
        <f t="array" ref="D743">INDEX('Linha 06'!$A$4:$A$1000,B743)</f>
        <v>20110002</v>
      </c>
      <c r="E743" t="str" cm="1">
        <f t="array" ref="E743">INDEX('Linha 06'!$B$4:$B$1000,B743)</f>
        <v>Multi Uso Aquafast Squeeze Original Cx/12 X 500ml</v>
      </c>
      <c r="F743" cm="1">
        <f t="array" ref="F743">INDEX('Linha 06'!$C$3:$ZZ$3,C743)</f>
        <v>20090010</v>
      </c>
      <c r="G743" t="str" cm="1">
        <f t="array" ref="G743">INDEX('Linha 06'!$C$2:$ZZ$2,C743)</f>
        <v>Intermed Pack Desengord Squeeze Cx C/18 X 500ml</v>
      </c>
      <c r="H743" s="5" cm="1">
        <f t="array" ref="H743">INDEX('Linha 06'!$C$4:$ZZ$1000,B743,C743)</f>
        <v>0</v>
      </c>
    </row>
    <row r="744" spans="1:8" x14ac:dyDescent="0.25">
      <c r="A744">
        <v>742</v>
      </c>
      <c r="B744">
        <f t="shared" si="22"/>
        <v>20</v>
      </c>
      <c r="C744">
        <f t="shared" si="23"/>
        <v>20</v>
      </c>
      <c r="D744" cm="1">
        <f t="array" ref="D744">INDEX('Linha 06'!$A$4:$A$1000,B744)</f>
        <v>20110002</v>
      </c>
      <c r="E744" t="str" cm="1">
        <f t="array" ref="E744">INDEX('Linha 06'!$B$4:$B$1000,B744)</f>
        <v>Multi Uso Aquafast Squeeze Original Cx/12 X 500ml</v>
      </c>
      <c r="F744" cm="1">
        <f t="array" ref="F744">INDEX('Linha 06'!$C$3:$ZZ$3,C744)</f>
        <v>20110002</v>
      </c>
      <c r="G744" t="str" cm="1">
        <f t="array" ref="G744">INDEX('Linha 06'!$C$2:$ZZ$2,C744)</f>
        <v>Multi Uso Aquafast Squeeze Original Cx/12 X 500ml</v>
      </c>
      <c r="H744" s="5" cm="1">
        <f t="array" ref="H744">INDEX('Linha 06'!$C$4:$ZZ$1000,B744,C744)</f>
        <v>0</v>
      </c>
    </row>
    <row r="745" spans="1:8" x14ac:dyDescent="0.25">
      <c r="A745">
        <v>743</v>
      </c>
      <c r="B745">
        <f t="shared" si="22"/>
        <v>20</v>
      </c>
      <c r="C745">
        <f t="shared" si="23"/>
        <v>21</v>
      </c>
      <c r="D745" cm="1">
        <f t="array" ref="D745">INDEX('Linha 06'!$A$4:$A$1000,B745)</f>
        <v>20110002</v>
      </c>
      <c r="E745" t="str" cm="1">
        <f t="array" ref="E745">INDEX('Linha 06'!$B$4:$B$1000,B745)</f>
        <v>Multi Uso Aquafast Squeeze Original Cx/12 X 500ml</v>
      </c>
      <c r="F745" cm="1">
        <f t="array" ref="F745">INDEX('Linha 06'!$C$3:$ZZ$3,C745)</f>
        <v>20110004</v>
      </c>
      <c r="G745" t="str" cm="1">
        <f t="array" ref="G745">INDEX('Linha 06'!$C$2:$ZZ$2,C745)</f>
        <v>Multi Uso Aquafast Squeeze Lavanda Cx/12 X 500ml</v>
      </c>
      <c r="H745" s="5" cm="1">
        <f t="array" ref="H745">INDEX('Linha 06'!$C$4:$ZZ$1000,B745,C745)</f>
        <v>0</v>
      </c>
    </row>
    <row r="746" spans="1:8" x14ac:dyDescent="0.25">
      <c r="A746">
        <v>744</v>
      </c>
      <c r="B746">
        <f t="shared" si="22"/>
        <v>20</v>
      </c>
      <c r="C746">
        <f t="shared" si="23"/>
        <v>22</v>
      </c>
      <c r="D746" cm="1">
        <f t="array" ref="D746">INDEX('Linha 06'!$A$4:$A$1000,B746)</f>
        <v>20110002</v>
      </c>
      <c r="E746" t="str" cm="1">
        <f t="array" ref="E746">INDEX('Linha 06'!$B$4:$B$1000,B746)</f>
        <v>Multi Uso Aquafast Squeeze Original Cx/12 X 500ml</v>
      </c>
      <c r="F746" cm="1">
        <f t="array" ref="F746">INDEX('Linha 06'!$C$3:$ZZ$3,C746)</f>
        <v>20110007</v>
      </c>
      <c r="G746" t="str" cm="1">
        <f t="array" ref="G746">INDEX('Linha 06'!$C$2:$ZZ$2,C746)</f>
        <v>Multi Uso Aquafast Squeeze Seducao Cx/12 X 500ml</v>
      </c>
      <c r="H746" s="5" cm="1">
        <f t="array" ref="H746">INDEX('Linha 06'!$C$4:$ZZ$1000,B746,C746)</f>
        <v>0</v>
      </c>
    </row>
    <row r="747" spans="1:8" x14ac:dyDescent="0.25">
      <c r="A747">
        <v>745</v>
      </c>
      <c r="B747">
        <f t="shared" si="22"/>
        <v>20</v>
      </c>
      <c r="C747">
        <f t="shared" si="23"/>
        <v>23</v>
      </c>
      <c r="D747" cm="1">
        <f t="array" ref="D747">INDEX('Linha 06'!$A$4:$A$1000,B747)</f>
        <v>20110002</v>
      </c>
      <c r="E747" t="str" cm="1">
        <f t="array" ref="E747">INDEX('Linha 06'!$B$4:$B$1000,B747)</f>
        <v>Multi Uso Aquafast Squeeze Original Cx/12 X 500ml</v>
      </c>
      <c r="F747" cm="1">
        <f t="array" ref="F747">INDEX('Linha 06'!$C$3:$ZZ$3,C747)</f>
        <v>20110008</v>
      </c>
      <c r="G747" t="str" cm="1">
        <f t="array" ref="G747">INDEX('Linha 06'!$C$2:$ZZ$2,C747)</f>
        <v>Multi Uso Aquafast Squeeze Original Cx/12 X 1l</v>
      </c>
      <c r="H747" s="5" cm="1">
        <f t="array" ref="H747">INDEX('Linha 06'!$C$4:$ZZ$1000,B747,C747)</f>
        <v>0</v>
      </c>
    </row>
    <row r="748" spans="1:8" x14ac:dyDescent="0.25">
      <c r="A748">
        <v>746</v>
      </c>
      <c r="B748">
        <f t="shared" si="22"/>
        <v>20</v>
      </c>
      <c r="C748">
        <f t="shared" si="23"/>
        <v>24</v>
      </c>
      <c r="D748" cm="1">
        <f t="array" ref="D748">INDEX('Linha 06'!$A$4:$A$1000,B748)</f>
        <v>20110002</v>
      </c>
      <c r="E748" t="str" cm="1">
        <f t="array" ref="E748">INDEX('Linha 06'!$B$4:$B$1000,B748)</f>
        <v>Multi Uso Aquafast Squeeze Original Cx/12 X 500ml</v>
      </c>
      <c r="F748" cm="1">
        <f t="array" ref="F748">INDEX('Linha 06'!$C$3:$ZZ$3,C748)</f>
        <v>20110010</v>
      </c>
      <c r="G748" t="str" cm="1">
        <f t="array" ref="G748">INDEX('Linha 06'!$C$2:$ZZ$2,C748)</f>
        <v>Multi Uso Aquafast Squeeze Seducao Cx/12 1l</v>
      </c>
      <c r="H748" s="5" cm="1">
        <f t="array" ref="H748">INDEX('Linha 06'!$C$4:$ZZ$1000,B748,C748)</f>
        <v>0</v>
      </c>
    </row>
    <row r="749" spans="1:8" x14ac:dyDescent="0.25">
      <c r="A749">
        <v>747</v>
      </c>
      <c r="B749">
        <f t="shared" si="22"/>
        <v>20</v>
      </c>
      <c r="C749">
        <f t="shared" si="23"/>
        <v>25</v>
      </c>
      <c r="D749" cm="1">
        <f t="array" ref="D749">INDEX('Linha 06'!$A$4:$A$1000,B749)</f>
        <v>20110002</v>
      </c>
      <c r="E749" t="str" cm="1">
        <f t="array" ref="E749">INDEX('Linha 06'!$B$4:$B$1000,B749)</f>
        <v>Multi Uso Aquafast Squeeze Original Cx/12 X 500ml</v>
      </c>
      <c r="F749" cm="1">
        <f t="array" ref="F749">INDEX('Linha 06'!$C$3:$ZZ$3,C749)</f>
        <v>20110013</v>
      </c>
      <c r="G749" t="str" cm="1">
        <f t="array" ref="G749">INDEX('Linha 06'!$C$2:$ZZ$2,C749)</f>
        <v>Multi Uso Aquafast Squeeze Lavanda Cx/12 X 1l</v>
      </c>
      <c r="H749" s="5" cm="1">
        <f t="array" ref="H749">INDEX('Linha 06'!$C$4:$ZZ$1000,B749,C749)</f>
        <v>0</v>
      </c>
    </row>
    <row r="750" spans="1:8" x14ac:dyDescent="0.25">
      <c r="A750">
        <v>748</v>
      </c>
      <c r="B750">
        <f t="shared" si="22"/>
        <v>20</v>
      </c>
      <c r="C750">
        <f t="shared" si="23"/>
        <v>26</v>
      </c>
      <c r="D750" cm="1">
        <f t="array" ref="D750">INDEX('Linha 06'!$A$4:$A$1000,B750)</f>
        <v>20110002</v>
      </c>
      <c r="E750" t="str" cm="1">
        <f t="array" ref="E750">INDEX('Linha 06'!$B$4:$B$1000,B750)</f>
        <v>Multi Uso Aquafast Squeeze Original Cx/12 X 500ml</v>
      </c>
      <c r="F750" cm="1">
        <f t="array" ref="F750">INDEX('Linha 06'!$C$3:$ZZ$3,C750)</f>
        <v>20110022</v>
      </c>
      <c r="G750" t="str" cm="1">
        <f t="array" ref="G750">INDEX('Linha 06'!$C$2:$ZZ$2,C750)</f>
        <v>Intermed Pack Multi Uso Lavand C/Alcool Cx/18 X 500ml</v>
      </c>
      <c r="H750" s="5" cm="1">
        <f t="array" ref="H750">INDEX('Linha 06'!$C$4:$ZZ$1000,B750,C750)</f>
        <v>0</v>
      </c>
    </row>
    <row r="751" spans="1:8" x14ac:dyDescent="0.25">
      <c r="A751">
        <v>749</v>
      </c>
      <c r="B751">
        <f t="shared" si="22"/>
        <v>20</v>
      </c>
      <c r="C751">
        <f t="shared" si="23"/>
        <v>27</v>
      </c>
      <c r="D751" cm="1">
        <f t="array" ref="D751">INDEX('Linha 06'!$A$4:$A$1000,B751)</f>
        <v>20110002</v>
      </c>
      <c r="E751" t="str" cm="1">
        <f t="array" ref="E751">INDEX('Linha 06'!$B$4:$B$1000,B751)</f>
        <v>Multi Uso Aquafast Squeeze Original Cx/12 X 500ml</v>
      </c>
      <c r="F751" cm="1">
        <f t="array" ref="F751">INDEX('Linha 06'!$C$3:$ZZ$3,C751)</f>
        <v>20110023</v>
      </c>
      <c r="G751" t="str" cm="1">
        <f t="array" ref="G751">INDEX('Linha 06'!$C$2:$ZZ$2,C751)</f>
        <v>Multi Uso Aquafast Squeeze Cha Branco  Cx/12 X 500ml</v>
      </c>
      <c r="H751" s="5" cm="1">
        <f t="array" ref="H751">INDEX('Linha 06'!$C$4:$ZZ$1000,B751,C751)</f>
        <v>0</v>
      </c>
    </row>
    <row r="752" spans="1:8" x14ac:dyDescent="0.25">
      <c r="A752">
        <v>750</v>
      </c>
      <c r="B752">
        <f t="shared" si="22"/>
        <v>20</v>
      </c>
      <c r="C752">
        <f t="shared" si="23"/>
        <v>28</v>
      </c>
      <c r="D752" cm="1">
        <f t="array" ref="D752">INDEX('Linha 06'!$A$4:$A$1000,B752)</f>
        <v>20110002</v>
      </c>
      <c r="E752" t="str" cm="1">
        <f t="array" ref="E752">INDEX('Linha 06'!$B$4:$B$1000,B752)</f>
        <v>Multi Uso Aquafast Squeeze Original Cx/12 X 500ml</v>
      </c>
      <c r="F752" cm="1">
        <f t="array" ref="F752">INDEX('Linha 06'!$C$3:$ZZ$3,C752)</f>
        <v>20110024</v>
      </c>
      <c r="G752" t="str" cm="1">
        <f t="array" ref="G752">INDEX('Linha 06'!$C$2:$ZZ$2,C752)</f>
        <v>Multi Uso Aquafast Squeeze Cha Branco Cx12 X 1l</v>
      </c>
      <c r="H752" s="5" cm="1">
        <f t="array" ref="H752">INDEX('Linha 06'!$C$4:$ZZ$1000,B752,C752)</f>
        <v>0</v>
      </c>
    </row>
    <row r="753" spans="1:8" x14ac:dyDescent="0.25">
      <c r="A753">
        <v>751</v>
      </c>
      <c r="B753">
        <f t="shared" si="22"/>
        <v>20</v>
      </c>
      <c r="C753">
        <f t="shared" si="23"/>
        <v>29</v>
      </c>
      <c r="D753" cm="1">
        <f t="array" ref="D753">INDEX('Linha 06'!$A$4:$A$1000,B753)</f>
        <v>20110002</v>
      </c>
      <c r="E753" t="str" cm="1">
        <f t="array" ref="E753">INDEX('Linha 06'!$B$4:$B$1000,B753)</f>
        <v>Multi Uso Aquafast Squeeze Original Cx/12 X 500ml</v>
      </c>
      <c r="F753" cm="1">
        <f t="array" ref="F753">INDEX('Linha 06'!$C$3:$ZZ$3,C753)</f>
        <v>20110025</v>
      </c>
      <c r="G753" t="str" cm="1">
        <f t="array" ref="G753">INDEX('Linha 06'!$C$2:$ZZ$2,C753)</f>
        <v>Multi Uso Aquafast Pulverizador Original Cx/12 X 1l</v>
      </c>
      <c r="H753" s="5" cm="1">
        <f t="array" ref="H753">INDEX('Linha 06'!$C$4:$ZZ$1000,B753,C753)</f>
        <v>0</v>
      </c>
    </row>
    <row r="754" spans="1:8" x14ac:dyDescent="0.25">
      <c r="A754">
        <v>752</v>
      </c>
      <c r="B754">
        <f t="shared" si="22"/>
        <v>20</v>
      </c>
      <c r="C754">
        <f t="shared" si="23"/>
        <v>30</v>
      </c>
      <c r="D754" cm="1">
        <f t="array" ref="D754">INDEX('Linha 06'!$A$4:$A$1000,B754)</f>
        <v>20110002</v>
      </c>
      <c r="E754" t="str" cm="1">
        <f t="array" ref="E754">INDEX('Linha 06'!$B$4:$B$1000,B754)</f>
        <v>Multi Uso Aquafast Squeeze Original Cx/12 X 500ml</v>
      </c>
      <c r="F754" cm="1">
        <f t="array" ref="F754">INDEX('Linha 06'!$C$3:$ZZ$3,C754)</f>
        <v>20110026</v>
      </c>
      <c r="G754" t="str" cm="1">
        <f t="array" ref="G754">INDEX('Linha 06'!$C$2:$ZZ$2,C754)</f>
        <v>Multi Uso Aquafast Pulverizador Poder O2 Cx/12 X 1l</v>
      </c>
      <c r="H754" s="5" cm="1">
        <f t="array" ref="H754">INDEX('Linha 06'!$C$4:$ZZ$1000,B754,C754)</f>
        <v>0</v>
      </c>
    </row>
    <row r="755" spans="1:8" x14ac:dyDescent="0.25">
      <c r="A755">
        <v>753</v>
      </c>
      <c r="B755">
        <f t="shared" si="22"/>
        <v>20</v>
      </c>
      <c r="C755">
        <f t="shared" si="23"/>
        <v>31</v>
      </c>
      <c r="D755" cm="1">
        <f t="array" ref="D755">INDEX('Linha 06'!$A$4:$A$1000,B755)</f>
        <v>20110002</v>
      </c>
      <c r="E755" t="str" cm="1">
        <f t="array" ref="E755">INDEX('Linha 06'!$B$4:$B$1000,B755)</f>
        <v>Multi Uso Aquafast Squeeze Original Cx/12 X 500ml</v>
      </c>
      <c r="F755" cm="1">
        <f t="array" ref="F755">INDEX('Linha 06'!$C$3:$ZZ$3,C755)</f>
        <v>20110027</v>
      </c>
      <c r="G755" t="str" cm="1">
        <f t="array" ref="G755">INDEX('Linha 06'!$C$2:$ZZ$2,C755)</f>
        <v>Multi Uso Aquafast Pulverizador Poder O2 Cx/12 X 500ml</v>
      </c>
      <c r="H755" s="5" cm="1">
        <f t="array" ref="H755">INDEX('Linha 06'!$C$4:$ZZ$1000,B755,C755)</f>
        <v>0</v>
      </c>
    </row>
    <row r="756" spans="1:8" x14ac:dyDescent="0.25">
      <c r="A756">
        <v>754</v>
      </c>
      <c r="B756">
        <f t="shared" si="22"/>
        <v>20</v>
      </c>
      <c r="C756">
        <f t="shared" si="23"/>
        <v>32</v>
      </c>
      <c r="D756" cm="1">
        <f t="array" ref="D756">INDEX('Linha 06'!$A$4:$A$1000,B756)</f>
        <v>20110002</v>
      </c>
      <c r="E756" t="str" cm="1">
        <f t="array" ref="E756">INDEX('Linha 06'!$B$4:$B$1000,B756)</f>
        <v>Multi Uso Aquafast Squeeze Original Cx/12 X 500ml</v>
      </c>
      <c r="F756" cm="1">
        <f t="array" ref="F756">INDEX('Linha 06'!$C$3:$ZZ$3,C756)</f>
        <v>20200073</v>
      </c>
      <c r="G756" t="str" cm="1">
        <f t="array" ref="G756">INDEX('Linha 06'!$C$2:$ZZ$2,C756)</f>
        <v>Lava Roupas Aquafast Lavagem Rapida Total Clean Cx/9 X 1,5l</v>
      </c>
      <c r="H756" s="5" cm="1">
        <f t="array" ref="H756">INDEX('Linha 06'!$C$4:$ZZ$1000,B756,C756)</f>
        <v>0</v>
      </c>
    </row>
    <row r="757" spans="1:8" x14ac:dyDescent="0.25">
      <c r="A757">
        <v>755</v>
      </c>
      <c r="B757">
        <f t="shared" si="22"/>
        <v>20</v>
      </c>
      <c r="C757">
        <f t="shared" si="23"/>
        <v>33</v>
      </c>
      <c r="D757" cm="1">
        <f t="array" ref="D757">INDEX('Linha 06'!$A$4:$A$1000,B757)</f>
        <v>20110002</v>
      </c>
      <c r="E757" t="str" cm="1">
        <f t="array" ref="E757">INDEX('Linha 06'!$B$4:$B$1000,B757)</f>
        <v>Multi Uso Aquafast Squeeze Original Cx/12 X 500ml</v>
      </c>
      <c r="F757" cm="1">
        <f t="array" ref="F757">INDEX('Linha 06'!$C$3:$ZZ$3,C757)</f>
        <v>20200075</v>
      </c>
      <c r="G757" t="str" cm="1">
        <f t="array" ref="G757">INDEX('Linha 06'!$C$2:$ZZ$2,C757)</f>
        <v>Lava Roupas Aquafast Lavagem Rapida Fresh Clean Cx/9 X 1,5l</v>
      </c>
      <c r="H757" s="5" cm="1">
        <f t="array" ref="H757">INDEX('Linha 06'!$C$4:$ZZ$1000,B757,C757)</f>
        <v>0</v>
      </c>
    </row>
    <row r="758" spans="1:8" x14ac:dyDescent="0.25">
      <c r="A758">
        <v>756</v>
      </c>
      <c r="B758">
        <f t="shared" si="22"/>
        <v>20</v>
      </c>
      <c r="C758">
        <f t="shared" si="23"/>
        <v>34</v>
      </c>
      <c r="D758" cm="1">
        <f t="array" ref="D758">INDEX('Linha 06'!$A$4:$A$1000,B758)</f>
        <v>20110002</v>
      </c>
      <c r="E758" t="str" cm="1">
        <f t="array" ref="E758">INDEX('Linha 06'!$B$4:$B$1000,B758)</f>
        <v>Multi Uso Aquafast Squeeze Original Cx/12 X 500ml</v>
      </c>
      <c r="F758" cm="1">
        <f t="array" ref="F758">INDEX('Linha 06'!$C$3:$ZZ$3,C758)</f>
        <v>20220018</v>
      </c>
      <c r="G758" t="str" cm="1">
        <f t="array" ref="G758">INDEX('Linha 06'!$C$2:$ZZ$2,C758)</f>
        <v>Intermed. Aromat. Amoras E Baunilha Cx C/ 12un 250ml</v>
      </c>
      <c r="H758" s="5" cm="1">
        <f t="array" ref="H758">INDEX('Linha 06'!$C$4:$ZZ$1000,B758,C758)</f>
        <v>0</v>
      </c>
    </row>
    <row r="759" spans="1:8" x14ac:dyDescent="0.25">
      <c r="A759">
        <v>757</v>
      </c>
      <c r="B759">
        <f t="shared" si="22"/>
        <v>20</v>
      </c>
      <c r="C759">
        <f t="shared" si="23"/>
        <v>35</v>
      </c>
      <c r="D759" cm="1">
        <f t="array" ref="D759">INDEX('Linha 06'!$A$4:$A$1000,B759)</f>
        <v>20110002</v>
      </c>
      <c r="E759" t="str" cm="1">
        <f t="array" ref="E759">INDEX('Linha 06'!$B$4:$B$1000,B759)</f>
        <v>Multi Uso Aquafast Squeeze Original Cx/12 X 500ml</v>
      </c>
      <c r="F759" cm="1">
        <f t="array" ref="F759">INDEX('Linha 06'!$C$3:$ZZ$3,C759)</f>
        <v>20220019</v>
      </c>
      <c r="G759" t="str" cm="1">
        <f t="array" ref="G759">INDEX('Linha 06'!$C$2:$ZZ$2,C759)</f>
        <v>Intermed. Aromat. Figo E Cedro Cx C/ 12un 250ml</v>
      </c>
      <c r="H759" s="5" cm="1">
        <f t="array" ref="H759">INDEX('Linha 06'!$C$4:$ZZ$1000,B759,C759)</f>
        <v>0</v>
      </c>
    </row>
    <row r="760" spans="1:8" x14ac:dyDescent="0.25">
      <c r="A760">
        <v>758</v>
      </c>
      <c r="B760">
        <f t="shared" si="22"/>
        <v>20</v>
      </c>
      <c r="C760">
        <f t="shared" si="23"/>
        <v>36</v>
      </c>
      <c r="D760" cm="1">
        <f t="array" ref="D760">INDEX('Linha 06'!$A$4:$A$1000,B760)</f>
        <v>20110002</v>
      </c>
      <c r="E760" t="str" cm="1">
        <f t="array" ref="E760">INDEX('Linha 06'!$B$4:$B$1000,B760)</f>
        <v>Multi Uso Aquafast Squeeze Original Cx/12 X 500ml</v>
      </c>
      <c r="F760" cm="1">
        <f t="array" ref="F760">INDEX('Linha 06'!$C$3:$ZZ$3,C760)</f>
        <v>20220020</v>
      </c>
      <c r="G760" t="str" cm="1">
        <f t="array" ref="G760">INDEX('Linha 06'!$C$2:$ZZ$2,C760)</f>
        <v>Intermed. Aromat. Rosas E Magnolias Cx C/ 12un 250ml</v>
      </c>
      <c r="H760" s="5" cm="1">
        <f t="array" ref="H760">INDEX('Linha 06'!$C$4:$ZZ$1000,B760,C760)</f>
        <v>0</v>
      </c>
    </row>
    <row r="761" spans="1:8" x14ac:dyDescent="0.25">
      <c r="A761">
        <v>759</v>
      </c>
      <c r="B761">
        <f t="shared" si="22"/>
        <v>20</v>
      </c>
      <c r="C761">
        <f t="shared" si="23"/>
        <v>37</v>
      </c>
      <c r="D761" cm="1">
        <f t="array" ref="D761">INDEX('Linha 06'!$A$4:$A$1000,B761)</f>
        <v>20110002</v>
      </c>
      <c r="E761" t="str" cm="1">
        <f t="array" ref="E761">INDEX('Linha 06'!$B$4:$B$1000,B761)</f>
        <v>Multi Uso Aquafast Squeeze Original Cx/12 X 500ml</v>
      </c>
      <c r="F761" cm="1">
        <f t="array" ref="F761">INDEX('Linha 06'!$C$3:$ZZ$3,C761)</f>
        <v>20220021</v>
      </c>
      <c r="G761" t="str" cm="1">
        <f t="array" ref="G761">INDEX('Linha 06'!$C$2:$ZZ$2,C761)</f>
        <v>Intermed. Aromat. Flores Exoticas Cx C/ 12un 250ml</v>
      </c>
      <c r="H761" s="5" cm="1">
        <f t="array" ref="H761">INDEX('Linha 06'!$C$4:$ZZ$1000,B761,C761)</f>
        <v>0</v>
      </c>
    </row>
    <row r="762" spans="1:8" x14ac:dyDescent="0.25">
      <c r="A762">
        <v>760</v>
      </c>
      <c r="B762">
        <f t="shared" si="22"/>
        <v>20</v>
      </c>
      <c r="C762">
        <f t="shared" si="23"/>
        <v>38</v>
      </c>
      <c r="D762" cm="1">
        <f t="array" ref="D762">INDEX('Linha 06'!$A$4:$A$1000,B762)</f>
        <v>20110002</v>
      </c>
      <c r="E762" t="str" cm="1">
        <f t="array" ref="E762">INDEX('Linha 06'!$B$4:$B$1000,B762)</f>
        <v>Multi Uso Aquafast Squeeze Original Cx/12 X 500ml</v>
      </c>
      <c r="F762" cm="1">
        <f t="array" ref="F762">INDEX('Linha 06'!$C$3:$ZZ$3,C762)</f>
        <v>20220022</v>
      </c>
      <c r="G762" t="str" cm="1">
        <f t="array" ref="G762">INDEX('Linha 06'!$C$2:$ZZ$2,C762)</f>
        <v>Intermed. Aromat. Cha Verde E Grapef Cx C/ 12un 250ml</v>
      </c>
      <c r="H762" s="5" cm="1">
        <f t="array" ref="H762">INDEX('Linha 06'!$C$4:$ZZ$1000,B762,C762)</f>
        <v>0</v>
      </c>
    </row>
    <row r="763" spans="1:8" x14ac:dyDescent="0.25">
      <c r="A763">
        <v>761</v>
      </c>
      <c r="B763">
        <f t="shared" si="22"/>
        <v>21</v>
      </c>
      <c r="C763">
        <f t="shared" si="23"/>
        <v>1</v>
      </c>
      <c r="D763" cm="1">
        <f t="array" ref="D763">INDEX('Linha 06'!$A$4:$A$1000,B763)</f>
        <v>20110004</v>
      </c>
      <c r="E763" t="str" cm="1">
        <f t="array" ref="E763">INDEX('Linha 06'!$B$4:$B$1000,B763)</f>
        <v>Multi Uso Aquafast Squeeze Lavanda Cx/12 X 500ml</v>
      </c>
      <c r="F763" cm="1">
        <f t="array" ref="F763">INDEX('Linha 06'!$C$3:$ZZ$3,C763)</f>
        <v>20060001</v>
      </c>
      <c r="G763" t="str" cm="1">
        <f t="array" ref="G763">INDEX('Linha 06'!$C$2:$ZZ$2,C763)</f>
        <v>Limp Perf Aquafast Magia Seducao Cx/12 X 500ml</v>
      </c>
      <c r="H763" s="5" cm="1">
        <f t="array" ref="H763">INDEX('Linha 06'!$C$4:$ZZ$1000,B763,C763)</f>
        <v>0</v>
      </c>
    </row>
    <row r="764" spans="1:8" x14ac:dyDescent="0.25">
      <c r="A764">
        <v>762</v>
      </c>
      <c r="B764">
        <f t="shared" si="22"/>
        <v>21</v>
      </c>
      <c r="C764">
        <f t="shared" si="23"/>
        <v>2</v>
      </c>
      <c r="D764" cm="1">
        <f t="array" ref="D764">INDEX('Linha 06'!$A$4:$A$1000,B764)</f>
        <v>20110004</v>
      </c>
      <c r="E764" t="str" cm="1">
        <f t="array" ref="E764">INDEX('Linha 06'!$B$4:$B$1000,B764)</f>
        <v>Multi Uso Aquafast Squeeze Lavanda Cx/12 X 500ml</v>
      </c>
      <c r="F764" cm="1">
        <f t="array" ref="F764">INDEX('Linha 06'!$C$3:$ZZ$3,C764)</f>
        <v>20060004</v>
      </c>
      <c r="G764" t="str" cm="1">
        <f t="array" ref="G764">INDEX('Linha 06'!$C$2:$ZZ$2,C764)</f>
        <v>Limp Perf Aquafast Magia Seducao Cx/12 X 1l</v>
      </c>
      <c r="H764" s="5" cm="1">
        <f t="array" ref="H764">INDEX('Linha 06'!$C$4:$ZZ$1000,B764,C764)</f>
        <v>0</v>
      </c>
    </row>
    <row r="765" spans="1:8" x14ac:dyDescent="0.25">
      <c r="A765">
        <v>763</v>
      </c>
      <c r="B765">
        <f t="shared" si="22"/>
        <v>21</v>
      </c>
      <c r="C765">
        <f t="shared" si="23"/>
        <v>3</v>
      </c>
      <c r="D765" cm="1">
        <f t="array" ref="D765">INDEX('Linha 06'!$A$4:$A$1000,B765)</f>
        <v>20110004</v>
      </c>
      <c r="E765" t="str" cm="1">
        <f t="array" ref="E765">INDEX('Linha 06'!$B$4:$B$1000,B765)</f>
        <v>Multi Uso Aquafast Squeeze Lavanda Cx/12 X 500ml</v>
      </c>
      <c r="F765" cm="1">
        <f t="array" ref="F765">INDEX('Linha 06'!$C$3:$ZZ$3,C765)</f>
        <v>20060010</v>
      </c>
      <c r="G765" t="str" cm="1">
        <f t="array" ref="G765">INDEX('Linha 06'!$C$2:$ZZ$2,C765)</f>
        <v>Limp Perf Aquafast Magia Da Infancia Cx/12 X 500ml</v>
      </c>
      <c r="H765" s="5" cm="1">
        <f t="array" ref="H765">INDEX('Linha 06'!$C$4:$ZZ$1000,B765,C765)</f>
        <v>0</v>
      </c>
    </row>
    <row r="766" spans="1:8" x14ac:dyDescent="0.25">
      <c r="A766">
        <v>764</v>
      </c>
      <c r="B766">
        <f t="shared" si="22"/>
        <v>21</v>
      </c>
      <c r="C766">
        <f t="shared" si="23"/>
        <v>4</v>
      </c>
      <c r="D766" cm="1">
        <f t="array" ref="D766">INDEX('Linha 06'!$A$4:$A$1000,B766)</f>
        <v>20110004</v>
      </c>
      <c r="E766" t="str" cm="1">
        <f t="array" ref="E766">INDEX('Linha 06'!$B$4:$B$1000,B766)</f>
        <v>Multi Uso Aquafast Squeeze Lavanda Cx/12 X 500ml</v>
      </c>
      <c r="F766" cm="1">
        <f t="array" ref="F766">INDEX('Linha 06'!$C$3:$ZZ$3,C766)</f>
        <v>20060011</v>
      </c>
      <c r="G766" t="str" cm="1">
        <f t="array" ref="G766">INDEX('Linha 06'!$C$2:$ZZ$2,C766)</f>
        <v>Limp Perf Aquafast Frescor Da Manha Cx/12 X 500ml</v>
      </c>
      <c r="H766" s="5" cm="1">
        <f t="array" ref="H766">INDEX('Linha 06'!$C$4:$ZZ$1000,B766,C766)</f>
        <v>0</v>
      </c>
    </row>
    <row r="767" spans="1:8" x14ac:dyDescent="0.25">
      <c r="A767">
        <v>765</v>
      </c>
      <c r="B767">
        <f t="shared" si="22"/>
        <v>21</v>
      </c>
      <c r="C767">
        <f t="shared" si="23"/>
        <v>5</v>
      </c>
      <c r="D767" cm="1">
        <f t="array" ref="D767">INDEX('Linha 06'!$A$4:$A$1000,B767)</f>
        <v>20110004</v>
      </c>
      <c r="E767" t="str" cm="1">
        <f t="array" ref="E767">INDEX('Linha 06'!$B$4:$B$1000,B767)</f>
        <v>Multi Uso Aquafast Squeeze Lavanda Cx/12 X 500ml</v>
      </c>
      <c r="F767" cm="1">
        <f t="array" ref="F767">INDEX('Linha 06'!$C$3:$ZZ$3,C767)</f>
        <v>20060012</v>
      </c>
      <c r="G767" t="str" cm="1">
        <f t="array" ref="G767">INDEX('Linha 06'!$C$2:$ZZ$2,C767)</f>
        <v>Limp Perf Aquafast Magia Da Infancia Cx/12 X 1l</v>
      </c>
      <c r="H767" s="5" cm="1">
        <f t="array" ref="H767">INDEX('Linha 06'!$C$4:$ZZ$1000,B767,C767)</f>
        <v>0</v>
      </c>
    </row>
    <row r="768" spans="1:8" x14ac:dyDescent="0.25">
      <c r="A768">
        <v>766</v>
      </c>
      <c r="B768">
        <f t="shared" si="22"/>
        <v>21</v>
      </c>
      <c r="C768">
        <f t="shared" si="23"/>
        <v>6</v>
      </c>
      <c r="D768" cm="1">
        <f t="array" ref="D768">INDEX('Linha 06'!$A$4:$A$1000,B768)</f>
        <v>20110004</v>
      </c>
      <c r="E768" t="str" cm="1">
        <f t="array" ref="E768">INDEX('Linha 06'!$B$4:$B$1000,B768)</f>
        <v>Multi Uso Aquafast Squeeze Lavanda Cx/12 X 500ml</v>
      </c>
      <c r="F768" cm="1">
        <f t="array" ref="F768">INDEX('Linha 06'!$C$3:$ZZ$3,C768)</f>
        <v>20060013</v>
      </c>
      <c r="G768" t="str" cm="1">
        <f t="array" ref="G768">INDEX('Linha 06'!$C$2:$ZZ$2,C768)</f>
        <v>Limp Perf Aquafast Frescor Da Manha Cx/12 X 1l</v>
      </c>
      <c r="H768" s="5" cm="1">
        <f t="array" ref="H768">INDEX('Linha 06'!$C$4:$ZZ$1000,B768,C768)</f>
        <v>0</v>
      </c>
    </row>
    <row r="769" spans="1:8" x14ac:dyDescent="0.25">
      <c r="A769">
        <v>767</v>
      </c>
      <c r="B769">
        <f t="shared" si="22"/>
        <v>21</v>
      </c>
      <c r="C769">
        <f t="shared" si="23"/>
        <v>7</v>
      </c>
      <c r="D769" cm="1">
        <f t="array" ref="D769">INDEX('Linha 06'!$A$4:$A$1000,B769)</f>
        <v>20110004</v>
      </c>
      <c r="E769" t="str" cm="1">
        <f t="array" ref="E769">INDEX('Linha 06'!$B$4:$B$1000,B769)</f>
        <v>Multi Uso Aquafast Squeeze Lavanda Cx/12 X 500ml</v>
      </c>
      <c r="F769" cm="1">
        <f t="array" ref="F769">INDEX('Linha 06'!$C$3:$ZZ$3,C769)</f>
        <v>20060015</v>
      </c>
      <c r="G769" t="str" cm="1">
        <f t="array" ref="G769">INDEX('Linha 06'!$C$2:$ZZ$2,C769)</f>
        <v>Limp Perf Aquafast Doce Romance Cx/12 X 500ml</v>
      </c>
      <c r="H769" s="5" cm="1">
        <f t="array" ref="H769">INDEX('Linha 06'!$C$4:$ZZ$1000,B769,C769)</f>
        <v>0</v>
      </c>
    </row>
    <row r="770" spans="1:8" x14ac:dyDescent="0.25">
      <c r="A770">
        <v>768</v>
      </c>
      <c r="B770">
        <f t="shared" si="22"/>
        <v>21</v>
      </c>
      <c r="C770">
        <f t="shared" si="23"/>
        <v>8</v>
      </c>
      <c r="D770" cm="1">
        <f t="array" ref="D770">INDEX('Linha 06'!$A$4:$A$1000,B770)</f>
        <v>20110004</v>
      </c>
      <c r="E770" t="str" cm="1">
        <f t="array" ref="E770">INDEX('Linha 06'!$B$4:$B$1000,B770)</f>
        <v>Multi Uso Aquafast Squeeze Lavanda Cx/12 X 500ml</v>
      </c>
      <c r="F770" cm="1">
        <f t="array" ref="F770">INDEX('Linha 06'!$C$3:$ZZ$3,C770)</f>
        <v>20060016</v>
      </c>
      <c r="G770" t="str" cm="1">
        <f t="array" ref="G770">INDEX('Linha 06'!$C$2:$ZZ$2,C770)</f>
        <v>Limp Perf Aquafast Doce Romance Cx/12 X 1l</v>
      </c>
      <c r="H770" s="5" cm="1">
        <f t="array" ref="H770">INDEX('Linha 06'!$C$4:$ZZ$1000,B770,C770)</f>
        <v>0</v>
      </c>
    </row>
    <row r="771" spans="1:8" x14ac:dyDescent="0.25">
      <c r="A771">
        <v>769</v>
      </c>
      <c r="B771">
        <f t="shared" si="22"/>
        <v>21</v>
      </c>
      <c r="C771">
        <f t="shared" si="23"/>
        <v>9</v>
      </c>
      <c r="D771" cm="1">
        <f t="array" ref="D771">INDEX('Linha 06'!$A$4:$A$1000,B771)</f>
        <v>20110004</v>
      </c>
      <c r="E771" t="str" cm="1">
        <f t="array" ref="E771">INDEX('Linha 06'!$B$4:$B$1000,B771)</f>
        <v>Multi Uso Aquafast Squeeze Lavanda Cx/12 X 500ml</v>
      </c>
      <c r="F771" cm="1">
        <f t="array" ref="F771">INDEX('Linha 06'!$C$3:$ZZ$3,C771)</f>
        <v>20060027</v>
      </c>
      <c r="G771" t="str" cm="1">
        <f t="array" ref="G771">INDEX('Linha 06'!$C$2:$ZZ$2,C771)</f>
        <v>Limp Perf Aquafast Essencia Natural Cx/12 X 1l</v>
      </c>
      <c r="H771" s="5" cm="1">
        <f t="array" ref="H771">INDEX('Linha 06'!$C$4:$ZZ$1000,B771,C771)</f>
        <v>0</v>
      </c>
    </row>
    <row r="772" spans="1:8" x14ac:dyDescent="0.25">
      <c r="A772">
        <v>770</v>
      </c>
      <c r="B772">
        <f t="shared" ref="B772:B835" si="24">INT((A772-1)/$B$1)+1</f>
        <v>21</v>
      </c>
      <c r="C772">
        <f t="shared" ref="C772:C835" si="25">MOD(A772-1,$B$1)+1</f>
        <v>10</v>
      </c>
      <c r="D772" cm="1">
        <f t="array" ref="D772">INDEX('Linha 06'!$A$4:$A$1000,B772)</f>
        <v>20110004</v>
      </c>
      <c r="E772" t="str" cm="1">
        <f t="array" ref="E772">INDEX('Linha 06'!$B$4:$B$1000,B772)</f>
        <v>Multi Uso Aquafast Squeeze Lavanda Cx/12 X 500ml</v>
      </c>
      <c r="F772" cm="1">
        <f t="array" ref="F772">INDEX('Linha 06'!$C$3:$ZZ$3,C772)</f>
        <v>20070001</v>
      </c>
      <c r="G772" t="str" cm="1">
        <f t="array" ref="G772">INDEX('Linha 06'!$C$2:$ZZ$2,C772)</f>
        <v>Limpa Vidros Aquafast Pulverizador Cx/12 X 500ml</v>
      </c>
      <c r="H772" s="5" cm="1">
        <f t="array" ref="H772">INDEX('Linha 06'!$C$4:$ZZ$1000,B772,C772)</f>
        <v>0</v>
      </c>
    </row>
    <row r="773" spans="1:8" x14ac:dyDescent="0.25">
      <c r="A773">
        <v>771</v>
      </c>
      <c r="B773">
        <f t="shared" si="24"/>
        <v>21</v>
      </c>
      <c r="C773">
        <f t="shared" si="25"/>
        <v>11</v>
      </c>
      <c r="D773" cm="1">
        <f t="array" ref="D773">INDEX('Linha 06'!$A$4:$A$1000,B773)</f>
        <v>20110004</v>
      </c>
      <c r="E773" t="str" cm="1">
        <f t="array" ref="E773">INDEX('Linha 06'!$B$4:$B$1000,B773)</f>
        <v>Multi Uso Aquafast Squeeze Lavanda Cx/12 X 500ml</v>
      </c>
      <c r="F773" cm="1">
        <f t="array" ref="F773">INDEX('Linha 06'!$C$3:$ZZ$3,C773)</f>
        <v>20070002</v>
      </c>
      <c r="G773" t="str" cm="1">
        <f t="array" ref="G773">INDEX('Linha 06'!$C$2:$ZZ$2,C773)</f>
        <v>Limpa Vidros Aquafast Recarga Cx/12 X 500ml</v>
      </c>
      <c r="H773" s="5" cm="1">
        <f t="array" ref="H773">INDEX('Linha 06'!$C$4:$ZZ$1000,B773,C773)</f>
        <v>0</v>
      </c>
    </row>
    <row r="774" spans="1:8" x14ac:dyDescent="0.25">
      <c r="A774">
        <v>772</v>
      </c>
      <c r="B774">
        <f t="shared" si="24"/>
        <v>21</v>
      </c>
      <c r="C774">
        <f t="shared" si="25"/>
        <v>12</v>
      </c>
      <c r="D774" cm="1">
        <f t="array" ref="D774">INDEX('Linha 06'!$A$4:$A$1000,B774)</f>
        <v>20110004</v>
      </c>
      <c r="E774" t="str" cm="1">
        <f t="array" ref="E774">INDEX('Linha 06'!$B$4:$B$1000,B774)</f>
        <v>Multi Uso Aquafast Squeeze Lavanda Cx/12 X 500ml</v>
      </c>
      <c r="F774" cm="1">
        <f t="array" ref="F774">INDEX('Linha 06'!$C$3:$ZZ$3,C774)</f>
        <v>20070006</v>
      </c>
      <c r="G774" t="str" cm="1">
        <f t="array" ref="G774">INDEX('Linha 06'!$C$2:$ZZ$2,C774)</f>
        <v>Limpa Vidros Ito Pulverizador Cx/12 X 500ml</v>
      </c>
      <c r="H774" s="5" cm="1">
        <f t="array" ref="H774">INDEX('Linha 06'!$C$4:$ZZ$1000,B774,C774)</f>
        <v>0</v>
      </c>
    </row>
    <row r="775" spans="1:8" x14ac:dyDescent="0.25">
      <c r="A775">
        <v>773</v>
      </c>
      <c r="B775">
        <f t="shared" si="24"/>
        <v>21</v>
      </c>
      <c r="C775">
        <f t="shared" si="25"/>
        <v>13</v>
      </c>
      <c r="D775" cm="1">
        <f t="array" ref="D775">INDEX('Linha 06'!$A$4:$A$1000,B775)</f>
        <v>20110004</v>
      </c>
      <c r="E775" t="str" cm="1">
        <f t="array" ref="E775">INDEX('Linha 06'!$B$4:$B$1000,B775)</f>
        <v>Multi Uso Aquafast Squeeze Lavanda Cx/12 X 500ml</v>
      </c>
      <c r="F775" cm="1">
        <f t="array" ref="F775">INDEX('Linha 06'!$C$3:$ZZ$3,C775)</f>
        <v>20070007</v>
      </c>
      <c r="G775" t="str" cm="1">
        <f t="array" ref="G775">INDEX('Linha 06'!$C$2:$ZZ$2,C775)</f>
        <v>Limpa Vidros Ito Recarga Cx/12 X 500ml</v>
      </c>
      <c r="H775" s="5" cm="1">
        <f t="array" ref="H775">INDEX('Linha 06'!$C$4:$ZZ$1000,B775,C775)</f>
        <v>0</v>
      </c>
    </row>
    <row r="776" spans="1:8" x14ac:dyDescent="0.25">
      <c r="A776">
        <v>774</v>
      </c>
      <c r="B776">
        <f t="shared" si="24"/>
        <v>21</v>
      </c>
      <c r="C776">
        <f t="shared" si="25"/>
        <v>14</v>
      </c>
      <c r="D776" cm="1">
        <f t="array" ref="D776">INDEX('Linha 06'!$A$4:$A$1000,B776)</f>
        <v>20110004</v>
      </c>
      <c r="E776" t="str" cm="1">
        <f t="array" ref="E776">INDEX('Linha 06'!$B$4:$B$1000,B776)</f>
        <v>Multi Uso Aquafast Squeeze Lavanda Cx/12 X 500ml</v>
      </c>
      <c r="F776" cm="1">
        <f t="array" ref="F776">INDEX('Linha 06'!$C$3:$ZZ$3,C776)</f>
        <v>20070008</v>
      </c>
      <c r="G776" t="str" cm="1">
        <f t="array" ref="G776">INDEX('Linha 06'!$C$2:$ZZ$2,C776)</f>
        <v>Limpa Vidros Aquafast Squeeze Cx/12 X 500ml</v>
      </c>
      <c r="H776" s="5" cm="1">
        <f t="array" ref="H776">INDEX('Linha 06'!$C$4:$ZZ$1000,B776,C776)</f>
        <v>0</v>
      </c>
    </row>
    <row r="777" spans="1:8" x14ac:dyDescent="0.25">
      <c r="A777">
        <v>775</v>
      </c>
      <c r="B777">
        <f t="shared" si="24"/>
        <v>21</v>
      </c>
      <c r="C777">
        <f t="shared" si="25"/>
        <v>15</v>
      </c>
      <c r="D777" cm="1">
        <f t="array" ref="D777">INDEX('Linha 06'!$A$4:$A$1000,B777)</f>
        <v>20110004</v>
      </c>
      <c r="E777" t="str" cm="1">
        <f t="array" ref="E777">INDEX('Linha 06'!$B$4:$B$1000,B777)</f>
        <v>Multi Uso Aquafast Squeeze Lavanda Cx/12 X 500ml</v>
      </c>
      <c r="F777" cm="1">
        <f t="array" ref="F777">INDEX('Linha 06'!$C$3:$ZZ$3,C777)</f>
        <v>20090001</v>
      </c>
      <c r="G777" t="str" cm="1">
        <f t="array" ref="G777">INDEX('Linha 06'!$C$2:$ZZ$2,C777)</f>
        <v>Desengordurante Aquafast Pulverizador Cx/12 X 500ml</v>
      </c>
      <c r="H777" s="5" cm="1">
        <f t="array" ref="H777">INDEX('Linha 06'!$C$4:$ZZ$1000,B777,C777)</f>
        <v>0</v>
      </c>
    </row>
    <row r="778" spans="1:8" x14ac:dyDescent="0.25">
      <c r="A778">
        <v>776</v>
      </c>
      <c r="B778">
        <f t="shared" si="24"/>
        <v>21</v>
      </c>
      <c r="C778">
        <f t="shared" si="25"/>
        <v>16</v>
      </c>
      <c r="D778" cm="1">
        <f t="array" ref="D778">INDEX('Linha 06'!$A$4:$A$1000,B778)</f>
        <v>20110004</v>
      </c>
      <c r="E778" t="str" cm="1">
        <f t="array" ref="E778">INDEX('Linha 06'!$B$4:$B$1000,B778)</f>
        <v>Multi Uso Aquafast Squeeze Lavanda Cx/12 X 500ml</v>
      </c>
      <c r="F778" cm="1">
        <f t="array" ref="F778">INDEX('Linha 06'!$C$3:$ZZ$3,C778)</f>
        <v>20090002</v>
      </c>
      <c r="G778" t="str" cm="1">
        <f t="array" ref="G778">INDEX('Linha 06'!$C$2:$ZZ$2,C778)</f>
        <v>Desengordurante Aquafast Recarga Cx/12 X 500ml</v>
      </c>
      <c r="H778" s="5" cm="1">
        <f t="array" ref="H778">INDEX('Linha 06'!$C$4:$ZZ$1000,B778,C778)</f>
        <v>0</v>
      </c>
    </row>
    <row r="779" spans="1:8" x14ac:dyDescent="0.25">
      <c r="A779">
        <v>777</v>
      </c>
      <c r="B779">
        <f t="shared" si="24"/>
        <v>21</v>
      </c>
      <c r="C779">
        <f t="shared" si="25"/>
        <v>17</v>
      </c>
      <c r="D779" cm="1">
        <f t="array" ref="D779">INDEX('Linha 06'!$A$4:$A$1000,B779)</f>
        <v>20110004</v>
      </c>
      <c r="E779" t="str" cm="1">
        <f t="array" ref="E779">INDEX('Linha 06'!$B$4:$B$1000,B779)</f>
        <v>Multi Uso Aquafast Squeeze Lavanda Cx/12 X 500ml</v>
      </c>
      <c r="F779" cm="1">
        <f t="array" ref="F779">INDEX('Linha 06'!$C$3:$ZZ$3,C779)</f>
        <v>20090004</v>
      </c>
      <c r="G779" t="str" cm="1">
        <f t="array" ref="G779">INDEX('Linha 06'!$C$2:$ZZ$2,C779)</f>
        <v>Desengordurante Aquafast Squeeze Cx C/12 X 500ml</v>
      </c>
      <c r="H779" s="5" cm="1">
        <f t="array" ref="H779">INDEX('Linha 06'!$C$4:$ZZ$1000,B779,C779)</f>
        <v>0</v>
      </c>
    </row>
    <row r="780" spans="1:8" x14ac:dyDescent="0.25">
      <c r="A780">
        <v>778</v>
      </c>
      <c r="B780">
        <f t="shared" si="24"/>
        <v>21</v>
      </c>
      <c r="C780">
        <f t="shared" si="25"/>
        <v>18</v>
      </c>
      <c r="D780" cm="1">
        <f t="array" ref="D780">INDEX('Linha 06'!$A$4:$A$1000,B780)</f>
        <v>20110004</v>
      </c>
      <c r="E780" t="str" cm="1">
        <f t="array" ref="E780">INDEX('Linha 06'!$B$4:$B$1000,B780)</f>
        <v>Multi Uso Aquafast Squeeze Lavanda Cx/12 X 500ml</v>
      </c>
      <c r="F780" cm="1">
        <f t="array" ref="F780">INDEX('Linha 06'!$C$3:$ZZ$3,C780)</f>
        <v>20090005</v>
      </c>
      <c r="G780" t="str" cm="1">
        <f t="array" ref="G780">INDEX('Linha 06'!$C$2:$ZZ$2,C780)</f>
        <v>Desengordurante Aquafast Squeeze Cx C/12 X 1l</v>
      </c>
      <c r="H780" s="5" cm="1">
        <f t="array" ref="H780">INDEX('Linha 06'!$C$4:$ZZ$1000,B780,C780)</f>
        <v>0</v>
      </c>
    </row>
    <row r="781" spans="1:8" x14ac:dyDescent="0.25">
      <c r="A781">
        <v>779</v>
      </c>
      <c r="B781">
        <f t="shared" si="24"/>
        <v>21</v>
      </c>
      <c r="C781">
        <f t="shared" si="25"/>
        <v>19</v>
      </c>
      <c r="D781" cm="1">
        <f t="array" ref="D781">INDEX('Linha 06'!$A$4:$A$1000,B781)</f>
        <v>20110004</v>
      </c>
      <c r="E781" t="str" cm="1">
        <f t="array" ref="E781">INDEX('Linha 06'!$B$4:$B$1000,B781)</f>
        <v>Multi Uso Aquafast Squeeze Lavanda Cx/12 X 500ml</v>
      </c>
      <c r="F781" cm="1">
        <f t="array" ref="F781">INDEX('Linha 06'!$C$3:$ZZ$3,C781)</f>
        <v>20090010</v>
      </c>
      <c r="G781" t="str" cm="1">
        <f t="array" ref="G781">INDEX('Linha 06'!$C$2:$ZZ$2,C781)</f>
        <v>Intermed Pack Desengord Squeeze Cx C/18 X 500ml</v>
      </c>
      <c r="H781" s="5" cm="1">
        <f t="array" ref="H781">INDEX('Linha 06'!$C$4:$ZZ$1000,B781,C781)</f>
        <v>0</v>
      </c>
    </row>
    <row r="782" spans="1:8" x14ac:dyDescent="0.25">
      <c r="A782">
        <v>780</v>
      </c>
      <c r="B782">
        <f t="shared" si="24"/>
        <v>21</v>
      </c>
      <c r="C782">
        <f t="shared" si="25"/>
        <v>20</v>
      </c>
      <c r="D782" cm="1">
        <f t="array" ref="D782">INDEX('Linha 06'!$A$4:$A$1000,B782)</f>
        <v>20110004</v>
      </c>
      <c r="E782" t="str" cm="1">
        <f t="array" ref="E782">INDEX('Linha 06'!$B$4:$B$1000,B782)</f>
        <v>Multi Uso Aquafast Squeeze Lavanda Cx/12 X 500ml</v>
      </c>
      <c r="F782" cm="1">
        <f t="array" ref="F782">INDEX('Linha 06'!$C$3:$ZZ$3,C782)</f>
        <v>20110002</v>
      </c>
      <c r="G782" t="str" cm="1">
        <f t="array" ref="G782">INDEX('Linha 06'!$C$2:$ZZ$2,C782)</f>
        <v>Multi Uso Aquafast Squeeze Original Cx/12 X 500ml</v>
      </c>
      <c r="H782" s="5" cm="1">
        <f t="array" ref="H782">INDEX('Linha 06'!$C$4:$ZZ$1000,B782,C782)</f>
        <v>0</v>
      </c>
    </row>
    <row r="783" spans="1:8" x14ac:dyDescent="0.25">
      <c r="A783">
        <v>781</v>
      </c>
      <c r="B783">
        <f t="shared" si="24"/>
        <v>21</v>
      </c>
      <c r="C783">
        <f t="shared" si="25"/>
        <v>21</v>
      </c>
      <c r="D783" cm="1">
        <f t="array" ref="D783">INDEX('Linha 06'!$A$4:$A$1000,B783)</f>
        <v>20110004</v>
      </c>
      <c r="E783" t="str" cm="1">
        <f t="array" ref="E783">INDEX('Linha 06'!$B$4:$B$1000,B783)</f>
        <v>Multi Uso Aquafast Squeeze Lavanda Cx/12 X 500ml</v>
      </c>
      <c r="F783" cm="1">
        <f t="array" ref="F783">INDEX('Linha 06'!$C$3:$ZZ$3,C783)</f>
        <v>20110004</v>
      </c>
      <c r="G783" t="str" cm="1">
        <f t="array" ref="G783">INDEX('Linha 06'!$C$2:$ZZ$2,C783)</f>
        <v>Multi Uso Aquafast Squeeze Lavanda Cx/12 X 500ml</v>
      </c>
      <c r="H783" s="5" cm="1">
        <f t="array" ref="H783">INDEX('Linha 06'!$C$4:$ZZ$1000,B783,C783)</f>
        <v>0</v>
      </c>
    </row>
    <row r="784" spans="1:8" x14ac:dyDescent="0.25">
      <c r="A784">
        <v>782</v>
      </c>
      <c r="B784">
        <f t="shared" si="24"/>
        <v>21</v>
      </c>
      <c r="C784">
        <f t="shared" si="25"/>
        <v>22</v>
      </c>
      <c r="D784" cm="1">
        <f t="array" ref="D784">INDEX('Linha 06'!$A$4:$A$1000,B784)</f>
        <v>20110004</v>
      </c>
      <c r="E784" t="str" cm="1">
        <f t="array" ref="E784">INDEX('Linha 06'!$B$4:$B$1000,B784)</f>
        <v>Multi Uso Aquafast Squeeze Lavanda Cx/12 X 500ml</v>
      </c>
      <c r="F784" cm="1">
        <f t="array" ref="F784">INDEX('Linha 06'!$C$3:$ZZ$3,C784)</f>
        <v>20110007</v>
      </c>
      <c r="G784" t="str" cm="1">
        <f t="array" ref="G784">INDEX('Linha 06'!$C$2:$ZZ$2,C784)</f>
        <v>Multi Uso Aquafast Squeeze Seducao Cx/12 X 500ml</v>
      </c>
      <c r="H784" s="5" cm="1">
        <f t="array" ref="H784">INDEX('Linha 06'!$C$4:$ZZ$1000,B784,C784)</f>
        <v>0</v>
      </c>
    </row>
    <row r="785" spans="1:8" x14ac:dyDescent="0.25">
      <c r="A785">
        <v>783</v>
      </c>
      <c r="B785">
        <f t="shared" si="24"/>
        <v>21</v>
      </c>
      <c r="C785">
        <f t="shared" si="25"/>
        <v>23</v>
      </c>
      <c r="D785" cm="1">
        <f t="array" ref="D785">INDEX('Linha 06'!$A$4:$A$1000,B785)</f>
        <v>20110004</v>
      </c>
      <c r="E785" t="str" cm="1">
        <f t="array" ref="E785">INDEX('Linha 06'!$B$4:$B$1000,B785)</f>
        <v>Multi Uso Aquafast Squeeze Lavanda Cx/12 X 500ml</v>
      </c>
      <c r="F785" cm="1">
        <f t="array" ref="F785">INDEX('Linha 06'!$C$3:$ZZ$3,C785)</f>
        <v>20110008</v>
      </c>
      <c r="G785" t="str" cm="1">
        <f t="array" ref="G785">INDEX('Linha 06'!$C$2:$ZZ$2,C785)</f>
        <v>Multi Uso Aquafast Squeeze Original Cx/12 X 1l</v>
      </c>
      <c r="H785" s="5" cm="1">
        <f t="array" ref="H785">INDEX('Linha 06'!$C$4:$ZZ$1000,B785,C785)</f>
        <v>0</v>
      </c>
    </row>
    <row r="786" spans="1:8" x14ac:dyDescent="0.25">
      <c r="A786">
        <v>784</v>
      </c>
      <c r="B786">
        <f t="shared" si="24"/>
        <v>21</v>
      </c>
      <c r="C786">
        <f t="shared" si="25"/>
        <v>24</v>
      </c>
      <c r="D786" cm="1">
        <f t="array" ref="D786">INDEX('Linha 06'!$A$4:$A$1000,B786)</f>
        <v>20110004</v>
      </c>
      <c r="E786" t="str" cm="1">
        <f t="array" ref="E786">INDEX('Linha 06'!$B$4:$B$1000,B786)</f>
        <v>Multi Uso Aquafast Squeeze Lavanda Cx/12 X 500ml</v>
      </c>
      <c r="F786" cm="1">
        <f t="array" ref="F786">INDEX('Linha 06'!$C$3:$ZZ$3,C786)</f>
        <v>20110010</v>
      </c>
      <c r="G786" t="str" cm="1">
        <f t="array" ref="G786">INDEX('Linha 06'!$C$2:$ZZ$2,C786)</f>
        <v>Multi Uso Aquafast Squeeze Seducao Cx/12 1l</v>
      </c>
      <c r="H786" s="5" cm="1">
        <f t="array" ref="H786">INDEX('Linha 06'!$C$4:$ZZ$1000,B786,C786)</f>
        <v>0</v>
      </c>
    </row>
    <row r="787" spans="1:8" x14ac:dyDescent="0.25">
      <c r="A787">
        <v>785</v>
      </c>
      <c r="B787">
        <f t="shared" si="24"/>
        <v>21</v>
      </c>
      <c r="C787">
        <f t="shared" si="25"/>
        <v>25</v>
      </c>
      <c r="D787" cm="1">
        <f t="array" ref="D787">INDEX('Linha 06'!$A$4:$A$1000,B787)</f>
        <v>20110004</v>
      </c>
      <c r="E787" t="str" cm="1">
        <f t="array" ref="E787">INDEX('Linha 06'!$B$4:$B$1000,B787)</f>
        <v>Multi Uso Aquafast Squeeze Lavanda Cx/12 X 500ml</v>
      </c>
      <c r="F787" cm="1">
        <f t="array" ref="F787">INDEX('Linha 06'!$C$3:$ZZ$3,C787)</f>
        <v>20110013</v>
      </c>
      <c r="G787" t="str" cm="1">
        <f t="array" ref="G787">INDEX('Linha 06'!$C$2:$ZZ$2,C787)</f>
        <v>Multi Uso Aquafast Squeeze Lavanda Cx/12 X 1l</v>
      </c>
      <c r="H787" s="5" cm="1">
        <f t="array" ref="H787">INDEX('Linha 06'!$C$4:$ZZ$1000,B787,C787)</f>
        <v>0</v>
      </c>
    </row>
    <row r="788" spans="1:8" x14ac:dyDescent="0.25">
      <c r="A788">
        <v>786</v>
      </c>
      <c r="B788">
        <f t="shared" si="24"/>
        <v>21</v>
      </c>
      <c r="C788">
        <f t="shared" si="25"/>
        <v>26</v>
      </c>
      <c r="D788" cm="1">
        <f t="array" ref="D788">INDEX('Linha 06'!$A$4:$A$1000,B788)</f>
        <v>20110004</v>
      </c>
      <c r="E788" t="str" cm="1">
        <f t="array" ref="E788">INDEX('Linha 06'!$B$4:$B$1000,B788)</f>
        <v>Multi Uso Aquafast Squeeze Lavanda Cx/12 X 500ml</v>
      </c>
      <c r="F788" cm="1">
        <f t="array" ref="F788">INDEX('Linha 06'!$C$3:$ZZ$3,C788)</f>
        <v>20110022</v>
      </c>
      <c r="G788" t="str" cm="1">
        <f t="array" ref="G788">INDEX('Linha 06'!$C$2:$ZZ$2,C788)</f>
        <v>Intermed Pack Multi Uso Lavand C/Alcool Cx/18 X 500ml</v>
      </c>
      <c r="H788" s="5" cm="1">
        <f t="array" ref="H788">INDEX('Linha 06'!$C$4:$ZZ$1000,B788,C788)</f>
        <v>0</v>
      </c>
    </row>
    <row r="789" spans="1:8" x14ac:dyDescent="0.25">
      <c r="A789">
        <v>787</v>
      </c>
      <c r="B789">
        <f t="shared" si="24"/>
        <v>21</v>
      </c>
      <c r="C789">
        <f t="shared" si="25"/>
        <v>27</v>
      </c>
      <c r="D789" cm="1">
        <f t="array" ref="D789">INDEX('Linha 06'!$A$4:$A$1000,B789)</f>
        <v>20110004</v>
      </c>
      <c r="E789" t="str" cm="1">
        <f t="array" ref="E789">INDEX('Linha 06'!$B$4:$B$1000,B789)</f>
        <v>Multi Uso Aquafast Squeeze Lavanda Cx/12 X 500ml</v>
      </c>
      <c r="F789" cm="1">
        <f t="array" ref="F789">INDEX('Linha 06'!$C$3:$ZZ$3,C789)</f>
        <v>20110023</v>
      </c>
      <c r="G789" t="str" cm="1">
        <f t="array" ref="G789">INDEX('Linha 06'!$C$2:$ZZ$2,C789)</f>
        <v>Multi Uso Aquafast Squeeze Cha Branco  Cx/12 X 500ml</v>
      </c>
      <c r="H789" s="5" cm="1">
        <f t="array" ref="H789">INDEX('Linha 06'!$C$4:$ZZ$1000,B789,C789)</f>
        <v>0</v>
      </c>
    </row>
    <row r="790" spans="1:8" x14ac:dyDescent="0.25">
      <c r="A790">
        <v>788</v>
      </c>
      <c r="B790">
        <f t="shared" si="24"/>
        <v>21</v>
      </c>
      <c r="C790">
        <f t="shared" si="25"/>
        <v>28</v>
      </c>
      <c r="D790" cm="1">
        <f t="array" ref="D790">INDEX('Linha 06'!$A$4:$A$1000,B790)</f>
        <v>20110004</v>
      </c>
      <c r="E790" t="str" cm="1">
        <f t="array" ref="E790">INDEX('Linha 06'!$B$4:$B$1000,B790)</f>
        <v>Multi Uso Aquafast Squeeze Lavanda Cx/12 X 500ml</v>
      </c>
      <c r="F790" cm="1">
        <f t="array" ref="F790">INDEX('Linha 06'!$C$3:$ZZ$3,C790)</f>
        <v>20110024</v>
      </c>
      <c r="G790" t="str" cm="1">
        <f t="array" ref="G790">INDEX('Linha 06'!$C$2:$ZZ$2,C790)</f>
        <v>Multi Uso Aquafast Squeeze Cha Branco Cx12 X 1l</v>
      </c>
      <c r="H790" s="5" cm="1">
        <f t="array" ref="H790">INDEX('Linha 06'!$C$4:$ZZ$1000,B790,C790)</f>
        <v>0</v>
      </c>
    </row>
    <row r="791" spans="1:8" x14ac:dyDescent="0.25">
      <c r="A791">
        <v>789</v>
      </c>
      <c r="B791">
        <f t="shared" si="24"/>
        <v>21</v>
      </c>
      <c r="C791">
        <f t="shared" si="25"/>
        <v>29</v>
      </c>
      <c r="D791" cm="1">
        <f t="array" ref="D791">INDEX('Linha 06'!$A$4:$A$1000,B791)</f>
        <v>20110004</v>
      </c>
      <c r="E791" t="str" cm="1">
        <f t="array" ref="E791">INDEX('Linha 06'!$B$4:$B$1000,B791)</f>
        <v>Multi Uso Aquafast Squeeze Lavanda Cx/12 X 500ml</v>
      </c>
      <c r="F791" cm="1">
        <f t="array" ref="F791">INDEX('Linha 06'!$C$3:$ZZ$3,C791)</f>
        <v>20110025</v>
      </c>
      <c r="G791" t="str" cm="1">
        <f t="array" ref="G791">INDEX('Linha 06'!$C$2:$ZZ$2,C791)</f>
        <v>Multi Uso Aquafast Pulverizador Original Cx/12 X 1l</v>
      </c>
      <c r="H791" s="5" cm="1">
        <f t="array" ref="H791">INDEX('Linha 06'!$C$4:$ZZ$1000,B791,C791)</f>
        <v>0</v>
      </c>
    </row>
    <row r="792" spans="1:8" x14ac:dyDescent="0.25">
      <c r="A792">
        <v>790</v>
      </c>
      <c r="B792">
        <f t="shared" si="24"/>
        <v>21</v>
      </c>
      <c r="C792">
        <f t="shared" si="25"/>
        <v>30</v>
      </c>
      <c r="D792" cm="1">
        <f t="array" ref="D792">INDEX('Linha 06'!$A$4:$A$1000,B792)</f>
        <v>20110004</v>
      </c>
      <c r="E792" t="str" cm="1">
        <f t="array" ref="E792">INDEX('Linha 06'!$B$4:$B$1000,B792)</f>
        <v>Multi Uso Aquafast Squeeze Lavanda Cx/12 X 500ml</v>
      </c>
      <c r="F792" cm="1">
        <f t="array" ref="F792">INDEX('Linha 06'!$C$3:$ZZ$3,C792)</f>
        <v>20110026</v>
      </c>
      <c r="G792" t="str" cm="1">
        <f t="array" ref="G792">INDEX('Linha 06'!$C$2:$ZZ$2,C792)</f>
        <v>Multi Uso Aquafast Pulverizador Poder O2 Cx/12 X 1l</v>
      </c>
      <c r="H792" s="5" cm="1">
        <f t="array" ref="H792">INDEX('Linha 06'!$C$4:$ZZ$1000,B792,C792)</f>
        <v>0</v>
      </c>
    </row>
    <row r="793" spans="1:8" x14ac:dyDescent="0.25">
      <c r="A793">
        <v>791</v>
      </c>
      <c r="B793">
        <f t="shared" si="24"/>
        <v>21</v>
      </c>
      <c r="C793">
        <f t="shared" si="25"/>
        <v>31</v>
      </c>
      <c r="D793" cm="1">
        <f t="array" ref="D793">INDEX('Linha 06'!$A$4:$A$1000,B793)</f>
        <v>20110004</v>
      </c>
      <c r="E793" t="str" cm="1">
        <f t="array" ref="E793">INDEX('Linha 06'!$B$4:$B$1000,B793)</f>
        <v>Multi Uso Aquafast Squeeze Lavanda Cx/12 X 500ml</v>
      </c>
      <c r="F793" cm="1">
        <f t="array" ref="F793">INDEX('Linha 06'!$C$3:$ZZ$3,C793)</f>
        <v>20110027</v>
      </c>
      <c r="G793" t="str" cm="1">
        <f t="array" ref="G793">INDEX('Linha 06'!$C$2:$ZZ$2,C793)</f>
        <v>Multi Uso Aquafast Pulverizador Poder O2 Cx/12 X 500ml</v>
      </c>
      <c r="H793" s="5" cm="1">
        <f t="array" ref="H793">INDEX('Linha 06'!$C$4:$ZZ$1000,B793,C793)</f>
        <v>0</v>
      </c>
    </row>
    <row r="794" spans="1:8" x14ac:dyDescent="0.25">
      <c r="A794">
        <v>792</v>
      </c>
      <c r="B794">
        <f t="shared" si="24"/>
        <v>21</v>
      </c>
      <c r="C794">
        <f t="shared" si="25"/>
        <v>32</v>
      </c>
      <c r="D794" cm="1">
        <f t="array" ref="D794">INDEX('Linha 06'!$A$4:$A$1000,B794)</f>
        <v>20110004</v>
      </c>
      <c r="E794" t="str" cm="1">
        <f t="array" ref="E794">INDEX('Linha 06'!$B$4:$B$1000,B794)</f>
        <v>Multi Uso Aquafast Squeeze Lavanda Cx/12 X 500ml</v>
      </c>
      <c r="F794" cm="1">
        <f t="array" ref="F794">INDEX('Linha 06'!$C$3:$ZZ$3,C794)</f>
        <v>20200073</v>
      </c>
      <c r="G794" t="str" cm="1">
        <f t="array" ref="G794">INDEX('Linha 06'!$C$2:$ZZ$2,C794)</f>
        <v>Lava Roupas Aquafast Lavagem Rapida Total Clean Cx/9 X 1,5l</v>
      </c>
      <c r="H794" s="5" cm="1">
        <f t="array" ref="H794">INDEX('Linha 06'!$C$4:$ZZ$1000,B794,C794)</f>
        <v>0</v>
      </c>
    </row>
    <row r="795" spans="1:8" x14ac:dyDescent="0.25">
      <c r="A795">
        <v>793</v>
      </c>
      <c r="B795">
        <f t="shared" si="24"/>
        <v>21</v>
      </c>
      <c r="C795">
        <f t="shared" si="25"/>
        <v>33</v>
      </c>
      <c r="D795" cm="1">
        <f t="array" ref="D795">INDEX('Linha 06'!$A$4:$A$1000,B795)</f>
        <v>20110004</v>
      </c>
      <c r="E795" t="str" cm="1">
        <f t="array" ref="E795">INDEX('Linha 06'!$B$4:$B$1000,B795)</f>
        <v>Multi Uso Aquafast Squeeze Lavanda Cx/12 X 500ml</v>
      </c>
      <c r="F795" cm="1">
        <f t="array" ref="F795">INDEX('Linha 06'!$C$3:$ZZ$3,C795)</f>
        <v>20200075</v>
      </c>
      <c r="G795" t="str" cm="1">
        <f t="array" ref="G795">INDEX('Linha 06'!$C$2:$ZZ$2,C795)</f>
        <v>Lava Roupas Aquafast Lavagem Rapida Fresh Clean Cx/9 X 1,5l</v>
      </c>
      <c r="H795" s="5" cm="1">
        <f t="array" ref="H795">INDEX('Linha 06'!$C$4:$ZZ$1000,B795,C795)</f>
        <v>0</v>
      </c>
    </row>
    <row r="796" spans="1:8" x14ac:dyDescent="0.25">
      <c r="A796">
        <v>794</v>
      </c>
      <c r="B796">
        <f t="shared" si="24"/>
        <v>21</v>
      </c>
      <c r="C796">
        <f t="shared" si="25"/>
        <v>34</v>
      </c>
      <c r="D796" cm="1">
        <f t="array" ref="D796">INDEX('Linha 06'!$A$4:$A$1000,B796)</f>
        <v>20110004</v>
      </c>
      <c r="E796" t="str" cm="1">
        <f t="array" ref="E796">INDEX('Linha 06'!$B$4:$B$1000,B796)</f>
        <v>Multi Uso Aquafast Squeeze Lavanda Cx/12 X 500ml</v>
      </c>
      <c r="F796" cm="1">
        <f t="array" ref="F796">INDEX('Linha 06'!$C$3:$ZZ$3,C796)</f>
        <v>20220018</v>
      </c>
      <c r="G796" t="str" cm="1">
        <f t="array" ref="G796">INDEX('Linha 06'!$C$2:$ZZ$2,C796)</f>
        <v>Intermed. Aromat. Amoras E Baunilha Cx C/ 12un 250ml</v>
      </c>
      <c r="H796" s="5" cm="1">
        <f t="array" ref="H796">INDEX('Linha 06'!$C$4:$ZZ$1000,B796,C796)</f>
        <v>0</v>
      </c>
    </row>
    <row r="797" spans="1:8" x14ac:dyDescent="0.25">
      <c r="A797">
        <v>795</v>
      </c>
      <c r="B797">
        <f t="shared" si="24"/>
        <v>21</v>
      </c>
      <c r="C797">
        <f t="shared" si="25"/>
        <v>35</v>
      </c>
      <c r="D797" cm="1">
        <f t="array" ref="D797">INDEX('Linha 06'!$A$4:$A$1000,B797)</f>
        <v>20110004</v>
      </c>
      <c r="E797" t="str" cm="1">
        <f t="array" ref="E797">INDEX('Linha 06'!$B$4:$B$1000,B797)</f>
        <v>Multi Uso Aquafast Squeeze Lavanda Cx/12 X 500ml</v>
      </c>
      <c r="F797" cm="1">
        <f t="array" ref="F797">INDEX('Linha 06'!$C$3:$ZZ$3,C797)</f>
        <v>20220019</v>
      </c>
      <c r="G797" t="str" cm="1">
        <f t="array" ref="G797">INDEX('Linha 06'!$C$2:$ZZ$2,C797)</f>
        <v>Intermed. Aromat. Figo E Cedro Cx C/ 12un 250ml</v>
      </c>
      <c r="H797" s="5" cm="1">
        <f t="array" ref="H797">INDEX('Linha 06'!$C$4:$ZZ$1000,B797,C797)</f>
        <v>0</v>
      </c>
    </row>
    <row r="798" spans="1:8" x14ac:dyDescent="0.25">
      <c r="A798">
        <v>796</v>
      </c>
      <c r="B798">
        <f t="shared" si="24"/>
        <v>21</v>
      </c>
      <c r="C798">
        <f t="shared" si="25"/>
        <v>36</v>
      </c>
      <c r="D798" cm="1">
        <f t="array" ref="D798">INDEX('Linha 06'!$A$4:$A$1000,B798)</f>
        <v>20110004</v>
      </c>
      <c r="E798" t="str" cm="1">
        <f t="array" ref="E798">INDEX('Linha 06'!$B$4:$B$1000,B798)</f>
        <v>Multi Uso Aquafast Squeeze Lavanda Cx/12 X 500ml</v>
      </c>
      <c r="F798" cm="1">
        <f t="array" ref="F798">INDEX('Linha 06'!$C$3:$ZZ$3,C798)</f>
        <v>20220020</v>
      </c>
      <c r="G798" t="str" cm="1">
        <f t="array" ref="G798">INDEX('Linha 06'!$C$2:$ZZ$2,C798)</f>
        <v>Intermed. Aromat. Rosas E Magnolias Cx C/ 12un 250ml</v>
      </c>
      <c r="H798" s="5" cm="1">
        <f t="array" ref="H798">INDEX('Linha 06'!$C$4:$ZZ$1000,B798,C798)</f>
        <v>0</v>
      </c>
    </row>
    <row r="799" spans="1:8" x14ac:dyDescent="0.25">
      <c r="A799">
        <v>797</v>
      </c>
      <c r="B799">
        <f t="shared" si="24"/>
        <v>21</v>
      </c>
      <c r="C799">
        <f t="shared" si="25"/>
        <v>37</v>
      </c>
      <c r="D799" cm="1">
        <f t="array" ref="D799">INDEX('Linha 06'!$A$4:$A$1000,B799)</f>
        <v>20110004</v>
      </c>
      <c r="E799" t="str" cm="1">
        <f t="array" ref="E799">INDEX('Linha 06'!$B$4:$B$1000,B799)</f>
        <v>Multi Uso Aquafast Squeeze Lavanda Cx/12 X 500ml</v>
      </c>
      <c r="F799" cm="1">
        <f t="array" ref="F799">INDEX('Linha 06'!$C$3:$ZZ$3,C799)</f>
        <v>20220021</v>
      </c>
      <c r="G799" t="str" cm="1">
        <f t="array" ref="G799">INDEX('Linha 06'!$C$2:$ZZ$2,C799)</f>
        <v>Intermed. Aromat. Flores Exoticas Cx C/ 12un 250ml</v>
      </c>
      <c r="H799" s="5" cm="1">
        <f t="array" ref="H799">INDEX('Linha 06'!$C$4:$ZZ$1000,B799,C799)</f>
        <v>0</v>
      </c>
    </row>
    <row r="800" spans="1:8" x14ac:dyDescent="0.25">
      <c r="A800">
        <v>798</v>
      </c>
      <c r="B800">
        <f t="shared" si="24"/>
        <v>21</v>
      </c>
      <c r="C800">
        <f t="shared" si="25"/>
        <v>38</v>
      </c>
      <c r="D800" cm="1">
        <f t="array" ref="D800">INDEX('Linha 06'!$A$4:$A$1000,B800)</f>
        <v>20110004</v>
      </c>
      <c r="E800" t="str" cm="1">
        <f t="array" ref="E800">INDEX('Linha 06'!$B$4:$B$1000,B800)</f>
        <v>Multi Uso Aquafast Squeeze Lavanda Cx/12 X 500ml</v>
      </c>
      <c r="F800" cm="1">
        <f t="array" ref="F800">INDEX('Linha 06'!$C$3:$ZZ$3,C800)</f>
        <v>20220022</v>
      </c>
      <c r="G800" t="str" cm="1">
        <f t="array" ref="G800">INDEX('Linha 06'!$C$2:$ZZ$2,C800)</f>
        <v>Intermed. Aromat. Cha Verde E Grapef Cx C/ 12un 250ml</v>
      </c>
      <c r="H800" s="5" cm="1">
        <f t="array" ref="H800">INDEX('Linha 06'!$C$4:$ZZ$1000,B800,C800)</f>
        <v>0</v>
      </c>
    </row>
    <row r="801" spans="1:8" x14ac:dyDescent="0.25">
      <c r="A801">
        <v>799</v>
      </c>
      <c r="B801">
        <f t="shared" si="24"/>
        <v>22</v>
      </c>
      <c r="C801">
        <f t="shared" si="25"/>
        <v>1</v>
      </c>
      <c r="D801" cm="1">
        <f t="array" ref="D801">INDEX('Linha 06'!$A$4:$A$1000,B801)</f>
        <v>20110007</v>
      </c>
      <c r="E801" t="str" cm="1">
        <f t="array" ref="E801">INDEX('Linha 06'!$B$4:$B$1000,B801)</f>
        <v>Multi Uso Aquafast Squeeze Seducao Cx/12 X 500ml</v>
      </c>
      <c r="F801" cm="1">
        <f t="array" ref="F801">INDEX('Linha 06'!$C$3:$ZZ$3,C801)</f>
        <v>20060001</v>
      </c>
      <c r="G801" t="str" cm="1">
        <f t="array" ref="G801">INDEX('Linha 06'!$C$2:$ZZ$2,C801)</f>
        <v>Limp Perf Aquafast Magia Seducao Cx/12 X 500ml</v>
      </c>
      <c r="H801" s="5" cm="1">
        <f t="array" ref="H801">INDEX('Linha 06'!$C$4:$ZZ$1000,B801,C801)</f>
        <v>0</v>
      </c>
    </row>
    <row r="802" spans="1:8" x14ac:dyDescent="0.25">
      <c r="A802">
        <v>800</v>
      </c>
      <c r="B802">
        <f t="shared" si="24"/>
        <v>22</v>
      </c>
      <c r="C802">
        <f t="shared" si="25"/>
        <v>2</v>
      </c>
      <c r="D802" cm="1">
        <f t="array" ref="D802">INDEX('Linha 06'!$A$4:$A$1000,B802)</f>
        <v>20110007</v>
      </c>
      <c r="E802" t="str" cm="1">
        <f t="array" ref="E802">INDEX('Linha 06'!$B$4:$B$1000,B802)</f>
        <v>Multi Uso Aquafast Squeeze Seducao Cx/12 X 500ml</v>
      </c>
      <c r="F802" cm="1">
        <f t="array" ref="F802">INDEX('Linha 06'!$C$3:$ZZ$3,C802)</f>
        <v>20060004</v>
      </c>
      <c r="G802" t="str" cm="1">
        <f t="array" ref="G802">INDEX('Linha 06'!$C$2:$ZZ$2,C802)</f>
        <v>Limp Perf Aquafast Magia Seducao Cx/12 X 1l</v>
      </c>
      <c r="H802" s="5" cm="1">
        <f t="array" ref="H802">INDEX('Linha 06'!$C$4:$ZZ$1000,B802,C802)</f>
        <v>0</v>
      </c>
    </row>
    <row r="803" spans="1:8" x14ac:dyDescent="0.25">
      <c r="A803">
        <v>801</v>
      </c>
      <c r="B803">
        <f t="shared" si="24"/>
        <v>22</v>
      </c>
      <c r="C803">
        <f t="shared" si="25"/>
        <v>3</v>
      </c>
      <c r="D803" cm="1">
        <f t="array" ref="D803">INDEX('Linha 06'!$A$4:$A$1000,B803)</f>
        <v>20110007</v>
      </c>
      <c r="E803" t="str" cm="1">
        <f t="array" ref="E803">INDEX('Linha 06'!$B$4:$B$1000,B803)</f>
        <v>Multi Uso Aquafast Squeeze Seducao Cx/12 X 500ml</v>
      </c>
      <c r="F803" cm="1">
        <f t="array" ref="F803">INDEX('Linha 06'!$C$3:$ZZ$3,C803)</f>
        <v>20060010</v>
      </c>
      <c r="G803" t="str" cm="1">
        <f t="array" ref="G803">INDEX('Linha 06'!$C$2:$ZZ$2,C803)</f>
        <v>Limp Perf Aquafast Magia Da Infancia Cx/12 X 500ml</v>
      </c>
      <c r="H803" s="5" cm="1">
        <f t="array" ref="H803">INDEX('Linha 06'!$C$4:$ZZ$1000,B803,C803)</f>
        <v>0</v>
      </c>
    </row>
    <row r="804" spans="1:8" x14ac:dyDescent="0.25">
      <c r="A804">
        <v>802</v>
      </c>
      <c r="B804">
        <f t="shared" si="24"/>
        <v>22</v>
      </c>
      <c r="C804">
        <f t="shared" si="25"/>
        <v>4</v>
      </c>
      <c r="D804" cm="1">
        <f t="array" ref="D804">INDEX('Linha 06'!$A$4:$A$1000,B804)</f>
        <v>20110007</v>
      </c>
      <c r="E804" t="str" cm="1">
        <f t="array" ref="E804">INDEX('Linha 06'!$B$4:$B$1000,B804)</f>
        <v>Multi Uso Aquafast Squeeze Seducao Cx/12 X 500ml</v>
      </c>
      <c r="F804" cm="1">
        <f t="array" ref="F804">INDEX('Linha 06'!$C$3:$ZZ$3,C804)</f>
        <v>20060011</v>
      </c>
      <c r="G804" t="str" cm="1">
        <f t="array" ref="G804">INDEX('Linha 06'!$C$2:$ZZ$2,C804)</f>
        <v>Limp Perf Aquafast Frescor Da Manha Cx/12 X 500ml</v>
      </c>
      <c r="H804" s="5" cm="1">
        <f t="array" ref="H804">INDEX('Linha 06'!$C$4:$ZZ$1000,B804,C804)</f>
        <v>0</v>
      </c>
    </row>
    <row r="805" spans="1:8" x14ac:dyDescent="0.25">
      <c r="A805">
        <v>803</v>
      </c>
      <c r="B805">
        <f t="shared" si="24"/>
        <v>22</v>
      </c>
      <c r="C805">
        <f t="shared" si="25"/>
        <v>5</v>
      </c>
      <c r="D805" cm="1">
        <f t="array" ref="D805">INDEX('Linha 06'!$A$4:$A$1000,B805)</f>
        <v>20110007</v>
      </c>
      <c r="E805" t="str" cm="1">
        <f t="array" ref="E805">INDEX('Linha 06'!$B$4:$B$1000,B805)</f>
        <v>Multi Uso Aquafast Squeeze Seducao Cx/12 X 500ml</v>
      </c>
      <c r="F805" cm="1">
        <f t="array" ref="F805">INDEX('Linha 06'!$C$3:$ZZ$3,C805)</f>
        <v>20060012</v>
      </c>
      <c r="G805" t="str" cm="1">
        <f t="array" ref="G805">INDEX('Linha 06'!$C$2:$ZZ$2,C805)</f>
        <v>Limp Perf Aquafast Magia Da Infancia Cx/12 X 1l</v>
      </c>
      <c r="H805" s="5" cm="1">
        <f t="array" ref="H805">INDEX('Linha 06'!$C$4:$ZZ$1000,B805,C805)</f>
        <v>0</v>
      </c>
    </row>
    <row r="806" spans="1:8" x14ac:dyDescent="0.25">
      <c r="A806">
        <v>804</v>
      </c>
      <c r="B806">
        <f t="shared" si="24"/>
        <v>22</v>
      </c>
      <c r="C806">
        <f t="shared" si="25"/>
        <v>6</v>
      </c>
      <c r="D806" cm="1">
        <f t="array" ref="D806">INDEX('Linha 06'!$A$4:$A$1000,B806)</f>
        <v>20110007</v>
      </c>
      <c r="E806" t="str" cm="1">
        <f t="array" ref="E806">INDEX('Linha 06'!$B$4:$B$1000,B806)</f>
        <v>Multi Uso Aquafast Squeeze Seducao Cx/12 X 500ml</v>
      </c>
      <c r="F806" cm="1">
        <f t="array" ref="F806">INDEX('Linha 06'!$C$3:$ZZ$3,C806)</f>
        <v>20060013</v>
      </c>
      <c r="G806" t="str" cm="1">
        <f t="array" ref="G806">INDEX('Linha 06'!$C$2:$ZZ$2,C806)</f>
        <v>Limp Perf Aquafast Frescor Da Manha Cx/12 X 1l</v>
      </c>
      <c r="H806" s="5" cm="1">
        <f t="array" ref="H806">INDEX('Linha 06'!$C$4:$ZZ$1000,B806,C806)</f>
        <v>0</v>
      </c>
    </row>
    <row r="807" spans="1:8" x14ac:dyDescent="0.25">
      <c r="A807">
        <v>805</v>
      </c>
      <c r="B807">
        <f t="shared" si="24"/>
        <v>22</v>
      </c>
      <c r="C807">
        <f t="shared" si="25"/>
        <v>7</v>
      </c>
      <c r="D807" cm="1">
        <f t="array" ref="D807">INDEX('Linha 06'!$A$4:$A$1000,B807)</f>
        <v>20110007</v>
      </c>
      <c r="E807" t="str" cm="1">
        <f t="array" ref="E807">INDEX('Linha 06'!$B$4:$B$1000,B807)</f>
        <v>Multi Uso Aquafast Squeeze Seducao Cx/12 X 500ml</v>
      </c>
      <c r="F807" cm="1">
        <f t="array" ref="F807">INDEX('Linha 06'!$C$3:$ZZ$3,C807)</f>
        <v>20060015</v>
      </c>
      <c r="G807" t="str" cm="1">
        <f t="array" ref="G807">INDEX('Linha 06'!$C$2:$ZZ$2,C807)</f>
        <v>Limp Perf Aquafast Doce Romance Cx/12 X 500ml</v>
      </c>
      <c r="H807" s="5" cm="1">
        <f t="array" ref="H807">INDEX('Linha 06'!$C$4:$ZZ$1000,B807,C807)</f>
        <v>0</v>
      </c>
    </row>
    <row r="808" spans="1:8" x14ac:dyDescent="0.25">
      <c r="A808">
        <v>806</v>
      </c>
      <c r="B808">
        <f t="shared" si="24"/>
        <v>22</v>
      </c>
      <c r="C808">
        <f t="shared" si="25"/>
        <v>8</v>
      </c>
      <c r="D808" cm="1">
        <f t="array" ref="D808">INDEX('Linha 06'!$A$4:$A$1000,B808)</f>
        <v>20110007</v>
      </c>
      <c r="E808" t="str" cm="1">
        <f t="array" ref="E808">INDEX('Linha 06'!$B$4:$B$1000,B808)</f>
        <v>Multi Uso Aquafast Squeeze Seducao Cx/12 X 500ml</v>
      </c>
      <c r="F808" cm="1">
        <f t="array" ref="F808">INDEX('Linha 06'!$C$3:$ZZ$3,C808)</f>
        <v>20060016</v>
      </c>
      <c r="G808" t="str" cm="1">
        <f t="array" ref="G808">INDEX('Linha 06'!$C$2:$ZZ$2,C808)</f>
        <v>Limp Perf Aquafast Doce Romance Cx/12 X 1l</v>
      </c>
      <c r="H808" s="5" cm="1">
        <f t="array" ref="H808">INDEX('Linha 06'!$C$4:$ZZ$1000,B808,C808)</f>
        <v>0</v>
      </c>
    </row>
    <row r="809" spans="1:8" x14ac:dyDescent="0.25">
      <c r="A809">
        <v>807</v>
      </c>
      <c r="B809">
        <f t="shared" si="24"/>
        <v>22</v>
      </c>
      <c r="C809">
        <f t="shared" si="25"/>
        <v>9</v>
      </c>
      <c r="D809" cm="1">
        <f t="array" ref="D809">INDEX('Linha 06'!$A$4:$A$1000,B809)</f>
        <v>20110007</v>
      </c>
      <c r="E809" t="str" cm="1">
        <f t="array" ref="E809">INDEX('Linha 06'!$B$4:$B$1000,B809)</f>
        <v>Multi Uso Aquafast Squeeze Seducao Cx/12 X 500ml</v>
      </c>
      <c r="F809" cm="1">
        <f t="array" ref="F809">INDEX('Linha 06'!$C$3:$ZZ$3,C809)</f>
        <v>20060027</v>
      </c>
      <c r="G809" t="str" cm="1">
        <f t="array" ref="G809">INDEX('Linha 06'!$C$2:$ZZ$2,C809)</f>
        <v>Limp Perf Aquafast Essencia Natural Cx/12 X 1l</v>
      </c>
      <c r="H809" s="5" cm="1">
        <f t="array" ref="H809">INDEX('Linha 06'!$C$4:$ZZ$1000,B809,C809)</f>
        <v>0</v>
      </c>
    </row>
    <row r="810" spans="1:8" x14ac:dyDescent="0.25">
      <c r="A810">
        <v>808</v>
      </c>
      <c r="B810">
        <f t="shared" si="24"/>
        <v>22</v>
      </c>
      <c r="C810">
        <f t="shared" si="25"/>
        <v>10</v>
      </c>
      <c r="D810" cm="1">
        <f t="array" ref="D810">INDEX('Linha 06'!$A$4:$A$1000,B810)</f>
        <v>20110007</v>
      </c>
      <c r="E810" t="str" cm="1">
        <f t="array" ref="E810">INDEX('Linha 06'!$B$4:$B$1000,B810)</f>
        <v>Multi Uso Aquafast Squeeze Seducao Cx/12 X 500ml</v>
      </c>
      <c r="F810" cm="1">
        <f t="array" ref="F810">INDEX('Linha 06'!$C$3:$ZZ$3,C810)</f>
        <v>20070001</v>
      </c>
      <c r="G810" t="str" cm="1">
        <f t="array" ref="G810">INDEX('Linha 06'!$C$2:$ZZ$2,C810)</f>
        <v>Limpa Vidros Aquafast Pulverizador Cx/12 X 500ml</v>
      </c>
      <c r="H810" s="5" cm="1">
        <f t="array" ref="H810">INDEX('Linha 06'!$C$4:$ZZ$1000,B810,C810)</f>
        <v>0</v>
      </c>
    </row>
    <row r="811" spans="1:8" x14ac:dyDescent="0.25">
      <c r="A811">
        <v>809</v>
      </c>
      <c r="B811">
        <f t="shared" si="24"/>
        <v>22</v>
      </c>
      <c r="C811">
        <f t="shared" si="25"/>
        <v>11</v>
      </c>
      <c r="D811" cm="1">
        <f t="array" ref="D811">INDEX('Linha 06'!$A$4:$A$1000,B811)</f>
        <v>20110007</v>
      </c>
      <c r="E811" t="str" cm="1">
        <f t="array" ref="E811">INDEX('Linha 06'!$B$4:$B$1000,B811)</f>
        <v>Multi Uso Aquafast Squeeze Seducao Cx/12 X 500ml</v>
      </c>
      <c r="F811" cm="1">
        <f t="array" ref="F811">INDEX('Linha 06'!$C$3:$ZZ$3,C811)</f>
        <v>20070002</v>
      </c>
      <c r="G811" t="str" cm="1">
        <f t="array" ref="G811">INDEX('Linha 06'!$C$2:$ZZ$2,C811)</f>
        <v>Limpa Vidros Aquafast Recarga Cx/12 X 500ml</v>
      </c>
      <c r="H811" s="5" cm="1">
        <f t="array" ref="H811">INDEX('Linha 06'!$C$4:$ZZ$1000,B811,C811)</f>
        <v>0</v>
      </c>
    </row>
    <row r="812" spans="1:8" x14ac:dyDescent="0.25">
      <c r="A812">
        <v>810</v>
      </c>
      <c r="B812">
        <f t="shared" si="24"/>
        <v>22</v>
      </c>
      <c r="C812">
        <f t="shared" si="25"/>
        <v>12</v>
      </c>
      <c r="D812" cm="1">
        <f t="array" ref="D812">INDEX('Linha 06'!$A$4:$A$1000,B812)</f>
        <v>20110007</v>
      </c>
      <c r="E812" t="str" cm="1">
        <f t="array" ref="E812">INDEX('Linha 06'!$B$4:$B$1000,B812)</f>
        <v>Multi Uso Aquafast Squeeze Seducao Cx/12 X 500ml</v>
      </c>
      <c r="F812" cm="1">
        <f t="array" ref="F812">INDEX('Linha 06'!$C$3:$ZZ$3,C812)</f>
        <v>20070006</v>
      </c>
      <c r="G812" t="str" cm="1">
        <f t="array" ref="G812">INDEX('Linha 06'!$C$2:$ZZ$2,C812)</f>
        <v>Limpa Vidros Ito Pulverizador Cx/12 X 500ml</v>
      </c>
      <c r="H812" s="5" cm="1">
        <f t="array" ref="H812">INDEX('Linha 06'!$C$4:$ZZ$1000,B812,C812)</f>
        <v>0</v>
      </c>
    </row>
    <row r="813" spans="1:8" x14ac:dyDescent="0.25">
      <c r="A813">
        <v>811</v>
      </c>
      <c r="B813">
        <f t="shared" si="24"/>
        <v>22</v>
      </c>
      <c r="C813">
        <f t="shared" si="25"/>
        <v>13</v>
      </c>
      <c r="D813" cm="1">
        <f t="array" ref="D813">INDEX('Linha 06'!$A$4:$A$1000,B813)</f>
        <v>20110007</v>
      </c>
      <c r="E813" t="str" cm="1">
        <f t="array" ref="E813">INDEX('Linha 06'!$B$4:$B$1000,B813)</f>
        <v>Multi Uso Aquafast Squeeze Seducao Cx/12 X 500ml</v>
      </c>
      <c r="F813" cm="1">
        <f t="array" ref="F813">INDEX('Linha 06'!$C$3:$ZZ$3,C813)</f>
        <v>20070007</v>
      </c>
      <c r="G813" t="str" cm="1">
        <f t="array" ref="G813">INDEX('Linha 06'!$C$2:$ZZ$2,C813)</f>
        <v>Limpa Vidros Ito Recarga Cx/12 X 500ml</v>
      </c>
      <c r="H813" s="5" cm="1">
        <f t="array" ref="H813">INDEX('Linha 06'!$C$4:$ZZ$1000,B813,C813)</f>
        <v>0</v>
      </c>
    </row>
    <row r="814" spans="1:8" x14ac:dyDescent="0.25">
      <c r="A814">
        <v>812</v>
      </c>
      <c r="B814">
        <f t="shared" si="24"/>
        <v>22</v>
      </c>
      <c r="C814">
        <f t="shared" si="25"/>
        <v>14</v>
      </c>
      <c r="D814" cm="1">
        <f t="array" ref="D814">INDEX('Linha 06'!$A$4:$A$1000,B814)</f>
        <v>20110007</v>
      </c>
      <c r="E814" t="str" cm="1">
        <f t="array" ref="E814">INDEX('Linha 06'!$B$4:$B$1000,B814)</f>
        <v>Multi Uso Aquafast Squeeze Seducao Cx/12 X 500ml</v>
      </c>
      <c r="F814" cm="1">
        <f t="array" ref="F814">INDEX('Linha 06'!$C$3:$ZZ$3,C814)</f>
        <v>20070008</v>
      </c>
      <c r="G814" t="str" cm="1">
        <f t="array" ref="G814">INDEX('Linha 06'!$C$2:$ZZ$2,C814)</f>
        <v>Limpa Vidros Aquafast Squeeze Cx/12 X 500ml</v>
      </c>
      <c r="H814" s="5" cm="1">
        <f t="array" ref="H814">INDEX('Linha 06'!$C$4:$ZZ$1000,B814,C814)</f>
        <v>0</v>
      </c>
    </row>
    <row r="815" spans="1:8" x14ac:dyDescent="0.25">
      <c r="A815">
        <v>813</v>
      </c>
      <c r="B815">
        <f t="shared" si="24"/>
        <v>22</v>
      </c>
      <c r="C815">
        <f t="shared" si="25"/>
        <v>15</v>
      </c>
      <c r="D815" cm="1">
        <f t="array" ref="D815">INDEX('Linha 06'!$A$4:$A$1000,B815)</f>
        <v>20110007</v>
      </c>
      <c r="E815" t="str" cm="1">
        <f t="array" ref="E815">INDEX('Linha 06'!$B$4:$B$1000,B815)</f>
        <v>Multi Uso Aquafast Squeeze Seducao Cx/12 X 500ml</v>
      </c>
      <c r="F815" cm="1">
        <f t="array" ref="F815">INDEX('Linha 06'!$C$3:$ZZ$3,C815)</f>
        <v>20090001</v>
      </c>
      <c r="G815" t="str" cm="1">
        <f t="array" ref="G815">INDEX('Linha 06'!$C$2:$ZZ$2,C815)</f>
        <v>Desengordurante Aquafast Pulverizador Cx/12 X 500ml</v>
      </c>
      <c r="H815" s="5" cm="1">
        <f t="array" ref="H815">INDEX('Linha 06'!$C$4:$ZZ$1000,B815,C815)</f>
        <v>0</v>
      </c>
    </row>
    <row r="816" spans="1:8" x14ac:dyDescent="0.25">
      <c r="A816">
        <v>814</v>
      </c>
      <c r="B816">
        <f t="shared" si="24"/>
        <v>22</v>
      </c>
      <c r="C816">
        <f t="shared" si="25"/>
        <v>16</v>
      </c>
      <c r="D816" cm="1">
        <f t="array" ref="D816">INDEX('Linha 06'!$A$4:$A$1000,B816)</f>
        <v>20110007</v>
      </c>
      <c r="E816" t="str" cm="1">
        <f t="array" ref="E816">INDEX('Linha 06'!$B$4:$B$1000,B816)</f>
        <v>Multi Uso Aquafast Squeeze Seducao Cx/12 X 500ml</v>
      </c>
      <c r="F816" cm="1">
        <f t="array" ref="F816">INDEX('Linha 06'!$C$3:$ZZ$3,C816)</f>
        <v>20090002</v>
      </c>
      <c r="G816" t="str" cm="1">
        <f t="array" ref="G816">INDEX('Linha 06'!$C$2:$ZZ$2,C816)</f>
        <v>Desengordurante Aquafast Recarga Cx/12 X 500ml</v>
      </c>
      <c r="H816" s="5" cm="1">
        <f t="array" ref="H816">INDEX('Linha 06'!$C$4:$ZZ$1000,B816,C816)</f>
        <v>0</v>
      </c>
    </row>
    <row r="817" spans="1:8" x14ac:dyDescent="0.25">
      <c r="A817">
        <v>815</v>
      </c>
      <c r="B817">
        <f t="shared" si="24"/>
        <v>22</v>
      </c>
      <c r="C817">
        <f t="shared" si="25"/>
        <v>17</v>
      </c>
      <c r="D817" cm="1">
        <f t="array" ref="D817">INDEX('Linha 06'!$A$4:$A$1000,B817)</f>
        <v>20110007</v>
      </c>
      <c r="E817" t="str" cm="1">
        <f t="array" ref="E817">INDEX('Linha 06'!$B$4:$B$1000,B817)</f>
        <v>Multi Uso Aquafast Squeeze Seducao Cx/12 X 500ml</v>
      </c>
      <c r="F817" cm="1">
        <f t="array" ref="F817">INDEX('Linha 06'!$C$3:$ZZ$3,C817)</f>
        <v>20090004</v>
      </c>
      <c r="G817" t="str" cm="1">
        <f t="array" ref="G817">INDEX('Linha 06'!$C$2:$ZZ$2,C817)</f>
        <v>Desengordurante Aquafast Squeeze Cx C/12 X 500ml</v>
      </c>
      <c r="H817" s="5" cm="1">
        <f t="array" ref="H817">INDEX('Linha 06'!$C$4:$ZZ$1000,B817,C817)</f>
        <v>0</v>
      </c>
    </row>
    <row r="818" spans="1:8" x14ac:dyDescent="0.25">
      <c r="A818">
        <v>816</v>
      </c>
      <c r="B818">
        <f t="shared" si="24"/>
        <v>22</v>
      </c>
      <c r="C818">
        <f t="shared" si="25"/>
        <v>18</v>
      </c>
      <c r="D818" cm="1">
        <f t="array" ref="D818">INDEX('Linha 06'!$A$4:$A$1000,B818)</f>
        <v>20110007</v>
      </c>
      <c r="E818" t="str" cm="1">
        <f t="array" ref="E818">INDEX('Linha 06'!$B$4:$B$1000,B818)</f>
        <v>Multi Uso Aquafast Squeeze Seducao Cx/12 X 500ml</v>
      </c>
      <c r="F818" cm="1">
        <f t="array" ref="F818">INDEX('Linha 06'!$C$3:$ZZ$3,C818)</f>
        <v>20090005</v>
      </c>
      <c r="G818" t="str" cm="1">
        <f t="array" ref="G818">INDEX('Linha 06'!$C$2:$ZZ$2,C818)</f>
        <v>Desengordurante Aquafast Squeeze Cx C/12 X 1l</v>
      </c>
      <c r="H818" s="5" cm="1">
        <f t="array" ref="H818">INDEX('Linha 06'!$C$4:$ZZ$1000,B818,C818)</f>
        <v>0</v>
      </c>
    </row>
    <row r="819" spans="1:8" x14ac:dyDescent="0.25">
      <c r="A819">
        <v>817</v>
      </c>
      <c r="B819">
        <f t="shared" si="24"/>
        <v>22</v>
      </c>
      <c r="C819">
        <f t="shared" si="25"/>
        <v>19</v>
      </c>
      <c r="D819" cm="1">
        <f t="array" ref="D819">INDEX('Linha 06'!$A$4:$A$1000,B819)</f>
        <v>20110007</v>
      </c>
      <c r="E819" t="str" cm="1">
        <f t="array" ref="E819">INDEX('Linha 06'!$B$4:$B$1000,B819)</f>
        <v>Multi Uso Aquafast Squeeze Seducao Cx/12 X 500ml</v>
      </c>
      <c r="F819" cm="1">
        <f t="array" ref="F819">INDEX('Linha 06'!$C$3:$ZZ$3,C819)</f>
        <v>20090010</v>
      </c>
      <c r="G819" t="str" cm="1">
        <f t="array" ref="G819">INDEX('Linha 06'!$C$2:$ZZ$2,C819)</f>
        <v>Intermed Pack Desengord Squeeze Cx C/18 X 500ml</v>
      </c>
      <c r="H819" s="5" cm="1">
        <f t="array" ref="H819">INDEX('Linha 06'!$C$4:$ZZ$1000,B819,C819)</f>
        <v>0</v>
      </c>
    </row>
    <row r="820" spans="1:8" x14ac:dyDescent="0.25">
      <c r="A820">
        <v>818</v>
      </c>
      <c r="B820">
        <f t="shared" si="24"/>
        <v>22</v>
      </c>
      <c r="C820">
        <f t="shared" si="25"/>
        <v>20</v>
      </c>
      <c r="D820" cm="1">
        <f t="array" ref="D820">INDEX('Linha 06'!$A$4:$A$1000,B820)</f>
        <v>20110007</v>
      </c>
      <c r="E820" t="str" cm="1">
        <f t="array" ref="E820">INDEX('Linha 06'!$B$4:$B$1000,B820)</f>
        <v>Multi Uso Aquafast Squeeze Seducao Cx/12 X 500ml</v>
      </c>
      <c r="F820" cm="1">
        <f t="array" ref="F820">INDEX('Linha 06'!$C$3:$ZZ$3,C820)</f>
        <v>20110002</v>
      </c>
      <c r="G820" t="str" cm="1">
        <f t="array" ref="G820">INDEX('Linha 06'!$C$2:$ZZ$2,C820)</f>
        <v>Multi Uso Aquafast Squeeze Original Cx/12 X 500ml</v>
      </c>
      <c r="H820" s="5" cm="1">
        <f t="array" ref="H820">INDEX('Linha 06'!$C$4:$ZZ$1000,B820,C820)</f>
        <v>0</v>
      </c>
    </row>
    <row r="821" spans="1:8" x14ac:dyDescent="0.25">
      <c r="A821">
        <v>819</v>
      </c>
      <c r="B821">
        <f t="shared" si="24"/>
        <v>22</v>
      </c>
      <c r="C821">
        <f t="shared" si="25"/>
        <v>21</v>
      </c>
      <c r="D821" cm="1">
        <f t="array" ref="D821">INDEX('Linha 06'!$A$4:$A$1000,B821)</f>
        <v>20110007</v>
      </c>
      <c r="E821" t="str" cm="1">
        <f t="array" ref="E821">INDEX('Linha 06'!$B$4:$B$1000,B821)</f>
        <v>Multi Uso Aquafast Squeeze Seducao Cx/12 X 500ml</v>
      </c>
      <c r="F821" cm="1">
        <f t="array" ref="F821">INDEX('Linha 06'!$C$3:$ZZ$3,C821)</f>
        <v>20110004</v>
      </c>
      <c r="G821" t="str" cm="1">
        <f t="array" ref="G821">INDEX('Linha 06'!$C$2:$ZZ$2,C821)</f>
        <v>Multi Uso Aquafast Squeeze Lavanda Cx/12 X 500ml</v>
      </c>
      <c r="H821" s="5" cm="1">
        <f t="array" ref="H821">INDEX('Linha 06'!$C$4:$ZZ$1000,B821,C821)</f>
        <v>0</v>
      </c>
    </row>
    <row r="822" spans="1:8" x14ac:dyDescent="0.25">
      <c r="A822">
        <v>820</v>
      </c>
      <c r="B822">
        <f t="shared" si="24"/>
        <v>22</v>
      </c>
      <c r="C822">
        <f t="shared" si="25"/>
        <v>22</v>
      </c>
      <c r="D822" cm="1">
        <f t="array" ref="D822">INDEX('Linha 06'!$A$4:$A$1000,B822)</f>
        <v>20110007</v>
      </c>
      <c r="E822" t="str" cm="1">
        <f t="array" ref="E822">INDEX('Linha 06'!$B$4:$B$1000,B822)</f>
        <v>Multi Uso Aquafast Squeeze Seducao Cx/12 X 500ml</v>
      </c>
      <c r="F822" cm="1">
        <f t="array" ref="F822">INDEX('Linha 06'!$C$3:$ZZ$3,C822)</f>
        <v>20110007</v>
      </c>
      <c r="G822" t="str" cm="1">
        <f t="array" ref="G822">INDEX('Linha 06'!$C$2:$ZZ$2,C822)</f>
        <v>Multi Uso Aquafast Squeeze Seducao Cx/12 X 500ml</v>
      </c>
      <c r="H822" s="5" cm="1">
        <f t="array" ref="H822">INDEX('Linha 06'!$C$4:$ZZ$1000,B822,C822)</f>
        <v>0</v>
      </c>
    </row>
    <row r="823" spans="1:8" x14ac:dyDescent="0.25">
      <c r="A823">
        <v>821</v>
      </c>
      <c r="B823">
        <f t="shared" si="24"/>
        <v>22</v>
      </c>
      <c r="C823">
        <f t="shared" si="25"/>
        <v>23</v>
      </c>
      <c r="D823" cm="1">
        <f t="array" ref="D823">INDEX('Linha 06'!$A$4:$A$1000,B823)</f>
        <v>20110007</v>
      </c>
      <c r="E823" t="str" cm="1">
        <f t="array" ref="E823">INDEX('Linha 06'!$B$4:$B$1000,B823)</f>
        <v>Multi Uso Aquafast Squeeze Seducao Cx/12 X 500ml</v>
      </c>
      <c r="F823" cm="1">
        <f t="array" ref="F823">INDEX('Linha 06'!$C$3:$ZZ$3,C823)</f>
        <v>20110008</v>
      </c>
      <c r="G823" t="str" cm="1">
        <f t="array" ref="G823">INDEX('Linha 06'!$C$2:$ZZ$2,C823)</f>
        <v>Multi Uso Aquafast Squeeze Original Cx/12 X 1l</v>
      </c>
      <c r="H823" s="5" cm="1">
        <f t="array" ref="H823">INDEX('Linha 06'!$C$4:$ZZ$1000,B823,C823)</f>
        <v>0</v>
      </c>
    </row>
    <row r="824" spans="1:8" x14ac:dyDescent="0.25">
      <c r="A824">
        <v>822</v>
      </c>
      <c r="B824">
        <f t="shared" si="24"/>
        <v>22</v>
      </c>
      <c r="C824">
        <f t="shared" si="25"/>
        <v>24</v>
      </c>
      <c r="D824" cm="1">
        <f t="array" ref="D824">INDEX('Linha 06'!$A$4:$A$1000,B824)</f>
        <v>20110007</v>
      </c>
      <c r="E824" t="str" cm="1">
        <f t="array" ref="E824">INDEX('Linha 06'!$B$4:$B$1000,B824)</f>
        <v>Multi Uso Aquafast Squeeze Seducao Cx/12 X 500ml</v>
      </c>
      <c r="F824" cm="1">
        <f t="array" ref="F824">INDEX('Linha 06'!$C$3:$ZZ$3,C824)</f>
        <v>20110010</v>
      </c>
      <c r="G824" t="str" cm="1">
        <f t="array" ref="G824">INDEX('Linha 06'!$C$2:$ZZ$2,C824)</f>
        <v>Multi Uso Aquafast Squeeze Seducao Cx/12 1l</v>
      </c>
      <c r="H824" s="5" cm="1">
        <f t="array" ref="H824">INDEX('Linha 06'!$C$4:$ZZ$1000,B824,C824)</f>
        <v>0</v>
      </c>
    </row>
    <row r="825" spans="1:8" x14ac:dyDescent="0.25">
      <c r="A825">
        <v>823</v>
      </c>
      <c r="B825">
        <f t="shared" si="24"/>
        <v>22</v>
      </c>
      <c r="C825">
        <f t="shared" si="25"/>
        <v>25</v>
      </c>
      <c r="D825" cm="1">
        <f t="array" ref="D825">INDEX('Linha 06'!$A$4:$A$1000,B825)</f>
        <v>20110007</v>
      </c>
      <c r="E825" t="str" cm="1">
        <f t="array" ref="E825">INDEX('Linha 06'!$B$4:$B$1000,B825)</f>
        <v>Multi Uso Aquafast Squeeze Seducao Cx/12 X 500ml</v>
      </c>
      <c r="F825" cm="1">
        <f t="array" ref="F825">INDEX('Linha 06'!$C$3:$ZZ$3,C825)</f>
        <v>20110013</v>
      </c>
      <c r="G825" t="str" cm="1">
        <f t="array" ref="G825">INDEX('Linha 06'!$C$2:$ZZ$2,C825)</f>
        <v>Multi Uso Aquafast Squeeze Lavanda Cx/12 X 1l</v>
      </c>
      <c r="H825" s="5" cm="1">
        <f t="array" ref="H825">INDEX('Linha 06'!$C$4:$ZZ$1000,B825,C825)</f>
        <v>0</v>
      </c>
    </row>
    <row r="826" spans="1:8" x14ac:dyDescent="0.25">
      <c r="A826">
        <v>824</v>
      </c>
      <c r="B826">
        <f t="shared" si="24"/>
        <v>22</v>
      </c>
      <c r="C826">
        <f t="shared" si="25"/>
        <v>26</v>
      </c>
      <c r="D826" cm="1">
        <f t="array" ref="D826">INDEX('Linha 06'!$A$4:$A$1000,B826)</f>
        <v>20110007</v>
      </c>
      <c r="E826" t="str" cm="1">
        <f t="array" ref="E826">INDEX('Linha 06'!$B$4:$B$1000,B826)</f>
        <v>Multi Uso Aquafast Squeeze Seducao Cx/12 X 500ml</v>
      </c>
      <c r="F826" cm="1">
        <f t="array" ref="F826">INDEX('Linha 06'!$C$3:$ZZ$3,C826)</f>
        <v>20110022</v>
      </c>
      <c r="G826" t="str" cm="1">
        <f t="array" ref="G826">INDEX('Linha 06'!$C$2:$ZZ$2,C826)</f>
        <v>Intermed Pack Multi Uso Lavand C/Alcool Cx/18 X 500ml</v>
      </c>
      <c r="H826" s="5" cm="1">
        <f t="array" ref="H826">INDEX('Linha 06'!$C$4:$ZZ$1000,B826,C826)</f>
        <v>0</v>
      </c>
    </row>
    <row r="827" spans="1:8" x14ac:dyDescent="0.25">
      <c r="A827">
        <v>825</v>
      </c>
      <c r="B827">
        <f t="shared" si="24"/>
        <v>22</v>
      </c>
      <c r="C827">
        <f t="shared" si="25"/>
        <v>27</v>
      </c>
      <c r="D827" cm="1">
        <f t="array" ref="D827">INDEX('Linha 06'!$A$4:$A$1000,B827)</f>
        <v>20110007</v>
      </c>
      <c r="E827" t="str" cm="1">
        <f t="array" ref="E827">INDEX('Linha 06'!$B$4:$B$1000,B827)</f>
        <v>Multi Uso Aquafast Squeeze Seducao Cx/12 X 500ml</v>
      </c>
      <c r="F827" cm="1">
        <f t="array" ref="F827">INDEX('Linha 06'!$C$3:$ZZ$3,C827)</f>
        <v>20110023</v>
      </c>
      <c r="G827" t="str" cm="1">
        <f t="array" ref="G827">INDEX('Linha 06'!$C$2:$ZZ$2,C827)</f>
        <v>Multi Uso Aquafast Squeeze Cha Branco  Cx/12 X 500ml</v>
      </c>
      <c r="H827" s="5" cm="1">
        <f t="array" ref="H827">INDEX('Linha 06'!$C$4:$ZZ$1000,B827,C827)</f>
        <v>0</v>
      </c>
    </row>
    <row r="828" spans="1:8" x14ac:dyDescent="0.25">
      <c r="A828">
        <v>826</v>
      </c>
      <c r="B828">
        <f t="shared" si="24"/>
        <v>22</v>
      </c>
      <c r="C828">
        <f t="shared" si="25"/>
        <v>28</v>
      </c>
      <c r="D828" cm="1">
        <f t="array" ref="D828">INDEX('Linha 06'!$A$4:$A$1000,B828)</f>
        <v>20110007</v>
      </c>
      <c r="E828" t="str" cm="1">
        <f t="array" ref="E828">INDEX('Linha 06'!$B$4:$B$1000,B828)</f>
        <v>Multi Uso Aquafast Squeeze Seducao Cx/12 X 500ml</v>
      </c>
      <c r="F828" cm="1">
        <f t="array" ref="F828">INDEX('Linha 06'!$C$3:$ZZ$3,C828)</f>
        <v>20110024</v>
      </c>
      <c r="G828" t="str" cm="1">
        <f t="array" ref="G828">INDEX('Linha 06'!$C$2:$ZZ$2,C828)</f>
        <v>Multi Uso Aquafast Squeeze Cha Branco Cx12 X 1l</v>
      </c>
      <c r="H828" s="5" cm="1">
        <f t="array" ref="H828">INDEX('Linha 06'!$C$4:$ZZ$1000,B828,C828)</f>
        <v>0</v>
      </c>
    </row>
    <row r="829" spans="1:8" x14ac:dyDescent="0.25">
      <c r="A829">
        <v>827</v>
      </c>
      <c r="B829">
        <f t="shared" si="24"/>
        <v>22</v>
      </c>
      <c r="C829">
        <f t="shared" si="25"/>
        <v>29</v>
      </c>
      <c r="D829" cm="1">
        <f t="array" ref="D829">INDEX('Linha 06'!$A$4:$A$1000,B829)</f>
        <v>20110007</v>
      </c>
      <c r="E829" t="str" cm="1">
        <f t="array" ref="E829">INDEX('Linha 06'!$B$4:$B$1000,B829)</f>
        <v>Multi Uso Aquafast Squeeze Seducao Cx/12 X 500ml</v>
      </c>
      <c r="F829" cm="1">
        <f t="array" ref="F829">INDEX('Linha 06'!$C$3:$ZZ$3,C829)</f>
        <v>20110025</v>
      </c>
      <c r="G829" t="str" cm="1">
        <f t="array" ref="G829">INDEX('Linha 06'!$C$2:$ZZ$2,C829)</f>
        <v>Multi Uso Aquafast Pulverizador Original Cx/12 X 1l</v>
      </c>
      <c r="H829" s="5" cm="1">
        <f t="array" ref="H829">INDEX('Linha 06'!$C$4:$ZZ$1000,B829,C829)</f>
        <v>0</v>
      </c>
    </row>
    <row r="830" spans="1:8" x14ac:dyDescent="0.25">
      <c r="A830">
        <v>828</v>
      </c>
      <c r="B830">
        <f t="shared" si="24"/>
        <v>22</v>
      </c>
      <c r="C830">
        <f t="shared" si="25"/>
        <v>30</v>
      </c>
      <c r="D830" cm="1">
        <f t="array" ref="D830">INDEX('Linha 06'!$A$4:$A$1000,B830)</f>
        <v>20110007</v>
      </c>
      <c r="E830" t="str" cm="1">
        <f t="array" ref="E830">INDEX('Linha 06'!$B$4:$B$1000,B830)</f>
        <v>Multi Uso Aquafast Squeeze Seducao Cx/12 X 500ml</v>
      </c>
      <c r="F830" cm="1">
        <f t="array" ref="F830">INDEX('Linha 06'!$C$3:$ZZ$3,C830)</f>
        <v>20110026</v>
      </c>
      <c r="G830" t="str" cm="1">
        <f t="array" ref="G830">INDEX('Linha 06'!$C$2:$ZZ$2,C830)</f>
        <v>Multi Uso Aquafast Pulverizador Poder O2 Cx/12 X 1l</v>
      </c>
      <c r="H830" s="5" cm="1">
        <f t="array" ref="H830">INDEX('Linha 06'!$C$4:$ZZ$1000,B830,C830)</f>
        <v>0</v>
      </c>
    </row>
    <row r="831" spans="1:8" x14ac:dyDescent="0.25">
      <c r="A831">
        <v>829</v>
      </c>
      <c r="B831">
        <f t="shared" si="24"/>
        <v>22</v>
      </c>
      <c r="C831">
        <f t="shared" si="25"/>
        <v>31</v>
      </c>
      <c r="D831" cm="1">
        <f t="array" ref="D831">INDEX('Linha 06'!$A$4:$A$1000,B831)</f>
        <v>20110007</v>
      </c>
      <c r="E831" t="str" cm="1">
        <f t="array" ref="E831">INDEX('Linha 06'!$B$4:$B$1000,B831)</f>
        <v>Multi Uso Aquafast Squeeze Seducao Cx/12 X 500ml</v>
      </c>
      <c r="F831" cm="1">
        <f t="array" ref="F831">INDEX('Linha 06'!$C$3:$ZZ$3,C831)</f>
        <v>20110027</v>
      </c>
      <c r="G831" t="str" cm="1">
        <f t="array" ref="G831">INDEX('Linha 06'!$C$2:$ZZ$2,C831)</f>
        <v>Multi Uso Aquafast Pulverizador Poder O2 Cx/12 X 500ml</v>
      </c>
      <c r="H831" s="5" cm="1">
        <f t="array" ref="H831">INDEX('Linha 06'!$C$4:$ZZ$1000,B831,C831)</f>
        <v>0</v>
      </c>
    </row>
    <row r="832" spans="1:8" x14ac:dyDescent="0.25">
      <c r="A832">
        <v>830</v>
      </c>
      <c r="B832">
        <f t="shared" si="24"/>
        <v>22</v>
      </c>
      <c r="C832">
        <f t="shared" si="25"/>
        <v>32</v>
      </c>
      <c r="D832" cm="1">
        <f t="array" ref="D832">INDEX('Linha 06'!$A$4:$A$1000,B832)</f>
        <v>20110007</v>
      </c>
      <c r="E832" t="str" cm="1">
        <f t="array" ref="E832">INDEX('Linha 06'!$B$4:$B$1000,B832)</f>
        <v>Multi Uso Aquafast Squeeze Seducao Cx/12 X 500ml</v>
      </c>
      <c r="F832" cm="1">
        <f t="array" ref="F832">INDEX('Linha 06'!$C$3:$ZZ$3,C832)</f>
        <v>20200073</v>
      </c>
      <c r="G832" t="str" cm="1">
        <f t="array" ref="G832">INDEX('Linha 06'!$C$2:$ZZ$2,C832)</f>
        <v>Lava Roupas Aquafast Lavagem Rapida Total Clean Cx/9 X 1,5l</v>
      </c>
      <c r="H832" s="5" cm="1">
        <f t="array" ref="H832">INDEX('Linha 06'!$C$4:$ZZ$1000,B832,C832)</f>
        <v>0</v>
      </c>
    </row>
    <row r="833" spans="1:8" x14ac:dyDescent="0.25">
      <c r="A833">
        <v>831</v>
      </c>
      <c r="B833">
        <f t="shared" si="24"/>
        <v>22</v>
      </c>
      <c r="C833">
        <f t="shared" si="25"/>
        <v>33</v>
      </c>
      <c r="D833" cm="1">
        <f t="array" ref="D833">INDEX('Linha 06'!$A$4:$A$1000,B833)</f>
        <v>20110007</v>
      </c>
      <c r="E833" t="str" cm="1">
        <f t="array" ref="E833">INDEX('Linha 06'!$B$4:$B$1000,B833)</f>
        <v>Multi Uso Aquafast Squeeze Seducao Cx/12 X 500ml</v>
      </c>
      <c r="F833" cm="1">
        <f t="array" ref="F833">INDEX('Linha 06'!$C$3:$ZZ$3,C833)</f>
        <v>20200075</v>
      </c>
      <c r="G833" t="str" cm="1">
        <f t="array" ref="G833">INDEX('Linha 06'!$C$2:$ZZ$2,C833)</f>
        <v>Lava Roupas Aquafast Lavagem Rapida Fresh Clean Cx/9 X 1,5l</v>
      </c>
      <c r="H833" s="5" cm="1">
        <f t="array" ref="H833">INDEX('Linha 06'!$C$4:$ZZ$1000,B833,C833)</f>
        <v>0</v>
      </c>
    </row>
    <row r="834" spans="1:8" x14ac:dyDescent="0.25">
      <c r="A834">
        <v>832</v>
      </c>
      <c r="B834">
        <f t="shared" si="24"/>
        <v>22</v>
      </c>
      <c r="C834">
        <f t="shared" si="25"/>
        <v>34</v>
      </c>
      <c r="D834" cm="1">
        <f t="array" ref="D834">INDEX('Linha 06'!$A$4:$A$1000,B834)</f>
        <v>20110007</v>
      </c>
      <c r="E834" t="str" cm="1">
        <f t="array" ref="E834">INDEX('Linha 06'!$B$4:$B$1000,B834)</f>
        <v>Multi Uso Aquafast Squeeze Seducao Cx/12 X 500ml</v>
      </c>
      <c r="F834" cm="1">
        <f t="array" ref="F834">INDEX('Linha 06'!$C$3:$ZZ$3,C834)</f>
        <v>20220018</v>
      </c>
      <c r="G834" t="str" cm="1">
        <f t="array" ref="G834">INDEX('Linha 06'!$C$2:$ZZ$2,C834)</f>
        <v>Intermed. Aromat. Amoras E Baunilha Cx C/ 12un 250ml</v>
      </c>
      <c r="H834" s="5" cm="1">
        <f t="array" ref="H834">INDEX('Linha 06'!$C$4:$ZZ$1000,B834,C834)</f>
        <v>0</v>
      </c>
    </row>
    <row r="835" spans="1:8" x14ac:dyDescent="0.25">
      <c r="A835">
        <v>833</v>
      </c>
      <c r="B835">
        <f t="shared" si="24"/>
        <v>22</v>
      </c>
      <c r="C835">
        <f t="shared" si="25"/>
        <v>35</v>
      </c>
      <c r="D835" cm="1">
        <f t="array" ref="D835">INDEX('Linha 06'!$A$4:$A$1000,B835)</f>
        <v>20110007</v>
      </c>
      <c r="E835" t="str" cm="1">
        <f t="array" ref="E835">INDEX('Linha 06'!$B$4:$B$1000,B835)</f>
        <v>Multi Uso Aquafast Squeeze Seducao Cx/12 X 500ml</v>
      </c>
      <c r="F835" cm="1">
        <f t="array" ref="F835">INDEX('Linha 06'!$C$3:$ZZ$3,C835)</f>
        <v>20220019</v>
      </c>
      <c r="G835" t="str" cm="1">
        <f t="array" ref="G835">INDEX('Linha 06'!$C$2:$ZZ$2,C835)</f>
        <v>Intermed. Aromat. Figo E Cedro Cx C/ 12un 250ml</v>
      </c>
      <c r="H835" s="5" cm="1">
        <f t="array" ref="H835">INDEX('Linha 06'!$C$4:$ZZ$1000,B835,C835)</f>
        <v>0</v>
      </c>
    </row>
    <row r="836" spans="1:8" x14ac:dyDescent="0.25">
      <c r="A836">
        <v>834</v>
      </c>
      <c r="B836">
        <f t="shared" ref="B836:B899" si="26">INT((A836-1)/$B$1)+1</f>
        <v>22</v>
      </c>
      <c r="C836">
        <f t="shared" ref="C836:C899" si="27">MOD(A836-1,$B$1)+1</f>
        <v>36</v>
      </c>
      <c r="D836" cm="1">
        <f t="array" ref="D836">INDEX('Linha 06'!$A$4:$A$1000,B836)</f>
        <v>20110007</v>
      </c>
      <c r="E836" t="str" cm="1">
        <f t="array" ref="E836">INDEX('Linha 06'!$B$4:$B$1000,B836)</f>
        <v>Multi Uso Aquafast Squeeze Seducao Cx/12 X 500ml</v>
      </c>
      <c r="F836" cm="1">
        <f t="array" ref="F836">INDEX('Linha 06'!$C$3:$ZZ$3,C836)</f>
        <v>20220020</v>
      </c>
      <c r="G836" t="str" cm="1">
        <f t="array" ref="G836">INDEX('Linha 06'!$C$2:$ZZ$2,C836)</f>
        <v>Intermed. Aromat. Rosas E Magnolias Cx C/ 12un 250ml</v>
      </c>
      <c r="H836" s="5" cm="1">
        <f t="array" ref="H836">INDEX('Linha 06'!$C$4:$ZZ$1000,B836,C836)</f>
        <v>0</v>
      </c>
    </row>
    <row r="837" spans="1:8" x14ac:dyDescent="0.25">
      <c r="A837">
        <v>835</v>
      </c>
      <c r="B837">
        <f t="shared" si="26"/>
        <v>22</v>
      </c>
      <c r="C837">
        <f t="shared" si="27"/>
        <v>37</v>
      </c>
      <c r="D837" cm="1">
        <f t="array" ref="D837">INDEX('Linha 06'!$A$4:$A$1000,B837)</f>
        <v>20110007</v>
      </c>
      <c r="E837" t="str" cm="1">
        <f t="array" ref="E837">INDEX('Linha 06'!$B$4:$B$1000,B837)</f>
        <v>Multi Uso Aquafast Squeeze Seducao Cx/12 X 500ml</v>
      </c>
      <c r="F837" cm="1">
        <f t="array" ref="F837">INDEX('Linha 06'!$C$3:$ZZ$3,C837)</f>
        <v>20220021</v>
      </c>
      <c r="G837" t="str" cm="1">
        <f t="array" ref="G837">INDEX('Linha 06'!$C$2:$ZZ$2,C837)</f>
        <v>Intermed. Aromat. Flores Exoticas Cx C/ 12un 250ml</v>
      </c>
      <c r="H837" s="5" cm="1">
        <f t="array" ref="H837">INDEX('Linha 06'!$C$4:$ZZ$1000,B837,C837)</f>
        <v>0</v>
      </c>
    </row>
    <row r="838" spans="1:8" x14ac:dyDescent="0.25">
      <c r="A838">
        <v>836</v>
      </c>
      <c r="B838">
        <f t="shared" si="26"/>
        <v>22</v>
      </c>
      <c r="C838">
        <f t="shared" si="27"/>
        <v>38</v>
      </c>
      <c r="D838" cm="1">
        <f t="array" ref="D838">INDEX('Linha 06'!$A$4:$A$1000,B838)</f>
        <v>20110007</v>
      </c>
      <c r="E838" t="str" cm="1">
        <f t="array" ref="E838">INDEX('Linha 06'!$B$4:$B$1000,B838)</f>
        <v>Multi Uso Aquafast Squeeze Seducao Cx/12 X 500ml</v>
      </c>
      <c r="F838" cm="1">
        <f t="array" ref="F838">INDEX('Linha 06'!$C$3:$ZZ$3,C838)</f>
        <v>20220022</v>
      </c>
      <c r="G838" t="str" cm="1">
        <f t="array" ref="G838">INDEX('Linha 06'!$C$2:$ZZ$2,C838)</f>
        <v>Intermed. Aromat. Cha Verde E Grapef Cx C/ 12un 250ml</v>
      </c>
      <c r="H838" s="5" cm="1">
        <f t="array" ref="H838">INDEX('Linha 06'!$C$4:$ZZ$1000,B838,C838)</f>
        <v>0</v>
      </c>
    </row>
    <row r="839" spans="1:8" x14ac:dyDescent="0.25">
      <c r="A839">
        <v>837</v>
      </c>
      <c r="B839">
        <f t="shared" si="26"/>
        <v>23</v>
      </c>
      <c r="C839">
        <f t="shared" si="27"/>
        <v>1</v>
      </c>
      <c r="D839" cm="1">
        <f t="array" ref="D839">INDEX('Linha 06'!$A$4:$A$1000,B839)</f>
        <v>20110008</v>
      </c>
      <c r="E839" t="str" cm="1">
        <f t="array" ref="E839">INDEX('Linha 06'!$B$4:$B$1000,B839)</f>
        <v>Multi Uso Aquafast Squeeze Original Cx/12 X 1l</v>
      </c>
      <c r="F839" cm="1">
        <f t="array" ref="F839">INDEX('Linha 06'!$C$3:$ZZ$3,C839)</f>
        <v>20060001</v>
      </c>
      <c r="G839" t="str" cm="1">
        <f t="array" ref="G839">INDEX('Linha 06'!$C$2:$ZZ$2,C839)</f>
        <v>Limp Perf Aquafast Magia Seducao Cx/12 X 500ml</v>
      </c>
      <c r="H839" s="5" cm="1">
        <f t="array" ref="H839">INDEX('Linha 06'!$C$4:$ZZ$1000,B839,C839)</f>
        <v>0</v>
      </c>
    </row>
    <row r="840" spans="1:8" x14ac:dyDescent="0.25">
      <c r="A840">
        <v>838</v>
      </c>
      <c r="B840">
        <f t="shared" si="26"/>
        <v>23</v>
      </c>
      <c r="C840">
        <f t="shared" si="27"/>
        <v>2</v>
      </c>
      <c r="D840" cm="1">
        <f t="array" ref="D840">INDEX('Linha 06'!$A$4:$A$1000,B840)</f>
        <v>20110008</v>
      </c>
      <c r="E840" t="str" cm="1">
        <f t="array" ref="E840">INDEX('Linha 06'!$B$4:$B$1000,B840)</f>
        <v>Multi Uso Aquafast Squeeze Original Cx/12 X 1l</v>
      </c>
      <c r="F840" cm="1">
        <f t="array" ref="F840">INDEX('Linha 06'!$C$3:$ZZ$3,C840)</f>
        <v>20060004</v>
      </c>
      <c r="G840" t="str" cm="1">
        <f t="array" ref="G840">INDEX('Linha 06'!$C$2:$ZZ$2,C840)</f>
        <v>Limp Perf Aquafast Magia Seducao Cx/12 X 1l</v>
      </c>
      <c r="H840" s="5" cm="1">
        <f t="array" ref="H840">INDEX('Linha 06'!$C$4:$ZZ$1000,B840,C840)</f>
        <v>0</v>
      </c>
    </row>
    <row r="841" spans="1:8" x14ac:dyDescent="0.25">
      <c r="A841">
        <v>839</v>
      </c>
      <c r="B841">
        <f t="shared" si="26"/>
        <v>23</v>
      </c>
      <c r="C841">
        <f t="shared" si="27"/>
        <v>3</v>
      </c>
      <c r="D841" cm="1">
        <f t="array" ref="D841">INDEX('Linha 06'!$A$4:$A$1000,B841)</f>
        <v>20110008</v>
      </c>
      <c r="E841" t="str" cm="1">
        <f t="array" ref="E841">INDEX('Linha 06'!$B$4:$B$1000,B841)</f>
        <v>Multi Uso Aquafast Squeeze Original Cx/12 X 1l</v>
      </c>
      <c r="F841" cm="1">
        <f t="array" ref="F841">INDEX('Linha 06'!$C$3:$ZZ$3,C841)</f>
        <v>20060010</v>
      </c>
      <c r="G841" t="str" cm="1">
        <f t="array" ref="G841">INDEX('Linha 06'!$C$2:$ZZ$2,C841)</f>
        <v>Limp Perf Aquafast Magia Da Infancia Cx/12 X 500ml</v>
      </c>
      <c r="H841" s="5" cm="1">
        <f t="array" ref="H841">INDEX('Linha 06'!$C$4:$ZZ$1000,B841,C841)</f>
        <v>0</v>
      </c>
    </row>
    <row r="842" spans="1:8" x14ac:dyDescent="0.25">
      <c r="A842">
        <v>840</v>
      </c>
      <c r="B842">
        <f t="shared" si="26"/>
        <v>23</v>
      </c>
      <c r="C842">
        <f t="shared" si="27"/>
        <v>4</v>
      </c>
      <c r="D842" cm="1">
        <f t="array" ref="D842">INDEX('Linha 06'!$A$4:$A$1000,B842)</f>
        <v>20110008</v>
      </c>
      <c r="E842" t="str" cm="1">
        <f t="array" ref="E842">INDEX('Linha 06'!$B$4:$B$1000,B842)</f>
        <v>Multi Uso Aquafast Squeeze Original Cx/12 X 1l</v>
      </c>
      <c r="F842" cm="1">
        <f t="array" ref="F842">INDEX('Linha 06'!$C$3:$ZZ$3,C842)</f>
        <v>20060011</v>
      </c>
      <c r="G842" t="str" cm="1">
        <f t="array" ref="G842">INDEX('Linha 06'!$C$2:$ZZ$2,C842)</f>
        <v>Limp Perf Aquafast Frescor Da Manha Cx/12 X 500ml</v>
      </c>
      <c r="H842" s="5" cm="1">
        <f t="array" ref="H842">INDEX('Linha 06'!$C$4:$ZZ$1000,B842,C842)</f>
        <v>0</v>
      </c>
    </row>
    <row r="843" spans="1:8" x14ac:dyDescent="0.25">
      <c r="A843">
        <v>841</v>
      </c>
      <c r="B843">
        <f t="shared" si="26"/>
        <v>23</v>
      </c>
      <c r="C843">
        <f t="shared" si="27"/>
        <v>5</v>
      </c>
      <c r="D843" cm="1">
        <f t="array" ref="D843">INDEX('Linha 06'!$A$4:$A$1000,B843)</f>
        <v>20110008</v>
      </c>
      <c r="E843" t="str" cm="1">
        <f t="array" ref="E843">INDEX('Linha 06'!$B$4:$B$1000,B843)</f>
        <v>Multi Uso Aquafast Squeeze Original Cx/12 X 1l</v>
      </c>
      <c r="F843" cm="1">
        <f t="array" ref="F843">INDEX('Linha 06'!$C$3:$ZZ$3,C843)</f>
        <v>20060012</v>
      </c>
      <c r="G843" t="str" cm="1">
        <f t="array" ref="G843">INDEX('Linha 06'!$C$2:$ZZ$2,C843)</f>
        <v>Limp Perf Aquafast Magia Da Infancia Cx/12 X 1l</v>
      </c>
      <c r="H843" s="5" cm="1">
        <f t="array" ref="H843">INDEX('Linha 06'!$C$4:$ZZ$1000,B843,C843)</f>
        <v>0</v>
      </c>
    </row>
    <row r="844" spans="1:8" x14ac:dyDescent="0.25">
      <c r="A844">
        <v>842</v>
      </c>
      <c r="B844">
        <f t="shared" si="26"/>
        <v>23</v>
      </c>
      <c r="C844">
        <f t="shared" si="27"/>
        <v>6</v>
      </c>
      <c r="D844" cm="1">
        <f t="array" ref="D844">INDEX('Linha 06'!$A$4:$A$1000,B844)</f>
        <v>20110008</v>
      </c>
      <c r="E844" t="str" cm="1">
        <f t="array" ref="E844">INDEX('Linha 06'!$B$4:$B$1000,B844)</f>
        <v>Multi Uso Aquafast Squeeze Original Cx/12 X 1l</v>
      </c>
      <c r="F844" cm="1">
        <f t="array" ref="F844">INDEX('Linha 06'!$C$3:$ZZ$3,C844)</f>
        <v>20060013</v>
      </c>
      <c r="G844" t="str" cm="1">
        <f t="array" ref="G844">INDEX('Linha 06'!$C$2:$ZZ$2,C844)</f>
        <v>Limp Perf Aquafast Frescor Da Manha Cx/12 X 1l</v>
      </c>
      <c r="H844" s="5" cm="1">
        <f t="array" ref="H844">INDEX('Linha 06'!$C$4:$ZZ$1000,B844,C844)</f>
        <v>0</v>
      </c>
    </row>
    <row r="845" spans="1:8" x14ac:dyDescent="0.25">
      <c r="A845">
        <v>843</v>
      </c>
      <c r="B845">
        <f t="shared" si="26"/>
        <v>23</v>
      </c>
      <c r="C845">
        <f t="shared" si="27"/>
        <v>7</v>
      </c>
      <c r="D845" cm="1">
        <f t="array" ref="D845">INDEX('Linha 06'!$A$4:$A$1000,B845)</f>
        <v>20110008</v>
      </c>
      <c r="E845" t="str" cm="1">
        <f t="array" ref="E845">INDEX('Linha 06'!$B$4:$B$1000,B845)</f>
        <v>Multi Uso Aquafast Squeeze Original Cx/12 X 1l</v>
      </c>
      <c r="F845" cm="1">
        <f t="array" ref="F845">INDEX('Linha 06'!$C$3:$ZZ$3,C845)</f>
        <v>20060015</v>
      </c>
      <c r="G845" t="str" cm="1">
        <f t="array" ref="G845">INDEX('Linha 06'!$C$2:$ZZ$2,C845)</f>
        <v>Limp Perf Aquafast Doce Romance Cx/12 X 500ml</v>
      </c>
      <c r="H845" s="5" cm="1">
        <f t="array" ref="H845">INDEX('Linha 06'!$C$4:$ZZ$1000,B845,C845)</f>
        <v>0</v>
      </c>
    </row>
    <row r="846" spans="1:8" x14ac:dyDescent="0.25">
      <c r="A846">
        <v>844</v>
      </c>
      <c r="B846">
        <f t="shared" si="26"/>
        <v>23</v>
      </c>
      <c r="C846">
        <f t="shared" si="27"/>
        <v>8</v>
      </c>
      <c r="D846" cm="1">
        <f t="array" ref="D846">INDEX('Linha 06'!$A$4:$A$1000,B846)</f>
        <v>20110008</v>
      </c>
      <c r="E846" t="str" cm="1">
        <f t="array" ref="E846">INDEX('Linha 06'!$B$4:$B$1000,B846)</f>
        <v>Multi Uso Aquafast Squeeze Original Cx/12 X 1l</v>
      </c>
      <c r="F846" cm="1">
        <f t="array" ref="F846">INDEX('Linha 06'!$C$3:$ZZ$3,C846)</f>
        <v>20060016</v>
      </c>
      <c r="G846" t="str" cm="1">
        <f t="array" ref="G846">INDEX('Linha 06'!$C$2:$ZZ$2,C846)</f>
        <v>Limp Perf Aquafast Doce Romance Cx/12 X 1l</v>
      </c>
      <c r="H846" s="5" cm="1">
        <f t="array" ref="H846">INDEX('Linha 06'!$C$4:$ZZ$1000,B846,C846)</f>
        <v>0</v>
      </c>
    </row>
    <row r="847" spans="1:8" x14ac:dyDescent="0.25">
      <c r="A847">
        <v>845</v>
      </c>
      <c r="B847">
        <f t="shared" si="26"/>
        <v>23</v>
      </c>
      <c r="C847">
        <f t="shared" si="27"/>
        <v>9</v>
      </c>
      <c r="D847" cm="1">
        <f t="array" ref="D847">INDEX('Linha 06'!$A$4:$A$1000,B847)</f>
        <v>20110008</v>
      </c>
      <c r="E847" t="str" cm="1">
        <f t="array" ref="E847">INDEX('Linha 06'!$B$4:$B$1000,B847)</f>
        <v>Multi Uso Aquafast Squeeze Original Cx/12 X 1l</v>
      </c>
      <c r="F847" cm="1">
        <f t="array" ref="F847">INDEX('Linha 06'!$C$3:$ZZ$3,C847)</f>
        <v>20060027</v>
      </c>
      <c r="G847" t="str" cm="1">
        <f t="array" ref="G847">INDEX('Linha 06'!$C$2:$ZZ$2,C847)</f>
        <v>Limp Perf Aquafast Essencia Natural Cx/12 X 1l</v>
      </c>
      <c r="H847" s="5" cm="1">
        <f t="array" ref="H847">INDEX('Linha 06'!$C$4:$ZZ$1000,B847,C847)</f>
        <v>0</v>
      </c>
    </row>
    <row r="848" spans="1:8" x14ac:dyDescent="0.25">
      <c r="A848">
        <v>846</v>
      </c>
      <c r="B848">
        <f t="shared" si="26"/>
        <v>23</v>
      </c>
      <c r="C848">
        <f t="shared" si="27"/>
        <v>10</v>
      </c>
      <c r="D848" cm="1">
        <f t="array" ref="D848">INDEX('Linha 06'!$A$4:$A$1000,B848)</f>
        <v>20110008</v>
      </c>
      <c r="E848" t="str" cm="1">
        <f t="array" ref="E848">INDEX('Linha 06'!$B$4:$B$1000,B848)</f>
        <v>Multi Uso Aquafast Squeeze Original Cx/12 X 1l</v>
      </c>
      <c r="F848" cm="1">
        <f t="array" ref="F848">INDEX('Linha 06'!$C$3:$ZZ$3,C848)</f>
        <v>20070001</v>
      </c>
      <c r="G848" t="str" cm="1">
        <f t="array" ref="G848">INDEX('Linha 06'!$C$2:$ZZ$2,C848)</f>
        <v>Limpa Vidros Aquafast Pulverizador Cx/12 X 500ml</v>
      </c>
      <c r="H848" s="5" cm="1">
        <f t="array" ref="H848">INDEX('Linha 06'!$C$4:$ZZ$1000,B848,C848)</f>
        <v>0</v>
      </c>
    </row>
    <row r="849" spans="1:8" x14ac:dyDescent="0.25">
      <c r="A849">
        <v>847</v>
      </c>
      <c r="B849">
        <f t="shared" si="26"/>
        <v>23</v>
      </c>
      <c r="C849">
        <f t="shared" si="27"/>
        <v>11</v>
      </c>
      <c r="D849" cm="1">
        <f t="array" ref="D849">INDEX('Linha 06'!$A$4:$A$1000,B849)</f>
        <v>20110008</v>
      </c>
      <c r="E849" t="str" cm="1">
        <f t="array" ref="E849">INDEX('Linha 06'!$B$4:$B$1000,B849)</f>
        <v>Multi Uso Aquafast Squeeze Original Cx/12 X 1l</v>
      </c>
      <c r="F849" cm="1">
        <f t="array" ref="F849">INDEX('Linha 06'!$C$3:$ZZ$3,C849)</f>
        <v>20070002</v>
      </c>
      <c r="G849" t="str" cm="1">
        <f t="array" ref="G849">INDEX('Linha 06'!$C$2:$ZZ$2,C849)</f>
        <v>Limpa Vidros Aquafast Recarga Cx/12 X 500ml</v>
      </c>
      <c r="H849" s="5" cm="1">
        <f t="array" ref="H849">INDEX('Linha 06'!$C$4:$ZZ$1000,B849,C849)</f>
        <v>0</v>
      </c>
    </row>
    <row r="850" spans="1:8" x14ac:dyDescent="0.25">
      <c r="A850">
        <v>848</v>
      </c>
      <c r="B850">
        <f t="shared" si="26"/>
        <v>23</v>
      </c>
      <c r="C850">
        <f t="shared" si="27"/>
        <v>12</v>
      </c>
      <c r="D850" cm="1">
        <f t="array" ref="D850">INDEX('Linha 06'!$A$4:$A$1000,B850)</f>
        <v>20110008</v>
      </c>
      <c r="E850" t="str" cm="1">
        <f t="array" ref="E850">INDEX('Linha 06'!$B$4:$B$1000,B850)</f>
        <v>Multi Uso Aquafast Squeeze Original Cx/12 X 1l</v>
      </c>
      <c r="F850" cm="1">
        <f t="array" ref="F850">INDEX('Linha 06'!$C$3:$ZZ$3,C850)</f>
        <v>20070006</v>
      </c>
      <c r="G850" t="str" cm="1">
        <f t="array" ref="G850">INDEX('Linha 06'!$C$2:$ZZ$2,C850)</f>
        <v>Limpa Vidros Ito Pulverizador Cx/12 X 500ml</v>
      </c>
      <c r="H850" s="5" cm="1">
        <f t="array" ref="H850">INDEX('Linha 06'!$C$4:$ZZ$1000,B850,C850)</f>
        <v>0</v>
      </c>
    </row>
    <row r="851" spans="1:8" x14ac:dyDescent="0.25">
      <c r="A851">
        <v>849</v>
      </c>
      <c r="B851">
        <f t="shared" si="26"/>
        <v>23</v>
      </c>
      <c r="C851">
        <f t="shared" si="27"/>
        <v>13</v>
      </c>
      <c r="D851" cm="1">
        <f t="array" ref="D851">INDEX('Linha 06'!$A$4:$A$1000,B851)</f>
        <v>20110008</v>
      </c>
      <c r="E851" t="str" cm="1">
        <f t="array" ref="E851">INDEX('Linha 06'!$B$4:$B$1000,B851)</f>
        <v>Multi Uso Aquafast Squeeze Original Cx/12 X 1l</v>
      </c>
      <c r="F851" cm="1">
        <f t="array" ref="F851">INDEX('Linha 06'!$C$3:$ZZ$3,C851)</f>
        <v>20070007</v>
      </c>
      <c r="G851" t="str" cm="1">
        <f t="array" ref="G851">INDEX('Linha 06'!$C$2:$ZZ$2,C851)</f>
        <v>Limpa Vidros Ito Recarga Cx/12 X 500ml</v>
      </c>
      <c r="H851" s="5" cm="1">
        <f t="array" ref="H851">INDEX('Linha 06'!$C$4:$ZZ$1000,B851,C851)</f>
        <v>0</v>
      </c>
    </row>
    <row r="852" spans="1:8" x14ac:dyDescent="0.25">
      <c r="A852">
        <v>850</v>
      </c>
      <c r="B852">
        <f t="shared" si="26"/>
        <v>23</v>
      </c>
      <c r="C852">
        <f t="shared" si="27"/>
        <v>14</v>
      </c>
      <c r="D852" cm="1">
        <f t="array" ref="D852">INDEX('Linha 06'!$A$4:$A$1000,B852)</f>
        <v>20110008</v>
      </c>
      <c r="E852" t="str" cm="1">
        <f t="array" ref="E852">INDEX('Linha 06'!$B$4:$B$1000,B852)</f>
        <v>Multi Uso Aquafast Squeeze Original Cx/12 X 1l</v>
      </c>
      <c r="F852" cm="1">
        <f t="array" ref="F852">INDEX('Linha 06'!$C$3:$ZZ$3,C852)</f>
        <v>20070008</v>
      </c>
      <c r="G852" t="str" cm="1">
        <f t="array" ref="G852">INDEX('Linha 06'!$C$2:$ZZ$2,C852)</f>
        <v>Limpa Vidros Aquafast Squeeze Cx/12 X 500ml</v>
      </c>
      <c r="H852" s="5" cm="1">
        <f t="array" ref="H852">INDEX('Linha 06'!$C$4:$ZZ$1000,B852,C852)</f>
        <v>0</v>
      </c>
    </row>
    <row r="853" spans="1:8" x14ac:dyDescent="0.25">
      <c r="A853">
        <v>851</v>
      </c>
      <c r="B853">
        <f t="shared" si="26"/>
        <v>23</v>
      </c>
      <c r="C853">
        <f t="shared" si="27"/>
        <v>15</v>
      </c>
      <c r="D853" cm="1">
        <f t="array" ref="D853">INDEX('Linha 06'!$A$4:$A$1000,B853)</f>
        <v>20110008</v>
      </c>
      <c r="E853" t="str" cm="1">
        <f t="array" ref="E853">INDEX('Linha 06'!$B$4:$B$1000,B853)</f>
        <v>Multi Uso Aquafast Squeeze Original Cx/12 X 1l</v>
      </c>
      <c r="F853" cm="1">
        <f t="array" ref="F853">INDEX('Linha 06'!$C$3:$ZZ$3,C853)</f>
        <v>20090001</v>
      </c>
      <c r="G853" t="str" cm="1">
        <f t="array" ref="G853">INDEX('Linha 06'!$C$2:$ZZ$2,C853)</f>
        <v>Desengordurante Aquafast Pulverizador Cx/12 X 500ml</v>
      </c>
      <c r="H853" s="5" cm="1">
        <f t="array" ref="H853">INDEX('Linha 06'!$C$4:$ZZ$1000,B853,C853)</f>
        <v>0</v>
      </c>
    </row>
    <row r="854" spans="1:8" x14ac:dyDescent="0.25">
      <c r="A854">
        <v>852</v>
      </c>
      <c r="B854">
        <f t="shared" si="26"/>
        <v>23</v>
      </c>
      <c r="C854">
        <f t="shared" si="27"/>
        <v>16</v>
      </c>
      <c r="D854" cm="1">
        <f t="array" ref="D854">INDEX('Linha 06'!$A$4:$A$1000,B854)</f>
        <v>20110008</v>
      </c>
      <c r="E854" t="str" cm="1">
        <f t="array" ref="E854">INDEX('Linha 06'!$B$4:$B$1000,B854)</f>
        <v>Multi Uso Aquafast Squeeze Original Cx/12 X 1l</v>
      </c>
      <c r="F854" cm="1">
        <f t="array" ref="F854">INDEX('Linha 06'!$C$3:$ZZ$3,C854)</f>
        <v>20090002</v>
      </c>
      <c r="G854" t="str" cm="1">
        <f t="array" ref="G854">INDEX('Linha 06'!$C$2:$ZZ$2,C854)</f>
        <v>Desengordurante Aquafast Recarga Cx/12 X 500ml</v>
      </c>
      <c r="H854" s="5" cm="1">
        <f t="array" ref="H854">INDEX('Linha 06'!$C$4:$ZZ$1000,B854,C854)</f>
        <v>0</v>
      </c>
    </row>
    <row r="855" spans="1:8" x14ac:dyDescent="0.25">
      <c r="A855">
        <v>853</v>
      </c>
      <c r="B855">
        <f t="shared" si="26"/>
        <v>23</v>
      </c>
      <c r="C855">
        <f t="shared" si="27"/>
        <v>17</v>
      </c>
      <c r="D855" cm="1">
        <f t="array" ref="D855">INDEX('Linha 06'!$A$4:$A$1000,B855)</f>
        <v>20110008</v>
      </c>
      <c r="E855" t="str" cm="1">
        <f t="array" ref="E855">INDEX('Linha 06'!$B$4:$B$1000,B855)</f>
        <v>Multi Uso Aquafast Squeeze Original Cx/12 X 1l</v>
      </c>
      <c r="F855" cm="1">
        <f t="array" ref="F855">INDEX('Linha 06'!$C$3:$ZZ$3,C855)</f>
        <v>20090004</v>
      </c>
      <c r="G855" t="str" cm="1">
        <f t="array" ref="G855">INDEX('Linha 06'!$C$2:$ZZ$2,C855)</f>
        <v>Desengordurante Aquafast Squeeze Cx C/12 X 500ml</v>
      </c>
      <c r="H855" s="5" cm="1">
        <f t="array" ref="H855">INDEX('Linha 06'!$C$4:$ZZ$1000,B855,C855)</f>
        <v>0</v>
      </c>
    </row>
    <row r="856" spans="1:8" x14ac:dyDescent="0.25">
      <c r="A856">
        <v>854</v>
      </c>
      <c r="B856">
        <f t="shared" si="26"/>
        <v>23</v>
      </c>
      <c r="C856">
        <f t="shared" si="27"/>
        <v>18</v>
      </c>
      <c r="D856" cm="1">
        <f t="array" ref="D856">INDEX('Linha 06'!$A$4:$A$1000,B856)</f>
        <v>20110008</v>
      </c>
      <c r="E856" t="str" cm="1">
        <f t="array" ref="E856">INDEX('Linha 06'!$B$4:$B$1000,B856)</f>
        <v>Multi Uso Aquafast Squeeze Original Cx/12 X 1l</v>
      </c>
      <c r="F856" cm="1">
        <f t="array" ref="F856">INDEX('Linha 06'!$C$3:$ZZ$3,C856)</f>
        <v>20090005</v>
      </c>
      <c r="G856" t="str" cm="1">
        <f t="array" ref="G856">INDEX('Linha 06'!$C$2:$ZZ$2,C856)</f>
        <v>Desengordurante Aquafast Squeeze Cx C/12 X 1l</v>
      </c>
      <c r="H856" s="5" cm="1">
        <f t="array" ref="H856">INDEX('Linha 06'!$C$4:$ZZ$1000,B856,C856)</f>
        <v>0</v>
      </c>
    </row>
    <row r="857" spans="1:8" x14ac:dyDescent="0.25">
      <c r="A857">
        <v>855</v>
      </c>
      <c r="B857">
        <f t="shared" si="26"/>
        <v>23</v>
      </c>
      <c r="C857">
        <f t="shared" si="27"/>
        <v>19</v>
      </c>
      <c r="D857" cm="1">
        <f t="array" ref="D857">INDEX('Linha 06'!$A$4:$A$1000,B857)</f>
        <v>20110008</v>
      </c>
      <c r="E857" t="str" cm="1">
        <f t="array" ref="E857">INDEX('Linha 06'!$B$4:$B$1000,B857)</f>
        <v>Multi Uso Aquafast Squeeze Original Cx/12 X 1l</v>
      </c>
      <c r="F857" cm="1">
        <f t="array" ref="F857">INDEX('Linha 06'!$C$3:$ZZ$3,C857)</f>
        <v>20090010</v>
      </c>
      <c r="G857" t="str" cm="1">
        <f t="array" ref="G857">INDEX('Linha 06'!$C$2:$ZZ$2,C857)</f>
        <v>Intermed Pack Desengord Squeeze Cx C/18 X 500ml</v>
      </c>
      <c r="H857" s="5" cm="1">
        <f t="array" ref="H857">INDEX('Linha 06'!$C$4:$ZZ$1000,B857,C857)</f>
        <v>0</v>
      </c>
    </row>
    <row r="858" spans="1:8" x14ac:dyDescent="0.25">
      <c r="A858">
        <v>856</v>
      </c>
      <c r="B858">
        <f t="shared" si="26"/>
        <v>23</v>
      </c>
      <c r="C858">
        <f t="shared" si="27"/>
        <v>20</v>
      </c>
      <c r="D858" cm="1">
        <f t="array" ref="D858">INDEX('Linha 06'!$A$4:$A$1000,B858)</f>
        <v>20110008</v>
      </c>
      <c r="E858" t="str" cm="1">
        <f t="array" ref="E858">INDEX('Linha 06'!$B$4:$B$1000,B858)</f>
        <v>Multi Uso Aquafast Squeeze Original Cx/12 X 1l</v>
      </c>
      <c r="F858" cm="1">
        <f t="array" ref="F858">INDEX('Linha 06'!$C$3:$ZZ$3,C858)</f>
        <v>20110002</v>
      </c>
      <c r="G858" t="str" cm="1">
        <f t="array" ref="G858">INDEX('Linha 06'!$C$2:$ZZ$2,C858)</f>
        <v>Multi Uso Aquafast Squeeze Original Cx/12 X 500ml</v>
      </c>
      <c r="H858" s="5" cm="1">
        <f t="array" ref="H858">INDEX('Linha 06'!$C$4:$ZZ$1000,B858,C858)</f>
        <v>0</v>
      </c>
    </row>
    <row r="859" spans="1:8" x14ac:dyDescent="0.25">
      <c r="A859">
        <v>857</v>
      </c>
      <c r="B859">
        <f t="shared" si="26"/>
        <v>23</v>
      </c>
      <c r="C859">
        <f t="shared" si="27"/>
        <v>21</v>
      </c>
      <c r="D859" cm="1">
        <f t="array" ref="D859">INDEX('Linha 06'!$A$4:$A$1000,B859)</f>
        <v>20110008</v>
      </c>
      <c r="E859" t="str" cm="1">
        <f t="array" ref="E859">INDEX('Linha 06'!$B$4:$B$1000,B859)</f>
        <v>Multi Uso Aquafast Squeeze Original Cx/12 X 1l</v>
      </c>
      <c r="F859" cm="1">
        <f t="array" ref="F859">INDEX('Linha 06'!$C$3:$ZZ$3,C859)</f>
        <v>20110004</v>
      </c>
      <c r="G859" t="str" cm="1">
        <f t="array" ref="G859">INDEX('Linha 06'!$C$2:$ZZ$2,C859)</f>
        <v>Multi Uso Aquafast Squeeze Lavanda Cx/12 X 500ml</v>
      </c>
      <c r="H859" s="5" cm="1">
        <f t="array" ref="H859">INDEX('Linha 06'!$C$4:$ZZ$1000,B859,C859)</f>
        <v>0</v>
      </c>
    </row>
    <row r="860" spans="1:8" x14ac:dyDescent="0.25">
      <c r="A860">
        <v>858</v>
      </c>
      <c r="B860">
        <f t="shared" si="26"/>
        <v>23</v>
      </c>
      <c r="C860">
        <f t="shared" si="27"/>
        <v>22</v>
      </c>
      <c r="D860" cm="1">
        <f t="array" ref="D860">INDEX('Linha 06'!$A$4:$A$1000,B860)</f>
        <v>20110008</v>
      </c>
      <c r="E860" t="str" cm="1">
        <f t="array" ref="E860">INDEX('Linha 06'!$B$4:$B$1000,B860)</f>
        <v>Multi Uso Aquafast Squeeze Original Cx/12 X 1l</v>
      </c>
      <c r="F860" cm="1">
        <f t="array" ref="F860">INDEX('Linha 06'!$C$3:$ZZ$3,C860)</f>
        <v>20110007</v>
      </c>
      <c r="G860" t="str" cm="1">
        <f t="array" ref="G860">INDEX('Linha 06'!$C$2:$ZZ$2,C860)</f>
        <v>Multi Uso Aquafast Squeeze Seducao Cx/12 X 500ml</v>
      </c>
      <c r="H860" s="5" cm="1">
        <f t="array" ref="H860">INDEX('Linha 06'!$C$4:$ZZ$1000,B860,C860)</f>
        <v>0</v>
      </c>
    </row>
    <row r="861" spans="1:8" x14ac:dyDescent="0.25">
      <c r="A861">
        <v>859</v>
      </c>
      <c r="B861">
        <f t="shared" si="26"/>
        <v>23</v>
      </c>
      <c r="C861">
        <f t="shared" si="27"/>
        <v>23</v>
      </c>
      <c r="D861" cm="1">
        <f t="array" ref="D861">INDEX('Linha 06'!$A$4:$A$1000,B861)</f>
        <v>20110008</v>
      </c>
      <c r="E861" t="str" cm="1">
        <f t="array" ref="E861">INDEX('Linha 06'!$B$4:$B$1000,B861)</f>
        <v>Multi Uso Aquafast Squeeze Original Cx/12 X 1l</v>
      </c>
      <c r="F861" cm="1">
        <f t="array" ref="F861">INDEX('Linha 06'!$C$3:$ZZ$3,C861)</f>
        <v>20110008</v>
      </c>
      <c r="G861" t="str" cm="1">
        <f t="array" ref="G861">INDEX('Linha 06'!$C$2:$ZZ$2,C861)</f>
        <v>Multi Uso Aquafast Squeeze Original Cx/12 X 1l</v>
      </c>
      <c r="H861" s="5" cm="1">
        <f t="array" ref="H861">INDEX('Linha 06'!$C$4:$ZZ$1000,B861,C861)</f>
        <v>0</v>
      </c>
    </row>
    <row r="862" spans="1:8" x14ac:dyDescent="0.25">
      <c r="A862">
        <v>860</v>
      </c>
      <c r="B862">
        <f t="shared" si="26"/>
        <v>23</v>
      </c>
      <c r="C862">
        <f t="shared" si="27"/>
        <v>24</v>
      </c>
      <c r="D862" cm="1">
        <f t="array" ref="D862">INDEX('Linha 06'!$A$4:$A$1000,B862)</f>
        <v>20110008</v>
      </c>
      <c r="E862" t="str" cm="1">
        <f t="array" ref="E862">INDEX('Linha 06'!$B$4:$B$1000,B862)</f>
        <v>Multi Uso Aquafast Squeeze Original Cx/12 X 1l</v>
      </c>
      <c r="F862" cm="1">
        <f t="array" ref="F862">INDEX('Linha 06'!$C$3:$ZZ$3,C862)</f>
        <v>20110010</v>
      </c>
      <c r="G862" t="str" cm="1">
        <f t="array" ref="G862">INDEX('Linha 06'!$C$2:$ZZ$2,C862)</f>
        <v>Multi Uso Aquafast Squeeze Seducao Cx/12 1l</v>
      </c>
      <c r="H862" s="5" cm="1">
        <f t="array" ref="H862">INDEX('Linha 06'!$C$4:$ZZ$1000,B862,C862)</f>
        <v>0</v>
      </c>
    </row>
    <row r="863" spans="1:8" x14ac:dyDescent="0.25">
      <c r="A863">
        <v>861</v>
      </c>
      <c r="B863">
        <f t="shared" si="26"/>
        <v>23</v>
      </c>
      <c r="C863">
        <f t="shared" si="27"/>
        <v>25</v>
      </c>
      <c r="D863" cm="1">
        <f t="array" ref="D863">INDEX('Linha 06'!$A$4:$A$1000,B863)</f>
        <v>20110008</v>
      </c>
      <c r="E863" t="str" cm="1">
        <f t="array" ref="E863">INDEX('Linha 06'!$B$4:$B$1000,B863)</f>
        <v>Multi Uso Aquafast Squeeze Original Cx/12 X 1l</v>
      </c>
      <c r="F863" cm="1">
        <f t="array" ref="F863">INDEX('Linha 06'!$C$3:$ZZ$3,C863)</f>
        <v>20110013</v>
      </c>
      <c r="G863" t="str" cm="1">
        <f t="array" ref="G863">INDEX('Linha 06'!$C$2:$ZZ$2,C863)</f>
        <v>Multi Uso Aquafast Squeeze Lavanda Cx/12 X 1l</v>
      </c>
      <c r="H863" s="5" cm="1">
        <f t="array" ref="H863">INDEX('Linha 06'!$C$4:$ZZ$1000,B863,C863)</f>
        <v>0</v>
      </c>
    </row>
    <row r="864" spans="1:8" x14ac:dyDescent="0.25">
      <c r="A864">
        <v>862</v>
      </c>
      <c r="B864">
        <f t="shared" si="26"/>
        <v>23</v>
      </c>
      <c r="C864">
        <f t="shared" si="27"/>
        <v>26</v>
      </c>
      <c r="D864" cm="1">
        <f t="array" ref="D864">INDEX('Linha 06'!$A$4:$A$1000,B864)</f>
        <v>20110008</v>
      </c>
      <c r="E864" t="str" cm="1">
        <f t="array" ref="E864">INDEX('Linha 06'!$B$4:$B$1000,B864)</f>
        <v>Multi Uso Aquafast Squeeze Original Cx/12 X 1l</v>
      </c>
      <c r="F864" cm="1">
        <f t="array" ref="F864">INDEX('Linha 06'!$C$3:$ZZ$3,C864)</f>
        <v>20110022</v>
      </c>
      <c r="G864" t="str" cm="1">
        <f t="array" ref="G864">INDEX('Linha 06'!$C$2:$ZZ$2,C864)</f>
        <v>Intermed Pack Multi Uso Lavand C/Alcool Cx/18 X 500ml</v>
      </c>
      <c r="H864" s="5" cm="1">
        <f t="array" ref="H864">INDEX('Linha 06'!$C$4:$ZZ$1000,B864,C864)</f>
        <v>0</v>
      </c>
    </row>
    <row r="865" spans="1:8" x14ac:dyDescent="0.25">
      <c r="A865">
        <v>863</v>
      </c>
      <c r="B865">
        <f t="shared" si="26"/>
        <v>23</v>
      </c>
      <c r="C865">
        <f t="shared" si="27"/>
        <v>27</v>
      </c>
      <c r="D865" cm="1">
        <f t="array" ref="D865">INDEX('Linha 06'!$A$4:$A$1000,B865)</f>
        <v>20110008</v>
      </c>
      <c r="E865" t="str" cm="1">
        <f t="array" ref="E865">INDEX('Linha 06'!$B$4:$B$1000,B865)</f>
        <v>Multi Uso Aquafast Squeeze Original Cx/12 X 1l</v>
      </c>
      <c r="F865" cm="1">
        <f t="array" ref="F865">INDEX('Linha 06'!$C$3:$ZZ$3,C865)</f>
        <v>20110023</v>
      </c>
      <c r="G865" t="str" cm="1">
        <f t="array" ref="G865">INDEX('Linha 06'!$C$2:$ZZ$2,C865)</f>
        <v>Multi Uso Aquafast Squeeze Cha Branco  Cx/12 X 500ml</v>
      </c>
      <c r="H865" s="5" cm="1">
        <f t="array" ref="H865">INDEX('Linha 06'!$C$4:$ZZ$1000,B865,C865)</f>
        <v>0</v>
      </c>
    </row>
    <row r="866" spans="1:8" x14ac:dyDescent="0.25">
      <c r="A866">
        <v>864</v>
      </c>
      <c r="B866">
        <f t="shared" si="26"/>
        <v>23</v>
      </c>
      <c r="C866">
        <f t="shared" si="27"/>
        <v>28</v>
      </c>
      <c r="D866" cm="1">
        <f t="array" ref="D866">INDEX('Linha 06'!$A$4:$A$1000,B866)</f>
        <v>20110008</v>
      </c>
      <c r="E866" t="str" cm="1">
        <f t="array" ref="E866">INDEX('Linha 06'!$B$4:$B$1000,B866)</f>
        <v>Multi Uso Aquafast Squeeze Original Cx/12 X 1l</v>
      </c>
      <c r="F866" cm="1">
        <f t="array" ref="F866">INDEX('Linha 06'!$C$3:$ZZ$3,C866)</f>
        <v>20110024</v>
      </c>
      <c r="G866" t="str" cm="1">
        <f t="array" ref="G866">INDEX('Linha 06'!$C$2:$ZZ$2,C866)</f>
        <v>Multi Uso Aquafast Squeeze Cha Branco Cx12 X 1l</v>
      </c>
      <c r="H866" s="5" cm="1">
        <f t="array" ref="H866">INDEX('Linha 06'!$C$4:$ZZ$1000,B866,C866)</f>
        <v>0</v>
      </c>
    </row>
    <row r="867" spans="1:8" x14ac:dyDescent="0.25">
      <c r="A867">
        <v>865</v>
      </c>
      <c r="B867">
        <f t="shared" si="26"/>
        <v>23</v>
      </c>
      <c r="C867">
        <f t="shared" si="27"/>
        <v>29</v>
      </c>
      <c r="D867" cm="1">
        <f t="array" ref="D867">INDEX('Linha 06'!$A$4:$A$1000,B867)</f>
        <v>20110008</v>
      </c>
      <c r="E867" t="str" cm="1">
        <f t="array" ref="E867">INDEX('Linha 06'!$B$4:$B$1000,B867)</f>
        <v>Multi Uso Aquafast Squeeze Original Cx/12 X 1l</v>
      </c>
      <c r="F867" cm="1">
        <f t="array" ref="F867">INDEX('Linha 06'!$C$3:$ZZ$3,C867)</f>
        <v>20110025</v>
      </c>
      <c r="G867" t="str" cm="1">
        <f t="array" ref="G867">INDEX('Linha 06'!$C$2:$ZZ$2,C867)</f>
        <v>Multi Uso Aquafast Pulverizador Original Cx/12 X 1l</v>
      </c>
      <c r="H867" s="5" cm="1">
        <f t="array" ref="H867">INDEX('Linha 06'!$C$4:$ZZ$1000,B867,C867)</f>
        <v>0</v>
      </c>
    </row>
    <row r="868" spans="1:8" x14ac:dyDescent="0.25">
      <c r="A868">
        <v>866</v>
      </c>
      <c r="B868">
        <f t="shared" si="26"/>
        <v>23</v>
      </c>
      <c r="C868">
        <f t="shared" si="27"/>
        <v>30</v>
      </c>
      <c r="D868" cm="1">
        <f t="array" ref="D868">INDEX('Linha 06'!$A$4:$A$1000,B868)</f>
        <v>20110008</v>
      </c>
      <c r="E868" t="str" cm="1">
        <f t="array" ref="E868">INDEX('Linha 06'!$B$4:$B$1000,B868)</f>
        <v>Multi Uso Aquafast Squeeze Original Cx/12 X 1l</v>
      </c>
      <c r="F868" cm="1">
        <f t="array" ref="F868">INDEX('Linha 06'!$C$3:$ZZ$3,C868)</f>
        <v>20110026</v>
      </c>
      <c r="G868" t="str" cm="1">
        <f t="array" ref="G868">INDEX('Linha 06'!$C$2:$ZZ$2,C868)</f>
        <v>Multi Uso Aquafast Pulverizador Poder O2 Cx/12 X 1l</v>
      </c>
      <c r="H868" s="5" cm="1">
        <f t="array" ref="H868">INDEX('Linha 06'!$C$4:$ZZ$1000,B868,C868)</f>
        <v>0</v>
      </c>
    </row>
    <row r="869" spans="1:8" x14ac:dyDescent="0.25">
      <c r="A869">
        <v>867</v>
      </c>
      <c r="B869">
        <f t="shared" si="26"/>
        <v>23</v>
      </c>
      <c r="C869">
        <f t="shared" si="27"/>
        <v>31</v>
      </c>
      <c r="D869" cm="1">
        <f t="array" ref="D869">INDEX('Linha 06'!$A$4:$A$1000,B869)</f>
        <v>20110008</v>
      </c>
      <c r="E869" t="str" cm="1">
        <f t="array" ref="E869">INDEX('Linha 06'!$B$4:$B$1000,B869)</f>
        <v>Multi Uso Aquafast Squeeze Original Cx/12 X 1l</v>
      </c>
      <c r="F869" cm="1">
        <f t="array" ref="F869">INDEX('Linha 06'!$C$3:$ZZ$3,C869)</f>
        <v>20110027</v>
      </c>
      <c r="G869" t="str" cm="1">
        <f t="array" ref="G869">INDEX('Linha 06'!$C$2:$ZZ$2,C869)</f>
        <v>Multi Uso Aquafast Pulverizador Poder O2 Cx/12 X 500ml</v>
      </c>
      <c r="H869" s="5" cm="1">
        <f t="array" ref="H869">INDEX('Linha 06'!$C$4:$ZZ$1000,B869,C869)</f>
        <v>0</v>
      </c>
    </row>
    <row r="870" spans="1:8" x14ac:dyDescent="0.25">
      <c r="A870">
        <v>868</v>
      </c>
      <c r="B870">
        <f t="shared" si="26"/>
        <v>23</v>
      </c>
      <c r="C870">
        <f t="shared" si="27"/>
        <v>32</v>
      </c>
      <c r="D870" cm="1">
        <f t="array" ref="D870">INDEX('Linha 06'!$A$4:$A$1000,B870)</f>
        <v>20110008</v>
      </c>
      <c r="E870" t="str" cm="1">
        <f t="array" ref="E870">INDEX('Linha 06'!$B$4:$B$1000,B870)</f>
        <v>Multi Uso Aquafast Squeeze Original Cx/12 X 1l</v>
      </c>
      <c r="F870" cm="1">
        <f t="array" ref="F870">INDEX('Linha 06'!$C$3:$ZZ$3,C870)</f>
        <v>20200073</v>
      </c>
      <c r="G870" t="str" cm="1">
        <f t="array" ref="G870">INDEX('Linha 06'!$C$2:$ZZ$2,C870)</f>
        <v>Lava Roupas Aquafast Lavagem Rapida Total Clean Cx/9 X 1,5l</v>
      </c>
      <c r="H870" s="5" cm="1">
        <f t="array" ref="H870">INDEX('Linha 06'!$C$4:$ZZ$1000,B870,C870)</f>
        <v>0</v>
      </c>
    </row>
    <row r="871" spans="1:8" x14ac:dyDescent="0.25">
      <c r="A871">
        <v>869</v>
      </c>
      <c r="B871">
        <f t="shared" si="26"/>
        <v>23</v>
      </c>
      <c r="C871">
        <f t="shared" si="27"/>
        <v>33</v>
      </c>
      <c r="D871" cm="1">
        <f t="array" ref="D871">INDEX('Linha 06'!$A$4:$A$1000,B871)</f>
        <v>20110008</v>
      </c>
      <c r="E871" t="str" cm="1">
        <f t="array" ref="E871">INDEX('Linha 06'!$B$4:$B$1000,B871)</f>
        <v>Multi Uso Aquafast Squeeze Original Cx/12 X 1l</v>
      </c>
      <c r="F871" cm="1">
        <f t="array" ref="F871">INDEX('Linha 06'!$C$3:$ZZ$3,C871)</f>
        <v>20200075</v>
      </c>
      <c r="G871" t="str" cm="1">
        <f t="array" ref="G871">INDEX('Linha 06'!$C$2:$ZZ$2,C871)</f>
        <v>Lava Roupas Aquafast Lavagem Rapida Fresh Clean Cx/9 X 1,5l</v>
      </c>
      <c r="H871" s="5" cm="1">
        <f t="array" ref="H871">INDEX('Linha 06'!$C$4:$ZZ$1000,B871,C871)</f>
        <v>0</v>
      </c>
    </row>
    <row r="872" spans="1:8" x14ac:dyDescent="0.25">
      <c r="A872">
        <v>870</v>
      </c>
      <c r="B872">
        <f t="shared" si="26"/>
        <v>23</v>
      </c>
      <c r="C872">
        <f t="shared" si="27"/>
        <v>34</v>
      </c>
      <c r="D872" cm="1">
        <f t="array" ref="D872">INDEX('Linha 06'!$A$4:$A$1000,B872)</f>
        <v>20110008</v>
      </c>
      <c r="E872" t="str" cm="1">
        <f t="array" ref="E872">INDEX('Linha 06'!$B$4:$B$1000,B872)</f>
        <v>Multi Uso Aquafast Squeeze Original Cx/12 X 1l</v>
      </c>
      <c r="F872" cm="1">
        <f t="array" ref="F872">INDEX('Linha 06'!$C$3:$ZZ$3,C872)</f>
        <v>20220018</v>
      </c>
      <c r="G872" t="str" cm="1">
        <f t="array" ref="G872">INDEX('Linha 06'!$C$2:$ZZ$2,C872)</f>
        <v>Intermed. Aromat. Amoras E Baunilha Cx C/ 12un 250ml</v>
      </c>
      <c r="H872" s="5" cm="1">
        <f t="array" ref="H872">INDEX('Linha 06'!$C$4:$ZZ$1000,B872,C872)</f>
        <v>0</v>
      </c>
    </row>
    <row r="873" spans="1:8" x14ac:dyDescent="0.25">
      <c r="A873">
        <v>871</v>
      </c>
      <c r="B873">
        <f t="shared" si="26"/>
        <v>23</v>
      </c>
      <c r="C873">
        <f t="shared" si="27"/>
        <v>35</v>
      </c>
      <c r="D873" cm="1">
        <f t="array" ref="D873">INDEX('Linha 06'!$A$4:$A$1000,B873)</f>
        <v>20110008</v>
      </c>
      <c r="E873" t="str" cm="1">
        <f t="array" ref="E873">INDEX('Linha 06'!$B$4:$B$1000,B873)</f>
        <v>Multi Uso Aquafast Squeeze Original Cx/12 X 1l</v>
      </c>
      <c r="F873" cm="1">
        <f t="array" ref="F873">INDEX('Linha 06'!$C$3:$ZZ$3,C873)</f>
        <v>20220019</v>
      </c>
      <c r="G873" t="str" cm="1">
        <f t="array" ref="G873">INDEX('Linha 06'!$C$2:$ZZ$2,C873)</f>
        <v>Intermed. Aromat. Figo E Cedro Cx C/ 12un 250ml</v>
      </c>
      <c r="H873" s="5" cm="1">
        <f t="array" ref="H873">INDEX('Linha 06'!$C$4:$ZZ$1000,B873,C873)</f>
        <v>0</v>
      </c>
    </row>
    <row r="874" spans="1:8" x14ac:dyDescent="0.25">
      <c r="A874">
        <v>872</v>
      </c>
      <c r="B874">
        <f t="shared" si="26"/>
        <v>23</v>
      </c>
      <c r="C874">
        <f t="shared" si="27"/>
        <v>36</v>
      </c>
      <c r="D874" cm="1">
        <f t="array" ref="D874">INDEX('Linha 06'!$A$4:$A$1000,B874)</f>
        <v>20110008</v>
      </c>
      <c r="E874" t="str" cm="1">
        <f t="array" ref="E874">INDEX('Linha 06'!$B$4:$B$1000,B874)</f>
        <v>Multi Uso Aquafast Squeeze Original Cx/12 X 1l</v>
      </c>
      <c r="F874" cm="1">
        <f t="array" ref="F874">INDEX('Linha 06'!$C$3:$ZZ$3,C874)</f>
        <v>20220020</v>
      </c>
      <c r="G874" t="str" cm="1">
        <f t="array" ref="G874">INDEX('Linha 06'!$C$2:$ZZ$2,C874)</f>
        <v>Intermed. Aromat. Rosas E Magnolias Cx C/ 12un 250ml</v>
      </c>
      <c r="H874" s="5" cm="1">
        <f t="array" ref="H874">INDEX('Linha 06'!$C$4:$ZZ$1000,B874,C874)</f>
        <v>0</v>
      </c>
    </row>
    <row r="875" spans="1:8" x14ac:dyDescent="0.25">
      <c r="A875">
        <v>873</v>
      </c>
      <c r="B875">
        <f t="shared" si="26"/>
        <v>23</v>
      </c>
      <c r="C875">
        <f t="shared" si="27"/>
        <v>37</v>
      </c>
      <c r="D875" cm="1">
        <f t="array" ref="D875">INDEX('Linha 06'!$A$4:$A$1000,B875)</f>
        <v>20110008</v>
      </c>
      <c r="E875" t="str" cm="1">
        <f t="array" ref="E875">INDEX('Linha 06'!$B$4:$B$1000,B875)</f>
        <v>Multi Uso Aquafast Squeeze Original Cx/12 X 1l</v>
      </c>
      <c r="F875" cm="1">
        <f t="array" ref="F875">INDEX('Linha 06'!$C$3:$ZZ$3,C875)</f>
        <v>20220021</v>
      </c>
      <c r="G875" t="str" cm="1">
        <f t="array" ref="G875">INDEX('Linha 06'!$C$2:$ZZ$2,C875)</f>
        <v>Intermed. Aromat. Flores Exoticas Cx C/ 12un 250ml</v>
      </c>
      <c r="H875" s="5" cm="1">
        <f t="array" ref="H875">INDEX('Linha 06'!$C$4:$ZZ$1000,B875,C875)</f>
        <v>0</v>
      </c>
    </row>
    <row r="876" spans="1:8" x14ac:dyDescent="0.25">
      <c r="A876">
        <v>874</v>
      </c>
      <c r="B876">
        <f t="shared" si="26"/>
        <v>23</v>
      </c>
      <c r="C876">
        <f t="shared" si="27"/>
        <v>38</v>
      </c>
      <c r="D876" cm="1">
        <f t="array" ref="D876">INDEX('Linha 06'!$A$4:$A$1000,B876)</f>
        <v>20110008</v>
      </c>
      <c r="E876" t="str" cm="1">
        <f t="array" ref="E876">INDEX('Linha 06'!$B$4:$B$1000,B876)</f>
        <v>Multi Uso Aquafast Squeeze Original Cx/12 X 1l</v>
      </c>
      <c r="F876" cm="1">
        <f t="array" ref="F876">INDEX('Linha 06'!$C$3:$ZZ$3,C876)</f>
        <v>20220022</v>
      </c>
      <c r="G876" t="str" cm="1">
        <f t="array" ref="G876">INDEX('Linha 06'!$C$2:$ZZ$2,C876)</f>
        <v>Intermed. Aromat. Cha Verde E Grapef Cx C/ 12un 250ml</v>
      </c>
      <c r="H876" s="5" cm="1">
        <f t="array" ref="H876">INDEX('Linha 06'!$C$4:$ZZ$1000,B876,C876)</f>
        <v>0</v>
      </c>
    </row>
    <row r="877" spans="1:8" x14ac:dyDescent="0.25">
      <c r="A877">
        <v>875</v>
      </c>
      <c r="B877">
        <f t="shared" si="26"/>
        <v>24</v>
      </c>
      <c r="C877">
        <f t="shared" si="27"/>
        <v>1</v>
      </c>
      <c r="D877" cm="1">
        <f t="array" ref="D877">INDEX('Linha 06'!$A$4:$A$1000,B877)</f>
        <v>20110010</v>
      </c>
      <c r="E877" t="str" cm="1">
        <f t="array" ref="E877">INDEX('Linha 06'!$B$4:$B$1000,B877)</f>
        <v>Multi Uso Aquafast Squeeze Seducao Cx/12 1l</v>
      </c>
      <c r="F877" cm="1">
        <f t="array" ref="F877">INDEX('Linha 06'!$C$3:$ZZ$3,C877)</f>
        <v>20060001</v>
      </c>
      <c r="G877" t="str" cm="1">
        <f t="array" ref="G877">INDEX('Linha 06'!$C$2:$ZZ$2,C877)</f>
        <v>Limp Perf Aquafast Magia Seducao Cx/12 X 500ml</v>
      </c>
      <c r="H877" s="5" cm="1">
        <f t="array" ref="H877">INDEX('Linha 06'!$C$4:$ZZ$1000,B877,C877)</f>
        <v>0</v>
      </c>
    </row>
    <row r="878" spans="1:8" x14ac:dyDescent="0.25">
      <c r="A878">
        <v>876</v>
      </c>
      <c r="B878">
        <f t="shared" si="26"/>
        <v>24</v>
      </c>
      <c r="C878">
        <f t="shared" si="27"/>
        <v>2</v>
      </c>
      <c r="D878" cm="1">
        <f t="array" ref="D878">INDEX('Linha 06'!$A$4:$A$1000,B878)</f>
        <v>20110010</v>
      </c>
      <c r="E878" t="str" cm="1">
        <f t="array" ref="E878">INDEX('Linha 06'!$B$4:$B$1000,B878)</f>
        <v>Multi Uso Aquafast Squeeze Seducao Cx/12 1l</v>
      </c>
      <c r="F878" cm="1">
        <f t="array" ref="F878">INDEX('Linha 06'!$C$3:$ZZ$3,C878)</f>
        <v>20060004</v>
      </c>
      <c r="G878" t="str" cm="1">
        <f t="array" ref="G878">INDEX('Linha 06'!$C$2:$ZZ$2,C878)</f>
        <v>Limp Perf Aquafast Magia Seducao Cx/12 X 1l</v>
      </c>
      <c r="H878" s="5" cm="1">
        <f t="array" ref="H878">INDEX('Linha 06'!$C$4:$ZZ$1000,B878,C878)</f>
        <v>0</v>
      </c>
    </row>
    <row r="879" spans="1:8" x14ac:dyDescent="0.25">
      <c r="A879">
        <v>877</v>
      </c>
      <c r="B879">
        <f t="shared" si="26"/>
        <v>24</v>
      </c>
      <c r="C879">
        <f t="shared" si="27"/>
        <v>3</v>
      </c>
      <c r="D879" cm="1">
        <f t="array" ref="D879">INDEX('Linha 06'!$A$4:$A$1000,B879)</f>
        <v>20110010</v>
      </c>
      <c r="E879" t="str" cm="1">
        <f t="array" ref="E879">INDEX('Linha 06'!$B$4:$B$1000,B879)</f>
        <v>Multi Uso Aquafast Squeeze Seducao Cx/12 1l</v>
      </c>
      <c r="F879" cm="1">
        <f t="array" ref="F879">INDEX('Linha 06'!$C$3:$ZZ$3,C879)</f>
        <v>20060010</v>
      </c>
      <c r="G879" t="str" cm="1">
        <f t="array" ref="G879">INDEX('Linha 06'!$C$2:$ZZ$2,C879)</f>
        <v>Limp Perf Aquafast Magia Da Infancia Cx/12 X 500ml</v>
      </c>
      <c r="H879" s="5" cm="1">
        <f t="array" ref="H879">INDEX('Linha 06'!$C$4:$ZZ$1000,B879,C879)</f>
        <v>0</v>
      </c>
    </row>
    <row r="880" spans="1:8" x14ac:dyDescent="0.25">
      <c r="A880">
        <v>878</v>
      </c>
      <c r="B880">
        <f t="shared" si="26"/>
        <v>24</v>
      </c>
      <c r="C880">
        <f t="shared" si="27"/>
        <v>4</v>
      </c>
      <c r="D880" cm="1">
        <f t="array" ref="D880">INDEX('Linha 06'!$A$4:$A$1000,B880)</f>
        <v>20110010</v>
      </c>
      <c r="E880" t="str" cm="1">
        <f t="array" ref="E880">INDEX('Linha 06'!$B$4:$B$1000,B880)</f>
        <v>Multi Uso Aquafast Squeeze Seducao Cx/12 1l</v>
      </c>
      <c r="F880" cm="1">
        <f t="array" ref="F880">INDEX('Linha 06'!$C$3:$ZZ$3,C880)</f>
        <v>20060011</v>
      </c>
      <c r="G880" t="str" cm="1">
        <f t="array" ref="G880">INDEX('Linha 06'!$C$2:$ZZ$2,C880)</f>
        <v>Limp Perf Aquafast Frescor Da Manha Cx/12 X 500ml</v>
      </c>
      <c r="H880" s="5" cm="1">
        <f t="array" ref="H880">INDEX('Linha 06'!$C$4:$ZZ$1000,B880,C880)</f>
        <v>0</v>
      </c>
    </row>
    <row r="881" spans="1:8" x14ac:dyDescent="0.25">
      <c r="A881">
        <v>879</v>
      </c>
      <c r="B881">
        <f t="shared" si="26"/>
        <v>24</v>
      </c>
      <c r="C881">
        <f t="shared" si="27"/>
        <v>5</v>
      </c>
      <c r="D881" cm="1">
        <f t="array" ref="D881">INDEX('Linha 06'!$A$4:$A$1000,B881)</f>
        <v>20110010</v>
      </c>
      <c r="E881" t="str" cm="1">
        <f t="array" ref="E881">INDEX('Linha 06'!$B$4:$B$1000,B881)</f>
        <v>Multi Uso Aquafast Squeeze Seducao Cx/12 1l</v>
      </c>
      <c r="F881" cm="1">
        <f t="array" ref="F881">INDEX('Linha 06'!$C$3:$ZZ$3,C881)</f>
        <v>20060012</v>
      </c>
      <c r="G881" t="str" cm="1">
        <f t="array" ref="G881">INDEX('Linha 06'!$C$2:$ZZ$2,C881)</f>
        <v>Limp Perf Aquafast Magia Da Infancia Cx/12 X 1l</v>
      </c>
      <c r="H881" s="5" cm="1">
        <f t="array" ref="H881">INDEX('Linha 06'!$C$4:$ZZ$1000,B881,C881)</f>
        <v>0</v>
      </c>
    </row>
    <row r="882" spans="1:8" x14ac:dyDescent="0.25">
      <c r="A882">
        <v>880</v>
      </c>
      <c r="B882">
        <f t="shared" si="26"/>
        <v>24</v>
      </c>
      <c r="C882">
        <f t="shared" si="27"/>
        <v>6</v>
      </c>
      <c r="D882" cm="1">
        <f t="array" ref="D882">INDEX('Linha 06'!$A$4:$A$1000,B882)</f>
        <v>20110010</v>
      </c>
      <c r="E882" t="str" cm="1">
        <f t="array" ref="E882">INDEX('Linha 06'!$B$4:$B$1000,B882)</f>
        <v>Multi Uso Aquafast Squeeze Seducao Cx/12 1l</v>
      </c>
      <c r="F882" cm="1">
        <f t="array" ref="F882">INDEX('Linha 06'!$C$3:$ZZ$3,C882)</f>
        <v>20060013</v>
      </c>
      <c r="G882" t="str" cm="1">
        <f t="array" ref="G882">INDEX('Linha 06'!$C$2:$ZZ$2,C882)</f>
        <v>Limp Perf Aquafast Frescor Da Manha Cx/12 X 1l</v>
      </c>
      <c r="H882" s="5" cm="1">
        <f t="array" ref="H882">INDEX('Linha 06'!$C$4:$ZZ$1000,B882,C882)</f>
        <v>0</v>
      </c>
    </row>
    <row r="883" spans="1:8" x14ac:dyDescent="0.25">
      <c r="A883">
        <v>881</v>
      </c>
      <c r="B883">
        <f t="shared" si="26"/>
        <v>24</v>
      </c>
      <c r="C883">
        <f t="shared" si="27"/>
        <v>7</v>
      </c>
      <c r="D883" cm="1">
        <f t="array" ref="D883">INDEX('Linha 06'!$A$4:$A$1000,B883)</f>
        <v>20110010</v>
      </c>
      <c r="E883" t="str" cm="1">
        <f t="array" ref="E883">INDEX('Linha 06'!$B$4:$B$1000,B883)</f>
        <v>Multi Uso Aquafast Squeeze Seducao Cx/12 1l</v>
      </c>
      <c r="F883" cm="1">
        <f t="array" ref="F883">INDEX('Linha 06'!$C$3:$ZZ$3,C883)</f>
        <v>20060015</v>
      </c>
      <c r="G883" t="str" cm="1">
        <f t="array" ref="G883">INDEX('Linha 06'!$C$2:$ZZ$2,C883)</f>
        <v>Limp Perf Aquafast Doce Romance Cx/12 X 500ml</v>
      </c>
      <c r="H883" s="5" cm="1">
        <f t="array" ref="H883">INDEX('Linha 06'!$C$4:$ZZ$1000,B883,C883)</f>
        <v>0</v>
      </c>
    </row>
    <row r="884" spans="1:8" x14ac:dyDescent="0.25">
      <c r="A884">
        <v>882</v>
      </c>
      <c r="B884">
        <f t="shared" si="26"/>
        <v>24</v>
      </c>
      <c r="C884">
        <f t="shared" si="27"/>
        <v>8</v>
      </c>
      <c r="D884" cm="1">
        <f t="array" ref="D884">INDEX('Linha 06'!$A$4:$A$1000,B884)</f>
        <v>20110010</v>
      </c>
      <c r="E884" t="str" cm="1">
        <f t="array" ref="E884">INDEX('Linha 06'!$B$4:$B$1000,B884)</f>
        <v>Multi Uso Aquafast Squeeze Seducao Cx/12 1l</v>
      </c>
      <c r="F884" cm="1">
        <f t="array" ref="F884">INDEX('Linha 06'!$C$3:$ZZ$3,C884)</f>
        <v>20060016</v>
      </c>
      <c r="G884" t="str" cm="1">
        <f t="array" ref="G884">INDEX('Linha 06'!$C$2:$ZZ$2,C884)</f>
        <v>Limp Perf Aquafast Doce Romance Cx/12 X 1l</v>
      </c>
      <c r="H884" s="5" cm="1">
        <f t="array" ref="H884">INDEX('Linha 06'!$C$4:$ZZ$1000,B884,C884)</f>
        <v>0</v>
      </c>
    </row>
    <row r="885" spans="1:8" x14ac:dyDescent="0.25">
      <c r="A885">
        <v>883</v>
      </c>
      <c r="B885">
        <f t="shared" si="26"/>
        <v>24</v>
      </c>
      <c r="C885">
        <f t="shared" si="27"/>
        <v>9</v>
      </c>
      <c r="D885" cm="1">
        <f t="array" ref="D885">INDEX('Linha 06'!$A$4:$A$1000,B885)</f>
        <v>20110010</v>
      </c>
      <c r="E885" t="str" cm="1">
        <f t="array" ref="E885">INDEX('Linha 06'!$B$4:$B$1000,B885)</f>
        <v>Multi Uso Aquafast Squeeze Seducao Cx/12 1l</v>
      </c>
      <c r="F885" cm="1">
        <f t="array" ref="F885">INDEX('Linha 06'!$C$3:$ZZ$3,C885)</f>
        <v>20060027</v>
      </c>
      <c r="G885" t="str" cm="1">
        <f t="array" ref="G885">INDEX('Linha 06'!$C$2:$ZZ$2,C885)</f>
        <v>Limp Perf Aquafast Essencia Natural Cx/12 X 1l</v>
      </c>
      <c r="H885" s="5" cm="1">
        <f t="array" ref="H885">INDEX('Linha 06'!$C$4:$ZZ$1000,B885,C885)</f>
        <v>0</v>
      </c>
    </row>
    <row r="886" spans="1:8" x14ac:dyDescent="0.25">
      <c r="A886">
        <v>884</v>
      </c>
      <c r="B886">
        <f t="shared" si="26"/>
        <v>24</v>
      </c>
      <c r="C886">
        <f t="shared" si="27"/>
        <v>10</v>
      </c>
      <c r="D886" cm="1">
        <f t="array" ref="D886">INDEX('Linha 06'!$A$4:$A$1000,B886)</f>
        <v>20110010</v>
      </c>
      <c r="E886" t="str" cm="1">
        <f t="array" ref="E886">INDEX('Linha 06'!$B$4:$B$1000,B886)</f>
        <v>Multi Uso Aquafast Squeeze Seducao Cx/12 1l</v>
      </c>
      <c r="F886" cm="1">
        <f t="array" ref="F886">INDEX('Linha 06'!$C$3:$ZZ$3,C886)</f>
        <v>20070001</v>
      </c>
      <c r="G886" t="str" cm="1">
        <f t="array" ref="G886">INDEX('Linha 06'!$C$2:$ZZ$2,C886)</f>
        <v>Limpa Vidros Aquafast Pulverizador Cx/12 X 500ml</v>
      </c>
      <c r="H886" s="5" cm="1">
        <f t="array" ref="H886">INDEX('Linha 06'!$C$4:$ZZ$1000,B886,C886)</f>
        <v>0</v>
      </c>
    </row>
    <row r="887" spans="1:8" x14ac:dyDescent="0.25">
      <c r="A887">
        <v>885</v>
      </c>
      <c r="B887">
        <f t="shared" si="26"/>
        <v>24</v>
      </c>
      <c r="C887">
        <f t="shared" si="27"/>
        <v>11</v>
      </c>
      <c r="D887" cm="1">
        <f t="array" ref="D887">INDEX('Linha 06'!$A$4:$A$1000,B887)</f>
        <v>20110010</v>
      </c>
      <c r="E887" t="str" cm="1">
        <f t="array" ref="E887">INDEX('Linha 06'!$B$4:$B$1000,B887)</f>
        <v>Multi Uso Aquafast Squeeze Seducao Cx/12 1l</v>
      </c>
      <c r="F887" cm="1">
        <f t="array" ref="F887">INDEX('Linha 06'!$C$3:$ZZ$3,C887)</f>
        <v>20070002</v>
      </c>
      <c r="G887" t="str" cm="1">
        <f t="array" ref="G887">INDEX('Linha 06'!$C$2:$ZZ$2,C887)</f>
        <v>Limpa Vidros Aquafast Recarga Cx/12 X 500ml</v>
      </c>
      <c r="H887" s="5" cm="1">
        <f t="array" ref="H887">INDEX('Linha 06'!$C$4:$ZZ$1000,B887,C887)</f>
        <v>0</v>
      </c>
    </row>
    <row r="888" spans="1:8" x14ac:dyDescent="0.25">
      <c r="A888">
        <v>886</v>
      </c>
      <c r="B888">
        <f t="shared" si="26"/>
        <v>24</v>
      </c>
      <c r="C888">
        <f t="shared" si="27"/>
        <v>12</v>
      </c>
      <c r="D888" cm="1">
        <f t="array" ref="D888">INDEX('Linha 06'!$A$4:$A$1000,B888)</f>
        <v>20110010</v>
      </c>
      <c r="E888" t="str" cm="1">
        <f t="array" ref="E888">INDEX('Linha 06'!$B$4:$B$1000,B888)</f>
        <v>Multi Uso Aquafast Squeeze Seducao Cx/12 1l</v>
      </c>
      <c r="F888" cm="1">
        <f t="array" ref="F888">INDEX('Linha 06'!$C$3:$ZZ$3,C888)</f>
        <v>20070006</v>
      </c>
      <c r="G888" t="str" cm="1">
        <f t="array" ref="G888">INDEX('Linha 06'!$C$2:$ZZ$2,C888)</f>
        <v>Limpa Vidros Ito Pulverizador Cx/12 X 500ml</v>
      </c>
      <c r="H888" s="5" cm="1">
        <f t="array" ref="H888">INDEX('Linha 06'!$C$4:$ZZ$1000,B888,C888)</f>
        <v>0</v>
      </c>
    </row>
    <row r="889" spans="1:8" x14ac:dyDescent="0.25">
      <c r="A889">
        <v>887</v>
      </c>
      <c r="B889">
        <f t="shared" si="26"/>
        <v>24</v>
      </c>
      <c r="C889">
        <f t="shared" si="27"/>
        <v>13</v>
      </c>
      <c r="D889" cm="1">
        <f t="array" ref="D889">INDEX('Linha 06'!$A$4:$A$1000,B889)</f>
        <v>20110010</v>
      </c>
      <c r="E889" t="str" cm="1">
        <f t="array" ref="E889">INDEX('Linha 06'!$B$4:$B$1000,B889)</f>
        <v>Multi Uso Aquafast Squeeze Seducao Cx/12 1l</v>
      </c>
      <c r="F889" cm="1">
        <f t="array" ref="F889">INDEX('Linha 06'!$C$3:$ZZ$3,C889)</f>
        <v>20070007</v>
      </c>
      <c r="G889" t="str" cm="1">
        <f t="array" ref="G889">INDEX('Linha 06'!$C$2:$ZZ$2,C889)</f>
        <v>Limpa Vidros Ito Recarga Cx/12 X 500ml</v>
      </c>
      <c r="H889" s="5" cm="1">
        <f t="array" ref="H889">INDEX('Linha 06'!$C$4:$ZZ$1000,B889,C889)</f>
        <v>0</v>
      </c>
    </row>
    <row r="890" spans="1:8" x14ac:dyDescent="0.25">
      <c r="A890">
        <v>888</v>
      </c>
      <c r="B890">
        <f t="shared" si="26"/>
        <v>24</v>
      </c>
      <c r="C890">
        <f t="shared" si="27"/>
        <v>14</v>
      </c>
      <c r="D890" cm="1">
        <f t="array" ref="D890">INDEX('Linha 06'!$A$4:$A$1000,B890)</f>
        <v>20110010</v>
      </c>
      <c r="E890" t="str" cm="1">
        <f t="array" ref="E890">INDEX('Linha 06'!$B$4:$B$1000,B890)</f>
        <v>Multi Uso Aquafast Squeeze Seducao Cx/12 1l</v>
      </c>
      <c r="F890" cm="1">
        <f t="array" ref="F890">INDEX('Linha 06'!$C$3:$ZZ$3,C890)</f>
        <v>20070008</v>
      </c>
      <c r="G890" t="str" cm="1">
        <f t="array" ref="G890">INDEX('Linha 06'!$C$2:$ZZ$2,C890)</f>
        <v>Limpa Vidros Aquafast Squeeze Cx/12 X 500ml</v>
      </c>
      <c r="H890" s="5" cm="1">
        <f t="array" ref="H890">INDEX('Linha 06'!$C$4:$ZZ$1000,B890,C890)</f>
        <v>0</v>
      </c>
    </row>
    <row r="891" spans="1:8" x14ac:dyDescent="0.25">
      <c r="A891">
        <v>889</v>
      </c>
      <c r="B891">
        <f t="shared" si="26"/>
        <v>24</v>
      </c>
      <c r="C891">
        <f t="shared" si="27"/>
        <v>15</v>
      </c>
      <c r="D891" cm="1">
        <f t="array" ref="D891">INDEX('Linha 06'!$A$4:$A$1000,B891)</f>
        <v>20110010</v>
      </c>
      <c r="E891" t="str" cm="1">
        <f t="array" ref="E891">INDEX('Linha 06'!$B$4:$B$1000,B891)</f>
        <v>Multi Uso Aquafast Squeeze Seducao Cx/12 1l</v>
      </c>
      <c r="F891" cm="1">
        <f t="array" ref="F891">INDEX('Linha 06'!$C$3:$ZZ$3,C891)</f>
        <v>20090001</v>
      </c>
      <c r="G891" t="str" cm="1">
        <f t="array" ref="G891">INDEX('Linha 06'!$C$2:$ZZ$2,C891)</f>
        <v>Desengordurante Aquafast Pulverizador Cx/12 X 500ml</v>
      </c>
      <c r="H891" s="5" cm="1">
        <f t="array" ref="H891">INDEX('Linha 06'!$C$4:$ZZ$1000,B891,C891)</f>
        <v>0</v>
      </c>
    </row>
    <row r="892" spans="1:8" x14ac:dyDescent="0.25">
      <c r="A892">
        <v>890</v>
      </c>
      <c r="B892">
        <f t="shared" si="26"/>
        <v>24</v>
      </c>
      <c r="C892">
        <f t="shared" si="27"/>
        <v>16</v>
      </c>
      <c r="D892" cm="1">
        <f t="array" ref="D892">INDEX('Linha 06'!$A$4:$A$1000,B892)</f>
        <v>20110010</v>
      </c>
      <c r="E892" t="str" cm="1">
        <f t="array" ref="E892">INDEX('Linha 06'!$B$4:$B$1000,B892)</f>
        <v>Multi Uso Aquafast Squeeze Seducao Cx/12 1l</v>
      </c>
      <c r="F892" cm="1">
        <f t="array" ref="F892">INDEX('Linha 06'!$C$3:$ZZ$3,C892)</f>
        <v>20090002</v>
      </c>
      <c r="G892" t="str" cm="1">
        <f t="array" ref="G892">INDEX('Linha 06'!$C$2:$ZZ$2,C892)</f>
        <v>Desengordurante Aquafast Recarga Cx/12 X 500ml</v>
      </c>
      <c r="H892" s="5" cm="1">
        <f t="array" ref="H892">INDEX('Linha 06'!$C$4:$ZZ$1000,B892,C892)</f>
        <v>0</v>
      </c>
    </row>
    <row r="893" spans="1:8" x14ac:dyDescent="0.25">
      <c r="A893">
        <v>891</v>
      </c>
      <c r="B893">
        <f t="shared" si="26"/>
        <v>24</v>
      </c>
      <c r="C893">
        <f t="shared" si="27"/>
        <v>17</v>
      </c>
      <c r="D893" cm="1">
        <f t="array" ref="D893">INDEX('Linha 06'!$A$4:$A$1000,B893)</f>
        <v>20110010</v>
      </c>
      <c r="E893" t="str" cm="1">
        <f t="array" ref="E893">INDEX('Linha 06'!$B$4:$B$1000,B893)</f>
        <v>Multi Uso Aquafast Squeeze Seducao Cx/12 1l</v>
      </c>
      <c r="F893" cm="1">
        <f t="array" ref="F893">INDEX('Linha 06'!$C$3:$ZZ$3,C893)</f>
        <v>20090004</v>
      </c>
      <c r="G893" t="str" cm="1">
        <f t="array" ref="G893">INDEX('Linha 06'!$C$2:$ZZ$2,C893)</f>
        <v>Desengordurante Aquafast Squeeze Cx C/12 X 500ml</v>
      </c>
      <c r="H893" s="5" cm="1">
        <f t="array" ref="H893">INDEX('Linha 06'!$C$4:$ZZ$1000,B893,C893)</f>
        <v>0</v>
      </c>
    </row>
    <row r="894" spans="1:8" x14ac:dyDescent="0.25">
      <c r="A894">
        <v>892</v>
      </c>
      <c r="B894">
        <f t="shared" si="26"/>
        <v>24</v>
      </c>
      <c r="C894">
        <f t="shared" si="27"/>
        <v>18</v>
      </c>
      <c r="D894" cm="1">
        <f t="array" ref="D894">INDEX('Linha 06'!$A$4:$A$1000,B894)</f>
        <v>20110010</v>
      </c>
      <c r="E894" t="str" cm="1">
        <f t="array" ref="E894">INDEX('Linha 06'!$B$4:$B$1000,B894)</f>
        <v>Multi Uso Aquafast Squeeze Seducao Cx/12 1l</v>
      </c>
      <c r="F894" cm="1">
        <f t="array" ref="F894">INDEX('Linha 06'!$C$3:$ZZ$3,C894)</f>
        <v>20090005</v>
      </c>
      <c r="G894" t="str" cm="1">
        <f t="array" ref="G894">INDEX('Linha 06'!$C$2:$ZZ$2,C894)</f>
        <v>Desengordurante Aquafast Squeeze Cx C/12 X 1l</v>
      </c>
      <c r="H894" s="5" cm="1">
        <f t="array" ref="H894">INDEX('Linha 06'!$C$4:$ZZ$1000,B894,C894)</f>
        <v>0</v>
      </c>
    </row>
    <row r="895" spans="1:8" x14ac:dyDescent="0.25">
      <c r="A895">
        <v>893</v>
      </c>
      <c r="B895">
        <f t="shared" si="26"/>
        <v>24</v>
      </c>
      <c r="C895">
        <f t="shared" si="27"/>
        <v>19</v>
      </c>
      <c r="D895" cm="1">
        <f t="array" ref="D895">INDEX('Linha 06'!$A$4:$A$1000,B895)</f>
        <v>20110010</v>
      </c>
      <c r="E895" t="str" cm="1">
        <f t="array" ref="E895">INDEX('Linha 06'!$B$4:$B$1000,B895)</f>
        <v>Multi Uso Aquafast Squeeze Seducao Cx/12 1l</v>
      </c>
      <c r="F895" cm="1">
        <f t="array" ref="F895">INDEX('Linha 06'!$C$3:$ZZ$3,C895)</f>
        <v>20090010</v>
      </c>
      <c r="G895" t="str" cm="1">
        <f t="array" ref="G895">INDEX('Linha 06'!$C$2:$ZZ$2,C895)</f>
        <v>Intermed Pack Desengord Squeeze Cx C/18 X 500ml</v>
      </c>
      <c r="H895" s="5" cm="1">
        <f t="array" ref="H895">INDEX('Linha 06'!$C$4:$ZZ$1000,B895,C895)</f>
        <v>0</v>
      </c>
    </row>
    <row r="896" spans="1:8" x14ac:dyDescent="0.25">
      <c r="A896">
        <v>894</v>
      </c>
      <c r="B896">
        <f t="shared" si="26"/>
        <v>24</v>
      </c>
      <c r="C896">
        <f t="shared" si="27"/>
        <v>20</v>
      </c>
      <c r="D896" cm="1">
        <f t="array" ref="D896">INDEX('Linha 06'!$A$4:$A$1000,B896)</f>
        <v>20110010</v>
      </c>
      <c r="E896" t="str" cm="1">
        <f t="array" ref="E896">INDEX('Linha 06'!$B$4:$B$1000,B896)</f>
        <v>Multi Uso Aquafast Squeeze Seducao Cx/12 1l</v>
      </c>
      <c r="F896" cm="1">
        <f t="array" ref="F896">INDEX('Linha 06'!$C$3:$ZZ$3,C896)</f>
        <v>20110002</v>
      </c>
      <c r="G896" t="str" cm="1">
        <f t="array" ref="G896">INDEX('Linha 06'!$C$2:$ZZ$2,C896)</f>
        <v>Multi Uso Aquafast Squeeze Original Cx/12 X 500ml</v>
      </c>
      <c r="H896" s="5" cm="1">
        <f t="array" ref="H896">INDEX('Linha 06'!$C$4:$ZZ$1000,B896,C896)</f>
        <v>0</v>
      </c>
    </row>
    <row r="897" spans="1:8" x14ac:dyDescent="0.25">
      <c r="A897">
        <v>895</v>
      </c>
      <c r="B897">
        <f t="shared" si="26"/>
        <v>24</v>
      </c>
      <c r="C897">
        <f t="shared" si="27"/>
        <v>21</v>
      </c>
      <c r="D897" cm="1">
        <f t="array" ref="D897">INDEX('Linha 06'!$A$4:$A$1000,B897)</f>
        <v>20110010</v>
      </c>
      <c r="E897" t="str" cm="1">
        <f t="array" ref="E897">INDEX('Linha 06'!$B$4:$B$1000,B897)</f>
        <v>Multi Uso Aquafast Squeeze Seducao Cx/12 1l</v>
      </c>
      <c r="F897" cm="1">
        <f t="array" ref="F897">INDEX('Linha 06'!$C$3:$ZZ$3,C897)</f>
        <v>20110004</v>
      </c>
      <c r="G897" t="str" cm="1">
        <f t="array" ref="G897">INDEX('Linha 06'!$C$2:$ZZ$2,C897)</f>
        <v>Multi Uso Aquafast Squeeze Lavanda Cx/12 X 500ml</v>
      </c>
      <c r="H897" s="5" cm="1">
        <f t="array" ref="H897">INDEX('Linha 06'!$C$4:$ZZ$1000,B897,C897)</f>
        <v>0</v>
      </c>
    </row>
    <row r="898" spans="1:8" x14ac:dyDescent="0.25">
      <c r="A898">
        <v>896</v>
      </c>
      <c r="B898">
        <f t="shared" si="26"/>
        <v>24</v>
      </c>
      <c r="C898">
        <f t="shared" si="27"/>
        <v>22</v>
      </c>
      <c r="D898" cm="1">
        <f t="array" ref="D898">INDEX('Linha 06'!$A$4:$A$1000,B898)</f>
        <v>20110010</v>
      </c>
      <c r="E898" t="str" cm="1">
        <f t="array" ref="E898">INDEX('Linha 06'!$B$4:$B$1000,B898)</f>
        <v>Multi Uso Aquafast Squeeze Seducao Cx/12 1l</v>
      </c>
      <c r="F898" cm="1">
        <f t="array" ref="F898">INDEX('Linha 06'!$C$3:$ZZ$3,C898)</f>
        <v>20110007</v>
      </c>
      <c r="G898" t="str" cm="1">
        <f t="array" ref="G898">INDEX('Linha 06'!$C$2:$ZZ$2,C898)</f>
        <v>Multi Uso Aquafast Squeeze Seducao Cx/12 X 500ml</v>
      </c>
      <c r="H898" s="5" cm="1">
        <f t="array" ref="H898">INDEX('Linha 06'!$C$4:$ZZ$1000,B898,C898)</f>
        <v>0</v>
      </c>
    </row>
    <row r="899" spans="1:8" x14ac:dyDescent="0.25">
      <c r="A899">
        <v>897</v>
      </c>
      <c r="B899">
        <f t="shared" si="26"/>
        <v>24</v>
      </c>
      <c r="C899">
        <f t="shared" si="27"/>
        <v>23</v>
      </c>
      <c r="D899" cm="1">
        <f t="array" ref="D899">INDEX('Linha 06'!$A$4:$A$1000,B899)</f>
        <v>20110010</v>
      </c>
      <c r="E899" t="str" cm="1">
        <f t="array" ref="E899">INDEX('Linha 06'!$B$4:$B$1000,B899)</f>
        <v>Multi Uso Aquafast Squeeze Seducao Cx/12 1l</v>
      </c>
      <c r="F899" cm="1">
        <f t="array" ref="F899">INDEX('Linha 06'!$C$3:$ZZ$3,C899)</f>
        <v>20110008</v>
      </c>
      <c r="G899" t="str" cm="1">
        <f t="array" ref="G899">INDEX('Linha 06'!$C$2:$ZZ$2,C899)</f>
        <v>Multi Uso Aquafast Squeeze Original Cx/12 X 1l</v>
      </c>
      <c r="H899" s="5" cm="1">
        <f t="array" ref="H899">INDEX('Linha 06'!$C$4:$ZZ$1000,B899,C899)</f>
        <v>0</v>
      </c>
    </row>
    <row r="900" spans="1:8" x14ac:dyDescent="0.25">
      <c r="A900">
        <v>898</v>
      </c>
      <c r="B900">
        <f t="shared" ref="B900:B963" si="28">INT((A900-1)/$B$1)+1</f>
        <v>24</v>
      </c>
      <c r="C900">
        <f t="shared" ref="C900:C963" si="29">MOD(A900-1,$B$1)+1</f>
        <v>24</v>
      </c>
      <c r="D900" cm="1">
        <f t="array" ref="D900">INDEX('Linha 06'!$A$4:$A$1000,B900)</f>
        <v>20110010</v>
      </c>
      <c r="E900" t="str" cm="1">
        <f t="array" ref="E900">INDEX('Linha 06'!$B$4:$B$1000,B900)</f>
        <v>Multi Uso Aquafast Squeeze Seducao Cx/12 1l</v>
      </c>
      <c r="F900" cm="1">
        <f t="array" ref="F900">INDEX('Linha 06'!$C$3:$ZZ$3,C900)</f>
        <v>20110010</v>
      </c>
      <c r="G900" t="str" cm="1">
        <f t="array" ref="G900">INDEX('Linha 06'!$C$2:$ZZ$2,C900)</f>
        <v>Multi Uso Aquafast Squeeze Seducao Cx/12 1l</v>
      </c>
      <c r="H900" s="5" cm="1">
        <f t="array" ref="H900">INDEX('Linha 06'!$C$4:$ZZ$1000,B900,C900)</f>
        <v>0</v>
      </c>
    </row>
    <row r="901" spans="1:8" x14ac:dyDescent="0.25">
      <c r="A901">
        <v>899</v>
      </c>
      <c r="B901">
        <f t="shared" si="28"/>
        <v>24</v>
      </c>
      <c r="C901">
        <f t="shared" si="29"/>
        <v>25</v>
      </c>
      <c r="D901" cm="1">
        <f t="array" ref="D901">INDEX('Linha 06'!$A$4:$A$1000,B901)</f>
        <v>20110010</v>
      </c>
      <c r="E901" t="str" cm="1">
        <f t="array" ref="E901">INDEX('Linha 06'!$B$4:$B$1000,B901)</f>
        <v>Multi Uso Aquafast Squeeze Seducao Cx/12 1l</v>
      </c>
      <c r="F901" cm="1">
        <f t="array" ref="F901">INDEX('Linha 06'!$C$3:$ZZ$3,C901)</f>
        <v>20110013</v>
      </c>
      <c r="G901" t="str" cm="1">
        <f t="array" ref="G901">INDEX('Linha 06'!$C$2:$ZZ$2,C901)</f>
        <v>Multi Uso Aquafast Squeeze Lavanda Cx/12 X 1l</v>
      </c>
      <c r="H901" s="5" cm="1">
        <f t="array" ref="H901">INDEX('Linha 06'!$C$4:$ZZ$1000,B901,C901)</f>
        <v>0</v>
      </c>
    </row>
    <row r="902" spans="1:8" x14ac:dyDescent="0.25">
      <c r="A902">
        <v>900</v>
      </c>
      <c r="B902">
        <f t="shared" si="28"/>
        <v>24</v>
      </c>
      <c r="C902">
        <f t="shared" si="29"/>
        <v>26</v>
      </c>
      <c r="D902" cm="1">
        <f t="array" ref="D902">INDEX('Linha 06'!$A$4:$A$1000,B902)</f>
        <v>20110010</v>
      </c>
      <c r="E902" t="str" cm="1">
        <f t="array" ref="E902">INDEX('Linha 06'!$B$4:$B$1000,B902)</f>
        <v>Multi Uso Aquafast Squeeze Seducao Cx/12 1l</v>
      </c>
      <c r="F902" cm="1">
        <f t="array" ref="F902">INDEX('Linha 06'!$C$3:$ZZ$3,C902)</f>
        <v>20110022</v>
      </c>
      <c r="G902" t="str" cm="1">
        <f t="array" ref="G902">INDEX('Linha 06'!$C$2:$ZZ$2,C902)</f>
        <v>Intermed Pack Multi Uso Lavand C/Alcool Cx/18 X 500ml</v>
      </c>
      <c r="H902" s="5" cm="1">
        <f t="array" ref="H902">INDEX('Linha 06'!$C$4:$ZZ$1000,B902,C902)</f>
        <v>0</v>
      </c>
    </row>
    <row r="903" spans="1:8" x14ac:dyDescent="0.25">
      <c r="A903">
        <v>901</v>
      </c>
      <c r="B903">
        <f t="shared" si="28"/>
        <v>24</v>
      </c>
      <c r="C903">
        <f t="shared" si="29"/>
        <v>27</v>
      </c>
      <c r="D903" cm="1">
        <f t="array" ref="D903">INDEX('Linha 06'!$A$4:$A$1000,B903)</f>
        <v>20110010</v>
      </c>
      <c r="E903" t="str" cm="1">
        <f t="array" ref="E903">INDEX('Linha 06'!$B$4:$B$1000,B903)</f>
        <v>Multi Uso Aquafast Squeeze Seducao Cx/12 1l</v>
      </c>
      <c r="F903" cm="1">
        <f t="array" ref="F903">INDEX('Linha 06'!$C$3:$ZZ$3,C903)</f>
        <v>20110023</v>
      </c>
      <c r="G903" t="str" cm="1">
        <f t="array" ref="G903">INDEX('Linha 06'!$C$2:$ZZ$2,C903)</f>
        <v>Multi Uso Aquafast Squeeze Cha Branco  Cx/12 X 500ml</v>
      </c>
      <c r="H903" s="5" cm="1">
        <f t="array" ref="H903">INDEX('Linha 06'!$C$4:$ZZ$1000,B903,C903)</f>
        <v>0</v>
      </c>
    </row>
    <row r="904" spans="1:8" x14ac:dyDescent="0.25">
      <c r="A904">
        <v>902</v>
      </c>
      <c r="B904">
        <f t="shared" si="28"/>
        <v>24</v>
      </c>
      <c r="C904">
        <f t="shared" si="29"/>
        <v>28</v>
      </c>
      <c r="D904" cm="1">
        <f t="array" ref="D904">INDEX('Linha 06'!$A$4:$A$1000,B904)</f>
        <v>20110010</v>
      </c>
      <c r="E904" t="str" cm="1">
        <f t="array" ref="E904">INDEX('Linha 06'!$B$4:$B$1000,B904)</f>
        <v>Multi Uso Aquafast Squeeze Seducao Cx/12 1l</v>
      </c>
      <c r="F904" cm="1">
        <f t="array" ref="F904">INDEX('Linha 06'!$C$3:$ZZ$3,C904)</f>
        <v>20110024</v>
      </c>
      <c r="G904" t="str" cm="1">
        <f t="array" ref="G904">INDEX('Linha 06'!$C$2:$ZZ$2,C904)</f>
        <v>Multi Uso Aquafast Squeeze Cha Branco Cx12 X 1l</v>
      </c>
      <c r="H904" s="5" cm="1">
        <f t="array" ref="H904">INDEX('Linha 06'!$C$4:$ZZ$1000,B904,C904)</f>
        <v>0</v>
      </c>
    </row>
    <row r="905" spans="1:8" x14ac:dyDescent="0.25">
      <c r="A905">
        <v>903</v>
      </c>
      <c r="B905">
        <f t="shared" si="28"/>
        <v>24</v>
      </c>
      <c r="C905">
        <f t="shared" si="29"/>
        <v>29</v>
      </c>
      <c r="D905" cm="1">
        <f t="array" ref="D905">INDEX('Linha 06'!$A$4:$A$1000,B905)</f>
        <v>20110010</v>
      </c>
      <c r="E905" t="str" cm="1">
        <f t="array" ref="E905">INDEX('Linha 06'!$B$4:$B$1000,B905)</f>
        <v>Multi Uso Aquafast Squeeze Seducao Cx/12 1l</v>
      </c>
      <c r="F905" cm="1">
        <f t="array" ref="F905">INDEX('Linha 06'!$C$3:$ZZ$3,C905)</f>
        <v>20110025</v>
      </c>
      <c r="G905" t="str" cm="1">
        <f t="array" ref="G905">INDEX('Linha 06'!$C$2:$ZZ$2,C905)</f>
        <v>Multi Uso Aquafast Pulverizador Original Cx/12 X 1l</v>
      </c>
      <c r="H905" s="5" cm="1">
        <f t="array" ref="H905">INDEX('Linha 06'!$C$4:$ZZ$1000,B905,C905)</f>
        <v>0</v>
      </c>
    </row>
    <row r="906" spans="1:8" x14ac:dyDescent="0.25">
      <c r="A906">
        <v>904</v>
      </c>
      <c r="B906">
        <f t="shared" si="28"/>
        <v>24</v>
      </c>
      <c r="C906">
        <f t="shared" si="29"/>
        <v>30</v>
      </c>
      <c r="D906" cm="1">
        <f t="array" ref="D906">INDEX('Linha 06'!$A$4:$A$1000,B906)</f>
        <v>20110010</v>
      </c>
      <c r="E906" t="str" cm="1">
        <f t="array" ref="E906">INDEX('Linha 06'!$B$4:$B$1000,B906)</f>
        <v>Multi Uso Aquafast Squeeze Seducao Cx/12 1l</v>
      </c>
      <c r="F906" cm="1">
        <f t="array" ref="F906">INDEX('Linha 06'!$C$3:$ZZ$3,C906)</f>
        <v>20110026</v>
      </c>
      <c r="G906" t="str" cm="1">
        <f t="array" ref="G906">INDEX('Linha 06'!$C$2:$ZZ$2,C906)</f>
        <v>Multi Uso Aquafast Pulverizador Poder O2 Cx/12 X 1l</v>
      </c>
      <c r="H906" s="5" cm="1">
        <f t="array" ref="H906">INDEX('Linha 06'!$C$4:$ZZ$1000,B906,C906)</f>
        <v>0</v>
      </c>
    </row>
    <row r="907" spans="1:8" x14ac:dyDescent="0.25">
      <c r="A907">
        <v>905</v>
      </c>
      <c r="B907">
        <f t="shared" si="28"/>
        <v>24</v>
      </c>
      <c r="C907">
        <f t="shared" si="29"/>
        <v>31</v>
      </c>
      <c r="D907" cm="1">
        <f t="array" ref="D907">INDEX('Linha 06'!$A$4:$A$1000,B907)</f>
        <v>20110010</v>
      </c>
      <c r="E907" t="str" cm="1">
        <f t="array" ref="E907">INDEX('Linha 06'!$B$4:$B$1000,B907)</f>
        <v>Multi Uso Aquafast Squeeze Seducao Cx/12 1l</v>
      </c>
      <c r="F907" cm="1">
        <f t="array" ref="F907">INDEX('Linha 06'!$C$3:$ZZ$3,C907)</f>
        <v>20110027</v>
      </c>
      <c r="G907" t="str" cm="1">
        <f t="array" ref="G907">INDEX('Linha 06'!$C$2:$ZZ$2,C907)</f>
        <v>Multi Uso Aquafast Pulverizador Poder O2 Cx/12 X 500ml</v>
      </c>
      <c r="H907" s="5" cm="1">
        <f t="array" ref="H907">INDEX('Linha 06'!$C$4:$ZZ$1000,B907,C907)</f>
        <v>0</v>
      </c>
    </row>
    <row r="908" spans="1:8" x14ac:dyDescent="0.25">
      <c r="A908">
        <v>906</v>
      </c>
      <c r="B908">
        <f t="shared" si="28"/>
        <v>24</v>
      </c>
      <c r="C908">
        <f t="shared" si="29"/>
        <v>32</v>
      </c>
      <c r="D908" cm="1">
        <f t="array" ref="D908">INDEX('Linha 06'!$A$4:$A$1000,B908)</f>
        <v>20110010</v>
      </c>
      <c r="E908" t="str" cm="1">
        <f t="array" ref="E908">INDEX('Linha 06'!$B$4:$B$1000,B908)</f>
        <v>Multi Uso Aquafast Squeeze Seducao Cx/12 1l</v>
      </c>
      <c r="F908" cm="1">
        <f t="array" ref="F908">INDEX('Linha 06'!$C$3:$ZZ$3,C908)</f>
        <v>20200073</v>
      </c>
      <c r="G908" t="str" cm="1">
        <f t="array" ref="G908">INDEX('Linha 06'!$C$2:$ZZ$2,C908)</f>
        <v>Lava Roupas Aquafast Lavagem Rapida Total Clean Cx/9 X 1,5l</v>
      </c>
      <c r="H908" s="5" cm="1">
        <f t="array" ref="H908">INDEX('Linha 06'!$C$4:$ZZ$1000,B908,C908)</f>
        <v>0</v>
      </c>
    </row>
    <row r="909" spans="1:8" x14ac:dyDescent="0.25">
      <c r="A909">
        <v>907</v>
      </c>
      <c r="B909">
        <f t="shared" si="28"/>
        <v>24</v>
      </c>
      <c r="C909">
        <f t="shared" si="29"/>
        <v>33</v>
      </c>
      <c r="D909" cm="1">
        <f t="array" ref="D909">INDEX('Linha 06'!$A$4:$A$1000,B909)</f>
        <v>20110010</v>
      </c>
      <c r="E909" t="str" cm="1">
        <f t="array" ref="E909">INDEX('Linha 06'!$B$4:$B$1000,B909)</f>
        <v>Multi Uso Aquafast Squeeze Seducao Cx/12 1l</v>
      </c>
      <c r="F909" cm="1">
        <f t="array" ref="F909">INDEX('Linha 06'!$C$3:$ZZ$3,C909)</f>
        <v>20200075</v>
      </c>
      <c r="G909" t="str" cm="1">
        <f t="array" ref="G909">INDEX('Linha 06'!$C$2:$ZZ$2,C909)</f>
        <v>Lava Roupas Aquafast Lavagem Rapida Fresh Clean Cx/9 X 1,5l</v>
      </c>
      <c r="H909" s="5" cm="1">
        <f t="array" ref="H909">INDEX('Linha 06'!$C$4:$ZZ$1000,B909,C909)</f>
        <v>0</v>
      </c>
    </row>
    <row r="910" spans="1:8" x14ac:dyDescent="0.25">
      <c r="A910">
        <v>908</v>
      </c>
      <c r="B910">
        <f t="shared" si="28"/>
        <v>24</v>
      </c>
      <c r="C910">
        <f t="shared" si="29"/>
        <v>34</v>
      </c>
      <c r="D910" cm="1">
        <f t="array" ref="D910">INDEX('Linha 06'!$A$4:$A$1000,B910)</f>
        <v>20110010</v>
      </c>
      <c r="E910" t="str" cm="1">
        <f t="array" ref="E910">INDEX('Linha 06'!$B$4:$B$1000,B910)</f>
        <v>Multi Uso Aquafast Squeeze Seducao Cx/12 1l</v>
      </c>
      <c r="F910" cm="1">
        <f t="array" ref="F910">INDEX('Linha 06'!$C$3:$ZZ$3,C910)</f>
        <v>20220018</v>
      </c>
      <c r="G910" t="str" cm="1">
        <f t="array" ref="G910">INDEX('Linha 06'!$C$2:$ZZ$2,C910)</f>
        <v>Intermed. Aromat. Amoras E Baunilha Cx C/ 12un 250ml</v>
      </c>
      <c r="H910" s="5" cm="1">
        <f t="array" ref="H910">INDEX('Linha 06'!$C$4:$ZZ$1000,B910,C910)</f>
        <v>0</v>
      </c>
    </row>
    <row r="911" spans="1:8" x14ac:dyDescent="0.25">
      <c r="A911">
        <v>909</v>
      </c>
      <c r="B911">
        <f t="shared" si="28"/>
        <v>24</v>
      </c>
      <c r="C911">
        <f t="shared" si="29"/>
        <v>35</v>
      </c>
      <c r="D911" cm="1">
        <f t="array" ref="D911">INDEX('Linha 06'!$A$4:$A$1000,B911)</f>
        <v>20110010</v>
      </c>
      <c r="E911" t="str" cm="1">
        <f t="array" ref="E911">INDEX('Linha 06'!$B$4:$B$1000,B911)</f>
        <v>Multi Uso Aquafast Squeeze Seducao Cx/12 1l</v>
      </c>
      <c r="F911" cm="1">
        <f t="array" ref="F911">INDEX('Linha 06'!$C$3:$ZZ$3,C911)</f>
        <v>20220019</v>
      </c>
      <c r="G911" t="str" cm="1">
        <f t="array" ref="G911">INDEX('Linha 06'!$C$2:$ZZ$2,C911)</f>
        <v>Intermed. Aromat. Figo E Cedro Cx C/ 12un 250ml</v>
      </c>
      <c r="H911" s="5" cm="1">
        <f t="array" ref="H911">INDEX('Linha 06'!$C$4:$ZZ$1000,B911,C911)</f>
        <v>0</v>
      </c>
    </row>
    <row r="912" spans="1:8" x14ac:dyDescent="0.25">
      <c r="A912">
        <v>910</v>
      </c>
      <c r="B912">
        <f t="shared" si="28"/>
        <v>24</v>
      </c>
      <c r="C912">
        <f t="shared" si="29"/>
        <v>36</v>
      </c>
      <c r="D912" cm="1">
        <f t="array" ref="D912">INDEX('Linha 06'!$A$4:$A$1000,B912)</f>
        <v>20110010</v>
      </c>
      <c r="E912" t="str" cm="1">
        <f t="array" ref="E912">INDEX('Linha 06'!$B$4:$B$1000,B912)</f>
        <v>Multi Uso Aquafast Squeeze Seducao Cx/12 1l</v>
      </c>
      <c r="F912" cm="1">
        <f t="array" ref="F912">INDEX('Linha 06'!$C$3:$ZZ$3,C912)</f>
        <v>20220020</v>
      </c>
      <c r="G912" t="str" cm="1">
        <f t="array" ref="G912">INDEX('Linha 06'!$C$2:$ZZ$2,C912)</f>
        <v>Intermed. Aromat. Rosas E Magnolias Cx C/ 12un 250ml</v>
      </c>
      <c r="H912" s="5" cm="1">
        <f t="array" ref="H912">INDEX('Linha 06'!$C$4:$ZZ$1000,B912,C912)</f>
        <v>0</v>
      </c>
    </row>
    <row r="913" spans="1:8" x14ac:dyDescent="0.25">
      <c r="A913">
        <v>911</v>
      </c>
      <c r="B913">
        <f t="shared" si="28"/>
        <v>24</v>
      </c>
      <c r="C913">
        <f t="shared" si="29"/>
        <v>37</v>
      </c>
      <c r="D913" cm="1">
        <f t="array" ref="D913">INDEX('Linha 06'!$A$4:$A$1000,B913)</f>
        <v>20110010</v>
      </c>
      <c r="E913" t="str" cm="1">
        <f t="array" ref="E913">INDEX('Linha 06'!$B$4:$B$1000,B913)</f>
        <v>Multi Uso Aquafast Squeeze Seducao Cx/12 1l</v>
      </c>
      <c r="F913" cm="1">
        <f t="array" ref="F913">INDEX('Linha 06'!$C$3:$ZZ$3,C913)</f>
        <v>20220021</v>
      </c>
      <c r="G913" t="str" cm="1">
        <f t="array" ref="G913">INDEX('Linha 06'!$C$2:$ZZ$2,C913)</f>
        <v>Intermed. Aromat. Flores Exoticas Cx C/ 12un 250ml</v>
      </c>
      <c r="H913" s="5" cm="1">
        <f t="array" ref="H913">INDEX('Linha 06'!$C$4:$ZZ$1000,B913,C913)</f>
        <v>0</v>
      </c>
    </row>
    <row r="914" spans="1:8" x14ac:dyDescent="0.25">
      <c r="A914">
        <v>912</v>
      </c>
      <c r="B914">
        <f t="shared" si="28"/>
        <v>24</v>
      </c>
      <c r="C914">
        <f t="shared" si="29"/>
        <v>38</v>
      </c>
      <c r="D914" cm="1">
        <f t="array" ref="D914">INDEX('Linha 06'!$A$4:$A$1000,B914)</f>
        <v>20110010</v>
      </c>
      <c r="E914" t="str" cm="1">
        <f t="array" ref="E914">INDEX('Linha 06'!$B$4:$B$1000,B914)</f>
        <v>Multi Uso Aquafast Squeeze Seducao Cx/12 1l</v>
      </c>
      <c r="F914" cm="1">
        <f t="array" ref="F914">INDEX('Linha 06'!$C$3:$ZZ$3,C914)</f>
        <v>20220022</v>
      </c>
      <c r="G914" t="str" cm="1">
        <f t="array" ref="G914">INDEX('Linha 06'!$C$2:$ZZ$2,C914)</f>
        <v>Intermed. Aromat. Cha Verde E Grapef Cx C/ 12un 250ml</v>
      </c>
      <c r="H914" s="5" cm="1">
        <f t="array" ref="H914">INDEX('Linha 06'!$C$4:$ZZ$1000,B914,C914)</f>
        <v>0</v>
      </c>
    </row>
    <row r="915" spans="1:8" x14ac:dyDescent="0.25">
      <c r="A915">
        <v>913</v>
      </c>
      <c r="B915">
        <f t="shared" si="28"/>
        <v>25</v>
      </c>
      <c r="C915">
        <f t="shared" si="29"/>
        <v>1</v>
      </c>
      <c r="D915" cm="1">
        <f t="array" ref="D915">INDEX('Linha 06'!$A$4:$A$1000,B915)</f>
        <v>20110013</v>
      </c>
      <c r="E915" t="str" cm="1">
        <f t="array" ref="E915">INDEX('Linha 06'!$B$4:$B$1000,B915)</f>
        <v>Multi Uso Aquafast Squeeze Lavanda Cx/12 X 1l</v>
      </c>
      <c r="F915" cm="1">
        <f t="array" ref="F915">INDEX('Linha 06'!$C$3:$ZZ$3,C915)</f>
        <v>20060001</v>
      </c>
      <c r="G915" t="str" cm="1">
        <f t="array" ref="G915">INDEX('Linha 06'!$C$2:$ZZ$2,C915)</f>
        <v>Limp Perf Aquafast Magia Seducao Cx/12 X 500ml</v>
      </c>
      <c r="H915" s="5" cm="1">
        <f t="array" ref="H915">INDEX('Linha 06'!$C$4:$ZZ$1000,B915,C915)</f>
        <v>0</v>
      </c>
    </row>
    <row r="916" spans="1:8" x14ac:dyDescent="0.25">
      <c r="A916">
        <v>914</v>
      </c>
      <c r="B916">
        <f t="shared" si="28"/>
        <v>25</v>
      </c>
      <c r="C916">
        <f t="shared" si="29"/>
        <v>2</v>
      </c>
      <c r="D916" cm="1">
        <f t="array" ref="D916">INDEX('Linha 06'!$A$4:$A$1000,B916)</f>
        <v>20110013</v>
      </c>
      <c r="E916" t="str" cm="1">
        <f t="array" ref="E916">INDEX('Linha 06'!$B$4:$B$1000,B916)</f>
        <v>Multi Uso Aquafast Squeeze Lavanda Cx/12 X 1l</v>
      </c>
      <c r="F916" cm="1">
        <f t="array" ref="F916">INDEX('Linha 06'!$C$3:$ZZ$3,C916)</f>
        <v>20060004</v>
      </c>
      <c r="G916" t="str" cm="1">
        <f t="array" ref="G916">INDEX('Linha 06'!$C$2:$ZZ$2,C916)</f>
        <v>Limp Perf Aquafast Magia Seducao Cx/12 X 1l</v>
      </c>
      <c r="H916" s="5" cm="1">
        <f t="array" ref="H916">INDEX('Linha 06'!$C$4:$ZZ$1000,B916,C916)</f>
        <v>0</v>
      </c>
    </row>
    <row r="917" spans="1:8" x14ac:dyDescent="0.25">
      <c r="A917">
        <v>915</v>
      </c>
      <c r="B917">
        <f t="shared" si="28"/>
        <v>25</v>
      </c>
      <c r="C917">
        <f t="shared" si="29"/>
        <v>3</v>
      </c>
      <c r="D917" cm="1">
        <f t="array" ref="D917">INDEX('Linha 06'!$A$4:$A$1000,B917)</f>
        <v>20110013</v>
      </c>
      <c r="E917" t="str" cm="1">
        <f t="array" ref="E917">INDEX('Linha 06'!$B$4:$B$1000,B917)</f>
        <v>Multi Uso Aquafast Squeeze Lavanda Cx/12 X 1l</v>
      </c>
      <c r="F917" cm="1">
        <f t="array" ref="F917">INDEX('Linha 06'!$C$3:$ZZ$3,C917)</f>
        <v>20060010</v>
      </c>
      <c r="G917" t="str" cm="1">
        <f t="array" ref="G917">INDEX('Linha 06'!$C$2:$ZZ$2,C917)</f>
        <v>Limp Perf Aquafast Magia Da Infancia Cx/12 X 500ml</v>
      </c>
      <c r="H917" s="5" cm="1">
        <f t="array" ref="H917">INDEX('Linha 06'!$C$4:$ZZ$1000,B917,C917)</f>
        <v>0</v>
      </c>
    </row>
    <row r="918" spans="1:8" x14ac:dyDescent="0.25">
      <c r="A918">
        <v>916</v>
      </c>
      <c r="B918">
        <f t="shared" si="28"/>
        <v>25</v>
      </c>
      <c r="C918">
        <f t="shared" si="29"/>
        <v>4</v>
      </c>
      <c r="D918" cm="1">
        <f t="array" ref="D918">INDEX('Linha 06'!$A$4:$A$1000,B918)</f>
        <v>20110013</v>
      </c>
      <c r="E918" t="str" cm="1">
        <f t="array" ref="E918">INDEX('Linha 06'!$B$4:$B$1000,B918)</f>
        <v>Multi Uso Aquafast Squeeze Lavanda Cx/12 X 1l</v>
      </c>
      <c r="F918" cm="1">
        <f t="array" ref="F918">INDEX('Linha 06'!$C$3:$ZZ$3,C918)</f>
        <v>20060011</v>
      </c>
      <c r="G918" t="str" cm="1">
        <f t="array" ref="G918">INDEX('Linha 06'!$C$2:$ZZ$2,C918)</f>
        <v>Limp Perf Aquafast Frescor Da Manha Cx/12 X 500ml</v>
      </c>
      <c r="H918" s="5" cm="1">
        <f t="array" ref="H918">INDEX('Linha 06'!$C$4:$ZZ$1000,B918,C918)</f>
        <v>0</v>
      </c>
    </row>
    <row r="919" spans="1:8" x14ac:dyDescent="0.25">
      <c r="A919">
        <v>917</v>
      </c>
      <c r="B919">
        <f t="shared" si="28"/>
        <v>25</v>
      </c>
      <c r="C919">
        <f t="shared" si="29"/>
        <v>5</v>
      </c>
      <c r="D919" cm="1">
        <f t="array" ref="D919">INDEX('Linha 06'!$A$4:$A$1000,B919)</f>
        <v>20110013</v>
      </c>
      <c r="E919" t="str" cm="1">
        <f t="array" ref="E919">INDEX('Linha 06'!$B$4:$B$1000,B919)</f>
        <v>Multi Uso Aquafast Squeeze Lavanda Cx/12 X 1l</v>
      </c>
      <c r="F919" cm="1">
        <f t="array" ref="F919">INDEX('Linha 06'!$C$3:$ZZ$3,C919)</f>
        <v>20060012</v>
      </c>
      <c r="G919" t="str" cm="1">
        <f t="array" ref="G919">INDEX('Linha 06'!$C$2:$ZZ$2,C919)</f>
        <v>Limp Perf Aquafast Magia Da Infancia Cx/12 X 1l</v>
      </c>
      <c r="H919" s="5" cm="1">
        <f t="array" ref="H919">INDEX('Linha 06'!$C$4:$ZZ$1000,B919,C919)</f>
        <v>0</v>
      </c>
    </row>
    <row r="920" spans="1:8" x14ac:dyDescent="0.25">
      <c r="A920">
        <v>918</v>
      </c>
      <c r="B920">
        <f t="shared" si="28"/>
        <v>25</v>
      </c>
      <c r="C920">
        <f t="shared" si="29"/>
        <v>6</v>
      </c>
      <c r="D920" cm="1">
        <f t="array" ref="D920">INDEX('Linha 06'!$A$4:$A$1000,B920)</f>
        <v>20110013</v>
      </c>
      <c r="E920" t="str" cm="1">
        <f t="array" ref="E920">INDEX('Linha 06'!$B$4:$B$1000,B920)</f>
        <v>Multi Uso Aquafast Squeeze Lavanda Cx/12 X 1l</v>
      </c>
      <c r="F920" cm="1">
        <f t="array" ref="F920">INDEX('Linha 06'!$C$3:$ZZ$3,C920)</f>
        <v>20060013</v>
      </c>
      <c r="G920" t="str" cm="1">
        <f t="array" ref="G920">INDEX('Linha 06'!$C$2:$ZZ$2,C920)</f>
        <v>Limp Perf Aquafast Frescor Da Manha Cx/12 X 1l</v>
      </c>
      <c r="H920" s="5" cm="1">
        <f t="array" ref="H920">INDEX('Linha 06'!$C$4:$ZZ$1000,B920,C920)</f>
        <v>0</v>
      </c>
    </row>
    <row r="921" spans="1:8" x14ac:dyDescent="0.25">
      <c r="A921">
        <v>919</v>
      </c>
      <c r="B921">
        <f t="shared" si="28"/>
        <v>25</v>
      </c>
      <c r="C921">
        <f t="shared" si="29"/>
        <v>7</v>
      </c>
      <c r="D921" cm="1">
        <f t="array" ref="D921">INDEX('Linha 06'!$A$4:$A$1000,B921)</f>
        <v>20110013</v>
      </c>
      <c r="E921" t="str" cm="1">
        <f t="array" ref="E921">INDEX('Linha 06'!$B$4:$B$1000,B921)</f>
        <v>Multi Uso Aquafast Squeeze Lavanda Cx/12 X 1l</v>
      </c>
      <c r="F921" cm="1">
        <f t="array" ref="F921">INDEX('Linha 06'!$C$3:$ZZ$3,C921)</f>
        <v>20060015</v>
      </c>
      <c r="G921" t="str" cm="1">
        <f t="array" ref="G921">INDEX('Linha 06'!$C$2:$ZZ$2,C921)</f>
        <v>Limp Perf Aquafast Doce Romance Cx/12 X 500ml</v>
      </c>
      <c r="H921" s="5" cm="1">
        <f t="array" ref="H921">INDEX('Linha 06'!$C$4:$ZZ$1000,B921,C921)</f>
        <v>0</v>
      </c>
    </row>
    <row r="922" spans="1:8" x14ac:dyDescent="0.25">
      <c r="A922">
        <v>920</v>
      </c>
      <c r="B922">
        <f t="shared" si="28"/>
        <v>25</v>
      </c>
      <c r="C922">
        <f t="shared" si="29"/>
        <v>8</v>
      </c>
      <c r="D922" cm="1">
        <f t="array" ref="D922">INDEX('Linha 06'!$A$4:$A$1000,B922)</f>
        <v>20110013</v>
      </c>
      <c r="E922" t="str" cm="1">
        <f t="array" ref="E922">INDEX('Linha 06'!$B$4:$B$1000,B922)</f>
        <v>Multi Uso Aquafast Squeeze Lavanda Cx/12 X 1l</v>
      </c>
      <c r="F922" cm="1">
        <f t="array" ref="F922">INDEX('Linha 06'!$C$3:$ZZ$3,C922)</f>
        <v>20060016</v>
      </c>
      <c r="G922" t="str" cm="1">
        <f t="array" ref="G922">INDEX('Linha 06'!$C$2:$ZZ$2,C922)</f>
        <v>Limp Perf Aquafast Doce Romance Cx/12 X 1l</v>
      </c>
      <c r="H922" s="5" cm="1">
        <f t="array" ref="H922">INDEX('Linha 06'!$C$4:$ZZ$1000,B922,C922)</f>
        <v>0</v>
      </c>
    </row>
    <row r="923" spans="1:8" x14ac:dyDescent="0.25">
      <c r="A923">
        <v>921</v>
      </c>
      <c r="B923">
        <f t="shared" si="28"/>
        <v>25</v>
      </c>
      <c r="C923">
        <f t="shared" si="29"/>
        <v>9</v>
      </c>
      <c r="D923" cm="1">
        <f t="array" ref="D923">INDEX('Linha 06'!$A$4:$A$1000,B923)</f>
        <v>20110013</v>
      </c>
      <c r="E923" t="str" cm="1">
        <f t="array" ref="E923">INDEX('Linha 06'!$B$4:$B$1000,B923)</f>
        <v>Multi Uso Aquafast Squeeze Lavanda Cx/12 X 1l</v>
      </c>
      <c r="F923" cm="1">
        <f t="array" ref="F923">INDEX('Linha 06'!$C$3:$ZZ$3,C923)</f>
        <v>20060027</v>
      </c>
      <c r="G923" t="str" cm="1">
        <f t="array" ref="G923">INDEX('Linha 06'!$C$2:$ZZ$2,C923)</f>
        <v>Limp Perf Aquafast Essencia Natural Cx/12 X 1l</v>
      </c>
      <c r="H923" s="5" cm="1">
        <f t="array" ref="H923">INDEX('Linha 06'!$C$4:$ZZ$1000,B923,C923)</f>
        <v>0</v>
      </c>
    </row>
    <row r="924" spans="1:8" x14ac:dyDescent="0.25">
      <c r="A924">
        <v>922</v>
      </c>
      <c r="B924">
        <f t="shared" si="28"/>
        <v>25</v>
      </c>
      <c r="C924">
        <f t="shared" si="29"/>
        <v>10</v>
      </c>
      <c r="D924" cm="1">
        <f t="array" ref="D924">INDEX('Linha 06'!$A$4:$A$1000,B924)</f>
        <v>20110013</v>
      </c>
      <c r="E924" t="str" cm="1">
        <f t="array" ref="E924">INDEX('Linha 06'!$B$4:$B$1000,B924)</f>
        <v>Multi Uso Aquafast Squeeze Lavanda Cx/12 X 1l</v>
      </c>
      <c r="F924" cm="1">
        <f t="array" ref="F924">INDEX('Linha 06'!$C$3:$ZZ$3,C924)</f>
        <v>20070001</v>
      </c>
      <c r="G924" t="str" cm="1">
        <f t="array" ref="G924">INDEX('Linha 06'!$C$2:$ZZ$2,C924)</f>
        <v>Limpa Vidros Aquafast Pulverizador Cx/12 X 500ml</v>
      </c>
      <c r="H924" s="5" cm="1">
        <f t="array" ref="H924">INDEX('Linha 06'!$C$4:$ZZ$1000,B924,C924)</f>
        <v>0</v>
      </c>
    </row>
    <row r="925" spans="1:8" x14ac:dyDescent="0.25">
      <c r="A925">
        <v>923</v>
      </c>
      <c r="B925">
        <f t="shared" si="28"/>
        <v>25</v>
      </c>
      <c r="C925">
        <f t="shared" si="29"/>
        <v>11</v>
      </c>
      <c r="D925" cm="1">
        <f t="array" ref="D925">INDEX('Linha 06'!$A$4:$A$1000,B925)</f>
        <v>20110013</v>
      </c>
      <c r="E925" t="str" cm="1">
        <f t="array" ref="E925">INDEX('Linha 06'!$B$4:$B$1000,B925)</f>
        <v>Multi Uso Aquafast Squeeze Lavanda Cx/12 X 1l</v>
      </c>
      <c r="F925" cm="1">
        <f t="array" ref="F925">INDEX('Linha 06'!$C$3:$ZZ$3,C925)</f>
        <v>20070002</v>
      </c>
      <c r="G925" t="str" cm="1">
        <f t="array" ref="G925">INDEX('Linha 06'!$C$2:$ZZ$2,C925)</f>
        <v>Limpa Vidros Aquafast Recarga Cx/12 X 500ml</v>
      </c>
      <c r="H925" s="5" cm="1">
        <f t="array" ref="H925">INDEX('Linha 06'!$C$4:$ZZ$1000,B925,C925)</f>
        <v>0</v>
      </c>
    </row>
    <row r="926" spans="1:8" x14ac:dyDescent="0.25">
      <c r="A926">
        <v>924</v>
      </c>
      <c r="B926">
        <f t="shared" si="28"/>
        <v>25</v>
      </c>
      <c r="C926">
        <f t="shared" si="29"/>
        <v>12</v>
      </c>
      <c r="D926" cm="1">
        <f t="array" ref="D926">INDEX('Linha 06'!$A$4:$A$1000,B926)</f>
        <v>20110013</v>
      </c>
      <c r="E926" t="str" cm="1">
        <f t="array" ref="E926">INDEX('Linha 06'!$B$4:$B$1000,B926)</f>
        <v>Multi Uso Aquafast Squeeze Lavanda Cx/12 X 1l</v>
      </c>
      <c r="F926" cm="1">
        <f t="array" ref="F926">INDEX('Linha 06'!$C$3:$ZZ$3,C926)</f>
        <v>20070006</v>
      </c>
      <c r="G926" t="str" cm="1">
        <f t="array" ref="G926">INDEX('Linha 06'!$C$2:$ZZ$2,C926)</f>
        <v>Limpa Vidros Ito Pulverizador Cx/12 X 500ml</v>
      </c>
      <c r="H926" s="5" cm="1">
        <f t="array" ref="H926">INDEX('Linha 06'!$C$4:$ZZ$1000,B926,C926)</f>
        <v>0</v>
      </c>
    </row>
    <row r="927" spans="1:8" x14ac:dyDescent="0.25">
      <c r="A927">
        <v>925</v>
      </c>
      <c r="B927">
        <f t="shared" si="28"/>
        <v>25</v>
      </c>
      <c r="C927">
        <f t="shared" si="29"/>
        <v>13</v>
      </c>
      <c r="D927" cm="1">
        <f t="array" ref="D927">INDEX('Linha 06'!$A$4:$A$1000,B927)</f>
        <v>20110013</v>
      </c>
      <c r="E927" t="str" cm="1">
        <f t="array" ref="E927">INDEX('Linha 06'!$B$4:$B$1000,B927)</f>
        <v>Multi Uso Aquafast Squeeze Lavanda Cx/12 X 1l</v>
      </c>
      <c r="F927" cm="1">
        <f t="array" ref="F927">INDEX('Linha 06'!$C$3:$ZZ$3,C927)</f>
        <v>20070007</v>
      </c>
      <c r="G927" t="str" cm="1">
        <f t="array" ref="G927">INDEX('Linha 06'!$C$2:$ZZ$2,C927)</f>
        <v>Limpa Vidros Ito Recarga Cx/12 X 500ml</v>
      </c>
      <c r="H927" s="5" cm="1">
        <f t="array" ref="H927">INDEX('Linha 06'!$C$4:$ZZ$1000,B927,C927)</f>
        <v>0</v>
      </c>
    </row>
    <row r="928" spans="1:8" x14ac:dyDescent="0.25">
      <c r="A928">
        <v>926</v>
      </c>
      <c r="B928">
        <f t="shared" si="28"/>
        <v>25</v>
      </c>
      <c r="C928">
        <f t="shared" si="29"/>
        <v>14</v>
      </c>
      <c r="D928" cm="1">
        <f t="array" ref="D928">INDEX('Linha 06'!$A$4:$A$1000,B928)</f>
        <v>20110013</v>
      </c>
      <c r="E928" t="str" cm="1">
        <f t="array" ref="E928">INDEX('Linha 06'!$B$4:$B$1000,B928)</f>
        <v>Multi Uso Aquafast Squeeze Lavanda Cx/12 X 1l</v>
      </c>
      <c r="F928" cm="1">
        <f t="array" ref="F928">INDEX('Linha 06'!$C$3:$ZZ$3,C928)</f>
        <v>20070008</v>
      </c>
      <c r="G928" t="str" cm="1">
        <f t="array" ref="G928">INDEX('Linha 06'!$C$2:$ZZ$2,C928)</f>
        <v>Limpa Vidros Aquafast Squeeze Cx/12 X 500ml</v>
      </c>
      <c r="H928" s="5" cm="1">
        <f t="array" ref="H928">INDEX('Linha 06'!$C$4:$ZZ$1000,B928,C928)</f>
        <v>0</v>
      </c>
    </row>
    <row r="929" spans="1:8" x14ac:dyDescent="0.25">
      <c r="A929">
        <v>927</v>
      </c>
      <c r="B929">
        <f t="shared" si="28"/>
        <v>25</v>
      </c>
      <c r="C929">
        <f t="shared" si="29"/>
        <v>15</v>
      </c>
      <c r="D929" cm="1">
        <f t="array" ref="D929">INDEX('Linha 06'!$A$4:$A$1000,B929)</f>
        <v>20110013</v>
      </c>
      <c r="E929" t="str" cm="1">
        <f t="array" ref="E929">INDEX('Linha 06'!$B$4:$B$1000,B929)</f>
        <v>Multi Uso Aquafast Squeeze Lavanda Cx/12 X 1l</v>
      </c>
      <c r="F929" cm="1">
        <f t="array" ref="F929">INDEX('Linha 06'!$C$3:$ZZ$3,C929)</f>
        <v>20090001</v>
      </c>
      <c r="G929" t="str" cm="1">
        <f t="array" ref="G929">INDEX('Linha 06'!$C$2:$ZZ$2,C929)</f>
        <v>Desengordurante Aquafast Pulverizador Cx/12 X 500ml</v>
      </c>
      <c r="H929" s="5" cm="1">
        <f t="array" ref="H929">INDEX('Linha 06'!$C$4:$ZZ$1000,B929,C929)</f>
        <v>0</v>
      </c>
    </row>
    <row r="930" spans="1:8" x14ac:dyDescent="0.25">
      <c r="A930">
        <v>928</v>
      </c>
      <c r="B930">
        <f t="shared" si="28"/>
        <v>25</v>
      </c>
      <c r="C930">
        <f t="shared" si="29"/>
        <v>16</v>
      </c>
      <c r="D930" cm="1">
        <f t="array" ref="D930">INDEX('Linha 06'!$A$4:$A$1000,B930)</f>
        <v>20110013</v>
      </c>
      <c r="E930" t="str" cm="1">
        <f t="array" ref="E930">INDEX('Linha 06'!$B$4:$B$1000,B930)</f>
        <v>Multi Uso Aquafast Squeeze Lavanda Cx/12 X 1l</v>
      </c>
      <c r="F930" cm="1">
        <f t="array" ref="F930">INDEX('Linha 06'!$C$3:$ZZ$3,C930)</f>
        <v>20090002</v>
      </c>
      <c r="G930" t="str" cm="1">
        <f t="array" ref="G930">INDEX('Linha 06'!$C$2:$ZZ$2,C930)</f>
        <v>Desengordurante Aquafast Recarga Cx/12 X 500ml</v>
      </c>
      <c r="H930" s="5" cm="1">
        <f t="array" ref="H930">INDEX('Linha 06'!$C$4:$ZZ$1000,B930,C930)</f>
        <v>0</v>
      </c>
    </row>
    <row r="931" spans="1:8" x14ac:dyDescent="0.25">
      <c r="A931">
        <v>929</v>
      </c>
      <c r="B931">
        <f t="shared" si="28"/>
        <v>25</v>
      </c>
      <c r="C931">
        <f t="shared" si="29"/>
        <v>17</v>
      </c>
      <c r="D931" cm="1">
        <f t="array" ref="D931">INDEX('Linha 06'!$A$4:$A$1000,B931)</f>
        <v>20110013</v>
      </c>
      <c r="E931" t="str" cm="1">
        <f t="array" ref="E931">INDEX('Linha 06'!$B$4:$B$1000,B931)</f>
        <v>Multi Uso Aquafast Squeeze Lavanda Cx/12 X 1l</v>
      </c>
      <c r="F931" cm="1">
        <f t="array" ref="F931">INDEX('Linha 06'!$C$3:$ZZ$3,C931)</f>
        <v>20090004</v>
      </c>
      <c r="G931" t="str" cm="1">
        <f t="array" ref="G931">INDEX('Linha 06'!$C$2:$ZZ$2,C931)</f>
        <v>Desengordurante Aquafast Squeeze Cx C/12 X 500ml</v>
      </c>
      <c r="H931" s="5" cm="1">
        <f t="array" ref="H931">INDEX('Linha 06'!$C$4:$ZZ$1000,B931,C931)</f>
        <v>0</v>
      </c>
    </row>
    <row r="932" spans="1:8" x14ac:dyDescent="0.25">
      <c r="A932">
        <v>930</v>
      </c>
      <c r="B932">
        <f t="shared" si="28"/>
        <v>25</v>
      </c>
      <c r="C932">
        <f t="shared" si="29"/>
        <v>18</v>
      </c>
      <c r="D932" cm="1">
        <f t="array" ref="D932">INDEX('Linha 06'!$A$4:$A$1000,B932)</f>
        <v>20110013</v>
      </c>
      <c r="E932" t="str" cm="1">
        <f t="array" ref="E932">INDEX('Linha 06'!$B$4:$B$1000,B932)</f>
        <v>Multi Uso Aquafast Squeeze Lavanda Cx/12 X 1l</v>
      </c>
      <c r="F932" cm="1">
        <f t="array" ref="F932">INDEX('Linha 06'!$C$3:$ZZ$3,C932)</f>
        <v>20090005</v>
      </c>
      <c r="G932" t="str" cm="1">
        <f t="array" ref="G932">INDEX('Linha 06'!$C$2:$ZZ$2,C932)</f>
        <v>Desengordurante Aquafast Squeeze Cx C/12 X 1l</v>
      </c>
      <c r="H932" s="5" cm="1">
        <f t="array" ref="H932">INDEX('Linha 06'!$C$4:$ZZ$1000,B932,C932)</f>
        <v>0</v>
      </c>
    </row>
    <row r="933" spans="1:8" x14ac:dyDescent="0.25">
      <c r="A933">
        <v>931</v>
      </c>
      <c r="B933">
        <f t="shared" si="28"/>
        <v>25</v>
      </c>
      <c r="C933">
        <f t="shared" si="29"/>
        <v>19</v>
      </c>
      <c r="D933" cm="1">
        <f t="array" ref="D933">INDEX('Linha 06'!$A$4:$A$1000,B933)</f>
        <v>20110013</v>
      </c>
      <c r="E933" t="str" cm="1">
        <f t="array" ref="E933">INDEX('Linha 06'!$B$4:$B$1000,B933)</f>
        <v>Multi Uso Aquafast Squeeze Lavanda Cx/12 X 1l</v>
      </c>
      <c r="F933" cm="1">
        <f t="array" ref="F933">INDEX('Linha 06'!$C$3:$ZZ$3,C933)</f>
        <v>20090010</v>
      </c>
      <c r="G933" t="str" cm="1">
        <f t="array" ref="G933">INDEX('Linha 06'!$C$2:$ZZ$2,C933)</f>
        <v>Intermed Pack Desengord Squeeze Cx C/18 X 500ml</v>
      </c>
      <c r="H933" s="5" cm="1">
        <f t="array" ref="H933">INDEX('Linha 06'!$C$4:$ZZ$1000,B933,C933)</f>
        <v>0</v>
      </c>
    </row>
    <row r="934" spans="1:8" x14ac:dyDescent="0.25">
      <c r="A934">
        <v>932</v>
      </c>
      <c r="B934">
        <f t="shared" si="28"/>
        <v>25</v>
      </c>
      <c r="C934">
        <f t="shared" si="29"/>
        <v>20</v>
      </c>
      <c r="D934" cm="1">
        <f t="array" ref="D934">INDEX('Linha 06'!$A$4:$A$1000,B934)</f>
        <v>20110013</v>
      </c>
      <c r="E934" t="str" cm="1">
        <f t="array" ref="E934">INDEX('Linha 06'!$B$4:$B$1000,B934)</f>
        <v>Multi Uso Aquafast Squeeze Lavanda Cx/12 X 1l</v>
      </c>
      <c r="F934" cm="1">
        <f t="array" ref="F934">INDEX('Linha 06'!$C$3:$ZZ$3,C934)</f>
        <v>20110002</v>
      </c>
      <c r="G934" t="str" cm="1">
        <f t="array" ref="G934">INDEX('Linha 06'!$C$2:$ZZ$2,C934)</f>
        <v>Multi Uso Aquafast Squeeze Original Cx/12 X 500ml</v>
      </c>
      <c r="H934" s="5" cm="1">
        <f t="array" ref="H934">INDEX('Linha 06'!$C$4:$ZZ$1000,B934,C934)</f>
        <v>0</v>
      </c>
    </row>
    <row r="935" spans="1:8" x14ac:dyDescent="0.25">
      <c r="A935">
        <v>933</v>
      </c>
      <c r="B935">
        <f t="shared" si="28"/>
        <v>25</v>
      </c>
      <c r="C935">
        <f t="shared" si="29"/>
        <v>21</v>
      </c>
      <c r="D935" cm="1">
        <f t="array" ref="D935">INDEX('Linha 06'!$A$4:$A$1000,B935)</f>
        <v>20110013</v>
      </c>
      <c r="E935" t="str" cm="1">
        <f t="array" ref="E935">INDEX('Linha 06'!$B$4:$B$1000,B935)</f>
        <v>Multi Uso Aquafast Squeeze Lavanda Cx/12 X 1l</v>
      </c>
      <c r="F935" cm="1">
        <f t="array" ref="F935">INDEX('Linha 06'!$C$3:$ZZ$3,C935)</f>
        <v>20110004</v>
      </c>
      <c r="G935" t="str" cm="1">
        <f t="array" ref="G935">INDEX('Linha 06'!$C$2:$ZZ$2,C935)</f>
        <v>Multi Uso Aquafast Squeeze Lavanda Cx/12 X 500ml</v>
      </c>
      <c r="H935" s="5" cm="1">
        <f t="array" ref="H935">INDEX('Linha 06'!$C$4:$ZZ$1000,B935,C935)</f>
        <v>0</v>
      </c>
    </row>
    <row r="936" spans="1:8" x14ac:dyDescent="0.25">
      <c r="A936">
        <v>934</v>
      </c>
      <c r="B936">
        <f t="shared" si="28"/>
        <v>25</v>
      </c>
      <c r="C936">
        <f t="shared" si="29"/>
        <v>22</v>
      </c>
      <c r="D936" cm="1">
        <f t="array" ref="D936">INDEX('Linha 06'!$A$4:$A$1000,B936)</f>
        <v>20110013</v>
      </c>
      <c r="E936" t="str" cm="1">
        <f t="array" ref="E936">INDEX('Linha 06'!$B$4:$B$1000,B936)</f>
        <v>Multi Uso Aquafast Squeeze Lavanda Cx/12 X 1l</v>
      </c>
      <c r="F936" cm="1">
        <f t="array" ref="F936">INDEX('Linha 06'!$C$3:$ZZ$3,C936)</f>
        <v>20110007</v>
      </c>
      <c r="G936" t="str" cm="1">
        <f t="array" ref="G936">INDEX('Linha 06'!$C$2:$ZZ$2,C936)</f>
        <v>Multi Uso Aquafast Squeeze Seducao Cx/12 X 500ml</v>
      </c>
      <c r="H936" s="5" cm="1">
        <f t="array" ref="H936">INDEX('Linha 06'!$C$4:$ZZ$1000,B936,C936)</f>
        <v>0</v>
      </c>
    </row>
    <row r="937" spans="1:8" x14ac:dyDescent="0.25">
      <c r="A937">
        <v>935</v>
      </c>
      <c r="B937">
        <f t="shared" si="28"/>
        <v>25</v>
      </c>
      <c r="C937">
        <f t="shared" si="29"/>
        <v>23</v>
      </c>
      <c r="D937" cm="1">
        <f t="array" ref="D937">INDEX('Linha 06'!$A$4:$A$1000,B937)</f>
        <v>20110013</v>
      </c>
      <c r="E937" t="str" cm="1">
        <f t="array" ref="E937">INDEX('Linha 06'!$B$4:$B$1000,B937)</f>
        <v>Multi Uso Aquafast Squeeze Lavanda Cx/12 X 1l</v>
      </c>
      <c r="F937" cm="1">
        <f t="array" ref="F937">INDEX('Linha 06'!$C$3:$ZZ$3,C937)</f>
        <v>20110008</v>
      </c>
      <c r="G937" t="str" cm="1">
        <f t="array" ref="G937">INDEX('Linha 06'!$C$2:$ZZ$2,C937)</f>
        <v>Multi Uso Aquafast Squeeze Original Cx/12 X 1l</v>
      </c>
      <c r="H937" s="5" cm="1">
        <f t="array" ref="H937">INDEX('Linha 06'!$C$4:$ZZ$1000,B937,C937)</f>
        <v>0</v>
      </c>
    </row>
    <row r="938" spans="1:8" x14ac:dyDescent="0.25">
      <c r="A938">
        <v>936</v>
      </c>
      <c r="B938">
        <f t="shared" si="28"/>
        <v>25</v>
      </c>
      <c r="C938">
        <f t="shared" si="29"/>
        <v>24</v>
      </c>
      <c r="D938" cm="1">
        <f t="array" ref="D938">INDEX('Linha 06'!$A$4:$A$1000,B938)</f>
        <v>20110013</v>
      </c>
      <c r="E938" t="str" cm="1">
        <f t="array" ref="E938">INDEX('Linha 06'!$B$4:$B$1000,B938)</f>
        <v>Multi Uso Aquafast Squeeze Lavanda Cx/12 X 1l</v>
      </c>
      <c r="F938" cm="1">
        <f t="array" ref="F938">INDEX('Linha 06'!$C$3:$ZZ$3,C938)</f>
        <v>20110010</v>
      </c>
      <c r="G938" t="str" cm="1">
        <f t="array" ref="G938">INDEX('Linha 06'!$C$2:$ZZ$2,C938)</f>
        <v>Multi Uso Aquafast Squeeze Seducao Cx/12 1l</v>
      </c>
      <c r="H938" s="5" cm="1">
        <f t="array" ref="H938">INDEX('Linha 06'!$C$4:$ZZ$1000,B938,C938)</f>
        <v>0</v>
      </c>
    </row>
    <row r="939" spans="1:8" x14ac:dyDescent="0.25">
      <c r="A939">
        <v>937</v>
      </c>
      <c r="B939">
        <f t="shared" si="28"/>
        <v>25</v>
      </c>
      <c r="C939">
        <f t="shared" si="29"/>
        <v>25</v>
      </c>
      <c r="D939" cm="1">
        <f t="array" ref="D939">INDEX('Linha 06'!$A$4:$A$1000,B939)</f>
        <v>20110013</v>
      </c>
      <c r="E939" t="str" cm="1">
        <f t="array" ref="E939">INDEX('Linha 06'!$B$4:$B$1000,B939)</f>
        <v>Multi Uso Aquafast Squeeze Lavanda Cx/12 X 1l</v>
      </c>
      <c r="F939" cm="1">
        <f t="array" ref="F939">INDEX('Linha 06'!$C$3:$ZZ$3,C939)</f>
        <v>20110013</v>
      </c>
      <c r="G939" t="str" cm="1">
        <f t="array" ref="G939">INDEX('Linha 06'!$C$2:$ZZ$2,C939)</f>
        <v>Multi Uso Aquafast Squeeze Lavanda Cx/12 X 1l</v>
      </c>
      <c r="H939" s="5" cm="1">
        <f t="array" ref="H939">INDEX('Linha 06'!$C$4:$ZZ$1000,B939,C939)</f>
        <v>0</v>
      </c>
    </row>
    <row r="940" spans="1:8" x14ac:dyDescent="0.25">
      <c r="A940">
        <v>938</v>
      </c>
      <c r="B940">
        <f t="shared" si="28"/>
        <v>25</v>
      </c>
      <c r="C940">
        <f t="shared" si="29"/>
        <v>26</v>
      </c>
      <c r="D940" cm="1">
        <f t="array" ref="D940">INDEX('Linha 06'!$A$4:$A$1000,B940)</f>
        <v>20110013</v>
      </c>
      <c r="E940" t="str" cm="1">
        <f t="array" ref="E940">INDEX('Linha 06'!$B$4:$B$1000,B940)</f>
        <v>Multi Uso Aquafast Squeeze Lavanda Cx/12 X 1l</v>
      </c>
      <c r="F940" cm="1">
        <f t="array" ref="F940">INDEX('Linha 06'!$C$3:$ZZ$3,C940)</f>
        <v>20110022</v>
      </c>
      <c r="G940" t="str" cm="1">
        <f t="array" ref="G940">INDEX('Linha 06'!$C$2:$ZZ$2,C940)</f>
        <v>Intermed Pack Multi Uso Lavand C/Alcool Cx/18 X 500ml</v>
      </c>
      <c r="H940" s="5" cm="1">
        <f t="array" ref="H940">INDEX('Linha 06'!$C$4:$ZZ$1000,B940,C940)</f>
        <v>0</v>
      </c>
    </row>
    <row r="941" spans="1:8" x14ac:dyDescent="0.25">
      <c r="A941">
        <v>939</v>
      </c>
      <c r="B941">
        <f t="shared" si="28"/>
        <v>25</v>
      </c>
      <c r="C941">
        <f t="shared" si="29"/>
        <v>27</v>
      </c>
      <c r="D941" cm="1">
        <f t="array" ref="D941">INDEX('Linha 06'!$A$4:$A$1000,B941)</f>
        <v>20110013</v>
      </c>
      <c r="E941" t="str" cm="1">
        <f t="array" ref="E941">INDEX('Linha 06'!$B$4:$B$1000,B941)</f>
        <v>Multi Uso Aquafast Squeeze Lavanda Cx/12 X 1l</v>
      </c>
      <c r="F941" cm="1">
        <f t="array" ref="F941">INDEX('Linha 06'!$C$3:$ZZ$3,C941)</f>
        <v>20110023</v>
      </c>
      <c r="G941" t="str" cm="1">
        <f t="array" ref="G941">INDEX('Linha 06'!$C$2:$ZZ$2,C941)</f>
        <v>Multi Uso Aquafast Squeeze Cha Branco  Cx/12 X 500ml</v>
      </c>
      <c r="H941" s="5" cm="1">
        <f t="array" ref="H941">INDEX('Linha 06'!$C$4:$ZZ$1000,B941,C941)</f>
        <v>0</v>
      </c>
    </row>
    <row r="942" spans="1:8" x14ac:dyDescent="0.25">
      <c r="A942">
        <v>940</v>
      </c>
      <c r="B942">
        <f t="shared" si="28"/>
        <v>25</v>
      </c>
      <c r="C942">
        <f t="shared" si="29"/>
        <v>28</v>
      </c>
      <c r="D942" cm="1">
        <f t="array" ref="D942">INDEX('Linha 06'!$A$4:$A$1000,B942)</f>
        <v>20110013</v>
      </c>
      <c r="E942" t="str" cm="1">
        <f t="array" ref="E942">INDEX('Linha 06'!$B$4:$B$1000,B942)</f>
        <v>Multi Uso Aquafast Squeeze Lavanda Cx/12 X 1l</v>
      </c>
      <c r="F942" cm="1">
        <f t="array" ref="F942">INDEX('Linha 06'!$C$3:$ZZ$3,C942)</f>
        <v>20110024</v>
      </c>
      <c r="G942" t="str" cm="1">
        <f t="array" ref="G942">INDEX('Linha 06'!$C$2:$ZZ$2,C942)</f>
        <v>Multi Uso Aquafast Squeeze Cha Branco Cx12 X 1l</v>
      </c>
      <c r="H942" s="5" cm="1">
        <f t="array" ref="H942">INDEX('Linha 06'!$C$4:$ZZ$1000,B942,C942)</f>
        <v>0</v>
      </c>
    </row>
    <row r="943" spans="1:8" x14ac:dyDescent="0.25">
      <c r="A943">
        <v>941</v>
      </c>
      <c r="B943">
        <f t="shared" si="28"/>
        <v>25</v>
      </c>
      <c r="C943">
        <f t="shared" si="29"/>
        <v>29</v>
      </c>
      <c r="D943" cm="1">
        <f t="array" ref="D943">INDEX('Linha 06'!$A$4:$A$1000,B943)</f>
        <v>20110013</v>
      </c>
      <c r="E943" t="str" cm="1">
        <f t="array" ref="E943">INDEX('Linha 06'!$B$4:$B$1000,B943)</f>
        <v>Multi Uso Aquafast Squeeze Lavanda Cx/12 X 1l</v>
      </c>
      <c r="F943" cm="1">
        <f t="array" ref="F943">INDEX('Linha 06'!$C$3:$ZZ$3,C943)</f>
        <v>20110025</v>
      </c>
      <c r="G943" t="str" cm="1">
        <f t="array" ref="G943">INDEX('Linha 06'!$C$2:$ZZ$2,C943)</f>
        <v>Multi Uso Aquafast Pulverizador Original Cx/12 X 1l</v>
      </c>
      <c r="H943" s="5" cm="1">
        <f t="array" ref="H943">INDEX('Linha 06'!$C$4:$ZZ$1000,B943,C943)</f>
        <v>0</v>
      </c>
    </row>
    <row r="944" spans="1:8" x14ac:dyDescent="0.25">
      <c r="A944">
        <v>942</v>
      </c>
      <c r="B944">
        <f t="shared" si="28"/>
        <v>25</v>
      </c>
      <c r="C944">
        <f t="shared" si="29"/>
        <v>30</v>
      </c>
      <c r="D944" cm="1">
        <f t="array" ref="D944">INDEX('Linha 06'!$A$4:$A$1000,B944)</f>
        <v>20110013</v>
      </c>
      <c r="E944" t="str" cm="1">
        <f t="array" ref="E944">INDEX('Linha 06'!$B$4:$B$1000,B944)</f>
        <v>Multi Uso Aquafast Squeeze Lavanda Cx/12 X 1l</v>
      </c>
      <c r="F944" cm="1">
        <f t="array" ref="F944">INDEX('Linha 06'!$C$3:$ZZ$3,C944)</f>
        <v>20110026</v>
      </c>
      <c r="G944" t="str" cm="1">
        <f t="array" ref="G944">INDEX('Linha 06'!$C$2:$ZZ$2,C944)</f>
        <v>Multi Uso Aquafast Pulverizador Poder O2 Cx/12 X 1l</v>
      </c>
      <c r="H944" s="5" cm="1">
        <f t="array" ref="H944">INDEX('Linha 06'!$C$4:$ZZ$1000,B944,C944)</f>
        <v>0</v>
      </c>
    </row>
    <row r="945" spans="1:8" x14ac:dyDescent="0.25">
      <c r="A945">
        <v>943</v>
      </c>
      <c r="B945">
        <f t="shared" si="28"/>
        <v>25</v>
      </c>
      <c r="C945">
        <f t="shared" si="29"/>
        <v>31</v>
      </c>
      <c r="D945" cm="1">
        <f t="array" ref="D945">INDEX('Linha 06'!$A$4:$A$1000,B945)</f>
        <v>20110013</v>
      </c>
      <c r="E945" t="str" cm="1">
        <f t="array" ref="E945">INDEX('Linha 06'!$B$4:$B$1000,B945)</f>
        <v>Multi Uso Aquafast Squeeze Lavanda Cx/12 X 1l</v>
      </c>
      <c r="F945" cm="1">
        <f t="array" ref="F945">INDEX('Linha 06'!$C$3:$ZZ$3,C945)</f>
        <v>20110027</v>
      </c>
      <c r="G945" t="str" cm="1">
        <f t="array" ref="G945">INDEX('Linha 06'!$C$2:$ZZ$2,C945)</f>
        <v>Multi Uso Aquafast Pulverizador Poder O2 Cx/12 X 500ml</v>
      </c>
      <c r="H945" s="5" cm="1">
        <f t="array" ref="H945">INDEX('Linha 06'!$C$4:$ZZ$1000,B945,C945)</f>
        <v>0</v>
      </c>
    </row>
    <row r="946" spans="1:8" x14ac:dyDescent="0.25">
      <c r="A946">
        <v>944</v>
      </c>
      <c r="B946">
        <f t="shared" si="28"/>
        <v>25</v>
      </c>
      <c r="C946">
        <f t="shared" si="29"/>
        <v>32</v>
      </c>
      <c r="D946" cm="1">
        <f t="array" ref="D946">INDEX('Linha 06'!$A$4:$A$1000,B946)</f>
        <v>20110013</v>
      </c>
      <c r="E946" t="str" cm="1">
        <f t="array" ref="E946">INDEX('Linha 06'!$B$4:$B$1000,B946)</f>
        <v>Multi Uso Aquafast Squeeze Lavanda Cx/12 X 1l</v>
      </c>
      <c r="F946" cm="1">
        <f t="array" ref="F946">INDEX('Linha 06'!$C$3:$ZZ$3,C946)</f>
        <v>20200073</v>
      </c>
      <c r="G946" t="str" cm="1">
        <f t="array" ref="G946">INDEX('Linha 06'!$C$2:$ZZ$2,C946)</f>
        <v>Lava Roupas Aquafast Lavagem Rapida Total Clean Cx/9 X 1,5l</v>
      </c>
      <c r="H946" s="5" cm="1">
        <f t="array" ref="H946">INDEX('Linha 06'!$C$4:$ZZ$1000,B946,C946)</f>
        <v>0</v>
      </c>
    </row>
    <row r="947" spans="1:8" x14ac:dyDescent="0.25">
      <c r="A947">
        <v>945</v>
      </c>
      <c r="B947">
        <f t="shared" si="28"/>
        <v>25</v>
      </c>
      <c r="C947">
        <f t="shared" si="29"/>
        <v>33</v>
      </c>
      <c r="D947" cm="1">
        <f t="array" ref="D947">INDEX('Linha 06'!$A$4:$A$1000,B947)</f>
        <v>20110013</v>
      </c>
      <c r="E947" t="str" cm="1">
        <f t="array" ref="E947">INDEX('Linha 06'!$B$4:$B$1000,B947)</f>
        <v>Multi Uso Aquafast Squeeze Lavanda Cx/12 X 1l</v>
      </c>
      <c r="F947" cm="1">
        <f t="array" ref="F947">INDEX('Linha 06'!$C$3:$ZZ$3,C947)</f>
        <v>20200075</v>
      </c>
      <c r="G947" t="str" cm="1">
        <f t="array" ref="G947">INDEX('Linha 06'!$C$2:$ZZ$2,C947)</f>
        <v>Lava Roupas Aquafast Lavagem Rapida Fresh Clean Cx/9 X 1,5l</v>
      </c>
      <c r="H947" s="5" cm="1">
        <f t="array" ref="H947">INDEX('Linha 06'!$C$4:$ZZ$1000,B947,C947)</f>
        <v>0</v>
      </c>
    </row>
    <row r="948" spans="1:8" x14ac:dyDescent="0.25">
      <c r="A948">
        <v>946</v>
      </c>
      <c r="B948">
        <f t="shared" si="28"/>
        <v>25</v>
      </c>
      <c r="C948">
        <f t="shared" si="29"/>
        <v>34</v>
      </c>
      <c r="D948" cm="1">
        <f t="array" ref="D948">INDEX('Linha 06'!$A$4:$A$1000,B948)</f>
        <v>20110013</v>
      </c>
      <c r="E948" t="str" cm="1">
        <f t="array" ref="E948">INDEX('Linha 06'!$B$4:$B$1000,B948)</f>
        <v>Multi Uso Aquafast Squeeze Lavanda Cx/12 X 1l</v>
      </c>
      <c r="F948" cm="1">
        <f t="array" ref="F948">INDEX('Linha 06'!$C$3:$ZZ$3,C948)</f>
        <v>20220018</v>
      </c>
      <c r="G948" t="str" cm="1">
        <f t="array" ref="G948">INDEX('Linha 06'!$C$2:$ZZ$2,C948)</f>
        <v>Intermed. Aromat. Amoras E Baunilha Cx C/ 12un 250ml</v>
      </c>
      <c r="H948" s="5" cm="1">
        <f t="array" ref="H948">INDEX('Linha 06'!$C$4:$ZZ$1000,B948,C948)</f>
        <v>0</v>
      </c>
    </row>
    <row r="949" spans="1:8" x14ac:dyDescent="0.25">
      <c r="A949">
        <v>947</v>
      </c>
      <c r="B949">
        <f t="shared" si="28"/>
        <v>25</v>
      </c>
      <c r="C949">
        <f t="shared" si="29"/>
        <v>35</v>
      </c>
      <c r="D949" cm="1">
        <f t="array" ref="D949">INDEX('Linha 06'!$A$4:$A$1000,B949)</f>
        <v>20110013</v>
      </c>
      <c r="E949" t="str" cm="1">
        <f t="array" ref="E949">INDEX('Linha 06'!$B$4:$B$1000,B949)</f>
        <v>Multi Uso Aquafast Squeeze Lavanda Cx/12 X 1l</v>
      </c>
      <c r="F949" cm="1">
        <f t="array" ref="F949">INDEX('Linha 06'!$C$3:$ZZ$3,C949)</f>
        <v>20220019</v>
      </c>
      <c r="G949" t="str" cm="1">
        <f t="array" ref="G949">INDEX('Linha 06'!$C$2:$ZZ$2,C949)</f>
        <v>Intermed. Aromat. Figo E Cedro Cx C/ 12un 250ml</v>
      </c>
      <c r="H949" s="5" cm="1">
        <f t="array" ref="H949">INDEX('Linha 06'!$C$4:$ZZ$1000,B949,C949)</f>
        <v>0</v>
      </c>
    </row>
    <row r="950" spans="1:8" x14ac:dyDescent="0.25">
      <c r="A950">
        <v>948</v>
      </c>
      <c r="B950">
        <f t="shared" si="28"/>
        <v>25</v>
      </c>
      <c r="C950">
        <f t="shared" si="29"/>
        <v>36</v>
      </c>
      <c r="D950" cm="1">
        <f t="array" ref="D950">INDEX('Linha 06'!$A$4:$A$1000,B950)</f>
        <v>20110013</v>
      </c>
      <c r="E950" t="str" cm="1">
        <f t="array" ref="E950">INDEX('Linha 06'!$B$4:$B$1000,B950)</f>
        <v>Multi Uso Aquafast Squeeze Lavanda Cx/12 X 1l</v>
      </c>
      <c r="F950" cm="1">
        <f t="array" ref="F950">INDEX('Linha 06'!$C$3:$ZZ$3,C950)</f>
        <v>20220020</v>
      </c>
      <c r="G950" t="str" cm="1">
        <f t="array" ref="G950">INDEX('Linha 06'!$C$2:$ZZ$2,C950)</f>
        <v>Intermed. Aromat. Rosas E Magnolias Cx C/ 12un 250ml</v>
      </c>
      <c r="H950" s="5" cm="1">
        <f t="array" ref="H950">INDEX('Linha 06'!$C$4:$ZZ$1000,B950,C950)</f>
        <v>0</v>
      </c>
    </row>
    <row r="951" spans="1:8" x14ac:dyDescent="0.25">
      <c r="A951">
        <v>949</v>
      </c>
      <c r="B951">
        <f t="shared" si="28"/>
        <v>25</v>
      </c>
      <c r="C951">
        <f t="shared" si="29"/>
        <v>37</v>
      </c>
      <c r="D951" cm="1">
        <f t="array" ref="D951">INDEX('Linha 06'!$A$4:$A$1000,B951)</f>
        <v>20110013</v>
      </c>
      <c r="E951" t="str" cm="1">
        <f t="array" ref="E951">INDEX('Linha 06'!$B$4:$B$1000,B951)</f>
        <v>Multi Uso Aquafast Squeeze Lavanda Cx/12 X 1l</v>
      </c>
      <c r="F951" cm="1">
        <f t="array" ref="F951">INDEX('Linha 06'!$C$3:$ZZ$3,C951)</f>
        <v>20220021</v>
      </c>
      <c r="G951" t="str" cm="1">
        <f t="array" ref="G951">INDEX('Linha 06'!$C$2:$ZZ$2,C951)</f>
        <v>Intermed. Aromat. Flores Exoticas Cx C/ 12un 250ml</v>
      </c>
      <c r="H951" s="5" cm="1">
        <f t="array" ref="H951">INDEX('Linha 06'!$C$4:$ZZ$1000,B951,C951)</f>
        <v>0</v>
      </c>
    </row>
    <row r="952" spans="1:8" x14ac:dyDescent="0.25">
      <c r="A952">
        <v>950</v>
      </c>
      <c r="B952">
        <f t="shared" si="28"/>
        <v>25</v>
      </c>
      <c r="C952">
        <f t="shared" si="29"/>
        <v>38</v>
      </c>
      <c r="D952" cm="1">
        <f t="array" ref="D952">INDEX('Linha 06'!$A$4:$A$1000,B952)</f>
        <v>20110013</v>
      </c>
      <c r="E952" t="str" cm="1">
        <f t="array" ref="E952">INDEX('Linha 06'!$B$4:$B$1000,B952)</f>
        <v>Multi Uso Aquafast Squeeze Lavanda Cx/12 X 1l</v>
      </c>
      <c r="F952" cm="1">
        <f t="array" ref="F952">INDEX('Linha 06'!$C$3:$ZZ$3,C952)</f>
        <v>20220022</v>
      </c>
      <c r="G952" t="str" cm="1">
        <f t="array" ref="G952">INDEX('Linha 06'!$C$2:$ZZ$2,C952)</f>
        <v>Intermed. Aromat. Cha Verde E Grapef Cx C/ 12un 250ml</v>
      </c>
      <c r="H952" s="5" cm="1">
        <f t="array" ref="H952">INDEX('Linha 06'!$C$4:$ZZ$1000,B952,C952)</f>
        <v>0</v>
      </c>
    </row>
    <row r="953" spans="1:8" x14ac:dyDescent="0.25">
      <c r="A953">
        <v>951</v>
      </c>
      <c r="B953">
        <f t="shared" si="28"/>
        <v>26</v>
      </c>
      <c r="C953">
        <f t="shared" si="29"/>
        <v>1</v>
      </c>
      <c r="D953" cm="1">
        <f t="array" ref="D953">INDEX('Linha 06'!$A$4:$A$1000,B953)</f>
        <v>20110022</v>
      </c>
      <c r="E953" t="str" cm="1">
        <f t="array" ref="E953">INDEX('Linha 06'!$B$4:$B$1000,B953)</f>
        <v>Intermed Pack Multi Uso Lavand C/Alcool Cx/18 X 500ml</v>
      </c>
      <c r="F953" cm="1">
        <f t="array" ref="F953">INDEX('Linha 06'!$C$3:$ZZ$3,C953)</f>
        <v>20060001</v>
      </c>
      <c r="G953" t="str" cm="1">
        <f t="array" ref="G953">INDEX('Linha 06'!$C$2:$ZZ$2,C953)</f>
        <v>Limp Perf Aquafast Magia Seducao Cx/12 X 500ml</v>
      </c>
      <c r="H953" s="5" cm="1">
        <f t="array" ref="H953">INDEX('Linha 06'!$C$4:$ZZ$1000,B953,C953)</f>
        <v>0</v>
      </c>
    </row>
    <row r="954" spans="1:8" x14ac:dyDescent="0.25">
      <c r="A954">
        <v>952</v>
      </c>
      <c r="B954">
        <f t="shared" si="28"/>
        <v>26</v>
      </c>
      <c r="C954">
        <f t="shared" si="29"/>
        <v>2</v>
      </c>
      <c r="D954" cm="1">
        <f t="array" ref="D954">INDEX('Linha 06'!$A$4:$A$1000,B954)</f>
        <v>20110022</v>
      </c>
      <c r="E954" t="str" cm="1">
        <f t="array" ref="E954">INDEX('Linha 06'!$B$4:$B$1000,B954)</f>
        <v>Intermed Pack Multi Uso Lavand C/Alcool Cx/18 X 500ml</v>
      </c>
      <c r="F954" cm="1">
        <f t="array" ref="F954">INDEX('Linha 06'!$C$3:$ZZ$3,C954)</f>
        <v>20060004</v>
      </c>
      <c r="G954" t="str" cm="1">
        <f t="array" ref="G954">INDEX('Linha 06'!$C$2:$ZZ$2,C954)</f>
        <v>Limp Perf Aquafast Magia Seducao Cx/12 X 1l</v>
      </c>
      <c r="H954" s="5" cm="1">
        <f t="array" ref="H954">INDEX('Linha 06'!$C$4:$ZZ$1000,B954,C954)</f>
        <v>0</v>
      </c>
    </row>
    <row r="955" spans="1:8" x14ac:dyDescent="0.25">
      <c r="A955">
        <v>953</v>
      </c>
      <c r="B955">
        <f t="shared" si="28"/>
        <v>26</v>
      </c>
      <c r="C955">
        <f t="shared" si="29"/>
        <v>3</v>
      </c>
      <c r="D955" cm="1">
        <f t="array" ref="D955">INDEX('Linha 06'!$A$4:$A$1000,B955)</f>
        <v>20110022</v>
      </c>
      <c r="E955" t="str" cm="1">
        <f t="array" ref="E955">INDEX('Linha 06'!$B$4:$B$1000,B955)</f>
        <v>Intermed Pack Multi Uso Lavand C/Alcool Cx/18 X 500ml</v>
      </c>
      <c r="F955" cm="1">
        <f t="array" ref="F955">INDEX('Linha 06'!$C$3:$ZZ$3,C955)</f>
        <v>20060010</v>
      </c>
      <c r="G955" t="str" cm="1">
        <f t="array" ref="G955">INDEX('Linha 06'!$C$2:$ZZ$2,C955)</f>
        <v>Limp Perf Aquafast Magia Da Infancia Cx/12 X 500ml</v>
      </c>
      <c r="H955" s="5" cm="1">
        <f t="array" ref="H955">INDEX('Linha 06'!$C$4:$ZZ$1000,B955,C955)</f>
        <v>0</v>
      </c>
    </row>
    <row r="956" spans="1:8" x14ac:dyDescent="0.25">
      <c r="A956">
        <v>954</v>
      </c>
      <c r="B956">
        <f t="shared" si="28"/>
        <v>26</v>
      </c>
      <c r="C956">
        <f t="shared" si="29"/>
        <v>4</v>
      </c>
      <c r="D956" cm="1">
        <f t="array" ref="D956">INDEX('Linha 06'!$A$4:$A$1000,B956)</f>
        <v>20110022</v>
      </c>
      <c r="E956" t="str" cm="1">
        <f t="array" ref="E956">INDEX('Linha 06'!$B$4:$B$1000,B956)</f>
        <v>Intermed Pack Multi Uso Lavand C/Alcool Cx/18 X 500ml</v>
      </c>
      <c r="F956" cm="1">
        <f t="array" ref="F956">INDEX('Linha 06'!$C$3:$ZZ$3,C956)</f>
        <v>20060011</v>
      </c>
      <c r="G956" t="str" cm="1">
        <f t="array" ref="G956">INDEX('Linha 06'!$C$2:$ZZ$2,C956)</f>
        <v>Limp Perf Aquafast Frescor Da Manha Cx/12 X 500ml</v>
      </c>
      <c r="H956" s="5" cm="1">
        <f t="array" ref="H956">INDEX('Linha 06'!$C$4:$ZZ$1000,B956,C956)</f>
        <v>0</v>
      </c>
    </row>
    <row r="957" spans="1:8" x14ac:dyDescent="0.25">
      <c r="A957">
        <v>955</v>
      </c>
      <c r="B957">
        <f t="shared" si="28"/>
        <v>26</v>
      </c>
      <c r="C957">
        <f t="shared" si="29"/>
        <v>5</v>
      </c>
      <c r="D957" cm="1">
        <f t="array" ref="D957">INDEX('Linha 06'!$A$4:$A$1000,B957)</f>
        <v>20110022</v>
      </c>
      <c r="E957" t="str" cm="1">
        <f t="array" ref="E957">INDEX('Linha 06'!$B$4:$B$1000,B957)</f>
        <v>Intermed Pack Multi Uso Lavand C/Alcool Cx/18 X 500ml</v>
      </c>
      <c r="F957" cm="1">
        <f t="array" ref="F957">INDEX('Linha 06'!$C$3:$ZZ$3,C957)</f>
        <v>20060012</v>
      </c>
      <c r="G957" t="str" cm="1">
        <f t="array" ref="G957">INDEX('Linha 06'!$C$2:$ZZ$2,C957)</f>
        <v>Limp Perf Aquafast Magia Da Infancia Cx/12 X 1l</v>
      </c>
      <c r="H957" s="5" cm="1">
        <f t="array" ref="H957">INDEX('Linha 06'!$C$4:$ZZ$1000,B957,C957)</f>
        <v>0</v>
      </c>
    </row>
    <row r="958" spans="1:8" x14ac:dyDescent="0.25">
      <c r="A958">
        <v>956</v>
      </c>
      <c r="B958">
        <f t="shared" si="28"/>
        <v>26</v>
      </c>
      <c r="C958">
        <f t="shared" si="29"/>
        <v>6</v>
      </c>
      <c r="D958" cm="1">
        <f t="array" ref="D958">INDEX('Linha 06'!$A$4:$A$1000,B958)</f>
        <v>20110022</v>
      </c>
      <c r="E958" t="str" cm="1">
        <f t="array" ref="E958">INDEX('Linha 06'!$B$4:$B$1000,B958)</f>
        <v>Intermed Pack Multi Uso Lavand C/Alcool Cx/18 X 500ml</v>
      </c>
      <c r="F958" cm="1">
        <f t="array" ref="F958">INDEX('Linha 06'!$C$3:$ZZ$3,C958)</f>
        <v>20060013</v>
      </c>
      <c r="G958" t="str" cm="1">
        <f t="array" ref="G958">INDEX('Linha 06'!$C$2:$ZZ$2,C958)</f>
        <v>Limp Perf Aquafast Frescor Da Manha Cx/12 X 1l</v>
      </c>
      <c r="H958" s="5" cm="1">
        <f t="array" ref="H958">INDEX('Linha 06'!$C$4:$ZZ$1000,B958,C958)</f>
        <v>0</v>
      </c>
    </row>
    <row r="959" spans="1:8" x14ac:dyDescent="0.25">
      <c r="A959">
        <v>957</v>
      </c>
      <c r="B959">
        <f t="shared" si="28"/>
        <v>26</v>
      </c>
      <c r="C959">
        <f t="shared" si="29"/>
        <v>7</v>
      </c>
      <c r="D959" cm="1">
        <f t="array" ref="D959">INDEX('Linha 06'!$A$4:$A$1000,B959)</f>
        <v>20110022</v>
      </c>
      <c r="E959" t="str" cm="1">
        <f t="array" ref="E959">INDEX('Linha 06'!$B$4:$B$1000,B959)</f>
        <v>Intermed Pack Multi Uso Lavand C/Alcool Cx/18 X 500ml</v>
      </c>
      <c r="F959" cm="1">
        <f t="array" ref="F959">INDEX('Linha 06'!$C$3:$ZZ$3,C959)</f>
        <v>20060015</v>
      </c>
      <c r="G959" t="str" cm="1">
        <f t="array" ref="G959">INDEX('Linha 06'!$C$2:$ZZ$2,C959)</f>
        <v>Limp Perf Aquafast Doce Romance Cx/12 X 500ml</v>
      </c>
      <c r="H959" s="5" cm="1">
        <f t="array" ref="H959">INDEX('Linha 06'!$C$4:$ZZ$1000,B959,C959)</f>
        <v>0</v>
      </c>
    </row>
    <row r="960" spans="1:8" x14ac:dyDescent="0.25">
      <c r="A960">
        <v>958</v>
      </c>
      <c r="B960">
        <f t="shared" si="28"/>
        <v>26</v>
      </c>
      <c r="C960">
        <f t="shared" si="29"/>
        <v>8</v>
      </c>
      <c r="D960" cm="1">
        <f t="array" ref="D960">INDEX('Linha 06'!$A$4:$A$1000,B960)</f>
        <v>20110022</v>
      </c>
      <c r="E960" t="str" cm="1">
        <f t="array" ref="E960">INDEX('Linha 06'!$B$4:$B$1000,B960)</f>
        <v>Intermed Pack Multi Uso Lavand C/Alcool Cx/18 X 500ml</v>
      </c>
      <c r="F960" cm="1">
        <f t="array" ref="F960">INDEX('Linha 06'!$C$3:$ZZ$3,C960)</f>
        <v>20060016</v>
      </c>
      <c r="G960" t="str" cm="1">
        <f t="array" ref="G960">INDEX('Linha 06'!$C$2:$ZZ$2,C960)</f>
        <v>Limp Perf Aquafast Doce Romance Cx/12 X 1l</v>
      </c>
      <c r="H960" s="5" cm="1">
        <f t="array" ref="H960">INDEX('Linha 06'!$C$4:$ZZ$1000,B960,C960)</f>
        <v>0</v>
      </c>
    </row>
    <row r="961" spans="1:8" x14ac:dyDescent="0.25">
      <c r="A961">
        <v>959</v>
      </c>
      <c r="B961">
        <f t="shared" si="28"/>
        <v>26</v>
      </c>
      <c r="C961">
        <f t="shared" si="29"/>
        <v>9</v>
      </c>
      <c r="D961" cm="1">
        <f t="array" ref="D961">INDEX('Linha 06'!$A$4:$A$1000,B961)</f>
        <v>20110022</v>
      </c>
      <c r="E961" t="str" cm="1">
        <f t="array" ref="E961">INDEX('Linha 06'!$B$4:$B$1000,B961)</f>
        <v>Intermed Pack Multi Uso Lavand C/Alcool Cx/18 X 500ml</v>
      </c>
      <c r="F961" cm="1">
        <f t="array" ref="F961">INDEX('Linha 06'!$C$3:$ZZ$3,C961)</f>
        <v>20060027</v>
      </c>
      <c r="G961" t="str" cm="1">
        <f t="array" ref="G961">INDEX('Linha 06'!$C$2:$ZZ$2,C961)</f>
        <v>Limp Perf Aquafast Essencia Natural Cx/12 X 1l</v>
      </c>
      <c r="H961" s="5" cm="1">
        <f t="array" ref="H961">INDEX('Linha 06'!$C$4:$ZZ$1000,B961,C961)</f>
        <v>0</v>
      </c>
    </row>
    <row r="962" spans="1:8" x14ac:dyDescent="0.25">
      <c r="A962">
        <v>960</v>
      </c>
      <c r="B962">
        <f t="shared" si="28"/>
        <v>26</v>
      </c>
      <c r="C962">
        <f t="shared" si="29"/>
        <v>10</v>
      </c>
      <c r="D962" cm="1">
        <f t="array" ref="D962">INDEX('Linha 06'!$A$4:$A$1000,B962)</f>
        <v>20110022</v>
      </c>
      <c r="E962" t="str" cm="1">
        <f t="array" ref="E962">INDEX('Linha 06'!$B$4:$B$1000,B962)</f>
        <v>Intermed Pack Multi Uso Lavand C/Alcool Cx/18 X 500ml</v>
      </c>
      <c r="F962" cm="1">
        <f t="array" ref="F962">INDEX('Linha 06'!$C$3:$ZZ$3,C962)</f>
        <v>20070001</v>
      </c>
      <c r="G962" t="str" cm="1">
        <f t="array" ref="G962">INDEX('Linha 06'!$C$2:$ZZ$2,C962)</f>
        <v>Limpa Vidros Aquafast Pulverizador Cx/12 X 500ml</v>
      </c>
      <c r="H962" s="5" cm="1">
        <f t="array" ref="H962">INDEX('Linha 06'!$C$4:$ZZ$1000,B962,C962)</f>
        <v>0</v>
      </c>
    </row>
    <row r="963" spans="1:8" x14ac:dyDescent="0.25">
      <c r="A963">
        <v>961</v>
      </c>
      <c r="B963">
        <f t="shared" si="28"/>
        <v>26</v>
      </c>
      <c r="C963">
        <f t="shared" si="29"/>
        <v>11</v>
      </c>
      <c r="D963" cm="1">
        <f t="array" ref="D963">INDEX('Linha 06'!$A$4:$A$1000,B963)</f>
        <v>20110022</v>
      </c>
      <c r="E963" t="str" cm="1">
        <f t="array" ref="E963">INDEX('Linha 06'!$B$4:$B$1000,B963)</f>
        <v>Intermed Pack Multi Uso Lavand C/Alcool Cx/18 X 500ml</v>
      </c>
      <c r="F963" cm="1">
        <f t="array" ref="F963">INDEX('Linha 06'!$C$3:$ZZ$3,C963)</f>
        <v>20070002</v>
      </c>
      <c r="G963" t="str" cm="1">
        <f t="array" ref="G963">INDEX('Linha 06'!$C$2:$ZZ$2,C963)</f>
        <v>Limpa Vidros Aquafast Recarga Cx/12 X 500ml</v>
      </c>
      <c r="H963" s="5" cm="1">
        <f t="array" ref="H963">INDEX('Linha 06'!$C$4:$ZZ$1000,B963,C963)</f>
        <v>0</v>
      </c>
    </row>
    <row r="964" spans="1:8" x14ac:dyDescent="0.25">
      <c r="A964">
        <v>962</v>
      </c>
      <c r="B964">
        <f t="shared" ref="B964:B1027" si="30">INT((A964-1)/$B$1)+1</f>
        <v>26</v>
      </c>
      <c r="C964">
        <f t="shared" ref="C964:C1027" si="31">MOD(A964-1,$B$1)+1</f>
        <v>12</v>
      </c>
      <c r="D964" cm="1">
        <f t="array" ref="D964">INDEX('Linha 06'!$A$4:$A$1000,B964)</f>
        <v>20110022</v>
      </c>
      <c r="E964" t="str" cm="1">
        <f t="array" ref="E964">INDEX('Linha 06'!$B$4:$B$1000,B964)</f>
        <v>Intermed Pack Multi Uso Lavand C/Alcool Cx/18 X 500ml</v>
      </c>
      <c r="F964" cm="1">
        <f t="array" ref="F964">INDEX('Linha 06'!$C$3:$ZZ$3,C964)</f>
        <v>20070006</v>
      </c>
      <c r="G964" t="str" cm="1">
        <f t="array" ref="G964">INDEX('Linha 06'!$C$2:$ZZ$2,C964)</f>
        <v>Limpa Vidros Ito Pulverizador Cx/12 X 500ml</v>
      </c>
      <c r="H964" s="5" cm="1">
        <f t="array" ref="H964">INDEX('Linha 06'!$C$4:$ZZ$1000,B964,C964)</f>
        <v>0</v>
      </c>
    </row>
    <row r="965" spans="1:8" x14ac:dyDescent="0.25">
      <c r="A965">
        <v>963</v>
      </c>
      <c r="B965">
        <f t="shared" si="30"/>
        <v>26</v>
      </c>
      <c r="C965">
        <f t="shared" si="31"/>
        <v>13</v>
      </c>
      <c r="D965" cm="1">
        <f t="array" ref="D965">INDEX('Linha 06'!$A$4:$A$1000,B965)</f>
        <v>20110022</v>
      </c>
      <c r="E965" t="str" cm="1">
        <f t="array" ref="E965">INDEX('Linha 06'!$B$4:$B$1000,B965)</f>
        <v>Intermed Pack Multi Uso Lavand C/Alcool Cx/18 X 500ml</v>
      </c>
      <c r="F965" cm="1">
        <f t="array" ref="F965">INDEX('Linha 06'!$C$3:$ZZ$3,C965)</f>
        <v>20070007</v>
      </c>
      <c r="G965" t="str" cm="1">
        <f t="array" ref="G965">INDEX('Linha 06'!$C$2:$ZZ$2,C965)</f>
        <v>Limpa Vidros Ito Recarga Cx/12 X 500ml</v>
      </c>
      <c r="H965" s="5" cm="1">
        <f t="array" ref="H965">INDEX('Linha 06'!$C$4:$ZZ$1000,B965,C965)</f>
        <v>0</v>
      </c>
    </row>
    <row r="966" spans="1:8" x14ac:dyDescent="0.25">
      <c r="A966">
        <v>964</v>
      </c>
      <c r="B966">
        <f t="shared" si="30"/>
        <v>26</v>
      </c>
      <c r="C966">
        <f t="shared" si="31"/>
        <v>14</v>
      </c>
      <c r="D966" cm="1">
        <f t="array" ref="D966">INDEX('Linha 06'!$A$4:$A$1000,B966)</f>
        <v>20110022</v>
      </c>
      <c r="E966" t="str" cm="1">
        <f t="array" ref="E966">INDEX('Linha 06'!$B$4:$B$1000,B966)</f>
        <v>Intermed Pack Multi Uso Lavand C/Alcool Cx/18 X 500ml</v>
      </c>
      <c r="F966" cm="1">
        <f t="array" ref="F966">INDEX('Linha 06'!$C$3:$ZZ$3,C966)</f>
        <v>20070008</v>
      </c>
      <c r="G966" t="str" cm="1">
        <f t="array" ref="G966">INDEX('Linha 06'!$C$2:$ZZ$2,C966)</f>
        <v>Limpa Vidros Aquafast Squeeze Cx/12 X 500ml</v>
      </c>
      <c r="H966" s="5" cm="1">
        <f t="array" ref="H966">INDEX('Linha 06'!$C$4:$ZZ$1000,B966,C966)</f>
        <v>0</v>
      </c>
    </row>
    <row r="967" spans="1:8" x14ac:dyDescent="0.25">
      <c r="A967">
        <v>965</v>
      </c>
      <c r="B967">
        <f t="shared" si="30"/>
        <v>26</v>
      </c>
      <c r="C967">
        <f t="shared" si="31"/>
        <v>15</v>
      </c>
      <c r="D967" cm="1">
        <f t="array" ref="D967">INDEX('Linha 06'!$A$4:$A$1000,B967)</f>
        <v>20110022</v>
      </c>
      <c r="E967" t="str" cm="1">
        <f t="array" ref="E967">INDEX('Linha 06'!$B$4:$B$1000,B967)</f>
        <v>Intermed Pack Multi Uso Lavand C/Alcool Cx/18 X 500ml</v>
      </c>
      <c r="F967" cm="1">
        <f t="array" ref="F967">INDEX('Linha 06'!$C$3:$ZZ$3,C967)</f>
        <v>20090001</v>
      </c>
      <c r="G967" t="str" cm="1">
        <f t="array" ref="G967">INDEX('Linha 06'!$C$2:$ZZ$2,C967)</f>
        <v>Desengordurante Aquafast Pulverizador Cx/12 X 500ml</v>
      </c>
      <c r="H967" s="5" cm="1">
        <f t="array" ref="H967">INDEX('Linha 06'!$C$4:$ZZ$1000,B967,C967)</f>
        <v>0</v>
      </c>
    </row>
    <row r="968" spans="1:8" x14ac:dyDescent="0.25">
      <c r="A968">
        <v>966</v>
      </c>
      <c r="B968">
        <f t="shared" si="30"/>
        <v>26</v>
      </c>
      <c r="C968">
        <f t="shared" si="31"/>
        <v>16</v>
      </c>
      <c r="D968" cm="1">
        <f t="array" ref="D968">INDEX('Linha 06'!$A$4:$A$1000,B968)</f>
        <v>20110022</v>
      </c>
      <c r="E968" t="str" cm="1">
        <f t="array" ref="E968">INDEX('Linha 06'!$B$4:$B$1000,B968)</f>
        <v>Intermed Pack Multi Uso Lavand C/Alcool Cx/18 X 500ml</v>
      </c>
      <c r="F968" cm="1">
        <f t="array" ref="F968">INDEX('Linha 06'!$C$3:$ZZ$3,C968)</f>
        <v>20090002</v>
      </c>
      <c r="G968" t="str" cm="1">
        <f t="array" ref="G968">INDEX('Linha 06'!$C$2:$ZZ$2,C968)</f>
        <v>Desengordurante Aquafast Recarga Cx/12 X 500ml</v>
      </c>
      <c r="H968" s="5" cm="1">
        <f t="array" ref="H968">INDEX('Linha 06'!$C$4:$ZZ$1000,B968,C968)</f>
        <v>0</v>
      </c>
    </row>
    <row r="969" spans="1:8" x14ac:dyDescent="0.25">
      <c r="A969">
        <v>967</v>
      </c>
      <c r="B969">
        <f t="shared" si="30"/>
        <v>26</v>
      </c>
      <c r="C969">
        <f t="shared" si="31"/>
        <v>17</v>
      </c>
      <c r="D969" cm="1">
        <f t="array" ref="D969">INDEX('Linha 06'!$A$4:$A$1000,B969)</f>
        <v>20110022</v>
      </c>
      <c r="E969" t="str" cm="1">
        <f t="array" ref="E969">INDEX('Linha 06'!$B$4:$B$1000,B969)</f>
        <v>Intermed Pack Multi Uso Lavand C/Alcool Cx/18 X 500ml</v>
      </c>
      <c r="F969" cm="1">
        <f t="array" ref="F969">INDEX('Linha 06'!$C$3:$ZZ$3,C969)</f>
        <v>20090004</v>
      </c>
      <c r="G969" t="str" cm="1">
        <f t="array" ref="G969">INDEX('Linha 06'!$C$2:$ZZ$2,C969)</f>
        <v>Desengordurante Aquafast Squeeze Cx C/12 X 500ml</v>
      </c>
      <c r="H969" s="5" cm="1">
        <f t="array" ref="H969">INDEX('Linha 06'!$C$4:$ZZ$1000,B969,C969)</f>
        <v>0</v>
      </c>
    </row>
    <row r="970" spans="1:8" x14ac:dyDescent="0.25">
      <c r="A970">
        <v>968</v>
      </c>
      <c r="B970">
        <f t="shared" si="30"/>
        <v>26</v>
      </c>
      <c r="C970">
        <f t="shared" si="31"/>
        <v>18</v>
      </c>
      <c r="D970" cm="1">
        <f t="array" ref="D970">INDEX('Linha 06'!$A$4:$A$1000,B970)</f>
        <v>20110022</v>
      </c>
      <c r="E970" t="str" cm="1">
        <f t="array" ref="E970">INDEX('Linha 06'!$B$4:$B$1000,B970)</f>
        <v>Intermed Pack Multi Uso Lavand C/Alcool Cx/18 X 500ml</v>
      </c>
      <c r="F970" cm="1">
        <f t="array" ref="F970">INDEX('Linha 06'!$C$3:$ZZ$3,C970)</f>
        <v>20090005</v>
      </c>
      <c r="G970" t="str" cm="1">
        <f t="array" ref="G970">INDEX('Linha 06'!$C$2:$ZZ$2,C970)</f>
        <v>Desengordurante Aquafast Squeeze Cx C/12 X 1l</v>
      </c>
      <c r="H970" s="5" cm="1">
        <f t="array" ref="H970">INDEX('Linha 06'!$C$4:$ZZ$1000,B970,C970)</f>
        <v>0</v>
      </c>
    </row>
    <row r="971" spans="1:8" x14ac:dyDescent="0.25">
      <c r="A971">
        <v>969</v>
      </c>
      <c r="B971">
        <f t="shared" si="30"/>
        <v>26</v>
      </c>
      <c r="C971">
        <f t="shared" si="31"/>
        <v>19</v>
      </c>
      <c r="D971" cm="1">
        <f t="array" ref="D971">INDEX('Linha 06'!$A$4:$A$1000,B971)</f>
        <v>20110022</v>
      </c>
      <c r="E971" t="str" cm="1">
        <f t="array" ref="E971">INDEX('Linha 06'!$B$4:$B$1000,B971)</f>
        <v>Intermed Pack Multi Uso Lavand C/Alcool Cx/18 X 500ml</v>
      </c>
      <c r="F971" cm="1">
        <f t="array" ref="F971">INDEX('Linha 06'!$C$3:$ZZ$3,C971)</f>
        <v>20090010</v>
      </c>
      <c r="G971" t="str" cm="1">
        <f t="array" ref="G971">INDEX('Linha 06'!$C$2:$ZZ$2,C971)</f>
        <v>Intermed Pack Desengord Squeeze Cx C/18 X 500ml</v>
      </c>
      <c r="H971" s="5" cm="1">
        <f t="array" ref="H971">INDEX('Linha 06'!$C$4:$ZZ$1000,B971,C971)</f>
        <v>0</v>
      </c>
    </row>
    <row r="972" spans="1:8" x14ac:dyDescent="0.25">
      <c r="A972">
        <v>970</v>
      </c>
      <c r="B972">
        <f t="shared" si="30"/>
        <v>26</v>
      </c>
      <c r="C972">
        <f t="shared" si="31"/>
        <v>20</v>
      </c>
      <c r="D972" cm="1">
        <f t="array" ref="D972">INDEX('Linha 06'!$A$4:$A$1000,B972)</f>
        <v>20110022</v>
      </c>
      <c r="E972" t="str" cm="1">
        <f t="array" ref="E972">INDEX('Linha 06'!$B$4:$B$1000,B972)</f>
        <v>Intermed Pack Multi Uso Lavand C/Alcool Cx/18 X 500ml</v>
      </c>
      <c r="F972" cm="1">
        <f t="array" ref="F972">INDEX('Linha 06'!$C$3:$ZZ$3,C972)</f>
        <v>20110002</v>
      </c>
      <c r="G972" t="str" cm="1">
        <f t="array" ref="G972">INDEX('Linha 06'!$C$2:$ZZ$2,C972)</f>
        <v>Multi Uso Aquafast Squeeze Original Cx/12 X 500ml</v>
      </c>
      <c r="H972" s="5" cm="1">
        <f t="array" ref="H972">INDEX('Linha 06'!$C$4:$ZZ$1000,B972,C972)</f>
        <v>0</v>
      </c>
    </row>
    <row r="973" spans="1:8" x14ac:dyDescent="0.25">
      <c r="A973">
        <v>971</v>
      </c>
      <c r="B973">
        <f t="shared" si="30"/>
        <v>26</v>
      </c>
      <c r="C973">
        <f t="shared" si="31"/>
        <v>21</v>
      </c>
      <c r="D973" cm="1">
        <f t="array" ref="D973">INDEX('Linha 06'!$A$4:$A$1000,B973)</f>
        <v>20110022</v>
      </c>
      <c r="E973" t="str" cm="1">
        <f t="array" ref="E973">INDEX('Linha 06'!$B$4:$B$1000,B973)</f>
        <v>Intermed Pack Multi Uso Lavand C/Alcool Cx/18 X 500ml</v>
      </c>
      <c r="F973" cm="1">
        <f t="array" ref="F973">INDEX('Linha 06'!$C$3:$ZZ$3,C973)</f>
        <v>20110004</v>
      </c>
      <c r="G973" t="str" cm="1">
        <f t="array" ref="G973">INDEX('Linha 06'!$C$2:$ZZ$2,C973)</f>
        <v>Multi Uso Aquafast Squeeze Lavanda Cx/12 X 500ml</v>
      </c>
      <c r="H973" s="5" cm="1">
        <f t="array" ref="H973">INDEX('Linha 06'!$C$4:$ZZ$1000,B973,C973)</f>
        <v>0</v>
      </c>
    </row>
    <row r="974" spans="1:8" x14ac:dyDescent="0.25">
      <c r="A974">
        <v>972</v>
      </c>
      <c r="B974">
        <f t="shared" si="30"/>
        <v>26</v>
      </c>
      <c r="C974">
        <f t="shared" si="31"/>
        <v>22</v>
      </c>
      <c r="D974" cm="1">
        <f t="array" ref="D974">INDEX('Linha 06'!$A$4:$A$1000,B974)</f>
        <v>20110022</v>
      </c>
      <c r="E974" t="str" cm="1">
        <f t="array" ref="E974">INDEX('Linha 06'!$B$4:$B$1000,B974)</f>
        <v>Intermed Pack Multi Uso Lavand C/Alcool Cx/18 X 500ml</v>
      </c>
      <c r="F974" cm="1">
        <f t="array" ref="F974">INDEX('Linha 06'!$C$3:$ZZ$3,C974)</f>
        <v>20110007</v>
      </c>
      <c r="G974" t="str" cm="1">
        <f t="array" ref="G974">INDEX('Linha 06'!$C$2:$ZZ$2,C974)</f>
        <v>Multi Uso Aquafast Squeeze Seducao Cx/12 X 500ml</v>
      </c>
      <c r="H974" s="5" cm="1">
        <f t="array" ref="H974">INDEX('Linha 06'!$C$4:$ZZ$1000,B974,C974)</f>
        <v>0</v>
      </c>
    </row>
    <row r="975" spans="1:8" x14ac:dyDescent="0.25">
      <c r="A975">
        <v>973</v>
      </c>
      <c r="B975">
        <f t="shared" si="30"/>
        <v>26</v>
      </c>
      <c r="C975">
        <f t="shared" si="31"/>
        <v>23</v>
      </c>
      <c r="D975" cm="1">
        <f t="array" ref="D975">INDEX('Linha 06'!$A$4:$A$1000,B975)</f>
        <v>20110022</v>
      </c>
      <c r="E975" t="str" cm="1">
        <f t="array" ref="E975">INDEX('Linha 06'!$B$4:$B$1000,B975)</f>
        <v>Intermed Pack Multi Uso Lavand C/Alcool Cx/18 X 500ml</v>
      </c>
      <c r="F975" cm="1">
        <f t="array" ref="F975">INDEX('Linha 06'!$C$3:$ZZ$3,C975)</f>
        <v>20110008</v>
      </c>
      <c r="G975" t="str" cm="1">
        <f t="array" ref="G975">INDEX('Linha 06'!$C$2:$ZZ$2,C975)</f>
        <v>Multi Uso Aquafast Squeeze Original Cx/12 X 1l</v>
      </c>
      <c r="H975" s="5" cm="1">
        <f t="array" ref="H975">INDEX('Linha 06'!$C$4:$ZZ$1000,B975,C975)</f>
        <v>0</v>
      </c>
    </row>
    <row r="976" spans="1:8" x14ac:dyDescent="0.25">
      <c r="A976">
        <v>974</v>
      </c>
      <c r="B976">
        <f t="shared" si="30"/>
        <v>26</v>
      </c>
      <c r="C976">
        <f t="shared" si="31"/>
        <v>24</v>
      </c>
      <c r="D976" cm="1">
        <f t="array" ref="D976">INDEX('Linha 06'!$A$4:$A$1000,B976)</f>
        <v>20110022</v>
      </c>
      <c r="E976" t="str" cm="1">
        <f t="array" ref="E976">INDEX('Linha 06'!$B$4:$B$1000,B976)</f>
        <v>Intermed Pack Multi Uso Lavand C/Alcool Cx/18 X 500ml</v>
      </c>
      <c r="F976" cm="1">
        <f t="array" ref="F976">INDEX('Linha 06'!$C$3:$ZZ$3,C976)</f>
        <v>20110010</v>
      </c>
      <c r="G976" t="str" cm="1">
        <f t="array" ref="G976">INDEX('Linha 06'!$C$2:$ZZ$2,C976)</f>
        <v>Multi Uso Aquafast Squeeze Seducao Cx/12 1l</v>
      </c>
      <c r="H976" s="5" cm="1">
        <f t="array" ref="H976">INDEX('Linha 06'!$C$4:$ZZ$1000,B976,C976)</f>
        <v>0</v>
      </c>
    </row>
    <row r="977" spans="1:8" x14ac:dyDescent="0.25">
      <c r="A977">
        <v>975</v>
      </c>
      <c r="B977">
        <f t="shared" si="30"/>
        <v>26</v>
      </c>
      <c r="C977">
        <f t="shared" si="31"/>
        <v>25</v>
      </c>
      <c r="D977" cm="1">
        <f t="array" ref="D977">INDEX('Linha 06'!$A$4:$A$1000,B977)</f>
        <v>20110022</v>
      </c>
      <c r="E977" t="str" cm="1">
        <f t="array" ref="E977">INDEX('Linha 06'!$B$4:$B$1000,B977)</f>
        <v>Intermed Pack Multi Uso Lavand C/Alcool Cx/18 X 500ml</v>
      </c>
      <c r="F977" cm="1">
        <f t="array" ref="F977">INDEX('Linha 06'!$C$3:$ZZ$3,C977)</f>
        <v>20110013</v>
      </c>
      <c r="G977" t="str" cm="1">
        <f t="array" ref="G977">INDEX('Linha 06'!$C$2:$ZZ$2,C977)</f>
        <v>Multi Uso Aquafast Squeeze Lavanda Cx/12 X 1l</v>
      </c>
      <c r="H977" s="5" cm="1">
        <f t="array" ref="H977">INDEX('Linha 06'!$C$4:$ZZ$1000,B977,C977)</f>
        <v>0</v>
      </c>
    </row>
    <row r="978" spans="1:8" x14ac:dyDescent="0.25">
      <c r="A978">
        <v>976</v>
      </c>
      <c r="B978">
        <f t="shared" si="30"/>
        <v>26</v>
      </c>
      <c r="C978">
        <f t="shared" si="31"/>
        <v>26</v>
      </c>
      <c r="D978" cm="1">
        <f t="array" ref="D978">INDEX('Linha 06'!$A$4:$A$1000,B978)</f>
        <v>20110022</v>
      </c>
      <c r="E978" t="str" cm="1">
        <f t="array" ref="E978">INDEX('Linha 06'!$B$4:$B$1000,B978)</f>
        <v>Intermed Pack Multi Uso Lavand C/Alcool Cx/18 X 500ml</v>
      </c>
      <c r="F978" cm="1">
        <f t="array" ref="F978">INDEX('Linha 06'!$C$3:$ZZ$3,C978)</f>
        <v>20110022</v>
      </c>
      <c r="G978" t="str" cm="1">
        <f t="array" ref="G978">INDEX('Linha 06'!$C$2:$ZZ$2,C978)</f>
        <v>Intermed Pack Multi Uso Lavand C/Alcool Cx/18 X 500ml</v>
      </c>
      <c r="H978" s="5" cm="1">
        <f t="array" ref="H978">INDEX('Linha 06'!$C$4:$ZZ$1000,B978,C978)</f>
        <v>0</v>
      </c>
    </row>
    <row r="979" spans="1:8" x14ac:dyDescent="0.25">
      <c r="A979">
        <v>977</v>
      </c>
      <c r="B979">
        <f t="shared" si="30"/>
        <v>26</v>
      </c>
      <c r="C979">
        <f t="shared" si="31"/>
        <v>27</v>
      </c>
      <c r="D979" cm="1">
        <f t="array" ref="D979">INDEX('Linha 06'!$A$4:$A$1000,B979)</f>
        <v>20110022</v>
      </c>
      <c r="E979" t="str" cm="1">
        <f t="array" ref="E979">INDEX('Linha 06'!$B$4:$B$1000,B979)</f>
        <v>Intermed Pack Multi Uso Lavand C/Alcool Cx/18 X 500ml</v>
      </c>
      <c r="F979" cm="1">
        <f t="array" ref="F979">INDEX('Linha 06'!$C$3:$ZZ$3,C979)</f>
        <v>20110023</v>
      </c>
      <c r="G979" t="str" cm="1">
        <f t="array" ref="G979">INDEX('Linha 06'!$C$2:$ZZ$2,C979)</f>
        <v>Multi Uso Aquafast Squeeze Cha Branco  Cx/12 X 500ml</v>
      </c>
      <c r="H979" s="5" cm="1">
        <f t="array" ref="H979">INDEX('Linha 06'!$C$4:$ZZ$1000,B979,C979)</f>
        <v>0</v>
      </c>
    </row>
    <row r="980" spans="1:8" x14ac:dyDescent="0.25">
      <c r="A980">
        <v>978</v>
      </c>
      <c r="B980">
        <f t="shared" si="30"/>
        <v>26</v>
      </c>
      <c r="C980">
        <f t="shared" si="31"/>
        <v>28</v>
      </c>
      <c r="D980" cm="1">
        <f t="array" ref="D980">INDEX('Linha 06'!$A$4:$A$1000,B980)</f>
        <v>20110022</v>
      </c>
      <c r="E980" t="str" cm="1">
        <f t="array" ref="E980">INDEX('Linha 06'!$B$4:$B$1000,B980)</f>
        <v>Intermed Pack Multi Uso Lavand C/Alcool Cx/18 X 500ml</v>
      </c>
      <c r="F980" cm="1">
        <f t="array" ref="F980">INDEX('Linha 06'!$C$3:$ZZ$3,C980)</f>
        <v>20110024</v>
      </c>
      <c r="G980" t="str" cm="1">
        <f t="array" ref="G980">INDEX('Linha 06'!$C$2:$ZZ$2,C980)</f>
        <v>Multi Uso Aquafast Squeeze Cha Branco Cx12 X 1l</v>
      </c>
      <c r="H980" s="5" cm="1">
        <f t="array" ref="H980">INDEX('Linha 06'!$C$4:$ZZ$1000,B980,C980)</f>
        <v>0</v>
      </c>
    </row>
    <row r="981" spans="1:8" x14ac:dyDescent="0.25">
      <c r="A981">
        <v>979</v>
      </c>
      <c r="B981">
        <f t="shared" si="30"/>
        <v>26</v>
      </c>
      <c r="C981">
        <f t="shared" si="31"/>
        <v>29</v>
      </c>
      <c r="D981" cm="1">
        <f t="array" ref="D981">INDEX('Linha 06'!$A$4:$A$1000,B981)</f>
        <v>20110022</v>
      </c>
      <c r="E981" t="str" cm="1">
        <f t="array" ref="E981">INDEX('Linha 06'!$B$4:$B$1000,B981)</f>
        <v>Intermed Pack Multi Uso Lavand C/Alcool Cx/18 X 500ml</v>
      </c>
      <c r="F981" cm="1">
        <f t="array" ref="F981">INDEX('Linha 06'!$C$3:$ZZ$3,C981)</f>
        <v>20110025</v>
      </c>
      <c r="G981" t="str" cm="1">
        <f t="array" ref="G981">INDEX('Linha 06'!$C$2:$ZZ$2,C981)</f>
        <v>Multi Uso Aquafast Pulverizador Original Cx/12 X 1l</v>
      </c>
      <c r="H981" s="5" cm="1">
        <f t="array" ref="H981">INDEX('Linha 06'!$C$4:$ZZ$1000,B981,C981)</f>
        <v>0</v>
      </c>
    </row>
    <row r="982" spans="1:8" x14ac:dyDescent="0.25">
      <c r="A982">
        <v>980</v>
      </c>
      <c r="B982">
        <f t="shared" si="30"/>
        <v>26</v>
      </c>
      <c r="C982">
        <f t="shared" si="31"/>
        <v>30</v>
      </c>
      <c r="D982" cm="1">
        <f t="array" ref="D982">INDEX('Linha 06'!$A$4:$A$1000,B982)</f>
        <v>20110022</v>
      </c>
      <c r="E982" t="str" cm="1">
        <f t="array" ref="E982">INDEX('Linha 06'!$B$4:$B$1000,B982)</f>
        <v>Intermed Pack Multi Uso Lavand C/Alcool Cx/18 X 500ml</v>
      </c>
      <c r="F982" cm="1">
        <f t="array" ref="F982">INDEX('Linha 06'!$C$3:$ZZ$3,C982)</f>
        <v>20110026</v>
      </c>
      <c r="G982" t="str" cm="1">
        <f t="array" ref="G982">INDEX('Linha 06'!$C$2:$ZZ$2,C982)</f>
        <v>Multi Uso Aquafast Pulverizador Poder O2 Cx/12 X 1l</v>
      </c>
      <c r="H982" s="5" cm="1">
        <f t="array" ref="H982">INDEX('Linha 06'!$C$4:$ZZ$1000,B982,C982)</f>
        <v>0</v>
      </c>
    </row>
    <row r="983" spans="1:8" x14ac:dyDescent="0.25">
      <c r="A983">
        <v>981</v>
      </c>
      <c r="B983">
        <f t="shared" si="30"/>
        <v>26</v>
      </c>
      <c r="C983">
        <f t="shared" si="31"/>
        <v>31</v>
      </c>
      <c r="D983" cm="1">
        <f t="array" ref="D983">INDEX('Linha 06'!$A$4:$A$1000,B983)</f>
        <v>20110022</v>
      </c>
      <c r="E983" t="str" cm="1">
        <f t="array" ref="E983">INDEX('Linha 06'!$B$4:$B$1000,B983)</f>
        <v>Intermed Pack Multi Uso Lavand C/Alcool Cx/18 X 500ml</v>
      </c>
      <c r="F983" cm="1">
        <f t="array" ref="F983">INDEX('Linha 06'!$C$3:$ZZ$3,C983)</f>
        <v>20110027</v>
      </c>
      <c r="G983" t="str" cm="1">
        <f t="array" ref="G983">INDEX('Linha 06'!$C$2:$ZZ$2,C983)</f>
        <v>Multi Uso Aquafast Pulverizador Poder O2 Cx/12 X 500ml</v>
      </c>
      <c r="H983" s="5" cm="1">
        <f t="array" ref="H983">INDEX('Linha 06'!$C$4:$ZZ$1000,B983,C983)</f>
        <v>0</v>
      </c>
    </row>
    <row r="984" spans="1:8" x14ac:dyDescent="0.25">
      <c r="A984">
        <v>982</v>
      </c>
      <c r="B984">
        <f t="shared" si="30"/>
        <v>26</v>
      </c>
      <c r="C984">
        <f t="shared" si="31"/>
        <v>32</v>
      </c>
      <c r="D984" cm="1">
        <f t="array" ref="D984">INDEX('Linha 06'!$A$4:$A$1000,B984)</f>
        <v>20110022</v>
      </c>
      <c r="E984" t="str" cm="1">
        <f t="array" ref="E984">INDEX('Linha 06'!$B$4:$B$1000,B984)</f>
        <v>Intermed Pack Multi Uso Lavand C/Alcool Cx/18 X 500ml</v>
      </c>
      <c r="F984" cm="1">
        <f t="array" ref="F984">INDEX('Linha 06'!$C$3:$ZZ$3,C984)</f>
        <v>20200073</v>
      </c>
      <c r="G984" t="str" cm="1">
        <f t="array" ref="G984">INDEX('Linha 06'!$C$2:$ZZ$2,C984)</f>
        <v>Lava Roupas Aquafast Lavagem Rapida Total Clean Cx/9 X 1,5l</v>
      </c>
      <c r="H984" s="5" cm="1">
        <f t="array" ref="H984">INDEX('Linha 06'!$C$4:$ZZ$1000,B984,C984)</f>
        <v>0</v>
      </c>
    </row>
    <row r="985" spans="1:8" x14ac:dyDescent="0.25">
      <c r="A985">
        <v>983</v>
      </c>
      <c r="B985">
        <f t="shared" si="30"/>
        <v>26</v>
      </c>
      <c r="C985">
        <f t="shared" si="31"/>
        <v>33</v>
      </c>
      <c r="D985" cm="1">
        <f t="array" ref="D985">INDEX('Linha 06'!$A$4:$A$1000,B985)</f>
        <v>20110022</v>
      </c>
      <c r="E985" t="str" cm="1">
        <f t="array" ref="E985">INDEX('Linha 06'!$B$4:$B$1000,B985)</f>
        <v>Intermed Pack Multi Uso Lavand C/Alcool Cx/18 X 500ml</v>
      </c>
      <c r="F985" cm="1">
        <f t="array" ref="F985">INDEX('Linha 06'!$C$3:$ZZ$3,C985)</f>
        <v>20200075</v>
      </c>
      <c r="G985" t="str" cm="1">
        <f t="array" ref="G985">INDEX('Linha 06'!$C$2:$ZZ$2,C985)</f>
        <v>Lava Roupas Aquafast Lavagem Rapida Fresh Clean Cx/9 X 1,5l</v>
      </c>
      <c r="H985" s="5" cm="1">
        <f t="array" ref="H985">INDEX('Linha 06'!$C$4:$ZZ$1000,B985,C985)</f>
        <v>0</v>
      </c>
    </row>
    <row r="986" spans="1:8" x14ac:dyDescent="0.25">
      <c r="A986">
        <v>984</v>
      </c>
      <c r="B986">
        <f t="shared" si="30"/>
        <v>26</v>
      </c>
      <c r="C986">
        <f t="shared" si="31"/>
        <v>34</v>
      </c>
      <c r="D986" cm="1">
        <f t="array" ref="D986">INDEX('Linha 06'!$A$4:$A$1000,B986)</f>
        <v>20110022</v>
      </c>
      <c r="E986" t="str" cm="1">
        <f t="array" ref="E986">INDEX('Linha 06'!$B$4:$B$1000,B986)</f>
        <v>Intermed Pack Multi Uso Lavand C/Alcool Cx/18 X 500ml</v>
      </c>
      <c r="F986" cm="1">
        <f t="array" ref="F986">INDEX('Linha 06'!$C$3:$ZZ$3,C986)</f>
        <v>20220018</v>
      </c>
      <c r="G986" t="str" cm="1">
        <f t="array" ref="G986">INDEX('Linha 06'!$C$2:$ZZ$2,C986)</f>
        <v>Intermed. Aromat. Amoras E Baunilha Cx C/ 12un 250ml</v>
      </c>
      <c r="H986" s="5" cm="1">
        <f t="array" ref="H986">INDEX('Linha 06'!$C$4:$ZZ$1000,B986,C986)</f>
        <v>0</v>
      </c>
    </row>
    <row r="987" spans="1:8" x14ac:dyDescent="0.25">
      <c r="A987">
        <v>985</v>
      </c>
      <c r="B987">
        <f t="shared" si="30"/>
        <v>26</v>
      </c>
      <c r="C987">
        <f t="shared" si="31"/>
        <v>35</v>
      </c>
      <c r="D987" cm="1">
        <f t="array" ref="D987">INDEX('Linha 06'!$A$4:$A$1000,B987)</f>
        <v>20110022</v>
      </c>
      <c r="E987" t="str" cm="1">
        <f t="array" ref="E987">INDEX('Linha 06'!$B$4:$B$1000,B987)</f>
        <v>Intermed Pack Multi Uso Lavand C/Alcool Cx/18 X 500ml</v>
      </c>
      <c r="F987" cm="1">
        <f t="array" ref="F987">INDEX('Linha 06'!$C$3:$ZZ$3,C987)</f>
        <v>20220019</v>
      </c>
      <c r="G987" t="str" cm="1">
        <f t="array" ref="G987">INDEX('Linha 06'!$C$2:$ZZ$2,C987)</f>
        <v>Intermed. Aromat. Figo E Cedro Cx C/ 12un 250ml</v>
      </c>
      <c r="H987" s="5" cm="1">
        <f t="array" ref="H987">INDEX('Linha 06'!$C$4:$ZZ$1000,B987,C987)</f>
        <v>0</v>
      </c>
    </row>
    <row r="988" spans="1:8" x14ac:dyDescent="0.25">
      <c r="A988">
        <v>986</v>
      </c>
      <c r="B988">
        <f t="shared" si="30"/>
        <v>26</v>
      </c>
      <c r="C988">
        <f t="shared" si="31"/>
        <v>36</v>
      </c>
      <c r="D988" cm="1">
        <f t="array" ref="D988">INDEX('Linha 06'!$A$4:$A$1000,B988)</f>
        <v>20110022</v>
      </c>
      <c r="E988" t="str" cm="1">
        <f t="array" ref="E988">INDEX('Linha 06'!$B$4:$B$1000,B988)</f>
        <v>Intermed Pack Multi Uso Lavand C/Alcool Cx/18 X 500ml</v>
      </c>
      <c r="F988" cm="1">
        <f t="array" ref="F988">INDEX('Linha 06'!$C$3:$ZZ$3,C988)</f>
        <v>20220020</v>
      </c>
      <c r="G988" t="str" cm="1">
        <f t="array" ref="G988">INDEX('Linha 06'!$C$2:$ZZ$2,C988)</f>
        <v>Intermed. Aromat. Rosas E Magnolias Cx C/ 12un 250ml</v>
      </c>
      <c r="H988" s="5" cm="1">
        <f t="array" ref="H988">INDEX('Linha 06'!$C$4:$ZZ$1000,B988,C988)</f>
        <v>0</v>
      </c>
    </row>
    <row r="989" spans="1:8" x14ac:dyDescent="0.25">
      <c r="A989">
        <v>987</v>
      </c>
      <c r="B989">
        <f t="shared" si="30"/>
        <v>26</v>
      </c>
      <c r="C989">
        <f t="shared" si="31"/>
        <v>37</v>
      </c>
      <c r="D989" cm="1">
        <f t="array" ref="D989">INDEX('Linha 06'!$A$4:$A$1000,B989)</f>
        <v>20110022</v>
      </c>
      <c r="E989" t="str" cm="1">
        <f t="array" ref="E989">INDEX('Linha 06'!$B$4:$B$1000,B989)</f>
        <v>Intermed Pack Multi Uso Lavand C/Alcool Cx/18 X 500ml</v>
      </c>
      <c r="F989" cm="1">
        <f t="array" ref="F989">INDEX('Linha 06'!$C$3:$ZZ$3,C989)</f>
        <v>20220021</v>
      </c>
      <c r="G989" t="str" cm="1">
        <f t="array" ref="G989">INDEX('Linha 06'!$C$2:$ZZ$2,C989)</f>
        <v>Intermed. Aromat. Flores Exoticas Cx C/ 12un 250ml</v>
      </c>
      <c r="H989" s="5" cm="1">
        <f t="array" ref="H989">INDEX('Linha 06'!$C$4:$ZZ$1000,B989,C989)</f>
        <v>0</v>
      </c>
    </row>
    <row r="990" spans="1:8" x14ac:dyDescent="0.25">
      <c r="A990">
        <v>988</v>
      </c>
      <c r="B990">
        <f t="shared" si="30"/>
        <v>26</v>
      </c>
      <c r="C990">
        <f t="shared" si="31"/>
        <v>38</v>
      </c>
      <c r="D990" cm="1">
        <f t="array" ref="D990">INDEX('Linha 06'!$A$4:$A$1000,B990)</f>
        <v>20110022</v>
      </c>
      <c r="E990" t="str" cm="1">
        <f t="array" ref="E990">INDEX('Linha 06'!$B$4:$B$1000,B990)</f>
        <v>Intermed Pack Multi Uso Lavand C/Alcool Cx/18 X 500ml</v>
      </c>
      <c r="F990" cm="1">
        <f t="array" ref="F990">INDEX('Linha 06'!$C$3:$ZZ$3,C990)</f>
        <v>20220022</v>
      </c>
      <c r="G990" t="str" cm="1">
        <f t="array" ref="G990">INDEX('Linha 06'!$C$2:$ZZ$2,C990)</f>
        <v>Intermed. Aromat. Cha Verde E Grapef Cx C/ 12un 250ml</v>
      </c>
      <c r="H990" s="5" cm="1">
        <f t="array" ref="H990">INDEX('Linha 06'!$C$4:$ZZ$1000,B990,C990)</f>
        <v>0</v>
      </c>
    </row>
    <row r="991" spans="1:8" x14ac:dyDescent="0.25">
      <c r="A991">
        <v>989</v>
      </c>
      <c r="B991">
        <f t="shared" si="30"/>
        <v>27</v>
      </c>
      <c r="C991">
        <f t="shared" si="31"/>
        <v>1</v>
      </c>
      <c r="D991" cm="1">
        <f t="array" ref="D991">INDEX('Linha 06'!$A$4:$A$1000,B991)</f>
        <v>20110023</v>
      </c>
      <c r="E991" t="str" cm="1">
        <f t="array" ref="E991">INDEX('Linha 06'!$B$4:$B$1000,B991)</f>
        <v>Multi Uso Aquafast Squeeze Cha Branco  Cx/12 X 500ml</v>
      </c>
      <c r="F991" cm="1">
        <f t="array" ref="F991">INDEX('Linha 06'!$C$3:$ZZ$3,C991)</f>
        <v>20060001</v>
      </c>
      <c r="G991" t="str" cm="1">
        <f t="array" ref="G991">INDEX('Linha 06'!$C$2:$ZZ$2,C991)</f>
        <v>Limp Perf Aquafast Magia Seducao Cx/12 X 500ml</v>
      </c>
      <c r="H991" s="5" cm="1">
        <f t="array" ref="H991">INDEX('Linha 06'!$C$4:$ZZ$1000,B991,C991)</f>
        <v>0</v>
      </c>
    </row>
    <row r="992" spans="1:8" x14ac:dyDescent="0.25">
      <c r="A992">
        <v>990</v>
      </c>
      <c r="B992">
        <f t="shared" si="30"/>
        <v>27</v>
      </c>
      <c r="C992">
        <f t="shared" si="31"/>
        <v>2</v>
      </c>
      <c r="D992" cm="1">
        <f t="array" ref="D992">INDEX('Linha 06'!$A$4:$A$1000,B992)</f>
        <v>20110023</v>
      </c>
      <c r="E992" t="str" cm="1">
        <f t="array" ref="E992">INDEX('Linha 06'!$B$4:$B$1000,B992)</f>
        <v>Multi Uso Aquafast Squeeze Cha Branco  Cx/12 X 500ml</v>
      </c>
      <c r="F992" cm="1">
        <f t="array" ref="F992">INDEX('Linha 06'!$C$3:$ZZ$3,C992)</f>
        <v>20060004</v>
      </c>
      <c r="G992" t="str" cm="1">
        <f t="array" ref="G992">INDEX('Linha 06'!$C$2:$ZZ$2,C992)</f>
        <v>Limp Perf Aquafast Magia Seducao Cx/12 X 1l</v>
      </c>
      <c r="H992" s="5" cm="1">
        <f t="array" ref="H992">INDEX('Linha 06'!$C$4:$ZZ$1000,B992,C992)</f>
        <v>0</v>
      </c>
    </row>
    <row r="993" spans="1:8" x14ac:dyDescent="0.25">
      <c r="A993">
        <v>991</v>
      </c>
      <c r="B993">
        <f t="shared" si="30"/>
        <v>27</v>
      </c>
      <c r="C993">
        <f t="shared" si="31"/>
        <v>3</v>
      </c>
      <c r="D993" cm="1">
        <f t="array" ref="D993">INDEX('Linha 06'!$A$4:$A$1000,B993)</f>
        <v>20110023</v>
      </c>
      <c r="E993" t="str" cm="1">
        <f t="array" ref="E993">INDEX('Linha 06'!$B$4:$B$1000,B993)</f>
        <v>Multi Uso Aquafast Squeeze Cha Branco  Cx/12 X 500ml</v>
      </c>
      <c r="F993" cm="1">
        <f t="array" ref="F993">INDEX('Linha 06'!$C$3:$ZZ$3,C993)</f>
        <v>20060010</v>
      </c>
      <c r="G993" t="str" cm="1">
        <f t="array" ref="G993">INDEX('Linha 06'!$C$2:$ZZ$2,C993)</f>
        <v>Limp Perf Aquafast Magia Da Infancia Cx/12 X 500ml</v>
      </c>
      <c r="H993" s="5" cm="1">
        <f t="array" ref="H993">INDEX('Linha 06'!$C$4:$ZZ$1000,B993,C993)</f>
        <v>0</v>
      </c>
    </row>
    <row r="994" spans="1:8" x14ac:dyDescent="0.25">
      <c r="A994">
        <v>992</v>
      </c>
      <c r="B994">
        <f t="shared" si="30"/>
        <v>27</v>
      </c>
      <c r="C994">
        <f t="shared" si="31"/>
        <v>4</v>
      </c>
      <c r="D994" cm="1">
        <f t="array" ref="D994">INDEX('Linha 06'!$A$4:$A$1000,B994)</f>
        <v>20110023</v>
      </c>
      <c r="E994" t="str" cm="1">
        <f t="array" ref="E994">INDEX('Linha 06'!$B$4:$B$1000,B994)</f>
        <v>Multi Uso Aquafast Squeeze Cha Branco  Cx/12 X 500ml</v>
      </c>
      <c r="F994" cm="1">
        <f t="array" ref="F994">INDEX('Linha 06'!$C$3:$ZZ$3,C994)</f>
        <v>20060011</v>
      </c>
      <c r="G994" t="str" cm="1">
        <f t="array" ref="G994">INDEX('Linha 06'!$C$2:$ZZ$2,C994)</f>
        <v>Limp Perf Aquafast Frescor Da Manha Cx/12 X 500ml</v>
      </c>
      <c r="H994" s="5" cm="1">
        <f t="array" ref="H994">INDEX('Linha 06'!$C$4:$ZZ$1000,B994,C994)</f>
        <v>0</v>
      </c>
    </row>
    <row r="995" spans="1:8" x14ac:dyDescent="0.25">
      <c r="A995">
        <v>993</v>
      </c>
      <c r="B995">
        <f t="shared" si="30"/>
        <v>27</v>
      </c>
      <c r="C995">
        <f t="shared" si="31"/>
        <v>5</v>
      </c>
      <c r="D995" cm="1">
        <f t="array" ref="D995">INDEX('Linha 06'!$A$4:$A$1000,B995)</f>
        <v>20110023</v>
      </c>
      <c r="E995" t="str" cm="1">
        <f t="array" ref="E995">INDEX('Linha 06'!$B$4:$B$1000,B995)</f>
        <v>Multi Uso Aquafast Squeeze Cha Branco  Cx/12 X 500ml</v>
      </c>
      <c r="F995" cm="1">
        <f t="array" ref="F995">INDEX('Linha 06'!$C$3:$ZZ$3,C995)</f>
        <v>20060012</v>
      </c>
      <c r="G995" t="str" cm="1">
        <f t="array" ref="G995">INDEX('Linha 06'!$C$2:$ZZ$2,C995)</f>
        <v>Limp Perf Aquafast Magia Da Infancia Cx/12 X 1l</v>
      </c>
      <c r="H995" s="5" cm="1">
        <f t="array" ref="H995">INDEX('Linha 06'!$C$4:$ZZ$1000,B995,C995)</f>
        <v>0</v>
      </c>
    </row>
    <row r="996" spans="1:8" x14ac:dyDescent="0.25">
      <c r="A996">
        <v>994</v>
      </c>
      <c r="B996">
        <f t="shared" si="30"/>
        <v>27</v>
      </c>
      <c r="C996">
        <f t="shared" si="31"/>
        <v>6</v>
      </c>
      <c r="D996" cm="1">
        <f t="array" ref="D996">INDEX('Linha 06'!$A$4:$A$1000,B996)</f>
        <v>20110023</v>
      </c>
      <c r="E996" t="str" cm="1">
        <f t="array" ref="E996">INDEX('Linha 06'!$B$4:$B$1000,B996)</f>
        <v>Multi Uso Aquafast Squeeze Cha Branco  Cx/12 X 500ml</v>
      </c>
      <c r="F996" cm="1">
        <f t="array" ref="F996">INDEX('Linha 06'!$C$3:$ZZ$3,C996)</f>
        <v>20060013</v>
      </c>
      <c r="G996" t="str" cm="1">
        <f t="array" ref="G996">INDEX('Linha 06'!$C$2:$ZZ$2,C996)</f>
        <v>Limp Perf Aquafast Frescor Da Manha Cx/12 X 1l</v>
      </c>
      <c r="H996" s="5" cm="1">
        <f t="array" ref="H996">INDEX('Linha 06'!$C$4:$ZZ$1000,B996,C996)</f>
        <v>0</v>
      </c>
    </row>
    <row r="997" spans="1:8" x14ac:dyDescent="0.25">
      <c r="A997">
        <v>995</v>
      </c>
      <c r="B997">
        <f t="shared" si="30"/>
        <v>27</v>
      </c>
      <c r="C997">
        <f t="shared" si="31"/>
        <v>7</v>
      </c>
      <c r="D997" cm="1">
        <f t="array" ref="D997">INDEX('Linha 06'!$A$4:$A$1000,B997)</f>
        <v>20110023</v>
      </c>
      <c r="E997" t="str" cm="1">
        <f t="array" ref="E997">INDEX('Linha 06'!$B$4:$B$1000,B997)</f>
        <v>Multi Uso Aquafast Squeeze Cha Branco  Cx/12 X 500ml</v>
      </c>
      <c r="F997" cm="1">
        <f t="array" ref="F997">INDEX('Linha 06'!$C$3:$ZZ$3,C997)</f>
        <v>20060015</v>
      </c>
      <c r="G997" t="str" cm="1">
        <f t="array" ref="G997">INDEX('Linha 06'!$C$2:$ZZ$2,C997)</f>
        <v>Limp Perf Aquafast Doce Romance Cx/12 X 500ml</v>
      </c>
      <c r="H997" s="5" cm="1">
        <f t="array" ref="H997">INDEX('Linha 06'!$C$4:$ZZ$1000,B997,C997)</f>
        <v>0</v>
      </c>
    </row>
    <row r="998" spans="1:8" x14ac:dyDescent="0.25">
      <c r="A998">
        <v>996</v>
      </c>
      <c r="B998">
        <f t="shared" si="30"/>
        <v>27</v>
      </c>
      <c r="C998">
        <f t="shared" si="31"/>
        <v>8</v>
      </c>
      <c r="D998" cm="1">
        <f t="array" ref="D998">INDEX('Linha 06'!$A$4:$A$1000,B998)</f>
        <v>20110023</v>
      </c>
      <c r="E998" t="str" cm="1">
        <f t="array" ref="E998">INDEX('Linha 06'!$B$4:$B$1000,B998)</f>
        <v>Multi Uso Aquafast Squeeze Cha Branco  Cx/12 X 500ml</v>
      </c>
      <c r="F998" cm="1">
        <f t="array" ref="F998">INDEX('Linha 06'!$C$3:$ZZ$3,C998)</f>
        <v>20060016</v>
      </c>
      <c r="G998" t="str" cm="1">
        <f t="array" ref="G998">INDEX('Linha 06'!$C$2:$ZZ$2,C998)</f>
        <v>Limp Perf Aquafast Doce Romance Cx/12 X 1l</v>
      </c>
      <c r="H998" s="5" cm="1">
        <f t="array" ref="H998">INDEX('Linha 06'!$C$4:$ZZ$1000,B998,C998)</f>
        <v>0</v>
      </c>
    </row>
    <row r="999" spans="1:8" x14ac:dyDescent="0.25">
      <c r="A999">
        <v>997</v>
      </c>
      <c r="B999">
        <f t="shared" si="30"/>
        <v>27</v>
      </c>
      <c r="C999">
        <f t="shared" si="31"/>
        <v>9</v>
      </c>
      <c r="D999" cm="1">
        <f t="array" ref="D999">INDEX('Linha 06'!$A$4:$A$1000,B999)</f>
        <v>20110023</v>
      </c>
      <c r="E999" t="str" cm="1">
        <f t="array" ref="E999">INDEX('Linha 06'!$B$4:$B$1000,B999)</f>
        <v>Multi Uso Aquafast Squeeze Cha Branco  Cx/12 X 500ml</v>
      </c>
      <c r="F999" cm="1">
        <f t="array" ref="F999">INDEX('Linha 06'!$C$3:$ZZ$3,C999)</f>
        <v>20060027</v>
      </c>
      <c r="G999" t="str" cm="1">
        <f t="array" ref="G999">INDEX('Linha 06'!$C$2:$ZZ$2,C999)</f>
        <v>Limp Perf Aquafast Essencia Natural Cx/12 X 1l</v>
      </c>
      <c r="H999" s="5" cm="1">
        <f t="array" ref="H999">INDEX('Linha 06'!$C$4:$ZZ$1000,B999,C999)</f>
        <v>0</v>
      </c>
    </row>
    <row r="1000" spans="1:8" x14ac:dyDescent="0.25">
      <c r="A1000">
        <v>998</v>
      </c>
      <c r="B1000">
        <f t="shared" si="30"/>
        <v>27</v>
      </c>
      <c r="C1000">
        <f t="shared" si="31"/>
        <v>10</v>
      </c>
      <c r="D1000" cm="1">
        <f t="array" ref="D1000">INDEX('Linha 06'!$A$4:$A$1000,B1000)</f>
        <v>20110023</v>
      </c>
      <c r="E1000" t="str" cm="1">
        <f t="array" ref="E1000">INDEX('Linha 06'!$B$4:$B$1000,B1000)</f>
        <v>Multi Uso Aquafast Squeeze Cha Branco  Cx/12 X 500ml</v>
      </c>
      <c r="F1000" cm="1">
        <f t="array" ref="F1000">INDEX('Linha 06'!$C$3:$ZZ$3,C1000)</f>
        <v>20070001</v>
      </c>
      <c r="G1000" t="str" cm="1">
        <f t="array" ref="G1000">INDEX('Linha 06'!$C$2:$ZZ$2,C1000)</f>
        <v>Limpa Vidros Aquafast Pulverizador Cx/12 X 500ml</v>
      </c>
      <c r="H1000" s="5" cm="1">
        <f t="array" ref="H1000">INDEX('Linha 06'!$C$4:$ZZ$1000,B1000,C1000)</f>
        <v>0</v>
      </c>
    </row>
    <row r="1001" spans="1:8" x14ac:dyDescent="0.25">
      <c r="A1001">
        <v>999</v>
      </c>
      <c r="B1001">
        <f t="shared" si="30"/>
        <v>27</v>
      </c>
      <c r="C1001">
        <f t="shared" si="31"/>
        <v>11</v>
      </c>
      <c r="D1001" cm="1">
        <f t="array" ref="D1001">INDEX('Linha 06'!$A$4:$A$1000,B1001)</f>
        <v>20110023</v>
      </c>
      <c r="E1001" t="str" cm="1">
        <f t="array" ref="E1001">INDEX('Linha 06'!$B$4:$B$1000,B1001)</f>
        <v>Multi Uso Aquafast Squeeze Cha Branco  Cx/12 X 500ml</v>
      </c>
      <c r="F1001" cm="1">
        <f t="array" ref="F1001">INDEX('Linha 06'!$C$3:$ZZ$3,C1001)</f>
        <v>20070002</v>
      </c>
      <c r="G1001" t="str" cm="1">
        <f t="array" ref="G1001">INDEX('Linha 06'!$C$2:$ZZ$2,C1001)</f>
        <v>Limpa Vidros Aquafast Recarga Cx/12 X 500ml</v>
      </c>
      <c r="H1001" s="5" cm="1">
        <f t="array" ref="H1001">INDEX('Linha 06'!$C$4:$ZZ$1000,B1001,C1001)</f>
        <v>0</v>
      </c>
    </row>
    <row r="1002" spans="1:8" x14ac:dyDescent="0.25">
      <c r="A1002">
        <v>1000</v>
      </c>
      <c r="B1002">
        <f t="shared" si="30"/>
        <v>27</v>
      </c>
      <c r="C1002">
        <f t="shared" si="31"/>
        <v>12</v>
      </c>
      <c r="D1002" cm="1">
        <f t="array" ref="D1002">INDEX('Linha 06'!$A$4:$A$1000,B1002)</f>
        <v>20110023</v>
      </c>
      <c r="E1002" t="str" cm="1">
        <f t="array" ref="E1002">INDEX('Linha 06'!$B$4:$B$1000,B1002)</f>
        <v>Multi Uso Aquafast Squeeze Cha Branco  Cx/12 X 500ml</v>
      </c>
      <c r="F1002" cm="1">
        <f t="array" ref="F1002">INDEX('Linha 06'!$C$3:$ZZ$3,C1002)</f>
        <v>20070006</v>
      </c>
      <c r="G1002" t="str" cm="1">
        <f t="array" ref="G1002">INDEX('Linha 06'!$C$2:$ZZ$2,C1002)</f>
        <v>Limpa Vidros Ito Pulverizador Cx/12 X 500ml</v>
      </c>
      <c r="H1002" s="5" cm="1">
        <f t="array" ref="H1002">INDEX('Linha 06'!$C$4:$ZZ$1000,B1002,C1002)</f>
        <v>0</v>
      </c>
    </row>
    <row r="1003" spans="1:8" x14ac:dyDescent="0.25">
      <c r="A1003">
        <v>1001</v>
      </c>
      <c r="B1003">
        <f t="shared" si="30"/>
        <v>27</v>
      </c>
      <c r="C1003">
        <f t="shared" si="31"/>
        <v>13</v>
      </c>
      <c r="D1003" cm="1">
        <f t="array" ref="D1003">INDEX('Linha 06'!$A$4:$A$1000,B1003)</f>
        <v>20110023</v>
      </c>
      <c r="E1003" t="str" cm="1">
        <f t="array" ref="E1003">INDEX('Linha 06'!$B$4:$B$1000,B1003)</f>
        <v>Multi Uso Aquafast Squeeze Cha Branco  Cx/12 X 500ml</v>
      </c>
      <c r="F1003" cm="1">
        <f t="array" ref="F1003">INDEX('Linha 06'!$C$3:$ZZ$3,C1003)</f>
        <v>20070007</v>
      </c>
      <c r="G1003" t="str" cm="1">
        <f t="array" ref="G1003">INDEX('Linha 06'!$C$2:$ZZ$2,C1003)</f>
        <v>Limpa Vidros Ito Recarga Cx/12 X 500ml</v>
      </c>
      <c r="H1003" s="5" cm="1">
        <f t="array" ref="H1003">INDEX('Linha 06'!$C$4:$ZZ$1000,B1003,C1003)</f>
        <v>0</v>
      </c>
    </row>
    <row r="1004" spans="1:8" x14ac:dyDescent="0.25">
      <c r="A1004">
        <v>1002</v>
      </c>
      <c r="B1004">
        <f t="shared" si="30"/>
        <v>27</v>
      </c>
      <c r="C1004">
        <f t="shared" si="31"/>
        <v>14</v>
      </c>
      <c r="D1004" cm="1">
        <f t="array" ref="D1004">INDEX('Linha 06'!$A$4:$A$1000,B1004)</f>
        <v>20110023</v>
      </c>
      <c r="E1004" t="str" cm="1">
        <f t="array" ref="E1004">INDEX('Linha 06'!$B$4:$B$1000,B1004)</f>
        <v>Multi Uso Aquafast Squeeze Cha Branco  Cx/12 X 500ml</v>
      </c>
      <c r="F1004" cm="1">
        <f t="array" ref="F1004">INDEX('Linha 06'!$C$3:$ZZ$3,C1004)</f>
        <v>20070008</v>
      </c>
      <c r="G1004" t="str" cm="1">
        <f t="array" ref="G1004">INDEX('Linha 06'!$C$2:$ZZ$2,C1004)</f>
        <v>Limpa Vidros Aquafast Squeeze Cx/12 X 500ml</v>
      </c>
      <c r="H1004" s="5" cm="1">
        <f t="array" ref="H1004">INDEX('Linha 06'!$C$4:$ZZ$1000,B1004,C1004)</f>
        <v>0</v>
      </c>
    </row>
    <row r="1005" spans="1:8" x14ac:dyDescent="0.25">
      <c r="A1005">
        <v>1003</v>
      </c>
      <c r="B1005">
        <f t="shared" si="30"/>
        <v>27</v>
      </c>
      <c r="C1005">
        <f t="shared" si="31"/>
        <v>15</v>
      </c>
      <c r="D1005" cm="1">
        <f t="array" ref="D1005">INDEX('Linha 06'!$A$4:$A$1000,B1005)</f>
        <v>20110023</v>
      </c>
      <c r="E1005" t="str" cm="1">
        <f t="array" ref="E1005">INDEX('Linha 06'!$B$4:$B$1000,B1005)</f>
        <v>Multi Uso Aquafast Squeeze Cha Branco  Cx/12 X 500ml</v>
      </c>
      <c r="F1005" cm="1">
        <f t="array" ref="F1005">INDEX('Linha 06'!$C$3:$ZZ$3,C1005)</f>
        <v>20090001</v>
      </c>
      <c r="G1005" t="str" cm="1">
        <f t="array" ref="G1005">INDEX('Linha 06'!$C$2:$ZZ$2,C1005)</f>
        <v>Desengordurante Aquafast Pulverizador Cx/12 X 500ml</v>
      </c>
      <c r="H1005" s="5" cm="1">
        <f t="array" ref="H1005">INDEX('Linha 06'!$C$4:$ZZ$1000,B1005,C1005)</f>
        <v>0</v>
      </c>
    </row>
    <row r="1006" spans="1:8" x14ac:dyDescent="0.25">
      <c r="A1006">
        <v>1004</v>
      </c>
      <c r="B1006">
        <f t="shared" si="30"/>
        <v>27</v>
      </c>
      <c r="C1006">
        <f t="shared" si="31"/>
        <v>16</v>
      </c>
      <c r="D1006" cm="1">
        <f t="array" ref="D1006">INDEX('Linha 06'!$A$4:$A$1000,B1006)</f>
        <v>20110023</v>
      </c>
      <c r="E1006" t="str" cm="1">
        <f t="array" ref="E1006">INDEX('Linha 06'!$B$4:$B$1000,B1006)</f>
        <v>Multi Uso Aquafast Squeeze Cha Branco  Cx/12 X 500ml</v>
      </c>
      <c r="F1006" cm="1">
        <f t="array" ref="F1006">INDEX('Linha 06'!$C$3:$ZZ$3,C1006)</f>
        <v>20090002</v>
      </c>
      <c r="G1006" t="str" cm="1">
        <f t="array" ref="G1006">INDEX('Linha 06'!$C$2:$ZZ$2,C1006)</f>
        <v>Desengordurante Aquafast Recarga Cx/12 X 500ml</v>
      </c>
      <c r="H1006" s="5" cm="1">
        <f t="array" ref="H1006">INDEX('Linha 06'!$C$4:$ZZ$1000,B1006,C1006)</f>
        <v>0</v>
      </c>
    </row>
    <row r="1007" spans="1:8" x14ac:dyDescent="0.25">
      <c r="A1007">
        <v>1005</v>
      </c>
      <c r="B1007">
        <f t="shared" si="30"/>
        <v>27</v>
      </c>
      <c r="C1007">
        <f t="shared" si="31"/>
        <v>17</v>
      </c>
      <c r="D1007" cm="1">
        <f t="array" ref="D1007">INDEX('Linha 06'!$A$4:$A$1000,B1007)</f>
        <v>20110023</v>
      </c>
      <c r="E1007" t="str" cm="1">
        <f t="array" ref="E1007">INDEX('Linha 06'!$B$4:$B$1000,B1007)</f>
        <v>Multi Uso Aquafast Squeeze Cha Branco  Cx/12 X 500ml</v>
      </c>
      <c r="F1007" cm="1">
        <f t="array" ref="F1007">INDEX('Linha 06'!$C$3:$ZZ$3,C1007)</f>
        <v>20090004</v>
      </c>
      <c r="G1007" t="str" cm="1">
        <f t="array" ref="G1007">INDEX('Linha 06'!$C$2:$ZZ$2,C1007)</f>
        <v>Desengordurante Aquafast Squeeze Cx C/12 X 500ml</v>
      </c>
      <c r="H1007" s="5" cm="1">
        <f t="array" ref="H1007">INDEX('Linha 06'!$C$4:$ZZ$1000,B1007,C1007)</f>
        <v>0</v>
      </c>
    </row>
    <row r="1008" spans="1:8" x14ac:dyDescent="0.25">
      <c r="A1008">
        <v>1006</v>
      </c>
      <c r="B1008">
        <f t="shared" si="30"/>
        <v>27</v>
      </c>
      <c r="C1008">
        <f t="shared" si="31"/>
        <v>18</v>
      </c>
      <c r="D1008" cm="1">
        <f t="array" ref="D1008">INDEX('Linha 06'!$A$4:$A$1000,B1008)</f>
        <v>20110023</v>
      </c>
      <c r="E1008" t="str" cm="1">
        <f t="array" ref="E1008">INDEX('Linha 06'!$B$4:$B$1000,B1008)</f>
        <v>Multi Uso Aquafast Squeeze Cha Branco  Cx/12 X 500ml</v>
      </c>
      <c r="F1008" cm="1">
        <f t="array" ref="F1008">INDEX('Linha 06'!$C$3:$ZZ$3,C1008)</f>
        <v>20090005</v>
      </c>
      <c r="G1008" t="str" cm="1">
        <f t="array" ref="G1008">INDEX('Linha 06'!$C$2:$ZZ$2,C1008)</f>
        <v>Desengordurante Aquafast Squeeze Cx C/12 X 1l</v>
      </c>
      <c r="H1008" s="5" cm="1">
        <f t="array" ref="H1008">INDEX('Linha 06'!$C$4:$ZZ$1000,B1008,C1008)</f>
        <v>0</v>
      </c>
    </row>
    <row r="1009" spans="1:8" x14ac:dyDescent="0.25">
      <c r="A1009">
        <v>1007</v>
      </c>
      <c r="B1009">
        <f t="shared" si="30"/>
        <v>27</v>
      </c>
      <c r="C1009">
        <f t="shared" si="31"/>
        <v>19</v>
      </c>
      <c r="D1009" cm="1">
        <f t="array" ref="D1009">INDEX('Linha 06'!$A$4:$A$1000,B1009)</f>
        <v>20110023</v>
      </c>
      <c r="E1009" t="str" cm="1">
        <f t="array" ref="E1009">INDEX('Linha 06'!$B$4:$B$1000,B1009)</f>
        <v>Multi Uso Aquafast Squeeze Cha Branco  Cx/12 X 500ml</v>
      </c>
      <c r="F1009" cm="1">
        <f t="array" ref="F1009">INDEX('Linha 06'!$C$3:$ZZ$3,C1009)</f>
        <v>20090010</v>
      </c>
      <c r="G1009" t="str" cm="1">
        <f t="array" ref="G1009">INDEX('Linha 06'!$C$2:$ZZ$2,C1009)</f>
        <v>Intermed Pack Desengord Squeeze Cx C/18 X 500ml</v>
      </c>
      <c r="H1009" s="5" cm="1">
        <f t="array" ref="H1009">INDEX('Linha 06'!$C$4:$ZZ$1000,B1009,C1009)</f>
        <v>0</v>
      </c>
    </row>
    <row r="1010" spans="1:8" x14ac:dyDescent="0.25">
      <c r="A1010">
        <v>1008</v>
      </c>
      <c r="B1010">
        <f t="shared" si="30"/>
        <v>27</v>
      </c>
      <c r="C1010">
        <f t="shared" si="31"/>
        <v>20</v>
      </c>
      <c r="D1010" cm="1">
        <f t="array" ref="D1010">INDEX('Linha 06'!$A$4:$A$1000,B1010)</f>
        <v>20110023</v>
      </c>
      <c r="E1010" t="str" cm="1">
        <f t="array" ref="E1010">INDEX('Linha 06'!$B$4:$B$1000,B1010)</f>
        <v>Multi Uso Aquafast Squeeze Cha Branco  Cx/12 X 500ml</v>
      </c>
      <c r="F1010" cm="1">
        <f t="array" ref="F1010">INDEX('Linha 06'!$C$3:$ZZ$3,C1010)</f>
        <v>20110002</v>
      </c>
      <c r="G1010" t="str" cm="1">
        <f t="array" ref="G1010">INDEX('Linha 06'!$C$2:$ZZ$2,C1010)</f>
        <v>Multi Uso Aquafast Squeeze Original Cx/12 X 500ml</v>
      </c>
      <c r="H1010" s="5" cm="1">
        <f t="array" ref="H1010">INDEX('Linha 06'!$C$4:$ZZ$1000,B1010,C1010)</f>
        <v>0</v>
      </c>
    </row>
    <row r="1011" spans="1:8" x14ac:dyDescent="0.25">
      <c r="A1011">
        <v>1009</v>
      </c>
      <c r="B1011">
        <f t="shared" si="30"/>
        <v>27</v>
      </c>
      <c r="C1011">
        <f t="shared" si="31"/>
        <v>21</v>
      </c>
      <c r="D1011" cm="1">
        <f t="array" ref="D1011">INDEX('Linha 06'!$A$4:$A$1000,B1011)</f>
        <v>20110023</v>
      </c>
      <c r="E1011" t="str" cm="1">
        <f t="array" ref="E1011">INDEX('Linha 06'!$B$4:$B$1000,B1011)</f>
        <v>Multi Uso Aquafast Squeeze Cha Branco  Cx/12 X 500ml</v>
      </c>
      <c r="F1011" cm="1">
        <f t="array" ref="F1011">INDEX('Linha 06'!$C$3:$ZZ$3,C1011)</f>
        <v>20110004</v>
      </c>
      <c r="G1011" t="str" cm="1">
        <f t="array" ref="G1011">INDEX('Linha 06'!$C$2:$ZZ$2,C1011)</f>
        <v>Multi Uso Aquafast Squeeze Lavanda Cx/12 X 500ml</v>
      </c>
      <c r="H1011" s="5" cm="1">
        <f t="array" ref="H1011">INDEX('Linha 06'!$C$4:$ZZ$1000,B1011,C1011)</f>
        <v>0</v>
      </c>
    </row>
    <row r="1012" spans="1:8" x14ac:dyDescent="0.25">
      <c r="A1012">
        <v>1010</v>
      </c>
      <c r="B1012">
        <f t="shared" si="30"/>
        <v>27</v>
      </c>
      <c r="C1012">
        <f t="shared" si="31"/>
        <v>22</v>
      </c>
      <c r="D1012" cm="1">
        <f t="array" ref="D1012">INDEX('Linha 06'!$A$4:$A$1000,B1012)</f>
        <v>20110023</v>
      </c>
      <c r="E1012" t="str" cm="1">
        <f t="array" ref="E1012">INDEX('Linha 06'!$B$4:$B$1000,B1012)</f>
        <v>Multi Uso Aquafast Squeeze Cha Branco  Cx/12 X 500ml</v>
      </c>
      <c r="F1012" cm="1">
        <f t="array" ref="F1012">INDEX('Linha 06'!$C$3:$ZZ$3,C1012)</f>
        <v>20110007</v>
      </c>
      <c r="G1012" t="str" cm="1">
        <f t="array" ref="G1012">INDEX('Linha 06'!$C$2:$ZZ$2,C1012)</f>
        <v>Multi Uso Aquafast Squeeze Seducao Cx/12 X 500ml</v>
      </c>
      <c r="H1012" s="5" cm="1">
        <f t="array" ref="H1012">INDEX('Linha 06'!$C$4:$ZZ$1000,B1012,C1012)</f>
        <v>0</v>
      </c>
    </row>
    <row r="1013" spans="1:8" x14ac:dyDescent="0.25">
      <c r="A1013">
        <v>1011</v>
      </c>
      <c r="B1013">
        <f t="shared" si="30"/>
        <v>27</v>
      </c>
      <c r="C1013">
        <f t="shared" si="31"/>
        <v>23</v>
      </c>
      <c r="D1013" cm="1">
        <f t="array" ref="D1013">INDEX('Linha 06'!$A$4:$A$1000,B1013)</f>
        <v>20110023</v>
      </c>
      <c r="E1013" t="str" cm="1">
        <f t="array" ref="E1013">INDEX('Linha 06'!$B$4:$B$1000,B1013)</f>
        <v>Multi Uso Aquafast Squeeze Cha Branco  Cx/12 X 500ml</v>
      </c>
      <c r="F1013" cm="1">
        <f t="array" ref="F1013">INDEX('Linha 06'!$C$3:$ZZ$3,C1013)</f>
        <v>20110008</v>
      </c>
      <c r="G1013" t="str" cm="1">
        <f t="array" ref="G1013">INDEX('Linha 06'!$C$2:$ZZ$2,C1013)</f>
        <v>Multi Uso Aquafast Squeeze Original Cx/12 X 1l</v>
      </c>
      <c r="H1013" s="5" cm="1">
        <f t="array" ref="H1013">INDEX('Linha 06'!$C$4:$ZZ$1000,B1013,C1013)</f>
        <v>0</v>
      </c>
    </row>
    <row r="1014" spans="1:8" x14ac:dyDescent="0.25">
      <c r="A1014">
        <v>1012</v>
      </c>
      <c r="B1014">
        <f t="shared" si="30"/>
        <v>27</v>
      </c>
      <c r="C1014">
        <f t="shared" si="31"/>
        <v>24</v>
      </c>
      <c r="D1014" cm="1">
        <f t="array" ref="D1014">INDEX('Linha 06'!$A$4:$A$1000,B1014)</f>
        <v>20110023</v>
      </c>
      <c r="E1014" t="str" cm="1">
        <f t="array" ref="E1014">INDEX('Linha 06'!$B$4:$B$1000,B1014)</f>
        <v>Multi Uso Aquafast Squeeze Cha Branco  Cx/12 X 500ml</v>
      </c>
      <c r="F1014" cm="1">
        <f t="array" ref="F1014">INDEX('Linha 06'!$C$3:$ZZ$3,C1014)</f>
        <v>20110010</v>
      </c>
      <c r="G1014" t="str" cm="1">
        <f t="array" ref="G1014">INDEX('Linha 06'!$C$2:$ZZ$2,C1014)</f>
        <v>Multi Uso Aquafast Squeeze Seducao Cx/12 1l</v>
      </c>
      <c r="H1014" s="5" cm="1">
        <f t="array" ref="H1014">INDEX('Linha 06'!$C$4:$ZZ$1000,B1014,C1014)</f>
        <v>0</v>
      </c>
    </row>
    <row r="1015" spans="1:8" x14ac:dyDescent="0.25">
      <c r="A1015">
        <v>1013</v>
      </c>
      <c r="B1015">
        <f t="shared" si="30"/>
        <v>27</v>
      </c>
      <c r="C1015">
        <f t="shared" si="31"/>
        <v>25</v>
      </c>
      <c r="D1015" cm="1">
        <f t="array" ref="D1015">INDEX('Linha 06'!$A$4:$A$1000,B1015)</f>
        <v>20110023</v>
      </c>
      <c r="E1015" t="str" cm="1">
        <f t="array" ref="E1015">INDEX('Linha 06'!$B$4:$B$1000,B1015)</f>
        <v>Multi Uso Aquafast Squeeze Cha Branco  Cx/12 X 500ml</v>
      </c>
      <c r="F1015" cm="1">
        <f t="array" ref="F1015">INDEX('Linha 06'!$C$3:$ZZ$3,C1015)</f>
        <v>20110013</v>
      </c>
      <c r="G1015" t="str" cm="1">
        <f t="array" ref="G1015">INDEX('Linha 06'!$C$2:$ZZ$2,C1015)</f>
        <v>Multi Uso Aquafast Squeeze Lavanda Cx/12 X 1l</v>
      </c>
      <c r="H1015" s="5" cm="1">
        <f t="array" ref="H1015">INDEX('Linha 06'!$C$4:$ZZ$1000,B1015,C1015)</f>
        <v>0</v>
      </c>
    </row>
    <row r="1016" spans="1:8" x14ac:dyDescent="0.25">
      <c r="A1016">
        <v>1014</v>
      </c>
      <c r="B1016">
        <f t="shared" si="30"/>
        <v>27</v>
      </c>
      <c r="C1016">
        <f t="shared" si="31"/>
        <v>26</v>
      </c>
      <c r="D1016" cm="1">
        <f t="array" ref="D1016">INDEX('Linha 06'!$A$4:$A$1000,B1016)</f>
        <v>20110023</v>
      </c>
      <c r="E1016" t="str" cm="1">
        <f t="array" ref="E1016">INDEX('Linha 06'!$B$4:$B$1000,B1016)</f>
        <v>Multi Uso Aquafast Squeeze Cha Branco  Cx/12 X 500ml</v>
      </c>
      <c r="F1016" cm="1">
        <f t="array" ref="F1016">INDEX('Linha 06'!$C$3:$ZZ$3,C1016)</f>
        <v>20110022</v>
      </c>
      <c r="G1016" t="str" cm="1">
        <f t="array" ref="G1016">INDEX('Linha 06'!$C$2:$ZZ$2,C1016)</f>
        <v>Intermed Pack Multi Uso Lavand C/Alcool Cx/18 X 500ml</v>
      </c>
      <c r="H1016" s="5" cm="1">
        <f t="array" ref="H1016">INDEX('Linha 06'!$C$4:$ZZ$1000,B1016,C1016)</f>
        <v>0</v>
      </c>
    </row>
    <row r="1017" spans="1:8" x14ac:dyDescent="0.25">
      <c r="A1017">
        <v>1015</v>
      </c>
      <c r="B1017">
        <f t="shared" si="30"/>
        <v>27</v>
      </c>
      <c r="C1017">
        <f t="shared" si="31"/>
        <v>27</v>
      </c>
      <c r="D1017" cm="1">
        <f t="array" ref="D1017">INDEX('Linha 06'!$A$4:$A$1000,B1017)</f>
        <v>20110023</v>
      </c>
      <c r="E1017" t="str" cm="1">
        <f t="array" ref="E1017">INDEX('Linha 06'!$B$4:$B$1000,B1017)</f>
        <v>Multi Uso Aquafast Squeeze Cha Branco  Cx/12 X 500ml</v>
      </c>
      <c r="F1017" cm="1">
        <f t="array" ref="F1017">INDEX('Linha 06'!$C$3:$ZZ$3,C1017)</f>
        <v>20110023</v>
      </c>
      <c r="G1017" t="str" cm="1">
        <f t="array" ref="G1017">INDEX('Linha 06'!$C$2:$ZZ$2,C1017)</f>
        <v>Multi Uso Aquafast Squeeze Cha Branco  Cx/12 X 500ml</v>
      </c>
      <c r="H1017" s="5" cm="1">
        <f t="array" ref="H1017">INDEX('Linha 06'!$C$4:$ZZ$1000,B1017,C1017)</f>
        <v>0</v>
      </c>
    </row>
    <row r="1018" spans="1:8" x14ac:dyDescent="0.25">
      <c r="A1018">
        <v>1016</v>
      </c>
      <c r="B1018">
        <f t="shared" si="30"/>
        <v>27</v>
      </c>
      <c r="C1018">
        <f t="shared" si="31"/>
        <v>28</v>
      </c>
      <c r="D1018" cm="1">
        <f t="array" ref="D1018">INDEX('Linha 06'!$A$4:$A$1000,B1018)</f>
        <v>20110023</v>
      </c>
      <c r="E1018" t="str" cm="1">
        <f t="array" ref="E1018">INDEX('Linha 06'!$B$4:$B$1000,B1018)</f>
        <v>Multi Uso Aquafast Squeeze Cha Branco  Cx/12 X 500ml</v>
      </c>
      <c r="F1018" cm="1">
        <f t="array" ref="F1018">INDEX('Linha 06'!$C$3:$ZZ$3,C1018)</f>
        <v>20110024</v>
      </c>
      <c r="G1018" t="str" cm="1">
        <f t="array" ref="G1018">INDEX('Linha 06'!$C$2:$ZZ$2,C1018)</f>
        <v>Multi Uso Aquafast Squeeze Cha Branco Cx12 X 1l</v>
      </c>
      <c r="H1018" s="5" cm="1">
        <f t="array" ref="H1018">INDEX('Linha 06'!$C$4:$ZZ$1000,B1018,C1018)</f>
        <v>0</v>
      </c>
    </row>
    <row r="1019" spans="1:8" x14ac:dyDescent="0.25">
      <c r="A1019">
        <v>1017</v>
      </c>
      <c r="B1019">
        <f t="shared" si="30"/>
        <v>27</v>
      </c>
      <c r="C1019">
        <f t="shared" si="31"/>
        <v>29</v>
      </c>
      <c r="D1019" cm="1">
        <f t="array" ref="D1019">INDEX('Linha 06'!$A$4:$A$1000,B1019)</f>
        <v>20110023</v>
      </c>
      <c r="E1019" t="str" cm="1">
        <f t="array" ref="E1019">INDEX('Linha 06'!$B$4:$B$1000,B1019)</f>
        <v>Multi Uso Aquafast Squeeze Cha Branco  Cx/12 X 500ml</v>
      </c>
      <c r="F1019" cm="1">
        <f t="array" ref="F1019">INDEX('Linha 06'!$C$3:$ZZ$3,C1019)</f>
        <v>20110025</v>
      </c>
      <c r="G1019" t="str" cm="1">
        <f t="array" ref="G1019">INDEX('Linha 06'!$C$2:$ZZ$2,C1019)</f>
        <v>Multi Uso Aquafast Pulverizador Original Cx/12 X 1l</v>
      </c>
      <c r="H1019" s="5" cm="1">
        <f t="array" ref="H1019">INDEX('Linha 06'!$C$4:$ZZ$1000,B1019,C1019)</f>
        <v>0</v>
      </c>
    </row>
    <row r="1020" spans="1:8" x14ac:dyDescent="0.25">
      <c r="A1020">
        <v>1018</v>
      </c>
      <c r="B1020">
        <f t="shared" si="30"/>
        <v>27</v>
      </c>
      <c r="C1020">
        <f t="shared" si="31"/>
        <v>30</v>
      </c>
      <c r="D1020" cm="1">
        <f t="array" ref="D1020">INDEX('Linha 06'!$A$4:$A$1000,B1020)</f>
        <v>20110023</v>
      </c>
      <c r="E1020" t="str" cm="1">
        <f t="array" ref="E1020">INDEX('Linha 06'!$B$4:$B$1000,B1020)</f>
        <v>Multi Uso Aquafast Squeeze Cha Branco  Cx/12 X 500ml</v>
      </c>
      <c r="F1020" cm="1">
        <f t="array" ref="F1020">INDEX('Linha 06'!$C$3:$ZZ$3,C1020)</f>
        <v>20110026</v>
      </c>
      <c r="G1020" t="str" cm="1">
        <f t="array" ref="G1020">INDEX('Linha 06'!$C$2:$ZZ$2,C1020)</f>
        <v>Multi Uso Aquafast Pulverizador Poder O2 Cx/12 X 1l</v>
      </c>
      <c r="H1020" s="5" cm="1">
        <f t="array" ref="H1020">INDEX('Linha 06'!$C$4:$ZZ$1000,B1020,C1020)</f>
        <v>0</v>
      </c>
    </row>
    <row r="1021" spans="1:8" x14ac:dyDescent="0.25">
      <c r="A1021">
        <v>1019</v>
      </c>
      <c r="B1021">
        <f t="shared" si="30"/>
        <v>27</v>
      </c>
      <c r="C1021">
        <f t="shared" si="31"/>
        <v>31</v>
      </c>
      <c r="D1021" cm="1">
        <f t="array" ref="D1021">INDEX('Linha 06'!$A$4:$A$1000,B1021)</f>
        <v>20110023</v>
      </c>
      <c r="E1021" t="str" cm="1">
        <f t="array" ref="E1021">INDEX('Linha 06'!$B$4:$B$1000,B1021)</f>
        <v>Multi Uso Aquafast Squeeze Cha Branco  Cx/12 X 500ml</v>
      </c>
      <c r="F1021" cm="1">
        <f t="array" ref="F1021">INDEX('Linha 06'!$C$3:$ZZ$3,C1021)</f>
        <v>20110027</v>
      </c>
      <c r="G1021" t="str" cm="1">
        <f t="array" ref="G1021">INDEX('Linha 06'!$C$2:$ZZ$2,C1021)</f>
        <v>Multi Uso Aquafast Pulverizador Poder O2 Cx/12 X 500ml</v>
      </c>
      <c r="H1021" s="5" cm="1">
        <f t="array" ref="H1021">INDEX('Linha 06'!$C$4:$ZZ$1000,B1021,C1021)</f>
        <v>0</v>
      </c>
    </row>
    <row r="1022" spans="1:8" x14ac:dyDescent="0.25">
      <c r="A1022">
        <v>1020</v>
      </c>
      <c r="B1022">
        <f t="shared" si="30"/>
        <v>27</v>
      </c>
      <c r="C1022">
        <f t="shared" si="31"/>
        <v>32</v>
      </c>
      <c r="D1022" cm="1">
        <f t="array" ref="D1022">INDEX('Linha 06'!$A$4:$A$1000,B1022)</f>
        <v>20110023</v>
      </c>
      <c r="E1022" t="str" cm="1">
        <f t="array" ref="E1022">INDEX('Linha 06'!$B$4:$B$1000,B1022)</f>
        <v>Multi Uso Aquafast Squeeze Cha Branco  Cx/12 X 500ml</v>
      </c>
      <c r="F1022" cm="1">
        <f t="array" ref="F1022">INDEX('Linha 06'!$C$3:$ZZ$3,C1022)</f>
        <v>20200073</v>
      </c>
      <c r="G1022" t="str" cm="1">
        <f t="array" ref="G1022">INDEX('Linha 06'!$C$2:$ZZ$2,C1022)</f>
        <v>Lava Roupas Aquafast Lavagem Rapida Total Clean Cx/9 X 1,5l</v>
      </c>
      <c r="H1022" s="5" cm="1">
        <f t="array" ref="H1022">INDEX('Linha 06'!$C$4:$ZZ$1000,B1022,C1022)</f>
        <v>0</v>
      </c>
    </row>
    <row r="1023" spans="1:8" x14ac:dyDescent="0.25">
      <c r="A1023">
        <v>1021</v>
      </c>
      <c r="B1023">
        <f t="shared" si="30"/>
        <v>27</v>
      </c>
      <c r="C1023">
        <f t="shared" si="31"/>
        <v>33</v>
      </c>
      <c r="D1023" cm="1">
        <f t="array" ref="D1023">INDEX('Linha 06'!$A$4:$A$1000,B1023)</f>
        <v>20110023</v>
      </c>
      <c r="E1023" t="str" cm="1">
        <f t="array" ref="E1023">INDEX('Linha 06'!$B$4:$B$1000,B1023)</f>
        <v>Multi Uso Aquafast Squeeze Cha Branco  Cx/12 X 500ml</v>
      </c>
      <c r="F1023" cm="1">
        <f t="array" ref="F1023">INDEX('Linha 06'!$C$3:$ZZ$3,C1023)</f>
        <v>20200075</v>
      </c>
      <c r="G1023" t="str" cm="1">
        <f t="array" ref="G1023">INDEX('Linha 06'!$C$2:$ZZ$2,C1023)</f>
        <v>Lava Roupas Aquafast Lavagem Rapida Fresh Clean Cx/9 X 1,5l</v>
      </c>
      <c r="H1023" s="5" cm="1">
        <f t="array" ref="H1023">INDEX('Linha 06'!$C$4:$ZZ$1000,B1023,C1023)</f>
        <v>0</v>
      </c>
    </row>
    <row r="1024" spans="1:8" x14ac:dyDescent="0.25">
      <c r="A1024">
        <v>1022</v>
      </c>
      <c r="B1024">
        <f t="shared" si="30"/>
        <v>27</v>
      </c>
      <c r="C1024">
        <f t="shared" si="31"/>
        <v>34</v>
      </c>
      <c r="D1024" cm="1">
        <f t="array" ref="D1024">INDEX('Linha 06'!$A$4:$A$1000,B1024)</f>
        <v>20110023</v>
      </c>
      <c r="E1024" t="str" cm="1">
        <f t="array" ref="E1024">INDEX('Linha 06'!$B$4:$B$1000,B1024)</f>
        <v>Multi Uso Aquafast Squeeze Cha Branco  Cx/12 X 500ml</v>
      </c>
      <c r="F1024" cm="1">
        <f t="array" ref="F1024">INDEX('Linha 06'!$C$3:$ZZ$3,C1024)</f>
        <v>20220018</v>
      </c>
      <c r="G1024" t="str" cm="1">
        <f t="array" ref="G1024">INDEX('Linha 06'!$C$2:$ZZ$2,C1024)</f>
        <v>Intermed. Aromat. Amoras E Baunilha Cx C/ 12un 250ml</v>
      </c>
      <c r="H1024" s="5" cm="1">
        <f t="array" ref="H1024">INDEX('Linha 06'!$C$4:$ZZ$1000,B1024,C1024)</f>
        <v>0</v>
      </c>
    </row>
    <row r="1025" spans="1:8" x14ac:dyDescent="0.25">
      <c r="A1025">
        <v>1023</v>
      </c>
      <c r="B1025">
        <f t="shared" si="30"/>
        <v>27</v>
      </c>
      <c r="C1025">
        <f t="shared" si="31"/>
        <v>35</v>
      </c>
      <c r="D1025" cm="1">
        <f t="array" ref="D1025">INDEX('Linha 06'!$A$4:$A$1000,B1025)</f>
        <v>20110023</v>
      </c>
      <c r="E1025" t="str" cm="1">
        <f t="array" ref="E1025">INDEX('Linha 06'!$B$4:$B$1000,B1025)</f>
        <v>Multi Uso Aquafast Squeeze Cha Branco  Cx/12 X 500ml</v>
      </c>
      <c r="F1025" cm="1">
        <f t="array" ref="F1025">INDEX('Linha 06'!$C$3:$ZZ$3,C1025)</f>
        <v>20220019</v>
      </c>
      <c r="G1025" t="str" cm="1">
        <f t="array" ref="G1025">INDEX('Linha 06'!$C$2:$ZZ$2,C1025)</f>
        <v>Intermed. Aromat. Figo E Cedro Cx C/ 12un 250ml</v>
      </c>
      <c r="H1025" s="5" cm="1">
        <f t="array" ref="H1025">INDEX('Linha 06'!$C$4:$ZZ$1000,B1025,C1025)</f>
        <v>0</v>
      </c>
    </row>
    <row r="1026" spans="1:8" x14ac:dyDescent="0.25">
      <c r="A1026">
        <v>1024</v>
      </c>
      <c r="B1026">
        <f t="shared" si="30"/>
        <v>27</v>
      </c>
      <c r="C1026">
        <f t="shared" si="31"/>
        <v>36</v>
      </c>
      <c r="D1026" cm="1">
        <f t="array" ref="D1026">INDEX('Linha 06'!$A$4:$A$1000,B1026)</f>
        <v>20110023</v>
      </c>
      <c r="E1026" t="str" cm="1">
        <f t="array" ref="E1026">INDEX('Linha 06'!$B$4:$B$1000,B1026)</f>
        <v>Multi Uso Aquafast Squeeze Cha Branco  Cx/12 X 500ml</v>
      </c>
      <c r="F1026" cm="1">
        <f t="array" ref="F1026">INDEX('Linha 06'!$C$3:$ZZ$3,C1026)</f>
        <v>20220020</v>
      </c>
      <c r="G1026" t="str" cm="1">
        <f t="array" ref="G1026">INDEX('Linha 06'!$C$2:$ZZ$2,C1026)</f>
        <v>Intermed. Aromat. Rosas E Magnolias Cx C/ 12un 250ml</v>
      </c>
      <c r="H1026" s="5" cm="1">
        <f t="array" ref="H1026">INDEX('Linha 06'!$C$4:$ZZ$1000,B1026,C1026)</f>
        <v>0</v>
      </c>
    </row>
    <row r="1027" spans="1:8" x14ac:dyDescent="0.25">
      <c r="A1027">
        <v>1025</v>
      </c>
      <c r="B1027">
        <f t="shared" si="30"/>
        <v>27</v>
      </c>
      <c r="C1027">
        <f t="shared" si="31"/>
        <v>37</v>
      </c>
      <c r="D1027" cm="1">
        <f t="array" ref="D1027">INDEX('Linha 06'!$A$4:$A$1000,B1027)</f>
        <v>20110023</v>
      </c>
      <c r="E1027" t="str" cm="1">
        <f t="array" ref="E1027">INDEX('Linha 06'!$B$4:$B$1000,B1027)</f>
        <v>Multi Uso Aquafast Squeeze Cha Branco  Cx/12 X 500ml</v>
      </c>
      <c r="F1027" cm="1">
        <f t="array" ref="F1027">INDEX('Linha 06'!$C$3:$ZZ$3,C1027)</f>
        <v>20220021</v>
      </c>
      <c r="G1027" t="str" cm="1">
        <f t="array" ref="G1027">INDEX('Linha 06'!$C$2:$ZZ$2,C1027)</f>
        <v>Intermed. Aromat. Flores Exoticas Cx C/ 12un 250ml</v>
      </c>
      <c r="H1027" s="5" cm="1">
        <f t="array" ref="H1027">INDEX('Linha 06'!$C$4:$ZZ$1000,B1027,C1027)</f>
        <v>0</v>
      </c>
    </row>
    <row r="1028" spans="1:8" x14ac:dyDescent="0.25">
      <c r="A1028">
        <v>1026</v>
      </c>
      <c r="B1028">
        <f t="shared" ref="B1028:B1091" si="32">INT((A1028-1)/$B$1)+1</f>
        <v>27</v>
      </c>
      <c r="C1028">
        <f t="shared" ref="C1028:C1091" si="33">MOD(A1028-1,$B$1)+1</f>
        <v>38</v>
      </c>
      <c r="D1028" cm="1">
        <f t="array" ref="D1028">INDEX('Linha 06'!$A$4:$A$1000,B1028)</f>
        <v>20110023</v>
      </c>
      <c r="E1028" t="str" cm="1">
        <f t="array" ref="E1028">INDEX('Linha 06'!$B$4:$B$1000,B1028)</f>
        <v>Multi Uso Aquafast Squeeze Cha Branco  Cx/12 X 500ml</v>
      </c>
      <c r="F1028" cm="1">
        <f t="array" ref="F1028">INDEX('Linha 06'!$C$3:$ZZ$3,C1028)</f>
        <v>20220022</v>
      </c>
      <c r="G1028" t="str" cm="1">
        <f t="array" ref="G1028">INDEX('Linha 06'!$C$2:$ZZ$2,C1028)</f>
        <v>Intermed. Aromat. Cha Verde E Grapef Cx C/ 12un 250ml</v>
      </c>
      <c r="H1028" s="5" cm="1">
        <f t="array" ref="H1028">INDEX('Linha 06'!$C$4:$ZZ$1000,B1028,C1028)</f>
        <v>0</v>
      </c>
    </row>
    <row r="1029" spans="1:8" x14ac:dyDescent="0.25">
      <c r="A1029">
        <v>1027</v>
      </c>
      <c r="B1029">
        <f t="shared" si="32"/>
        <v>28</v>
      </c>
      <c r="C1029">
        <f t="shared" si="33"/>
        <v>1</v>
      </c>
      <c r="D1029" cm="1">
        <f t="array" ref="D1029">INDEX('Linha 06'!$A$4:$A$1000,B1029)</f>
        <v>20110024</v>
      </c>
      <c r="E1029" t="str" cm="1">
        <f t="array" ref="E1029">INDEX('Linha 06'!$B$4:$B$1000,B1029)</f>
        <v>Multi Uso Aquafast Squeeze Cha Branco Cx12 X 1l</v>
      </c>
      <c r="F1029" cm="1">
        <f t="array" ref="F1029">INDEX('Linha 06'!$C$3:$ZZ$3,C1029)</f>
        <v>20060001</v>
      </c>
      <c r="G1029" t="str" cm="1">
        <f t="array" ref="G1029">INDEX('Linha 06'!$C$2:$ZZ$2,C1029)</f>
        <v>Limp Perf Aquafast Magia Seducao Cx/12 X 500ml</v>
      </c>
      <c r="H1029" s="5" cm="1">
        <f t="array" ref="H1029">INDEX('Linha 06'!$C$4:$ZZ$1000,B1029,C1029)</f>
        <v>0</v>
      </c>
    </row>
    <row r="1030" spans="1:8" x14ac:dyDescent="0.25">
      <c r="A1030">
        <v>1028</v>
      </c>
      <c r="B1030">
        <f t="shared" si="32"/>
        <v>28</v>
      </c>
      <c r="C1030">
        <f t="shared" si="33"/>
        <v>2</v>
      </c>
      <c r="D1030" cm="1">
        <f t="array" ref="D1030">INDEX('Linha 06'!$A$4:$A$1000,B1030)</f>
        <v>20110024</v>
      </c>
      <c r="E1030" t="str" cm="1">
        <f t="array" ref="E1030">INDEX('Linha 06'!$B$4:$B$1000,B1030)</f>
        <v>Multi Uso Aquafast Squeeze Cha Branco Cx12 X 1l</v>
      </c>
      <c r="F1030" cm="1">
        <f t="array" ref="F1030">INDEX('Linha 06'!$C$3:$ZZ$3,C1030)</f>
        <v>20060004</v>
      </c>
      <c r="G1030" t="str" cm="1">
        <f t="array" ref="G1030">INDEX('Linha 06'!$C$2:$ZZ$2,C1030)</f>
        <v>Limp Perf Aquafast Magia Seducao Cx/12 X 1l</v>
      </c>
      <c r="H1030" s="5" cm="1">
        <f t="array" ref="H1030">INDEX('Linha 06'!$C$4:$ZZ$1000,B1030,C1030)</f>
        <v>0</v>
      </c>
    </row>
    <row r="1031" spans="1:8" x14ac:dyDescent="0.25">
      <c r="A1031">
        <v>1029</v>
      </c>
      <c r="B1031">
        <f t="shared" si="32"/>
        <v>28</v>
      </c>
      <c r="C1031">
        <f t="shared" si="33"/>
        <v>3</v>
      </c>
      <c r="D1031" cm="1">
        <f t="array" ref="D1031">INDEX('Linha 06'!$A$4:$A$1000,B1031)</f>
        <v>20110024</v>
      </c>
      <c r="E1031" t="str" cm="1">
        <f t="array" ref="E1031">INDEX('Linha 06'!$B$4:$B$1000,B1031)</f>
        <v>Multi Uso Aquafast Squeeze Cha Branco Cx12 X 1l</v>
      </c>
      <c r="F1031" cm="1">
        <f t="array" ref="F1031">INDEX('Linha 06'!$C$3:$ZZ$3,C1031)</f>
        <v>20060010</v>
      </c>
      <c r="G1031" t="str" cm="1">
        <f t="array" ref="G1031">INDEX('Linha 06'!$C$2:$ZZ$2,C1031)</f>
        <v>Limp Perf Aquafast Magia Da Infancia Cx/12 X 500ml</v>
      </c>
      <c r="H1031" s="5" cm="1">
        <f t="array" ref="H1031">INDEX('Linha 06'!$C$4:$ZZ$1000,B1031,C1031)</f>
        <v>0</v>
      </c>
    </row>
    <row r="1032" spans="1:8" x14ac:dyDescent="0.25">
      <c r="A1032">
        <v>1030</v>
      </c>
      <c r="B1032">
        <f t="shared" si="32"/>
        <v>28</v>
      </c>
      <c r="C1032">
        <f t="shared" si="33"/>
        <v>4</v>
      </c>
      <c r="D1032" cm="1">
        <f t="array" ref="D1032">INDEX('Linha 06'!$A$4:$A$1000,B1032)</f>
        <v>20110024</v>
      </c>
      <c r="E1032" t="str" cm="1">
        <f t="array" ref="E1032">INDEX('Linha 06'!$B$4:$B$1000,B1032)</f>
        <v>Multi Uso Aquafast Squeeze Cha Branco Cx12 X 1l</v>
      </c>
      <c r="F1032" cm="1">
        <f t="array" ref="F1032">INDEX('Linha 06'!$C$3:$ZZ$3,C1032)</f>
        <v>20060011</v>
      </c>
      <c r="G1032" t="str" cm="1">
        <f t="array" ref="G1032">INDEX('Linha 06'!$C$2:$ZZ$2,C1032)</f>
        <v>Limp Perf Aquafast Frescor Da Manha Cx/12 X 500ml</v>
      </c>
      <c r="H1032" s="5" cm="1">
        <f t="array" ref="H1032">INDEX('Linha 06'!$C$4:$ZZ$1000,B1032,C1032)</f>
        <v>0</v>
      </c>
    </row>
    <row r="1033" spans="1:8" x14ac:dyDescent="0.25">
      <c r="A1033">
        <v>1031</v>
      </c>
      <c r="B1033">
        <f t="shared" si="32"/>
        <v>28</v>
      </c>
      <c r="C1033">
        <f t="shared" si="33"/>
        <v>5</v>
      </c>
      <c r="D1033" cm="1">
        <f t="array" ref="D1033">INDEX('Linha 06'!$A$4:$A$1000,B1033)</f>
        <v>20110024</v>
      </c>
      <c r="E1033" t="str" cm="1">
        <f t="array" ref="E1033">INDEX('Linha 06'!$B$4:$B$1000,B1033)</f>
        <v>Multi Uso Aquafast Squeeze Cha Branco Cx12 X 1l</v>
      </c>
      <c r="F1033" cm="1">
        <f t="array" ref="F1033">INDEX('Linha 06'!$C$3:$ZZ$3,C1033)</f>
        <v>20060012</v>
      </c>
      <c r="G1033" t="str" cm="1">
        <f t="array" ref="G1033">INDEX('Linha 06'!$C$2:$ZZ$2,C1033)</f>
        <v>Limp Perf Aquafast Magia Da Infancia Cx/12 X 1l</v>
      </c>
      <c r="H1033" s="5" cm="1">
        <f t="array" ref="H1033">INDEX('Linha 06'!$C$4:$ZZ$1000,B1033,C1033)</f>
        <v>0</v>
      </c>
    </row>
    <row r="1034" spans="1:8" x14ac:dyDescent="0.25">
      <c r="A1034">
        <v>1032</v>
      </c>
      <c r="B1034">
        <f t="shared" si="32"/>
        <v>28</v>
      </c>
      <c r="C1034">
        <f t="shared" si="33"/>
        <v>6</v>
      </c>
      <c r="D1034" cm="1">
        <f t="array" ref="D1034">INDEX('Linha 06'!$A$4:$A$1000,B1034)</f>
        <v>20110024</v>
      </c>
      <c r="E1034" t="str" cm="1">
        <f t="array" ref="E1034">INDEX('Linha 06'!$B$4:$B$1000,B1034)</f>
        <v>Multi Uso Aquafast Squeeze Cha Branco Cx12 X 1l</v>
      </c>
      <c r="F1034" cm="1">
        <f t="array" ref="F1034">INDEX('Linha 06'!$C$3:$ZZ$3,C1034)</f>
        <v>20060013</v>
      </c>
      <c r="G1034" t="str" cm="1">
        <f t="array" ref="G1034">INDEX('Linha 06'!$C$2:$ZZ$2,C1034)</f>
        <v>Limp Perf Aquafast Frescor Da Manha Cx/12 X 1l</v>
      </c>
      <c r="H1034" s="5" cm="1">
        <f t="array" ref="H1034">INDEX('Linha 06'!$C$4:$ZZ$1000,B1034,C1034)</f>
        <v>0</v>
      </c>
    </row>
    <row r="1035" spans="1:8" x14ac:dyDescent="0.25">
      <c r="A1035">
        <v>1033</v>
      </c>
      <c r="B1035">
        <f t="shared" si="32"/>
        <v>28</v>
      </c>
      <c r="C1035">
        <f t="shared" si="33"/>
        <v>7</v>
      </c>
      <c r="D1035" cm="1">
        <f t="array" ref="D1035">INDEX('Linha 06'!$A$4:$A$1000,B1035)</f>
        <v>20110024</v>
      </c>
      <c r="E1035" t="str" cm="1">
        <f t="array" ref="E1035">INDEX('Linha 06'!$B$4:$B$1000,B1035)</f>
        <v>Multi Uso Aquafast Squeeze Cha Branco Cx12 X 1l</v>
      </c>
      <c r="F1035" cm="1">
        <f t="array" ref="F1035">INDEX('Linha 06'!$C$3:$ZZ$3,C1035)</f>
        <v>20060015</v>
      </c>
      <c r="G1035" t="str" cm="1">
        <f t="array" ref="G1035">INDEX('Linha 06'!$C$2:$ZZ$2,C1035)</f>
        <v>Limp Perf Aquafast Doce Romance Cx/12 X 500ml</v>
      </c>
      <c r="H1035" s="5" cm="1">
        <f t="array" ref="H1035">INDEX('Linha 06'!$C$4:$ZZ$1000,B1035,C1035)</f>
        <v>0</v>
      </c>
    </row>
    <row r="1036" spans="1:8" x14ac:dyDescent="0.25">
      <c r="A1036">
        <v>1034</v>
      </c>
      <c r="B1036">
        <f t="shared" si="32"/>
        <v>28</v>
      </c>
      <c r="C1036">
        <f t="shared" si="33"/>
        <v>8</v>
      </c>
      <c r="D1036" cm="1">
        <f t="array" ref="D1036">INDEX('Linha 06'!$A$4:$A$1000,B1036)</f>
        <v>20110024</v>
      </c>
      <c r="E1036" t="str" cm="1">
        <f t="array" ref="E1036">INDEX('Linha 06'!$B$4:$B$1000,B1036)</f>
        <v>Multi Uso Aquafast Squeeze Cha Branco Cx12 X 1l</v>
      </c>
      <c r="F1036" cm="1">
        <f t="array" ref="F1036">INDEX('Linha 06'!$C$3:$ZZ$3,C1036)</f>
        <v>20060016</v>
      </c>
      <c r="G1036" t="str" cm="1">
        <f t="array" ref="G1036">INDEX('Linha 06'!$C$2:$ZZ$2,C1036)</f>
        <v>Limp Perf Aquafast Doce Romance Cx/12 X 1l</v>
      </c>
      <c r="H1036" s="5" cm="1">
        <f t="array" ref="H1036">INDEX('Linha 06'!$C$4:$ZZ$1000,B1036,C1036)</f>
        <v>0</v>
      </c>
    </row>
    <row r="1037" spans="1:8" x14ac:dyDescent="0.25">
      <c r="A1037">
        <v>1035</v>
      </c>
      <c r="B1037">
        <f t="shared" si="32"/>
        <v>28</v>
      </c>
      <c r="C1037">
        <f t="shared" si="33"/>
        <v>9</v>
      </c>
      <c r="D1037" cm="1">
        <f t="array" ref="D1037">INDEX('Linha 06'!$A$4:$A$1000,B1037)</f>
        <v>20110024</v>
      </c>
      <c r="E1037" t="str" cm="1">
        <f t="array" ref="E1037">INDEX('Linha 06'!$B$4:$B$1000,B1037)</f>
        <v>Multi Uso Aquafast Squeeze Cha Branco Cx12 X 1l</v>
      </c>
      <c r="F1037" cm="1">
        <f t="array" ref="F1037">INDEX('Linha 06'!$C$3:$ZZ$3,C1037)</f>
        <v>20060027</v>
      </c>
      <c r="G1037" t="str" cm="1">
        <f t="array" ref="G1037">INDEX('Linha 06'!$C$2:$ZZ$2,C1037)</f>
        <v>Limp Perf Aquafast Essencia Natural Cx/12 X 1l</v>
      </c>
      <c r="H1037" s="5" cm="1">
        <f t="array" ref="H1037">INDEX('Linha 06'!$C$4:$ZZ$1000,B1037,C1037)</f>
        <v>0</v>
      </c>
    </row>
    <row r="1038" spans="1:8" x14ac:dyDescent="0.25">
      <c r="A1038">
        <v>1036</v>
      </c>
      <c r="B1038">
        <f t="shared" si="32"/>
        <v>28</v>
      </c>
      <c r="C1038">
        <f t="shared" si="33"/>
        <v>10</v>
      </c>
      <c r="D1038" cm="1">
        <f t="array" ref="D1038">INDEX('Linha 06'!$A$4:$A$1000,B1038)</f>
        <v>20110024</v>
      </c>
      <c r="E1038" t="str" cm="1">
        <f t="array" ref="E1038">INDEX('Linha 06'!$B$4:$B$1000,B1038)</f>
        <v>Multi Uso Aquafast Squeeze Cha Branco Cx12 X 1l</v>
      </c>
      <c r="F1038" cm="1">
        <f t="array" ref="F1038">INDEX('Linha 06'!$C$3:$ZZ$3,C1038)</f>
        <v>20070001</v>
      </c>
      <c r="G1038" t="str" cm="1">
        <f t="array" ref="G1038">INDEX('Linha 06'!$C$2:$ZZ$2,C1038)</f>
        <v>Limpa Vidros Aquafast Pulverizador Cx/12 X 500ml</v>
      </c>
      <c r="H1038" s="5" cm="1">
        <f t="array" ref="H1038">INDEX('Linha 06'!$C$4:$ZZ$1000,B1038,C1038)</f>
        <v>0</v>
      </c>
    </row>
    <row r="1039" spans="1:8" x14ac:dyDescent="0.25">
      <c r="A1039">
        <v>1037</v>
      </c>
      <c r="B1039">
        <f t="shared" si="32"/>
        <v>28</v>
      </c>
      <c r="C1039">
        <f t="shared" si="33"/>
        <v>11</v>
      </c>
      <c r="D1039" cm="1">
        <f t="array" ref="D1039">INDEX('Linha 06'!$A$4:$A$1000,B1039)</f>
        <v>20110024</v>
      </c>
      <c r="E1039" t="str" cm="1">
        <f t="array" ref="E1039">INDEX('Linha 06'!$B$4:$B$1000,B1039)</f>
        <v>Multi Uso Aquafast Squeeze Cha Branco Cx12 X 1l</v>
      </c>
      <c r="F1039" cm="1">
        <f t="array" ref="F1039">INDEX('Linha 06'!$C$3:$ZZ$3,C1039)</f>
        <v>20070002</v>
      </c>
      <c r="G1039" t="str" cm="1">
        <f t="array" ref="G1039">INDEX('Linha 06'!$C$2:$ZZ$2,C1039)</f>
        <v>Limpa Vidros Aquafast Recarga Cx/12 X 500ml</v>
      </c>
      <c r="H1039" s="5" cm="1">
        <f t="array" ref="H1039">INDEX('Linha 06'!$C$4:$ZZ$1000,B1039,C1039)</f>
        <v>0</v>
      </c>
    </row>
    <row r="1040" spans="1:8" x14ac:dyDescent="0.25">
      <c r="A1040">
        <v>1038</v>
      </c>
      <c r="B1040">
        <f t="shared" si="32"/>
        <v>28</v>
      </c>
      <c r="C1040">
        <f t="shared" si="33"/>
        <v>12</v>
      </c>
      <c r="D1040" cm="1">
        <f t="array" ref="D1040">INDEX('Linha 06'!$A$4:$A$1000,B1040)</f>
        <v>20110024</v>
      </c>
      <c r="E1040" t="str" cm="1">
        <f t="array" ref="E1040">INDEX('Linha 06'!$B$4:$B$1000,B1040)</f>
        <v>Multi Uso Aquafast Squeeze Cha Branco Cx12 X 1l</v>
      </c>
      <c r="F1040" cm="1">
        <f t="array" ref="F1040">INDEX('Linha 06'!$C$3:$ZZ$3,C1040)</f>
        <v>20070006</v>
      </c>
      <c r="G1040" t="str" cm="1">
        <f t="array" ref="G1040">INDEX('Linha 06'!$C$2:$ZZ$2,C1040)</f>
        <v>Limpa Vidros Ito Pulverizador Cx/12 X 500ml</v>
      </c>
      <c r="H1040" s="5" cm="1">
        <f t="array" ref="H1040">INDEX('Linha 06'!$C$4:$ZZ$1000,B1040,C1040)</f>
        <v>0</v>
      </c>
    </row>
    <row r="1041" spans="1:8" x14ac:dyDescent="0.25">
      <c r="A1041">
        <v>1039</v>
      </c>
      <c r="B1041">
        <f t="shared" si="32"/>
        <v>28</v>
      </c>
      <c r="C1041">
        <f t="shared" si="33"/>
        <v>13</v>
      </c>
      <c r="D1041" cm="1">
        <f t="array" ref="D1041">INDEX('Linha 06'!$A$4:$A$1000,B1041)</f>
        <v>20110024</v>
      </c>
      <c r="E1041" t="str" cm="1">
        <f t="array" ref="E1041">INDEX('Linha 06'!$B$4:$B$1000,B1041)</f>
        <v>Multi Uso Aquafast Squeeze Cha Branco Cx12 X 1l</v>
      </c>
      <c r="F1041" cm="1">
        <f t="array" ref="F1041">INDEX('Linha 06'!$C$3:$ZZ$3,C1041)</f>
        <v>20070007</v>
      </c>
      <c r="G1041" t="str" cm="1">
        <f t="array" ref="G1041">INDEX('Linha 06'!$C$2:$ZZ$2,C1041)</f>
        <v>Limpa Vidros Ito Recarga Cx/12 X 500ml</v>
      </c>
      <c r="H1041" s="5" cm="1">
        <f t="array" ref="H1041">INDEX('Linha 06'!$C$4:$ZZ$1000,B1041,C1041)</f>
        <v>0</v>
      </c>
    </row>
    <row r="1042" spans="1:8" x14ac:dyDescent="0.25">
      <c r="A1042">
        <v>1040</v>
      </c>
      <c r="B1042">
        <f t="shared" si="32"/>
        <v>28</v>
      </c>
      <c r="C1042">
        <f t="shared" si="33"/>
        <v>14</v>
      </c>
      <c r="D1042" cm="1">
        <f t="array" ref="D1042">INDEX('Linha 06'!$A$4:$A$1000,B1042)</f>
        <v>20110024</v>
      </c>
      <c r="E1042" t="str" cm="1">
        <f t="array" ref="E1042">INDEX('Linha 06'!$B$4:$B$1000,B1042)</f>
        <v>Multi Uso Aquafast Squeeze Cha Branco Cx12 X 1l</v>
      </c>
      <c r="F1042" cm="1">
        <f t="array" ref="F1042">INDEX('Linha 06'!$C$3:$ZZ$3,C1042)</f>
        <v>20070008</v>
      </c>
      <c r="G1042" t="str" cm="1">
        <f t="array" ref="G1042">INDEX('Linha 06'!$C$2:$ZZ$2,C1042)</f>
        <v>Limpa Vidros Aquafast Squeeze Cx/12 X 500ml</v>
      </c>
      <c r="H1042" s="5" cm="1">
        <f t="array" ref="H1042">INDEX('Linha 06'!$C$4:$ZZ$1000,B1042,C1042)</f>
        <v>0</v>
      </c>
    </row>
    <row r="1043" spans="1:8" x14ac:dyDescent="0.25">
      <c r="A1043">
        <v>1041</v>
      </c>
      <c r="B1043">
        <f t="shared" si="32"/>
        <v>28</v>
      </c>
      <c r="C1043">
        <f t="shared" si="33"/>
        <v>15</v>
      </c>
      <c r="D1043" cm="1">
        <f t="array" ref="D1043">INDEX('Linha 06'!$A$4:$A$1000,B1043)</f>
        <v>20110024</v>
      </c>
      <c r="E1043" t="str" cm="1">
        <f t="array" ref="E1043">INDEX('Linha 06'!$B$4:$B$1000,B1043)</f>
        <v>Multi Uso Aquafast Squeeze Cha Branco Cx12 X 1l</v>
      </c>
      <c r="F1043" cm="1">
        <f t="array" ref="F1043">INDEX('Linha 06'!$C$3:$ZZ$3,C1043)</f>
        <v>20090001</v>
      </c>
      <c r="G1043" t="str" cm="1">
        <f t="array" ref="G1043">INDEX('Linha 06'!$C$2:$ZZ$2,C1043)</f>
        <v>Desengordurante Aquafast Pulverizador Cx/12 X 500ml</v>
      </c>
      <c r="H1043" s="5" cm="1">
        <f t="array" ref="H1043">INDEX('Linha 06'!$C$4:$ZZ$1000,B1043,C1043)</f>
        <v>0</v>
      </c>
    </row>
    <row r="1044" spans="1:8" x14ac:dyDescent="0.25">
      <c r="A1044">
        <v>1042</v>
      </c>
      <c r="B1044">
        <f t="shared" si="32"/>
        <v>28</v>
      </c>
      <c r="C1044">
        <f t="shared" si="33"/>
        <v>16</v>
      </c>
      <c r="D1044" cm="1">
        <f t="array" ref="D1044">INDEX('Linha 06'!$A$4:$A$1000,B1044)</f>
        <v>20110024</v>
      </c>
      <c r="E1044" t="str" cm="1">
        <f t="array" ref="E1044">INDEX('Linha 06'!$B$4:$B$1000,B1044)</f>
        <v>Multi Uso Aquafast Squeeze Cha Branco Cx12 X 1l</v>
      </c>
      <c r="F1044" cm="1">
        <f t="array" ref="F1044">INDEX('Linha 06'!$C$3:$ZZ$3,C1044)</f>
        <v>20090002</v>
      </c>
      <c r="G1044" t="str" cm="1">
        <f t="array" ref="G1044">INDEX('Linha 06'!$C$2:$ZZ$2,C1044)</f>
        <v>Desengordurante Aquafast Recarga Cx/12 X 500ml</v>
      </c>
      <c r="H1044" s="5" cm="1">
        <f t="array" ref="H1044">INDEX('Linha 06'!$C$4:$ZZ$1000,B1044,C1044)</f>
        <v>0</v>
      </c>
    </row>
    <row r="1045" spans="1:8" x14ac:dyDescent="0.25">
      <c r="A1045">
        <v>1043</v>
      </c>
      <c r="B1045">
        <f t="shared" si="32"/>
        <v>28</v>
      </c>
      <c r="C1045">
        <f t="shared" si="33"/>
        <v>17</v>
      </c>
      <c r="D1045" cm="1">
        <f t="array" ref="D1045">INDEX('Linha 06'!$A$4:$A$1000,B1045)</f>
        <v>20110024</v>
      </c>
      <c r="E1045" t="str" cm="1">
        <f t="array" ref="E1045">INDEX('Linha 06'!$B$4:$B$1000,B1045)</f>
        <v>Multi Uso Aquafast Squeeze Cha Branco Cx12 X 1l</v>
      </c>
      <c r="F1045" cm="1">
        <f t="array" ref="F1045">INDEX('Linha 06'!$C$3:$ZZ$3,C1045)</f>
        <v>20090004</v>
      </c>
      <c r="G1045" t="str" cm="1">
        <f t="array" ref="G1045">INDEX('Linha 06'!$C$2:$ZZ$2,C1045)</f>
        <v>Desengordurante Aquafast Squeeze Cx C/12 X 500ml</v>
      </c>
      <c r="H1045" s="5" cm="1">
        <f t="array" ref="H1045">INDEX('Linha 06'!$C$4:$ZZ$1000,B1045,C1045)</f>
        <v>0</v>
      </c>
    </row>
    <row r="1046" spans="1:8" x14ac:dyDescent="0.25">
      <c r="A1046">
        <v>1044</v>
      </c>
      <c r="B1046">
        <f t="shared" si="32"/>
        <v>28</v>
      </c>
      <c r="C1046">
        <f t="shared" si="33"/>
        <v>18</v>
      </c>
      <c r="D1046" cm="1">
        <f t="array" ref="D1046">INDEX('Linha 06'!$A$4:$A$1000,B1046)</f>
        <v>20110024</v>
      </c>
      <c r="E1046" t="str" cm="1">
        <f t="array" ref="E1046">INDEX('Linha 06'!$B$4:$B$1000,B1046)</f>
        <v>Multi Uso Aquafast Squeeze Cha Branco Cx12 X 1l</v>
      </c>
      <c r="F1046" cm="1">
        <f t="array" ref="F1046">INDEX('Linha 06'!$C$3:$ZZ$3,C1046)</f>
        <v>20090005</v>
      </c>
      <c r="G1046" t="str" cm="1">
        <f t="array" ref="G1046">INDEX('Linha 06'!$C$2:$ZZ$2,C1046)</f>
        <v>Desengordurante Aquafast Squeeze Cx C/12 X 1l</v>
      </c>
      <c r="H1046" s="5" cm="1">
        <f t="array" ref="H1046">INDEX('Linha 06'!$C$4:$ZZ$1000,B1046,C1046)</f>
        <v>0</v>
      </c>
    </row>
    <row r="1047" spans="1:8" x14ac:dyDescent="0.25">
      <c r="A1047">
        <v>1045</v>
      </c>
      <c r="B1047">
        <f t="shared" si="32"/>
        <v>28</v>
      </c>
      <c r="C1047">
        <f t="shared" si="33"/>
        <v>19</v>
      </c>
      <c r="D1047" cm="1">
        <f t="array" ref="D1047">INDEX('Linha 06'!$A$4:$A$1000,B1047)</f>
        <v>20110024</v>
      </c>
      <c r="E1047" t="str" cm="1">
        <f t="array" ref="E1047">INDEX('Linha 06'!$B$4:$B$1000,B1047)</f>
        <v>Multi Uso Aquafast Squeeze Cha Branco Cx12 X 1l</v>
      </c>
      <c r="F1047" cm="1">
        <f t="array" ref="F1047">INDEX('Linha 06'!$C$3:$ZZ$3,C1047)</f>
        <v>20090010</v>
      </c>
      <c r="G1047" t="str" cm="1">
        <f t="array" ref="G1047">INDEX('Linha 06'!$C$2:$ZZ$2,C1047)</f>
        <v>Intermed Pack Desengord Squeeze Cx C/18 X 500ml</v>
      </c>
      <c r="H1047" s="5" cm="1">
        <f t="array" ref="H1047">INDEX('Linha 06'!$C$4:$ZZ$1000,B1047,C1047)</f>
        <v>0</v>
      </c>
    </row>
    <row r="1048" spans="1:8" x14ac:dyDescent="0.25">
      <c r="A1048">
        <v>1046</v>
      </c>
      <c r="B1048">
        <f t="shared" si="32"/>
        <v>28</v>
      </c>
      <c r="C1048">
        <f t="shared" si="33"/>
        <v>20</v>
      </c>
      <c r="D1048" cm="1">
        <f t="array" ref="D1048">INDEX('Linha 06'!$A$4:$A$1000,B1048)</f>
        <v>20110024</v>
      </c>
      <c r="E1048" t="str" cm="1">
        <f t="array" ref="E1048">INDEX('Linha 06'!$B$4:$B$1000,B1048)</f>
        <v>Multi Uso Aquafast Squeeze Cha Branco Cx12 X 1l</v>
      </c>
      <c r="F1048" cm="1">
        <f t="array" ref="F1048">INDEX('Linha 06'!$C$3:$ZZ$3,C1048)</f>
        <v>20110002</v>
      </c>
      <c r="G1048" t="str" cm="1">
        <f t="array" ref="G1048">INDEX('Linha 06'!$C$2:$ZZ$2,C1048)</f>
        <v>Multi Uso Aquafast Squeeze Original Cx/12 X 500ml</v>
      </c>
      <c r="H1048" s="5" cm="1">
        <f t="array" ref="H1048">INDEX('Linha 06'!$C$4:$ZZ$1000,B1048,C1048)</f>
        <v>0</v>
      </c>
    </row>
    <row r="1049" spans="1:8" x14ac:dyDescent="0.25">
      <c r="A1049">
        <v>1047</v>
      </c>
      <c r="B1049">
        <f t="shared" si="32"/>
        <v>28</v>
      </c>
      <c r="C1049">
        <f t="shared" si="33"/>
        <v>21</v>
      </c>
      <c r="D1049" cm="1">
        <f t="array" ref="D1049">INDEX('Linha 06'!$A$4:$A$1000,B1049)</f>
        <v>20110024</v>
      </c>
      <c r="E1049" t="str" cm="1">
        <f t="array" ref="E1049">INDEX('Linha 06'!$B$4:$B$1000,B1049)</f>
        <v>Multi Uso Aquafast Squeeze Cha Branco Cx12 X 1l</v>
      </c>
      <c r="F1049" cm="1">
        <f t="array" ref="F1049">INDEX('Linha 06'!$C$3:$ZZ$3,C1049)</f>
        <v>20110004</v>
      </c>
      <c r="G1049" t="str" cm="1">
        <f t="array" ref="G1049">INDEX('Linha 06'!$C$2:$ZZ$2,C1049)</f>
        <v>Multi Uso Aquafast Squeeze Lavanda Cx/12 X 500ml</v>
      </c>
      <c r="H1049" s="5" cm="1">
        <f t="array" ref="H1049">INDEX('Linha 06'!$C$4:$ZZ$1000,B1049,C1049)</f>
        <v>0</v>
      </c>
    </row>
    <row r="1050" spans="1:8" x14ac:dyDescent="0.25">
      <c r="A1050">
        <v>1048</v>
      </c>
      <c r="B1050">
        <f t="shared" si="32"/>
        <v>28</v>
      </c>
      <c r="C1050">
        <f t="shared" si="33"/>
        <v>22</v>
      </c>
      <c r="D1050" cm="1">
        <f t="array" ref="D1050">INDEX('Linha 06'!$A$4:$A$1000,B1050)</f>
        <v>20110024</v>
      </c>
      <c r="E1050" t="str" cm="1">
        <f t="array" ref="E1050">INDEX('Linha 06'!$B$4:$B$1000,B1050)</f>
        <v>Multi Uso Aquafast Squeeze Cha Branco Cx12 X 1l</v>
      </c>
      <c r="F1050" cm="1">
        <f t="array" ref="F1050">INDEX('Linha 06'!$C$3:$ZZ$3,C1050)</f>
        <v>20110007</v>
      </c>
      <c r="G1050" t="str" cm="1">
        <f t="array" ref="G1050">INDEX('Linha 06'!$C$2:$ZZ$2,C1050)</f>
        <v>Multi Uso Aquafast Squeeze Seducao Cx/12 X 500ml</v>
      </c>
      <c r="H1050" s="5" cm="1">
        <f t="array" ref="H1050">INDEX('Linha 06'!$C$4:$ZZ$1000,B1050,C1050)</f>
        <v>0</v>
      </c>
    </row>
    <row r="1051" spans="1:8" x14ac:dyDescent="0.25">
      <c r="A1051">
        <v>1049</v>
      </c>
      <c r="B1051">
        <f t="shared" si="32"/>
        <v>28</v>
      </c>
      <c r="C1051">
        <f t="shared" si="33"/>
        <v>23</v>
      </c>
      <c r="D1051" cm="1">
        <f t="array" ref="D1051">INDEX('Linha 06'!$A$4:$A$1000,B1051)</f>
        <v>20110024</v>
      </c>
      <c r="E1051" t="str" cm="1">
        <f t="array" ref="E1051">INDEX('Linha 06'!$B$4:$B$1000,B1051)</f>
        <v>Multi Uso Aquafast Squeeze Cha Branco Cx12 X 1l</v>
      </c>
      <c r="F1051" cm="1">
        <f t="array" ref="F1051">INDEX('Linha 06'!$C$3:$ZZ$3,C1051)</f>
        <v>20110008</v>
      </c>
      <c r="G1051" t="str" cm="1">
        <f t="array" ref="G1051">INDEX('Linha 06'!$C$2:$ZZ$2,C1051)</f>
        <v>Multi Uso Aquafast Squeeze Original Cx/12 X 1l</v>
      </c>
      <c r="H1051" s="5" cm="1">
        <f t="array" ref="H1051">INDEX('Linha 06'!$C$4:$ZZ$1000,B1051,C1051)</f>
        <v>0</v>
      </c>
    </row>
    <row r="1052" spans="1:8" x14ac:dyDescent="0.25">
      <c r="A1052">
        <v>1050</v>
      </c>
      <c r="B1052">
        <f t="shared" si="32"/>
        <v>28</v>
      </c>
      <c r="C1052">
        <f t="shared" si="33"/>
        <v>24</v>
      </c>
      <c r="D1052" cm="1">
        <f t="array" ref="D1052">INDEX('Linha 06'!$A$4:$A$1000,B1052)</f>
        <v>20110024</v>
      </c>
      <c r="E1052" t="str" cm="1">
        <f t="array" ref="E1052">INDEX('Linha 06'!$B$4:$B$1000,B1052)</f>
        <v>Multi Uso Aquafast Squeeze Cha Branco Cx12 X 1l</v>
      </c>
      <c r="F1052" cm="1">
        <f t="array" ref="F1052">INDEX('Linha 06'!$C$3:$ZZ$3,C1052)</f>
        <v>20110010</v>
      </c>
      <c r="G1052" t="str" cm="1">
        <f t="array" ref="G1052">INDEX('Linha 06'!$C$2:$ZZ$2,C1052)</f>
        <v>Multi Uso Aquafast Squeeze Seducao Cx/12 1l</v>
      </c>
      <c r="H1052" s="5" cm="1">
        <f t="array" ref="H1052">INDEX('Linha 06'!$C$4:$ZZ$1000,B1052,C1052)</f>
        <v>0</v>
      </c>
    </row>
    <row r="1053" spans="1:8" x14ac:dyDescent="0.25">
      <c r="A1053">
        <v>1051</v>
      </c>
      <c r="B1053">
        <f t="shared" si="32"/>
        <v>28</v>
      </c>
      <c r="C1053">
        <f t="shared" si="33"/>
        <v>25</v>
      </c>
      <c r="D1053" cm="1">
        <f t="array" ref="D1053">INDEX('Linha 06'!$A$4:$A$1000,B1053)</f>
        <v>20110024</v>
      </c>
      <c r="E1053" t="str" cm="1">
        <f t="array" ref="E1053">INDEX('Linha 06'!$B$4:$B$1000,B1053)</f>
        <v>Multi Uso Aquafast Squeeze Cha Branco Cx12 X 1l</v>
      </c>
      <c r="F1053" cm="1">
        <f t="array" ref="F1053">INDEX('Linha 06'!$C$3:$ZZ$3,C1053)</f>
        <v>20110013</v>
      </c>
      <c r="G1053" t="str" cm="1">
        <f t="array" ref="G1053">INDEX('Linha 06'!$C$2:$ZZ$2,C1053)</f>
        <v>Multi Uso Aquafast Squeeze Lavanda Cx/12 X 1l</v>
      </c>
      <c r="H1053" s="5" cm="1">
        <f t="array" ref="H1053">INDEX('Linha 06'!$C$4:$ZZ$1000,B1053,C1053)</f>
        <v>0</v>
      </c>
    </row>
    <row r="1054" spans="1:8" x14ac:dyDescent="0.25">
      <c r="A1054">
        <v>1052</v>
      </c>
      <c r="B1054">
        <f t="shared" si="32"/>
        <v>28</v>
      </c>
      <c r="C1054">
        <f t="shared" si="33"/>
        <v>26</v>
      </c>
      <c r="D1054" cm="1">
        <f t="array" ref="D1054">INDEX('Linha 06'!$A$4:$A$1000,B1054)</f>
        <v>20110024</v>
      </c>
      <c r="E1054" t="str" cm="1">
        <f t="array" ref="E1054">INDEX('Linha 06'!$B$4:$B$1000,B1054)</f>
        <v>Multi Uso Aquafast Squeeze Cha Branco Cx12 X 1l</v>
      </c>
      <c r="F1054" cm="1">
        <f t="array" ref="F1054">INDEX('Linha 06'!$C$3:$ZZ$3,C1054)</f>
        <v>20110022</v>
      </c>
      <c r="G1054" t="str" cm="1">
        <f t="array" ref="G1054">INDEX('Linha 06'!$C$2:$ZZ$2,C1054)</f>
        <v>Intermed Pack Multi Uso Lavand C/Alcool Cx/18 X 500ml</v>
      </c>
      <c r="H1054" s="5" cm="1">
        <f t="array" ref="H1054">INDEX('Linha 06'!$C$4:$ZZ$1000,B1054,C1054)</f>
        <v>0</v>
      </c>
    </row>
    <row r="1055" spans="1:8" x14ac:dyDescent="0.25">
      <c r="A1055">
        <v>1053</v>
      </c>
      <c r="B1055">
        <f t="shared" si="32"/>
        <v>28</v>
      </c>
      <c r="C1055">
        <f t="shared" si="33"/>
        <v>27</v>
      </c>
      <c r="D1055" cm="1">
        <f t="array" ref="D1055">INDEX('Linha 06'!$A$4:$A$1000,B1055)</f>
        <v>20110024</v>
      </c>
      <c r="E1055" t="str" cm="1">
        <f t="array" ref="E1055">INDEX('Linha 06'!$B$4:$B$1000,B1055)</f>
        <v>Multi Uso Aquafast Squeeze Cha Branco Cx12 X 1l</v>
      </c>
      <c r="F1055" cm="1">
        <f t="array" ref="F1055">INDEX('Linha 06'!$C$3:$ZZ$3,C1055)</f>
        <v>20110023</v>
      </c>
      <c r="G1055" t="str" cm="1">
        <f t="array" ref="G1055">INDEX('Linha 06'!$C$2:$ZZ$2,C1055)</f>
        <v>Multi Uso Aquafast Squeeze Cha Branco  Cx/12 X 500ml</v>
      </c>
      <c r="H1055" s="5" cm="1">
        <f t="array" ref="H1055">INDEX('Linha 06'!$C$4:$ZZ$1000,B1055,C1055)</f>
        <v>0</v>
      </c>
    </row>
    <row r="1056" spans="1:8" x14ac:dyDescent="0.25">
      <c r="A1056">
        <v>1054</v>
      </c>
      <c r="B1056">
        <f t="shared" si="32"/>
        <v>28</v>
      </c>
      <c r="C1056">
        <f t="shared" si="33"/>
        <v>28</v>
      </c>
      <c r="D1056" cm="1">
        <f t="array" ref="D1056">INDEX('Linha 06'!$A$4:$A$1000,B1056)</f>
        <v>20110024</v>
      </c>
      <c r="E1056" t="str" cm="1">
        <f t="array" ref="E1056">INDEX('Linha 06'!$B$4:$B$1000,B1056)</f>
        <v>Multi Uso Aquafast Squeeze Cha Branco Cx12 X 1l</v>
      </c>
      <c r="F1056" cm="1">
        <f t="array" ref="F1056">INDEX('Linha 06'!$C$3:$ZZ$3,C1056)</f>
        <v>20110024</v>
      </c>
      <c r="G1056" t="str" cm="1">
        <f t="array" ref="G1056">INDEX('Linha 06'!$C$2:$ZZ$2,C1056)</f>
        <v>Multi Uso Aquafast Squeeze Cha Branco Cx12 X 1l</v>
      </c>
      <c r="H1056" s="5" cm="1">
        <f t="array" ref="H1056">INDEX('Linha 06'!$C$4:$ZZ$1000,B1056,C1056)</f>
        <v>0</v>
      </c>
    </row>
    <row r="1057" spans="1:8" x14ac:dyDescent="0.25">
      <c r="A1057">
        <v>1055</v>
      </c>
      <c r="B1057">
        <f t="shared" si="32"/>
        <v>28</v>
      </c>
      <c r="C1057">
        <f t="shared" si="33"/>
        <v>29</v>
      </c>
      <c r="D1057" cm="1">
        <f t="array" ref="D1057">INDEX('Linha 06'!$A$4:$A$1000,B1057)</f>
        <v>20110024</v>
      </c>
      <c r="E1057" t="str" cm="1">
        <f t="array" ref="E1057">INDEX('Linha 06'!$B$4:$B$1000,B1057)</f>
        <v>Multi Uso Aquafast Squeeze Cha Branco Cx12 X 1l</v>
      </c>
      <c r="F1057" cm="1">
        <f t="array" ref="F1057">INDEX('Linha 06'!$C$3:$ZZ$3,C1057)</f>
        <v>20110025</v>
      </c>
      <c r="G1057" t="str" cm="1">
        <f t="array" ref="G1057">INDEX('Linha 06'!$C$2:$ZZ$2,C1057)</f>
        <v>Multi Uso Aquafast Pulverizador Original Cx/12 X 1l</v>
      </c>
      <c r="H1057" s="5" cm="1">
        <f t="array" ref="H1057">INDEX('Linha 06'!$C$4:$ZZ$1000,B1057,C1057)</f>
        <v>0</v>
      </c>
    </row>
    <row r="1058" spans="1:8" x14ac:dyDescent="0.25">
      <c r="A1058">
        <v>1056</v>
      </c>
      <c r="B1058">
        <f t="shared" si="32"/>
        <v>28</v>
      </c>
      <c r="C1058">
        <f t="shared" si="33"/>
        <v>30</v>
      </c>
      <c r="D1058" cm="1">
        <f t="array" ref="D1058">INDEX('Linha 06'!$A$4:$A$1000,B1058)</f>
        <v>20110024</v>
      </c>
      <c r="E1058" t="str" cm="1">
        <f t="array" ref="E1058">INDEX('Linha 06'!$B$4:$B$1000,B1058)</f>
        <v>Multi Uso Aquafast Squeeze Cha Branco Cx12 X 1l</v>
      </c>
      <c r="F1058" cm="1">
        <f t="array" ref="F1058">INDEX('Linha 06'!$C$3:$ZZ$3,C1058)</f>
        <v>20110026</v>
      </c>
      <c r="G1058" t="str" cm="1">
        <f t="array" ref="G1058">INDEX('Linha 06'!$C$2:$ZZ$2,C1058)</f>
        <v>Multi Uso Aquafast Pulverizador Poder O2 Cx/12 X 1l</v>
      </c>
      <c r="H1058" s="5" cm="1">
        <f t="array" ref="H1058">INDEX('Linha 06'!$C$4:$ZZ$1000,B1058,C1058)</f>
        <v>0</v>
      </c>
    </row>
    <row r="1059" spans="1:8" x14ac:dyDescent="0.25">
      <c r="A1059">
        <v>1057</v>
      </c>
      <c r="B1059">
        <f t="shared" si="32"/>
        <v>28</v>
      </c>
      <c r="C1059">
        <f t="shared" si="33"/>
        <v>31</v>
      </c>
      <c r="D1059" cm="1">
        <f t="array" ref="D1059">INDEX('Linha 06'!$A$4:$A$1000,B1059)</f>
        <v>20110024</v>
      </c>
      <c r="E1059" t="str" cm="1">
        <f t="array" ref="E1059">INDEX('Linha 06'!$B$4:$B$1000,B1059)</f>
        <v>Multi Uso Aquafast Squeeze Cha Branco Cx12 X 1l</v>
      </c>
      <c r="F1059" cm="1">
        <f t="array" ref="F1059">INDEX('Linha 06'!$C$3:$ZZ$3,C1059)</f>
        <v>20110027</v>
      </c>
      <c r="G1059" t="str" cm="1">
        <f t="array" ref="G1059">INDEX('Linha 06'!$C$2:$ZZ$2,C1059)</f>
        <v>Multi Uso Aquafast Pulverizador Poder O2 Cx/12 X 500ml</v>
      </c>
      <c r="H1059" s="5" cm="1">
        <f t="array" ref="H1059">INDEX('Linha 06'!$C$4:$ZZ$1000,B1059,C1059)</f>
        <v>0</v>
      </c>
    </row>
    <row r="1060" spans="1:8" x14ac:dyDescent="0.25">
      <c r="A1060">
        <v>1058</v>
      </c>
      <c r="B1060">
        <f t="shared" si="32"/>
        <v>28</v>
      </c>
      <c r="C1060">
        <f t="shared" si="33"/>
        <v>32</v>
      </c>
      <c r="D1060" cm="1">
        <f t="array" ref="D1060">INDEX('Linha 06'!$A$4:$A$1000,B1060)</f>
        <v>20110024</v>
      </c>
      <c r="E1060" t="str" cm="1">
        <f t="array" ref="E1060">INDEX('Linha 06'!$B$4:$B$1000,B1060)</f>
        <v>Multi Uso Aquafast Squeeze Cha Branco Cx12 X 1l</v>
      </c>
      <c r="F1060" cm="1">
        <f t="array" ref="F1060">INDEX('Linha 06'!$C$3:$ZZ$3,C1060)</f>
        <v>20200073</v>
      </c>
      <c r="G1060" t="str" cm="1">
        <f t="array" ref="G1060">INDEX('Linha 06'!$C$2:$ZZ$2,C1060)</f>
        <v>Lava Roupas Aquafast Lavagem Rapida Total Clean Cx/9 X 1,5l</v>
      </c>
      <c r="H1060" s="5" cm="1">
        <f t="array" ref="H1060">INDEX('Linha 06'!$C$4:$ZZ$1000,B1060,C1060)</f>
        <v>0</v>
      </c>
    </row>
    <row r="1061" spans="1:8" x14ac:dyDescent="0.25">
      <c r="A1061">
        <v>1059</v>
      </c>
      <c r="B1061">
        <f t="shared" si="32"/>
        <v>28</v>
      </c>
      <c r="C1061">
        <f t="shared" si="33"/>
        <v>33</v>
      </c>
      <c r="D1061" cm="1">
        <f t="array" ref="D1061">INDEX('Linha 06'!$A$4:$A$1000,B1061)</f>
        <v>20110024</v>
      </c>
      <c r="E1061" t="str" cm="1">
        <f t="array" ref="E1061">INDEX('Linha 06'!$B$4:$B$1000,B1061)</f>
        <v>Multi Uso Aquafast Squeeze Cha Branco Cx12 X 1l</v>
      </c>
      <c r="F1061" cm="1">
        <f t="array" ref="F1061">INDEX('Linha 06'!$C$3:$ZZ$3,C1061)</f>
        <v>20200075</v>
      </c>
      <c r="G1061" t="str" cm="1">
        <f t="array" ref="G1061">INDEX('Linha 06'!$C$2:$ZZ$2,C1061)</f>
        <v>Lava Roupas Aquafast Lavagem Rapida Fresh Clean Cx/9 X 1,5l</v>
      </c>
      <c r="H1061" s="5" cm="1">
        <f t="array" ref="H1061">INDEX('Linha 06'!$C$4:$ZZ$1000,B1061,C1061)</f>
        <v>0</v>
      </c>
    </row>
    <row r="1062" spans="1:8" x14ac:dyDescent="0.25">
      <c r="A1062">
        <v>1060</v>
      </c>
      <c r="B1062">
        <f t="shared" si="32"/>
        <v>28</v>
      </c>
      <c r="C1062">
        <f t="shared" si="33"/>
        <v>34</v>
      </c>
      <c r="D1062" cm="1">
        <f t="array" ref="D1062">INDEX('Linha 06'!$A$4:$A$1000,B1062)</f>
        <v>20110024</v>
      </c>
      <c r="E1062" t="str" cm="1">
        <f t="array" ref="E1062">INDEX('Linha 06'!$B$4:$B$1000,B1062)</f>
        <v>Multi Uso Aquafast Squeeze Cha Branco Cx12 X 1l</v>
      </c>
      <c r="F1062" cm="1">
        <f t="array" ref="F1062">INDEX('Linha 06'!$C$3:$ZZ$3,C1062)</f>
        <v>20220018</v>
      </c>
      <c r="G1062" t="str" cm="1">
        <f t="array" ref="G1062">INDEX('Linha 06'!$C$2:$ZZ$2,C1062)</f>
        <v>Intermed. Aromat. Amoras E Baunilha Cx C/ 12un 250ml</v>
      </c>
      <c r="H1062" s="5" cm="1">
        <f t="array" ref="H1062">INDEX('Linha 06'!$C$4:$ZZ$1000,B1062,C1062)</f>
        <v>0</v>
      </c>
    </row>
    <row r="1063" spans="1:8" x14ac:dyDescent="0.25">
      <c r="A1063">
        <v>1061</v>
      </c>
      <c r="B1063">
        <f t="shared" si="32"/>
        <v>28</v>
      </c>
      <c r="C1063">
        <f t="shared" si="33"/>
        <v>35</v>
      </c>
      <c r="D1063" cm="1">
        <f t="array" ref="D1063">INDEX('Linha 06'!$A$4:$A$1000,B1063)</f>
        <v>20110024</v>
      </c>
      <c r="E1063" t="str" cm="1">
        <f t="array" ref="E1063">INDEX('Linha 06'!$B$4:$B$1000,B1063)</f>
        <v>Multi Uso Aquafast Squeeze Cha Branco Cx12 X 1l</v>
      </c>
      <c r="F1063" cm="1">
        <f t="array" ref="F1063">INDEX('Linha 06'!$C$3:$ZZ$3,C1063)</f>
        <v>20220019</v>
      </c>
      <c r="G1063" t="str" cm="1">
        <f t="array" ref="G1063">INDEX('Linha 06'!$C$2:$ZZ$2,C1063)</f>
        <v>Intermed. Aromat. Figo E Cedro Cx C/ 12un 250ml</v>
      </c>
      <c r="H1063" s="5" cm="1">
        <f t="array" ref="H1063">INDEX('Linha 06'!$C$4:$ZZ$1000,B1063,C1063)</f>
        <v>0</v>
      </c>
    </row>
    <row r="1064" spans="1:8" x14ac:dyDescent="0.25">
      <c r="A1064">
        <v>1062</v>
      </c>
      <c r="B1064">
        <f t="shared" si="32"/>
        <v>28</v>
      </c>
      <c r="C1064">
        <f t="shared" si="33"/>
        <v>36</v>
      </c>
      <c r="D1064" cm="1">
        <f t="array" ref="D1064">INDEX('Linha 06'!$A$4:$A$1000,B1064)</f>
        <v>20110024</v>
      </c>
      <c r="E1064" t="str" cm="1">
        <f t="array" ref="E1064">INDEX('Linha 06'!$B$4:$B$1000,B1064)</f>
        <v>Multi Uso Aquafast Squeeze Cha Branco Cx12 X 1l</v>
      </c>
      <c r="F1064" cm="1">
        <f t="array" ref="F1064">INDEX('Linha 06'!$C$3:$ZZ$3,C1064)</f>
        <v>20220020</v>
      </c>
      <c r="G1064" t="str" cm="1">
        <f t="array" ref="G1064">INDEX('Linha 06'!$C$2:$ZZ$2,C1064)</f>
        <v>Intermed. Aromat. Rosas E Magnolias Cx C/ 12un 250ml</v>
      </c>
      <c r="H1064" s="5" cm="1">
        <f t="array" ref="H1064">INDEX('Linha 06'!$C$4:$ZZ$1000,B1064,C1064)</f>
        <v>0</v>
      </c>
    </row>
    <row r="1065" spans="1:8" x14ac:dyDescent="0.25">
      <c r="A1065">
        <v>1063</v>
      </c>
      <c r="B1065">
        <f t="shared" si="32"/>
        <v>28</v>
      </c>
      <c r="C1065">
        <f t="shared" si="33"/>
        <v>37</v>
      </c>
      <c r="D1065" cm="1">
        <f t="array" ref="D1065">INDEX('Linha 06'!$A$4:$A$1000,B1065)</f>
        <v>20110024</v>
      </c>
      <c r="E1065" t="str" cm="1">
        <f t="array" ref="E1065">INDEX('Linha 06'!$B$4:$B$1000,B1065)</f>
        <v>Multi Uso Aquafast Squeeze Cha Branco Cx12 X 1l</v>
      </c>
      <c r="F1065" cm="1">
        <f t="array" ref="F1065">INDEX('Linha 06'!$C$3:$ZZ$3,C1065)</f>
        <v>20220021</v>
      </c>
      <c r="G1065" t="str" cm="1">
        <f t="array" ref="G1065">INDEX('Linha 06'!$C$2:$ZZ$2,C1065)</f>
        <v>Intermed. Aromat. Flores Exoticas Cx C/ 12un 250ml</v>
      </c>
      <c r="H1065" s="5" cm="1">
        <f t="array" ref="H1065">INDEX('Linha 06'!$C$4:$ZZ$1000,B1065,C1065)</f>
        <v>0</v>
      </c>
    </row>
    <row r="1066" spans="1:8" x14ac:dyDescent="0.25">
      <c r="A1066">
        <v>1064</v>
      </c>
      <c r="B1066">
        <f t="shared" si="32"/>
        <v>28</v>
      </c>
      <c r="C1066">
        <f t="shared" si="33"/>
        <v>38</v>
      </c>
      <c r="D1066" cm="1">
        <f t="array" ref="D1066">INDEX('Linha 06'!$A$4:$A$1000,B1066)</f>
        <v>20110024</v>
      </c>
      <c r="E1066" t="str" cm="1">
        <f t="array" ref="E1066">INDEX('Linha 06'!$B$4:$B$1000,B1066)</f>
        <v>Multi Uso Aquafast Squeeze Cha Branco Cx12 X 1l</v>
      </c>
      <c r="F1066" cm="1">
        <f t="array" ref="F1066">INDEX('Linha 06'!$C$3:$ZZ$3,C1066)</f>
        <v>20220022</v>
      </c>
      <c r="G1066" t="str" cm="1">
        <f t="array" ref="G1066">INDEX('Linha 06'!$C$2:$ZZ$2,C1066)</f>
        <v>Intermed. Aromat. Cha Verde E Grapef Cx C/ 12un 250ml</v>
      </c>
      <c r="H1066" s="5" cm="1">
        <f t="array" ref="H1066">INDEX('Linha 06'!$C$4:$ZZ$1000,B1066,C1066)</f>
        <v>0</v>
      </c>
    </row>
    <row r="1067" spans="1:8" x14ac:dyDescent="0.25">
      <c r="A1067">
        <v>1065</v>
      </c>
      <c r="B1067">
        <f t="shared" si="32"/>
        <v>29</v>
      </c>
      <c r="C1067">
        <f t="shared" si="33"/>
        <v>1</v>
      </c>
      <c r="D1067" cm="1">
        <f t="array" ref="D1067">INDEX('Linha 06'!$A$4:$A$1000,B1067)</f>
        <v>20110025</v>
      </c>
      <c r="E1067" t="str" cm="1">
        <f t="array" ref="E1067">INDEX('Linha 06'!$B$4:$B$1000,B1067)</f>
        <v>Multi Uso Aquafast Pulverizador Original Cx/12 X 1l</v>
      </c>
      <c r="F1067" cm="1">
        <f t="array" ref="F1067">INDEX('Linha 06'!$C$3:$ZZ$3,C1067)</f>
        <v>20060001</v>
      </c>
      <c r="G1067" t="str" cm="1">
        <f t="array" ref="G1067">INDEX('Linha 06'!$C$2:$ZZ$2,C1067)</f>
        <v>Limp Perf Aquafast Magia Seducao Cx/12 X 500ml</v>
      </c>
      <c r="H1067" s="5" cm="1">
        <f t="array" ref="H1067">INDEX('Linha 06'!$C$4:$ZZ$1000,B1067,C1067)</f>
        <v>0</v>
      </c>
    </row>
    <row r="1068" spans="1:8" x14ac:dyDescent="0.25">
      <c r="A1068">
        <v>1066</v>
      </c>
      <c r="B1068">
        <f t="shared" si="32"/>
        <v>29</v>
      </c>
      <c r="C1068">
        <f t="shared" si="33"/>
        <v>2</v>
      </c>
      <c r="D1068" cm="1">
        <f t="array" ref="D1068">INDEX('Linha 06'!$A$4:$A$1000,B1068)</f>
        <v>20110025</v>
      </c>
      <c r="E1068" t="str" cm="1">
        <f t="array" ref="E1068">INDEX('Linha 06'!$B$4:$B$1000,B1068)</f>
        <v>Multi Uso Aquafast Pulverizador Original Cx/12 X 1l</v>
      </c>
      <c r="F1068" cm="1">
        <f t="array" ref="F1068">INDEX('Linha 06'!$C$3:$ZZ$3,C1068)</f>
        <v>20060004</v>
      </c>
      <c r="G1068" t="str" cm="1">
        <f t="array" ref="G1068">INDEX('Linha 06'!$C$2:$ZZ$2,C1068)</f>
        <v>Limp Perf Aquafast Magia Seducao Cx/12 X 1l</v>
      </c>
      <c r="H1068" s="5" cm="1">
        <f t="array" ref="H1068">INDEX('Linha 06'!$C$4:$ZZ$1000,B1068,C1068)</f>
        <v>0</v>
      </c>
    </row>
    <row r="1069" spans="1:8" x14ac:dyDescent="0.25">
      <c r="A1069">
        <v>1067</v>
      </c>
      <c r="B1069">
        <f t="shared" si="32"/>
        <v>29</v>
      </c>
      <c r="C1069">
        <f t="shared" si="33"/>
        <v>3</v>
      </c>
      <c r="D1069" cm="1">
        <f t="array" ref="D1069">INDEX('Linha 06'!$A$4:$A$1000,B1069)</f>
        <v>20110025</v>
      </c>
      <c r="E1069" t="str" cm="1">
        <f t="array" ref="E1069">INDEX('Linha 06'!$B$4:$B$1000,B1069)</f>
        <v>Multi Uso Aquafast Pulverizador Original Cx/12 X 1l</v>
      </c>
      <c r="F1069" cm="1">
        <f t="array" ref="F1069">INDEX('Linha 06'!$C$3:$ZZ$3,C1069)</f>
        <v>20060010</v>
      </c>
      <c r="G1069" t="str" cm="1">
        <f t="array" ref="G1069">INDEX('Linha 06'!$C$2:$ZZ$2,C1069)</f>
        <v>Limp Perf Aquafast Magia Da Infancia Cx/12 X 500ml</v>
      </c>
      <c r="H1069" s="5" cm="1">
        <f t="array" ref="H1069">INDEX('Linha 06'!$C$4:$ZZ$1000,B1069,C1069)</f>
        <v>0</v>
      </c>
    </row>
    <row r="1070" spans="1:8" x14ac:dyDescent="0.25">
      <c r="A1070">
        <v>1068</v>
      </c>
      <c r="B1070">
        <f t="shared" si="32"/>
        <v>29</v>
      </c>
      <c r="C1070">
        <f t="shared" si="33"/>
        <v>4</v>
      </c>
      <c r="D1070" cm="1">
        <f t="array" ref="D1070">INDEX('Linha 06'!$A$4:$A$1000,B1070)</f>
        <v>20110025</v>
      </c>
      <c r="E1070" t="str" cm="1">
        <f t="array" ref="E1070">INDEX('Linha 06'!$B$4:$B$1000,B1070)</f>
        <v>Multi Uso Aquafast Pulverizador Original Cx/12 X 1l</v>
      </c>
      <c r="F1070" cm="1">
        <f t="array" ref="F1070">INDEX('Linha 06'!$C$3:$ZZ$3,C1070)</f>
        <v>20060011</v>
      </c>
      <c r="G1070" t="str" cm="1">
        <f t="array" ref="G1070">INDEX('Linha 06'!$C$2:$ZZ$2,C1070)</f>
        <v>Limp Perf Aquafast Frescor Da Manha Cx/12 X 500ml</v>
      </c>
      <c r="H1070" s="5" cm="1">
        <f t="array" ref="H1070">INDEX('Linha 06'!$C$4:$ZZ$1000,B1070,C1070)</f>
        <v>0</v>
      </c>
    </row>
    <row r="1071" spans="1:8" x14ac:dyDescent="0.25">
      <c r="A1071">
        <v>1069</v>
      </c>
      <c r="B1071">
        <f t="shared" si="32"/>
        <v>29</v>
      </c>
      <c r="C1071">
        <f t="shared" si="33"/>
        <v>5</v>
      </c>
      <c r="D1071" cm="1">
        <f t="array" ref="D1071">INDEX('Linha 06'!$A$4:$A$1000,B1071)</f>
        <v>20110025</v>
      </c>
      <c r="E1071" t="str" cm="1">
        <f t="array" ref="E1071">INDEX('Linha 06'!$B$4:$B$1000,B1071)</f>
        <v>Multi Uso Aquafast Pulverizador Original Cx/12 X 1l</v>
      </c>
      <c r="F1071" cm="1">
        <f t="array" ref="F1071">INDEX('Linha 06'!$C$3:$ZZ$3,C1071)</f>
        <v>20060012</v>
      </c>
      <c r="G1071" t="str" cm="1">
        <f t="array" ref="G1071">INDEX('Linha 06'!$C$2:$ZZ$2,C1071)</f>
        <v>Limp Perf Aquafast Magia Da Infancia Cx/12 X 1l</v>
      </c>
      <c r="H1071" s="5" cm="1">
        <f t="array" ref="H1071">INDEX('Linha 06'!$C$4:$ZZ$1000,B1071,C1071)</f>
        <v>0</v>
      </c>
    </row>
    <row r="1072" spans="1:8" x14ac:dyDescent="0.25">
      <c r="A1072">
        <v>1070</v>
      </c>
      <c r="B1072">
        <f t="shared" si="32"/>
        <v>29</v>
      </c>
      <c r="C1072">
        <f t="shared" si="33"/>
        <v>6</v>
      </c>
      <c r="D1072" cm="1">
        <f t="array" ref="D1072">INDEX('Linha 06'!$A$4:$A$1000,B1072)</f>
        <v>20110025</v>
      </c>
      <c r="E1072" t="str" cm="1">
        <f t="array" ref="E1072">INDEX('Linha 06'!$B$4:$B$1000,B1072)</f>
        <v>Multi Uso Aquafast Pulverizador Original Cx/12 X 1l</v>
      </c>
      <c r="F1072" cm="1">
        <f t="array" ref="F1072">INDEX('Linha 06'!$C$3:$ZZ$3,C1072)</f>
        <v>20060013</v>
      </c>
      <c r="G1072" t="str" cm="1">
        <f t="array" ref="G1072">INDEX('Linha 06'!$C$2:$ZZ$2,C1072)</f>
        <v>Limp Perf Aquafast Frescor Da Manha Cx/12 X 1l</v>
      </c>
      <c r="H1072" s="5" cm="1">
        <f t="array" ref="H1072">INDEX('Linha 06'!$C$4:$ZZ$1000,B1072,C1072)</f>
        <v>0</v>
      </c>
    </row>
    <row r="1073" spans="1:8" x14ac:dyDescent="0.25">
      <c r="A1073">
        <v>1071</v>
      </c>
      <c r="B1073">
        <f t="shared" si="32"/>
        <v>29</v>
      </c>
      <c r="C1073">
        <f t="shared" si="33"/>
        <v>7</v>
      </c>
      <c r="D1073" cm="1">
        <f t="array" ref="D1073">INDEX('Linha 06'!$A$4:$A$1000,B1073)</f>
        <v>20110025</v>
      </c>
      <c r="E1073" t="str" cm="1">
        <f t="array" ref="E1073">INDEX('Linha 06'!$B$4:$B$1000,B1073)</f>
        <v>Multi Uso Aquafast Pulverizador Original Cx/12 X 1l</v>
      </c>
      <c r="F1073" cm="1">
        <f t="array" ref="F1073">INDEX('Linha 06'!$C$3:$ZZ$3,C1073)</f>
        <v>20060015</v>
      </c>
      <c r="G1073" t="str" cm="1">
        <f t="array" ref="G1073">INDEX('Linha 06'!$C$2:$ZZ$2,C1073)</f>
        <v>Limp Perf Aquafast Doce Romance Cx/12 X 500ml</v>
      </c>
      <c r="H1073" s="5" cm="1">
        <f t="array" ref="H1073">INDEX('Linha 06'!$C$4:$ZZ$1000,B1073,C1073)</f>
        <v>0</v>
      </c>
    </row>
    <row r="1074" spans="1:8" x14ac:dyDescent="0.25">
      <c r="A1074">
        <v>1072</v>
      </c>
      <c r="B1074">
        <f t="shared" si="32"/>
        <v>29</v>
      </c>
      <c r="C1074">
        <f t="shared" si="33"/>
        <v>8</v>
      </c>
      <c r="D1074" cm="1">
        <f t="array" ref="D1074">INDEX('Linha 06'!$A$4:$A$1000,B1074)</f>
        <v>20110025</v>
      </c>
      <c r="E1074" t="str" cm="1">
        <f t="array" ref="E1074">INDEX('Linha 06'!$B$4:$B$1000,B1074)</f>
        <v>Multi Uso Aquafast Pulverizador Original Cx/12 X 1l</v>
      </c>
      <c r="F1074" cm="1">
        <f t="array" ref="F1074">INDEX('Linha 06'!$C$3:$ZZ$3,C1074)</f>
        <v>20060016</v>
      </c>
      <c r="G1074" t="str" cm="1">
        <f t="array" ref="G1074">INDEX('Linha 06'!$C$2:$ZZ$2,C1074)</f>
        <v>Limp Perf Aquafast Doce Romance Cx/12 X 1l</v>
      </c>
      <c r="H1074" s="5" cm="1">
        <f t="array" ref="H1074">INDEX('Linha 06'!$C$4:$ZZ$1000,B1074,C1074)</f>
        <v>0</v>
      </c>
    </row>
    <row r="1075" spans="1:8" x14ac:dyDescent="0.25">
      <c r="A1075">
        <v>1073</v>
      </c>
      <c r="B1075">
        <f t="shared" si="32"/>
        <v>29</v>
      </c>
      <c r="C1075">
        <f t="shared" si="33"/>
        <v>9</v>
      </c>
      <c r="D1075" cm="1">
        <f t="array" ref="D1075">INDEX('Linha 06'!$A$4:$A$1000,B1075)</f>
        <v>20110025</v>
      </c>
      <c r="E1075" t="str" cm="1">
        <f t="array" ref="E1075">INDEX('Linha 06'!$B$4:$B$1000,B1075)</f>
        <v>Multi Uso Aquafast Pulverizador Original Cx/12 X 1l</v>
      </c>
      <c r="F1075" cm="1">
        <f t="array" ref="F1075">INDEX('Linha 06'!$C$3:$ZZ$3,C1075)</f>
        <v>20060027</v>
      </c>
      <c r="G1075" t="str" cm="1">
        <f t="array" ref="G1075">INDEX('Linha 06'!$C$2:$ZZ$2,C1075)</f>
        <v>Limp Perf Aquafast Essencia Natural Cx/12 X 1l</v>
      </c>
      <c r="H1075" s="5" cm="1">
        <f t="array" ref="H1075">INDEX('Linha 06'!$C$4:$ZZ$1000,B1075,C1075)</f>
        <v>0</v>
      </c>
    </row>
    <row r="1076" spans="1:8" x14ac:dyDescent="0.25">
      <c r="A1076">
        <v>1074</v>
      </c>
      <c r="B1076">
        <f t="shared" si="32"/>
        <v>29</v>
      </c>
      <c r="C1076">
        <f t="shared" si="33"/>
        <v>10</v>
      </c>
      <c r="D1076" cm="1">
        <f t="array" ref="D1076">INDEX('Linha 06'!$A$4:$A$1000,B1076)</f>
        <v>20110025</v>
      </c>
      <c r="E1076" t="str" cm="1">
        <f t="array" ref="E1076">INDEX('Linha 06'!$B$4:$B$1000,B1076)</f>
        <v>Multi Uso Aquafast Pulverizador Original Cx/12 X 1l</v>
      </c>
      <c r="F1076" cm="1">
        <f t="array" ref="F1076">INDEX('Linha 06'!$C$3:$ZZ$3,C1076)</f>
        <v>20070001</v>
      </c>
      <c r="G1076" t="str" cm="1">
        <f t="array" ref="G1076">INDEX('Linha 06'!$C$2:$ZZ$2,C1076)</f>
        <v>Limpa Vidros Aquafast Pulverizador Cx/12 X 500ml</v>
      </c>
      <c r="H1076" s="5" cm="1">
        <f t="array" ref="H1076">INDEX('Linha 06'!$C$4:$ZZ$1000,B1076,C1076)</f>
        <v>0</v>
      </c>
    </row>
    <row r="1077" spans="1:8" x14ac:dyDescent="0.25">
      <c r="A1077">
        <v>1075</v>
      </c>
      <c r="B1077">
        <f t="shared" si="32"/>
        <v>29</v>
      </c>
      <c r="C1077">
        <f t="shared" si="33"/>
        <v>11</v>
      </c>
      <c r="D1077" cm="1">
        <f t="array" ref="D1077">INDEX('Linha 06'!$A$4:$A$1000,B1077)</f>
        <v>20110025</v>
      </c>
      <c r="E1077" t="str" cm="1">
        <f t="array" ref="E1077">INDEX('Linha 06'!$B$4:$B$1000,B1077)</f>
        <v>Multi Uso Aquafast Pulverizador Original Cx/12 X 1l</v>
      </c>
      <c r="F1077" cm="1">
        <f t="array" ref="F1077">INDEX('Linha 06'!$C$3:$ZZ$3,C1077)</f>
        <v>20070002</v>
      </c>
      <c r="G1077" t="str" cm="1">
        <f t="array" ref="G1077">INDEX('Linha 06'!$C$2:$ZZ$2,C1077)</f>
        <v>Limpa Vidros Aquafast Recarga Cx/12 X 500ml</v>
      </c>
      <c r="H1077" s="5" cm="1">
        <f t="array" ref="H1077">INDEX('Linha 06'!$C$4:$ZZ$1000,B1077,C1077)</f>
        <v>0</v>
      </c>
    </row>
    <row r="1078" spans="1:8" x14ac:dyDescent="0.25">
      <c r="A1078">
        <v>1076</v>
      </c>
      <c r="B1078">
        <f t="shared" si="32"/>
        <v>29</v>
      </c>
      <c r="C1078">
        <f t="shared" si="33"/>
        <v>12</v>
      </c>
      <c r="D1078" cm="1">
        <f t="array" ref="D1078">INDEX('Linha 06'!$A$4:$A$1000,B1078)</f>
        <v>20110025</v>
      </c>
      <c r="E1078" t="str" cm="1">
        <f t="array" ref="E1078">INDEX('Linha 06'!$B$4:$B$1000,B1078)</f>
        <v>Multi Uso Aquafast Pulverizador Original Cx/12 X 1l</v>
      </c>
      <c r="F1078" cm="1">
        <f t="array" ref="F1078">INDEX('Linha 06'!$C$3:$ZZ$3,C1078)</f>
        <v>20070006</v>
      </c>
      <c r="G1078" t="str" cm="1">
        <f t="array" ref="G1078">INDEX('Linha 06'!$C$2:$ZZ$2,C1078)</f>
        <v>Limpa Vidros Ito Pulverizador Cx/12 X 500ml</v>
      </c>
      <c r="H1078" s="5" cm="1">
        <f t="array" ref="H1078">INDEX('Linha 06'!$C$4:$ZZ$1000,B1078,C1078)</f>
        <v>0</v>
      </c>
    </row>
    <row r="1079" spans="1:8" x14ac:dyDescent="0.25">
      <c r="A1079">
        <v>1077</v>
      </c>
      <c r="B1079">
        <f t="shared" si="32"/>
        <v>29</v>
      </c>
      <c r="C1079">
        <f t="shared" si="33"/>
        <v>13</v>
      </c>
      <c r="D1079" cm="1">
        <f t="array" ref="D1079">INDEX('Linha 06'!$A$4:$A$1000,B1079)</f>
        <v>20110025</v>
      </c>
      <c r="E1079" t="str" cm="1">
        <f t="array" ref="E1079">INDEX('Linha 06'!$B$4:$B$1000,B1079)</f>
        <v>Multi Uso Aquafast Pulverizador Original Cx/12 X 1l</v>
      </c>
      <c r="F1079" cm="1">
        <f t="array" ref="F1079">INDEX('Linha 06'!$C$3:$ZZ$3,C1079)</f>
        <v>20070007</v>
      </c>
      <c r="G1079" t="str" cm="1">
        <f t="array" ref="G1079">INDEX('Linha 06'!$C$2:$ZZ$2,C1079)</f>
        <v>Limpa Vidros Ito Recarga Cx/12 X 500ml</v>
      </c>
      <c r="H1079" s="5" cm="1">
        <f t="array" ref="H1079">INDEX('Linha 06'!$C$4:$ZZ$1000,B1079,C1079)</f>
        <v>0</v>
      </c>
    </row>
    <row r="1080" spans="1:8" x14ac:dyDescent="0.25">
      <c r="A1080">
        <v>1078</v>
      </c>
      <c r="B1080">
        <f t="shared" si="32"/>
        <v>29</v>
      </c>
      <c r="C1080">
        <f t="shared" si="33"/>
        <v>14</v>
      </c>
      <c r="D1080" cm="1">
        <f t="array" ref="D1080">INDEX('Linha 06'!$A$4:$A$1000,B1080)</f>
        <v>20110025</v>
      </c>
      <c r="E1080" t="str" cm="1">
        <f t="array" ref="E1080">INDEX('Linha 06'!$B$4:$B$1000,B1080)</f>
        <v>Multi Uso Aquafast Pulverizador Original Cx/12 X 1l</v>
      </c>
      <c r="F1080" cm="1">
        <f t="array" ref="F1080">INDEX('Linha 06'!$C$3:$ZZ$3,C1080)</f>
        <v>20070008</v>
      </c>
      <c r="G1080" t="str" cm="1">
        <f t="array" ref="G1080">INDEX('Linha 06'!$C$2:$ZZ$2,C1080)</f>
        <v>Limpa Vidros Aquafast Squeeze Cx/12 X 500ml</v>
      </c>
      <c r="H1080" s="5" cm="1">
        <f t="array" ref="H1080">INDEX('Linha 06'!$C$4:$ZZ$1000,B1080,C1080)</f>
        <v>0</v>
      </c>
    </row>
    <row r="1081" spans="1:8" x14ac:dyDescent="0.25">
      <c r="A1081">
        <v>1079</v>
      </c>
      <c r="B1081">
        <f t="shared" si="32"/>
        <v>29</v>
      </c>
      <c r="C1081">
        <f t="shared" si="33"/>
        <v>15</v>
      </c>
      <c r="D1081" cm="1">
        <f t="array" ref="D1081">INDEX('Linha 06'!$A$4:$A$1000,B1081)</f>
        <v>20110025</v>
      </c>
      <c r="E1081" t="str" cm="1">
        <f t="array" ref="E1081">INDEX('Linha 06'!$B$4:$B$1000,B1081)</f>
        <v>Multi Uso Aquafast Pulverizador Original Cx/12 X 1l</v>
      </c>
      <c r="F1081" cm="1">
        <f t="array" ref="F1081">INDEX('Linha 06'!$C$3:$ZZ$3,C1081)</f>
        <v>20090001</v>
      </c>
      <c r="G1081" t="str" cm="1">
        <f t="array" ref="G1081">INDEX('Linha 06'!$C$2:$ZZ$2,C1081)</f>
        <v>Desengordurante Aquafast Pulverizador Cx/12 X 500ml</v>
      </c>
      <c r="H1081" s="5" cm="1">
        <f t="array" ref="H1081">INDEX('Linha 06'!$C$4:$ZZ$1000,B1081,C1081)</f>
        <v>0</v>
      </c>
    </row>
    <row r="1082" spans="1:8" x14ac:dyDescent="0.25">
      <c r="A1082">
        <v>1080</v>
      </c>
      <c r="B1082">
        <f t="shared" si="32"/>
        <v>29</v>
      </c>
      <c r="C1082">
        <f t="shared" si="33"/>
        <v>16</v>
      </c>
      <c r="D1082" cm="1">
        <f t="array" ref="D1082">INDEX('Linha 06'!$A$4:$A$1000,B1082)</f>
        <v>20110025</v>
      </c>
      <c r="E1082" t="str" cm="1">
        <f t="array" ref="E1082">INDEX('Linha 06'!$B$4:$B$1000,B1082)</f>
        <v>Multi Uso Aquafast Pulverizador Original Cx/12 X 1l</v>
      </c>
      <c r="F1082" cm="1">
        <f t="array" ref="F1082">INDEX('Linha 06'!$C$3:$ZZ$3,C1082)</f>
        <v>20090002</v>
      </c>
      <c r="G1082" t="str" cm="1">
        <f t="array" ref="G1082">INDEX('Linha 06'!$C$2:$ZZ$2,C1082)</f>
        <v>Desengordurante Aquafast Recarga Cx/12 X 500ml</v>
      </c>
      <c r="H1082" s="5" cm="1">
        <f t="array" ref="H1082">INDEX('Linha 06'!$C$4:$ZZ$1000,B1082,C1082)</f>
        <v>0</v>
      </c>
    </row>
    <row r="1083" spans="1:8" x14ac:dyDescent="0.25">
      <c r="A1083">
        <v>1081</v>
      </c>
      <c r="B1083">
        <f t="shared" si="32"/>
        <v>29</v>
      </c>
      <c r="C1083">
        <f t="shared" si="33"/>
        <v>17</v>
      </c>
      <c r="D1083" cm="1">
        <f t="array" ref="D1083">INDEX('Linha 06'!$A$4:$A$1000,B1083)</f>
        <v>20110025</v>
      </c>
      <c r="E1083" t="str" cm="1">
        <f t="array" ref="E1083">INDEX('Linha 06'!$B$4:$B$1000,B1083)</f>
        <v>Multi Uso Aquafast Pulverizador Original Cx/12 X 1l</v>
      </c>
      <c r="F1083" cm="1">
        <f t="array" ref="F1083">INDEX('Linha 06'!$C$3:$ZZ$3,C1083)</f>
        <v>20090004</v>
      </c>
      <c r="G1083" t="str" cm="1">
        <f t="array" ref="G1083">INDEX('Linha 06'!$C$2:$ZZ$2,C1083)</f>
        <v>Desengordurante Aquafast Squeeze Cx C/12 X 500ml</v>
      </c>
      <c r="H1083" s="5" cm="1">
        <f t="array" ref="H1083">INDEX('Linha 06'!$C$4:$ZZ$1000,B1083,C1083)</f>
        <v>0</v>
      </c>
    </row>
    <row r="1084" spans="1:8" x14ac:dyDescent="0.25">
      <c r="A1084">
        <v>1082</v>
      </c>
      <c r="B1084">
        <f t="shared" si="32"/>
        <v>29</v>
      </c>
      <c r="C1084">
        <f t="shared" si="33"/>
        <v>18</v>
      </c>
      <c r="D1084" cm="1">
        <f t="array" ref="D1084">INDEX('Linha 06'!$A$4:$A$1000,B1084)</f>
        <v>20110025</v>
      </c>
      <c r="E1084" t="str" cm="1">
        <f t="array" ref="E1084">INDEX('Linha 06'!$B$4:$B$1000,B1084)</f>
        <v>Multi Uso Aquafast Pulverizador Original Cx/12 X 1l</v>
      </c>
      <c r="F1084" cm="1">
        <f t="array" ref="F1084">INDEX('Linha 06'!$C$3:$ZZ$3,C1084)</f>
        <v>20090005</v>
      </c>
      <c r="G1084" t="str" cm="1">
        <f t="array" ref="G1084">INDEX('Linha 06'!$C$2:$ZZ$2,C1084)</f>
        <v>Desengordurante Aquafast Squeeze Cx C/12 X 1l</v>
      </c>
      <c r="H1084" s="5" cm="1">
        <f t="array" ref="H1084">INDEX('Linha 06'!$C$4:$ZZ$1000,B1084,C1084)</f>
        <v>0</v>
      </c>
    </row>
    <row r="1085" spans="1:8" x14ac:dyDescent="0.25">
      <c r="A1085">
        <v>1083</v>
      </c>
      <c r="B1085">
        <f t="shared" si="32"/>
        <v>29</v>
      </c>
      <c r="C1085">
        <f t="shared" si="33"/>
        <v>19</v>
      </c>
      <c r="D1085" cm="1">
        <f t="array" ref="D1085">INDEX('Linha 06'!$A$4:$A$1000,B1085)</f>
        <v>20110025</v>
      </c>
      <c r="E1085" t="str" cm="1">
        <f t="array" ref="E1085">INDEX('Linha 06'!$B$4:$B$1000,B1085)</f>
        <v>Multi Uso Aquafast Pulverizador Original Cx/12 X 1l</v>
      </c>
      <c r="F1085" cm="1">
        <f t="array" ref="F1085">INDEX('Linha 06'!$C$3:$ZZ$3,C1085)</f>
        <v>20090010</v>
      </c>
      <c r="G1085" t="str" cm="1">
        <f t="array" ref="G1085">INDEX('Linha 06'!$C$2:$ZZ$2,C1085)</f>
        <v>Intermed Pack Desengord Squeeze Cx C/18 X 500ml</v>
      </c>
      <c r="H1085" s="5" cm="1">
        <f t="array" ref="H1085">INDEX('Linha 06'!$C$4:$ZZ$1000,B1085,C1085)</f>
        <v>0</v>
      </c>
    </row>
    <row r="1086" spans="1:8" x14ac:dyDescent="0.25">
      <c r="A1086">
        <v>1084</v>
      </c>
      <c r="B1086">
        <f t="shared" si="32"/>
        <v>29</v>
      </c>
      <c r="C1086">
        <f t="shared" si="33"/>
        <v>20</v>
      </c>
      <c r="D1086" cm="1">
        <f t="array" ref="D1086">INDEX('Linha 06'!$A$4:$A$1000,B1086)</f>
        <v>20110025</v>
      </c>
      <c r="E1086" t="str" cm="1">
        <f t="array" ref="E1086">INDEX('Linha 06'!$B$4:$B$1000,B1086)</f>
        <v>Multi Uso Aquafast Pulverizador Original Cx/12 X 1l</v>
      </c>
      <c r="F1086" cm="1">
        <f t="array" ref="F1086">INDEX('Linha 06'!$C$3:$ZZ$3,C1086)</f>
        <v>20110002</v>
      </c>
      <c r="G1086" t="str" cm="1">
        <f t="array" ref="G1086">INDEX('Linha 06'!$C$2:$ZZ$2,C1086)</f>
        <v>Multi Uso Aquafast Squeeze Original Cx/12 X 500ml</v>
      </c>
      <c r="H1086" s="5" cm="1">
        <f t="array" ref="H1086">INDEX('Linha 06'!$C$4:$ZZ$1000,B1086,C1086)</f>
        <v>0</v>
      </c>
    </row>
    <row r="1087" spans="1:8" x14ac:dyDescent="0.25">
      <c r="A1087">
        <v>1085</v>
      </c>
      <c r="B1087">
        <f t="shared" si="32"/>
        <v>29</v>
      </c>
      <c r="C1087">
        <f t="shared" si="33"/>
        <v>21</v>
      </c>
      <c r="D1087" cm="1">
        <f t="array" ref="D1087">INDEX('Linha 06'!$A$4:$A$1000,B1087)</f>
        <v>20110025</v>
      </c>
      <c r="E1087" t="str" cm="1">
        <f t="array" ref="E1087">INDEX('Linha 06'!$B$4:$B$1000,B1087)</f>
        <v>Multi Uso Aquafast Pulverizador Original Cx/12 X 1l</v>
      </c>
      <c r="F1087" cm="1">
        <f t="array" ref="F1087">INDEX('Linha 06'!$C$3:$ZZ$3,C1087)</f>
        <v>20110004</v>
      </c>
      <c r="G1087" t="str" cm="1">
        <f t="array" ref="G1087">INDEX('Linha 06'!$C$2:$ZZ$2,C1087)</f>
        <v>Multi Uso Aquafast Squeeze Lavanda Cx/12 X 500ml</v>
      </c>
      <c r="H1087" s="5" cm="1">
        <f t="array" ref="H1087">INDEX('Linha 06'!$C$4:$ZZ$1000,B1087,C1087)</f>
        <v>0</v>
      </c>
    </row>
    <row r="1088" spans="1:8" x14ac:dyDescent="0.25">
      <c r="A1088">
        <v>1086</v>
      </c>
      <c r="B1088">
        <f t="shared" si="32"/>
        <v>29</v>
      </c>
      <c r="C1088">
        <f t="shared" si="33"/>
        <v>22</v>
      </c>
      <c r="D1088" cm="1">
        <f t="array" ref="D1088">INDEX('Linha 06'!$A$4:$A$1000,B1088)</f>
        <v>20110025</v>
      </c>
      <c r="E1088" t="str" cm="1">
        <f t="array" ref="E1088">INDEX('Linha 06'!$B$4:$B$1000,B1088)</f>
        <v>Multi Uso Aquafast Pulverizador Original Cx/12 X 1l</v>
      </c>
      <c r="F1088" cm="1">
        <f t="array" ref="F1088">INDEX('Linha 06'!$C$3:$ZZ$3,C1088)</f>
        <v>20110007</v>
      </c>
      <c r="G1088" t="str" cm="1">
        <f t="array" ref="G1088">INDEX('Linha 06'!$C$2:$ZZ$2,C1088)</f>
        <v>Multi Uso Aquafast Squeeze Seducao Cx/12 X 500ml</v>
      </c>
      <c r="H1088" s="5" cm="1">
        <f t="array" ref="H1088">INDEX('Linha 06'!$C$4:$ZZ$1000,B1088,C1088)</f>
        <v>0</v>
      </c>
    </row>
    <row r="1089" spans="1:8" x14ac:dyDescent="0.25">
      <c r="A1089">
        <v>1087</v>
      </c>
      <c r="B1089">
        <f t="shared" si="32"/>
        <v>29</v>
      </c>
      <c r="C1089">
        <f t="shared" si="33"/>
        <v>23</v>
      </c>
      <c r="D1089" cm="1">
        <f t="array" ref="D1089">INDEX('Linha 06'!$A$4:$A$1000,B1089)</f>
        <v>20110025</v>
      </c>
      <c r="E1089" t="str" cm="1">
        <f t="array" ref="E1089">INDEX('Linha 06'!$B$4:$B$1000,B1089)</f>
        <v>Multi Uso Aquafast Pulverizador Original Cx/12 X 1l</v>
      </c>
      <c r="F1089" cm="1">
        <f t="array" ref="F1089">INDEX('Linha 06'!$C$3:$ZZ$3,C1089)</f>
        <v>20110008</v>
      </c>
      <c r="G1089" t="str" cm="1">
        <f t="array" ref="G1089">INDEX('Linha 06'!$C$2:$ZZ$2,C1089)</f>
        <v>Multi Uso Aquafast Squeeze Original Cx/12 X 1l</v>
      </c>
      <c r="H1089" s="5" cm="1">
        <f t="array" ref="H1089">INDEX('Linha 06'!$C$4:$ZZ$1000,B1089,C1089)</f>
        <v>0</v>
      </c>
    </row>
    <row r="1090" spans="1:8" x14ac:dyDescent="0.25">
      <c r="A1090">
        <v>1088</v>
      </c>
      <c r="B1090">
        <f t="shared" si="32"/>
        <v>29</v>
      </c>
      <c r="C1090">
        <f t="shared" si="33"/>
        <v>24</v>
      </c>
      <c r="D1090" cm="1">
        <f t="array" ref="D1090">INDEX('Linha 06'!$A$4:$A$1000,B1090)</f>
        <v>20110025</v>
      </c>
      <c r="E1090" t="str" cm="1">
        <f t="array" ref="E1090">INDEX('Linha 06'!$B$4:$B$1000,B1090)</f>
        <v>Multi Uso Aquafast Pulverizador Original Cx/12 X 1l</v>
      </c>
      <c r="F1090" cm="1">
        <f t="array" ref="F1090">INDEX('Linha 06'!$C$3:$ZZ$3,C1090)</f>
        <v>20110010</v>
      </c>
      <c r="G1090" t="str" cm="1">
        <f t="array" ref="G1090">INDEX('Linha 06'!$C$2:$ZZ$2,C1090)</f>
        <v>Multi Uso Aquafast Squeeze Seducao Cx/12 1l</v>
      </c>
      <c r="H1090" s="5" cm="1">
        <f t="array" ref="H1090">INDEX('Linha 06'!$C$4:$ZZ$1000,B1090,C1090)</f>
        <v>0</v>
      </c>
    </row>
    <row r="1091" spans="1:8" x14ac:dyDescent="0.25">
      <c r="A1091">
        <v>1089</v>
      </c>
      <c r="B1091">
        <f t="shared" si="32"/>
        <v>29</v>
      </c>
      <c r="C1091">
        <f t="shared" si="33"/>
        <v>25</v>
      </c>
      <c r="D1091" cm="1">
        <f t="array" ref="D1091">INDEX('Linha 06'!$A$4:$A$1000,B1091)</f>
        <v>20110025</v>
      </c>
      <c r="E1091" t="str" cm="1">
        <f t="array" ref="E1091">INDEX('Linha 06'!$B$4:$B$1000,B1091)</f>
        <v>Multi Uso Aquafast Pulverizador Original Cx/12 X 1l</v>
      </c>
      <c r="F1091" cm="1">
        <f t="array" ref="F1091">INDEX('Linha 06'!$C$3:$ZZ$3,C1091)</f>
        <v>20110013</v>
      </c>
      <c r="G1091" t="str" cm="1">
        <f t="array" ref="G1091">INDEX('Linha 06'!$C$2:$ZZ$2,C1091)</f>
        <v>Multi Uso Aquafast Squeeze Lavanda Cx/12 X 1l</v>
      </c>
      <c r="H1091" s="5" cm="1">
        <f t="array" ref="H1091">INDEX('Linha 06'!$C$4:$ZZ$1000,B1091,C1091)</f>
        <v>0</v>
      </c>
    </row>
    <row r="1092" spans="1:8" x14ac:dyDescent="0.25">
      <c r="A1092">
        <v>1090</v>
      </c>
      <c r="B1092">
        <f t="shared" ref="B1092:B1155" si="34">INT((A1092-1)/$B$1)+1</f>
        <v>29</v>
      </c>
      <c r="C1092">
        <f t="shared" ref="C1092:C1155" si="35">MOD(A1092-1,$B$1)+1</f>
        <v>26</v>
      </c>
      <c r="D1092" cm="1">
        <f t="array" ref="D1092">INDEX('Linha 06'!$A$4:$A$1000,B1092)</f>
        <v>20110025</v>
      </c>
      <c r="E1092" t="str" cm="1">
        <f t="array" ref="E1092">INDEX('Linha 06'!$B$4:$B$1000,B1092)</f>
        <v>Multi Uso Aquafast Pulverizador Original Cx/12 X 1l</v>
      </c>
      <c r="F1092" cm="1">
        <f t="array" ref="F1092">INDEX('Linha 06'!$C$3:$ZZ$3,C1092)</f>
        <v>20110022</v>
      </c>
      <c r="G1092" t="str" cm="1">
        <f t="array" ref="G1092">INDEX('Linha 06'!$C$2:$ZZ$2,C1092)</f>
        <v>Intermed Pack Multi Uso Lavand C/Alcool Cx/18 X 500ml</v>
      </c>
      <c r="H1092" s="5" cm="1">
        <f t="array" ref="H1092">INDEX('Linha 06'!$C$4:$ZZ$1000,B1092,C1092)</f>
        <v>0</v>
      </c>
    </row>
    <row r="1093" spans="1:8" x14ac:dyDescent="0.25">
      <c r="A1093">
        <v>1091</v>
      </c>
      <c r="B1093">
        <f t="shared" si="34"/>
        <v>29</v>
      </c>
      <c r="C1093">
        <f t="shared" si="35"/>
        <v>27</v>
      </c>
      <c r="D1093" cm="1">
        <f t="array" ref="D1093">INDEX('Linha 06'!$A$4:$A$1000,B1093)</f>
        <v>20110025</v>
      </c>
      <c r="E1093" t="str" cm="1">
        <f t="array" ref="E1093">INDEX('Linha 06'!$B$4:$B$1000,B1093)</f>
        <v>Multi Uso Aquafast Pulverizador Original Cx/12 X 1l</v>
      </c>
      <c r="F1093" cm="1">
        <f t="array" ref="F1093">INDEX('Linha 06'!$C$3:$ZZ$3,C1093)</f>
        <v>20110023</v>
      </c>
      <c r="G1093" t="str" cm="1">
        <f t="array" ref="G1093">INDEX('Linha 06'!$C$2:$ZZ$2,C1093)</f>
        <v>Multi Uso Aquafast Squeeze Cha Branco  Cx/12 X 500ml</v>
      </c>
      <c r="H1093" s="5" cm="1">
        <f t="array" ref="H1093">INDEX('Linha 06'!$C$4:$ZZ$1000,B1093,C1093)</f>
        <v>0</v>
      </c>
    </row>
    <row r="1094" spans="1:8" x14ac:dyDescent="0.25">
      <c r="A1094">
        <v>1092</v>
      </c>
      <c r="B1094">
        <f t="shared" si="34"/>
        <v>29</v>
      </c>
      <c r="C1094">
        <f t="shared" si="35"/>
        <v>28</v>
      </c>
      <c r="D1094" cm="1">
        <f t="array" ref="D1094">INDEX('Linha 06'!$A$4:$A$1000,B1094)</f>
        <v>20110025</v>
      </c>
      <c r="E1094" t="str" cm="1">
        <f t="array" ref="E1094">INDEX('Linha 06'!$B$4:$B$1000,B1094)</f>
        <v>Multi Uso Aquafast Pulverizador Original Cx/12 X 1l</v>
      </c>
      <c r="F1094" cm="1">
        <f t="array" ref="F1094">INDEX('Linha 06'!$C$3:$ZZ$3,C1094)</f>
        <v>20110024</v>
      </c>
      <c r="G1094" t="str" cm="1">
        <f t="array" ref="G1094">INDEX('Linha 06'!$C$2:$ZZ$2,C1094)</f>
        <v>Multi Uso Aquafast Squeeze Cha Branco Cx12 X 1l</v>
      </c>
      <c r="H1094" s="5" cm="1">
        <f t="array" ref="H1094">INDEX('Linha 06'!$C$4:$ZZ$1000,B1094,C1094)</f>
        <v>0</v>
      </c>
    </row>
    <row r="1095" spans="1:8" x14ac:dyDescent="0.25">
      <c r="A1095">
        <v>1093</v>
      </c>
      <c r="B1095">
        <f t="shared" si="34"/>
        <v>29</v>
      </c>
      <c r="C1095">
        <f t="shared" si="35"/>
        <v>29</v>
      </c>
      <c r="D1095" cm="1">
        <f t="array" ref="D1095">INDEX('Linha 06'!$A$4:$A$1000,B1095)</f>
        <v>20110025</v>
      </c>
      <c r="E1095" t="str" cm="1">
        <f t="array" ref="E1095">INDEX('Linha 06'!$B$4:$B$1000,B1095)</f>
        <v>Multi Uso Aquafast Pulverizador Original Cx/12 X 1l</v>
      </c>
      <c r="F1095" cm="1">
        <f t="array" ref="F1095">INDEX('Linha 06'!$C$3:$ZZ$3,C1095)</f>
        <v>20110025</v>
      </c>
      <c r="G1095" t="str" cm="1">
        <f t="array" ref="G1095">INDEX('Linha 06'!$C$2:$ZZ$2,C1095)</f>
        <v>Multi Uso Aquafast Pulverizador Original Cx/12 X 1l</v>
      </c>
      <c r="H1095" s="5" cm="1">
        <f t="array" ref="H1095">INDEX('Linha 06'!$C$4:$ZZ$1000,B1095,C1095)</f>
        <v>0</v>
      </c>
    </row>
    <row r="1096" spans="1:8" x14ac:dyDescent="0.25">
      <c r="A1096">
        <v>1094</v>
      </c>
      <c r="B1096">
        <f t="shared" si="34"/>
        <v>29</v>
      </c>
      <c r="C1096">
        <f t="shared" si="35"/>
        <v>30</v>
      </c>
      <c r="D1096" cm="1">
        <f t="array" ref="D1096">INDEX('Linha 06'!$A$4:$A$1000,B1096)</f>
        <v>20110025</v>
      </c>
      <c r="E1096" t="str" cm="1">
        <f t="array" ref="E1096">INDEX('Linha 06'!$B$4:$B$1000,B1096)</f>
        <v>Multi Uso Aquafast Pulverizador Original Cx/12 X 1l</v>
      </c>
      <c r="F1096" cm="1">
        <f t="array" ref="F1096">INDEX('Linha 06'!$C$3:$ZZ$3,C1096)</f>
        <v>20110026</v>
      </c>
      <c r="G1096" t="str" cm="1">
        <f t="array" ref="G1096">INDEX('Linha 06'!$C$2:$ZZ$2,C1096)</f>
        <v>Multi Uso Aquafast Pulverizador Poder O2 Cx/12 X 1l</v>
      </c>
      <c r="H1096" s="5" cm="1">
        <f t="array" ref="H1096">INDEX('Linha 06'!$C$4:$ZZ$1000,B1096,C1096)</f>
        <v>0</v>
      </c>
    </row>
    <row r="1097" spans="1:8" x14ac:dyDescent="0.25">
      <c r="A1097">
        <v>1095</v>
      </c>
      <c r="B1097">
        <f t="shared" si="34"/>
        <v>29</v>
      </c>
      <c r="C1097">
        <f t="shared" si="35"/>
        <v>31</v>
      </c>
      <c r="D1097" cm="1">
        <f t="array" ref="D1097">INDEX('Linha 06'!$A$4:$A$1000,B1097)</f>
        <v>20110025</v>
      </c>
      <c r="E1097" t="str" cm="1">
        <f t="array" ref="E1097">INDEX('Linha 06'!$B$4:$B$1000,B1097)</f>
        <v>Multi Uso Aquafast Pulverizador Original Cx/12 X 1l</v>
      </c>
      <c r="F1097" cm="1">
        <f t="array" ref="F1097">INDEX('Linha 06'!$C$3:$ZZ$3,C1097)</f>
        <v>20110027</v>
      </c>
      <c r="G1097" t="str" cm="1">
        <f t="array" ref="G1097">INDEX('Linha 06'!$C$2:$ZZ$2,C1097)</f>
        <v>Multi Uso Aquafast Pulverizador Poder O2 Cx/12 X 500ml</v>
      </c>
      <c r="H1097" s="5" cm="1">
        <f t="array" ref="H1097">INDEX('Linha 06'!$C$4:$ZZ$1000,B1097,C1097)</f>
        <v>0</v>
      </c>
    </row>
    <row r="1098" spans="1:8" x14ac:dyDescent="0.25">
      <c r="A1098">
        <v>1096</v>
      </c>
      <c r="B1098">
        <f t="shared" si="34"/>
        <v>29</v>
      </c>
      <c r="C1098">
        <f t="shared" si="35"/>
        <v>32</v>
      </c>
      <c r="D1098" cm="1">
        <f t="array" ref="D1098">INDEX('Linha 06'!$A$4:$A$1000,B1098)</f>
        <v>20110025</v>
      </c>
      <c r="E1098" t="str" cm="1">
        <f t="array" ref="E1098">INDEX('Linha 06'!$B$4:$B$1000,B1098)</f>
        <v>Multi Uso Aquafast Pulverizador Original Cx/12 X 1l</v>
      </c>
      <c r="F1098" cm="1">
        <f t="array" ref="F1098">INDEX('Linha 06'!$C$3:$ZZ$3,C1098)</f>
        <v>20200073</v>
      </c>
      <c r="G1098" t="str" cm="1">
        <f t="array" ref="G1098">INDEX('Linha 06'!$C$2:$ZZ$2,C1098)</f>
        <v>Lava Roupas Aquafast Lavagem Rapida Total Clean Cx/9 X 1,5l</v>
      </c>
      <c r="H1098" s="5" cm="1">
        <f t="array" ref="H1098">INDEX('Linha 06'!$C$4:$ZZ$1000,B1098,C1098)</f>
        <v>0</v>
      </c>
    </row>
    <row r="1099" spans="1:8" x14ac:dyDescent="0.25">
      <c r="A1099">
        <v>1097</v>
      </c>
      <c r="B1099">
        <f t="shared" si="34"/>
        <v>29</v>
      </c>
      <c r="C1099">
        <f t="shared" si="35"/>
        <v>33</v>
      </c>
      <c r="D1099" cm="1">
        <f t="array" ref="D1099">INDEX('Linha 06'!$A$4:$A$1000,B1099)</f>
        <v>20110025</v>
      </c>
      <c r="E1099" t="str" cm="1">
        <f t="array" ref="E1099">INDEX('Linha 06'!$B$4:$B$1000,B1099)</f>
        <v>Multi Uso Aquafast Pulverizador Original Cx/12 X 1l</v>
      </c>
      <c r="F1099" cm="1">
        <f t="array" ref="F1099">INDEX('Linha 06'!$C$3:$ZZ$3,C1099)</f>
        <v>20200075</v>
      </c>
      <c r="G1099" t="str" cm="1">
        <f t="array" ref="G1099">INDEX('Linha 06'!$C$2:$ZZ$2,C1099)</f>
        <v>Lava Roupas Aquafast Lavagem Rapida Fresh Clean Cx/9 X 1,5l</v>
      </c>
      <c r="H1099" s="5" cm="1">
        <f t="array" ref="H1099">INDEX('Linha 06'!$C$4:$ZZ$1000,B1099,C1099)</f>
        <v>0</v>
      </c>
    </row>
    <row r="1100" spans="1:8" x14ac:dyDescent="0.25">
      <c r="A1100">
        <v>1098</v>
      </c>
      <c r="B1100">
        <f t="shared" si="34"/>
        <v>29</v>
      </c>
      <c r="C1100">
        <f t="shared" si="35"/>
        <v>34</v>
      </c>
      <c r="D1100" cm="1">
        <f t="array" ref="D1100">INDEX('Linha 06'!$A$4:$A$1000,B1100)</f>
        <v>20110025</v>
      </c>
      <c r="E1100" t="str" cm="1">
        <f t="array" ref="E1100">INDEX('Linha 06'!$B$4:$B$1000,B1100)</f>
        <v>Multi Uso Aquafast Pulverizador Original Cx/12 X 1l</v>
      </c>
      <c r="F1100" cm="1">
        <f t="array" ref="F1100">INDEX('Linha 06'!$C$3:$ZZ$3,C1100)</f>
        <v>20220018</v>
      </c>
      <c r="G1100" t="str" cm="1">
        <f t="array" ref="G1100">INDEX('Linha 06'!$C$2:$ZZ$2,C1100)</f>
        <v>Intermed. Aromat. Amoras E Baunilha Cx C/ 12un 250ml</v>
      </c>
      <c r="H1100" s="5" cm="1">
        <f t="array" ref="H1100">INDEX('Linha 06'!$C$4:$ZZ$1000,B1100,C1100)</f>
        <v>0</v>
      </c>
    </row>
    <row r="1101" spans="1:8" x14ac:dyDescent="0.25">
      <c r="A1101">
        <v>1099</v>
      </c>
      <c r="B1101">
        <f t="shared" si="34"/>
        <v>29</v>
      </c>
      <c r="C1101">
        <f t="shared" si="35"/>
        <v>35</v>
      </c>
      <c r="D1101" cm="1">
        <f t="array" ref="D1101">INDEX('Linha 06'!$A$4:$A$1000,B1101)</f>
        <v>20110025</v>
      </c>
      <c r="E1101" t="str" cm="1">
        <f t="array" ref="E1101">INDEX('Linha 06'!$B$4:$B$1000,B1101)</f>
        <v>Multi Uso Aquafast Pulverizador Original Cx/12 X 1l</v>
      </c>
      <c r="F1101" cm="1">
        <f t="array" ref="F1101">INDEX('Linha 06'!$C$3:$ZZ$3,C1101)</f>
        <v>20220019</v>
      </c>
      <c r="G1101" t="str" cm="1">
        <f t="array" ref="G1101">INDEX('Linha 06'!$C$2:$ZZ$2,C1101)</f>
        <v>Intermed. Aromat. Figo E Cedro Cx C/ 12un 250ml</v>
      </c>
      <c r="H1101" s="5" cm="1">
        <f t="array" ref="H1101">INDEX('Linha 06'!$C$4:$ZZ$1000,B1101,C1101)</f>
        <v>0</v>
      </c>
    </row>
    <row r="1102" spans="1:8" x14ac:dyDescent="0.25">
      <c r="A1102">
        <v>1100</v>
      </c>
      <c r="B1102">
        <f t="shared" si="34"/>
        <v>29</v>
      </c>
      <c r="C1102">
        <f t="shared" si="35"/>
        <v>36</v>
      </c>
      <c r="D1102" cm="1">
        <f t="array" ref="D1102">INDEX('Linha 06'!$A$4:$A$1000,B1102)</f>
        <v>20110025</v>
      </c>
      <c r="E1102" t="str" cm="1">
        <f t="array" ref="E1102">INDEX('Linha 06'!$B$4:$B$1000,B1102)</f>
        <v>Multi Uso Aquafast Pulverizador Original Cx/12 X 1l</v>
      </c>
      <c r="F1102" cm="1">
        <f t="array" ref="F1102">INDEX('Linha 06'!$C$3:$ZZ$3,C1102)</f>
        <v>20220020</v>
      </c>
      <c r="G1102" t="str" cm="1">
        <f t="array" ref="G1102">INDEX('Linha 06'!$C$2:$ZZ$2,C1102)</f>
        <v>Intermed. Aromat. Rosas E Magnolias Cx C/ 12un 250ml</v>
      </c>
      <c r="H1102" s="5" cm="1">
        <f t="array" ref="H1102">INDEX('Linha 06'!$C$4:$ZZ$1000,B1102,C1102)</f>
        <v>0</v>
      </c>
    </row>
    <row r="1103" spans="1:8" x14ac:dyDescent="0.25">
      <c r="A1103">
        <v>1101</v>
      </c>
      <c r="B1103">
        <f t="shared" si="34"/>
        <v>29</v>
      </c>
      <c r="C1103">
        <f t="shared" si="35"/>
        <v>37</v>
      </c>
      <c r="D1103" cm="1">
        <f t="array" ref="D1103">INDEX('Linha 06'!$A$4:$A$1000,B1103)</f>
        <v>20110025</v>
      </c>
      <c r="E1103" t="str" cm="1">
        <f t="array" ref="E1103">INDEX('Linha 06'!$B$4:$B$1000,B1103)</f>
        <v>Multi Uso Aquafast Pulverizador Original Cx/12 X 1l</v>
      </c>
      <c r="F1103" cm="1">
        <f t="array" ref="F1103">INDEX('Linha 06'!$C$3:$ZZ$3,C1103)</f>
        <v>20220021</v>
      </c>
      <c r="G1103" t="str" cm="1">
        <f t="array" ref="G1103">INDEX('Linha 06'!$C$2:$ZZ$2,C1103)</f>
        <v>Intermed. Aromat. Flores Exoticas Cx C/ 12un 250ml</v>
      </c>
      <c r="H1103" s="5" cm="1">
        <f t="array" ref="H1103">INDEX('Linha 06'!$C$4:$ZZ$1000,B1103,C1103)</f>
        <v>0</v>
      </c>
    </row>
    <row r="1104" spans="1:8" x14ac:dyDescent="0.25">
      <c r="A1104">
        <v>1102</v>
      </c>
      <c r="B1104">
        <f t="shared" si="34"/>
        <v>29</v>
      </c>
      <c r="C1104">
        <f t="shared" si="35"/>
        <v>38</v>
      </c>
      <c r="D1104" cm="1">
        <f t="array" ref="D1104">INDEX('Linha 06'!$A$4:$A$1000,B1104)</f>
        <v>20110025</v>
      </c>
      <c r="E1104" t="str" cm="1">
        <f t="array" ref="E1104">INDEX('Linha 06'!$B$4:$B$1000,B1104)</f>
        <v>Multi Uso Aquafast Pulverizador Original Cx/12 X 1l</v>
      </c>
      <c r="F1104" cm="1">
        <f t="array" ref="F1104">INDEX('Linha 06'!$C$3:$ZZ$3,C1104)</f>
        <v>20220022</v>
      </c>
      <c r="G1104" t="str" cm="1">
        <f t="array" ref="G1104">INDEX('Linha 06'!$C$2:$ZZ$2,C1104)</f>
        <v>Intermed. Aromat. Cha Verde E Grapef Cx C/ 12un 250ml</v>
      </c>
      <c r="H1104" s="5" cm="1">
        <f t="array" ref="H1104">INDEX('Linha 06'!$C$4:$ZZ$1000,B1104,C1104)</f>
        <v>0</v>
      </c>
    </row>
    <row r="1105" spans="1:8" x14ac:dyDescent="0.25">
      <c r="A1105">
        <v>1103</v>
      </c>
      <c r="B1105">
        <f t="shared" si="34"/>
        <v>30</v>
      </c>
      <c r="C1105">
        <f t="shared" si="35"/>
        <v>1</v>
      </c>
      <c r="D1105" cm="1">
        <f t="array" ref="D1105">INDEX('Linha 06'!$A$4:$A$1000,B1105)</f>
        <v>20110026</v>
      </c>
      <c r="E1105" t="str" cm="1">
        <f t="array" ref="E1105">INDEX('Linha 06'!$B$4:$B$1000,B1105)</f>
        <v>Multi Uso Aquafast Pulverizador Poder O2 Cx/12 X 1l</v>
      </c>
      <c r="F1105" cm="1">
        <f t="array" ref="F1105">INDEX('Linha 06'!$C$3:$ZZ$3,C1105)</f>
        <v>20060001</v>
      </c>
      <c r="G1105" t="str" cm="1">
        <f t="array" ref="G1105">INDEX('Linha 06'!$C$2:$ZZ$2,C1105)</f>
        <v>Limp Perf Aquafast Magia Seducao Cx/12 X 500ml</v>
      </c>
      <c r="H1105" s="5" cm="1">
        <f t="array" ref="H1105">INDEX('Linha 06'!$C$4:$ZZ$1000,B1105,C1105)</f>
        <v>0</v>
      </c>
    </row>
    <row r="1106" spans="1:8" x14ac:dyDescent="0.25">
      <c r="A1106">
        <v>1104</v>
      </c>
      <c r="B1106">
        <f t="shared" si="34"/>
        <v>30</v>
      </c>
      <c r="C1106">
        <f t="shared" si="35"/>
        <v>2</v>
      </c>
      <c r="D1106" cm="1">
        <f t="array" ref="D1106">INDEX('Linha 06'!$A$4:$A$1000,B1106)</f>
        <v>20110026</v>
      </c>
      <c r="E1106" t="str" cm="1">
        <f t="array" ref="E1106">INDEX('Linha 06'!$B$4:$B$1000,B1106)</f>
        <v>Multi Uso Aquafast Pulverizador Poder O2 Cx/12 X 1l</v>
      </c>
      <c r="F1106" cm="1">
        <f t="array" ref="F1106">INDEX('Linha 06'!$C$3:$ZZ$3,C1106)</f>
        <v>20060004</v>
      </c>
      <c r="G1106" t="str" cm="1">
        <f t="array" ref="G1106">INDEX('Linha 06'!$C$2:$ZZ$2,C1106)</f>
        <v>Limp Perf Aquafast Magia Seducao Cx/12 X 1l</v>
      </c>
      <c r="H1106" s="5" cm="1">
        <f t="array" ref="H1106">INDEX('Linha 06'!$C$4:$ZZ$1000,B1106,C1106)</f>
        <v>0</v>
      </c>
    </row>
    <row r="1107" spans="1:8" x14ac:dyDescent="0.25">
      <c r="A1107">
        <v>1105</v>
      </c>
      <c r="B1107">
        <f t="shared" si="34"/>
        <v>30</v>
      </c>
      <c r="C1107">
        <f t="shared" si="35"/>
        <v>3</v>
      </c>
      <c r="D1107" cm="1">
        <f t="array" ref="D1107">INDEX('Linha 06'!$A$4:$A$1000,B1107)</f>
        <v>20110026</v>
      </c>
      <c r="E1107" t="str" cm="1">
        <f t="array" ref="E1107">INDEX('Linha 06'!$B$4:$B$1000,B1107)</f>
        <v>Multi Uso Aquafast Pulverizador Poder O2 Cx/12 X 1l</v>
      </c>
      <c r="F1107" cm="1">
        <f t="array" ref="F1107">INDEX('Linha 06'!$C$3:$ZZ$3,C1107)</f>
        <v>20060010</v>
      </c>
      <c r="G1107" t="str" cm="1">
        <f t="array" ref="G1107">INDEX('Linha 06'!$C$2:$ZZ$2,C1107)</f>
        <v>Limp Perf Aquafast Magia Da Infancia Cx/12 X 500ml</v>
      </c>
      <c r="H1107" s="5" cm="1">
        <f t="array" ref="H1107">INDEX('Linha 06'!$C$4:$ZZ$1000,B1107,C1107)</f>
        <v>0</v>
      </c>
    </row>
    <row r="1108" spans="1:8" x14ac:dyDescent="0.25">
      <c r="A1108">
        <v>1106</v>
      </c>
      <c r="B1108">
        <f t="shared" si="34"/>
        <v>30</v>
      </c>
      <c r="C1108">
        <f t="shared" si="35"/>
        <v>4</v>
      </c>
      <c r="D1108" cm="1">
        <f t="array" ref="D1108">INDEX('Linha 06'!$A$4:$A$1000,B1108)</f>
        <v>20110026</v>
      </c>
      <c r="E1108" t="str" cm="1">
        <f t="array" ref="E1108">INDEX('Linha 06'!$B$4:$B$1000,B1108)</f>
        <v>Multi Uso Aquafast Pulverizador Poder O2 Cx/12 X 1l</v>
      </c>
      <c r="F1108" cm="1">
        <f t="array" ref="F1108">INDEX('Linha 06'!$C$3:$ZZ$3,C1108)</f>
        <v>20060011</v>
      </c>
      <c r="G1108" t="str" cm="1">
        <f t="array" ref="G1108">INDEX('Linha 06'!$C$2:$ZZ$2,C1108)</f>
        <v>Limp Perf Aquafast Frescor Da Manha Cx/12 X 500ml</v>
      </c>
      <c r="H1108" s="5" cm="1">
        <f t="array" ref="H1108">INDEX('Linha 06'!$C$4:$ZZ$1000,B1108,C1108)</f>
        <v>0</v>
      </c>
    </row>
    <row r="1109" spans="1:8" x14ac:dyDescent="0.25">
      <c r="A1109">
        <v>1107</v>
      </c>
      <c r="B1109">
        <f t="shared" si="34"/>
        <v>30</v>
      </c>
      <c r="C1109">
        <f t="shared" si="35"/>
        <v>5</v>
      </c>
      <c r="D1109" cm="1">
        <f t="array" ref="D1109">INDEX('Linha 06'!$A$4:$A$1000,B1109)</f>
        <v>20110026</v>
      </c>
      <c r="E1109" t="str" cm="1">
        <f t="array" ref="E1109">INDEX('Linha 06'!$B$4:$B$1000,B1109)</f>
        <v>Multi Uso Aquafast Pulverizador Poder O2 Cx/12 X 1l</v>
      </c>
      <c r="F1109" cm="1">
        <f t="array" ref="F1109">INDEX('Linha 06'!$C$3:$ZZ$3,C1109)</f>
        <v>20060012</v>
      </c>
      <c r="G1109" t="str" cm="1">
        <f t="array" ref="G1109">INDEX('Linha 06'!$C$2:$ZZ$2,C1109)</f>
        <v>Limp Perf Aquafast Magia Da Infancia Cx/12 X 1l</v>
      </c>
      <c r="H1109" s="5" cm="1">
        <f t="array" ref="H1109">INDEX('Linha 06'!$C$4:$ZZ$1000,B1109,C1109)</f>
        <v>0</v>
      </c>
    </row>
    <row r="1110" spans="1:8" x14ac:dyDescent="0.25">
      <c r="A1110">
        <v>1108</v>
      </c>
      <c r="B1110">
        <f t="shared" si="34"/>
        <v>30</v>
      </c>
      <c r="C1110">
        <f t="shared" si="35"/>
        <v>6</v>
      </c>
      <c r="D1110" cm="1">
        <f t="array" ref="D1110">INDEX('Linha 06'!$A$4:$A$1000,B1110)</f>
        <v>20110026</v>
      </c>
      <c r="E1110" t="str" cm="1">
        <f t="array" ref="E1110">INDEX('Linha 06'!$B$4:$B$1000,B1110)</f>
        <v>Multi Uso Aquafast Pulverizador Poder O2 Cx/12 X 1l</v>
      </c>
      <c r="F1110" cm="1">
        <f t="array" ref="F1110">INDEX('Linha 06'!$C$3:$ZZ$3,C1110)</f>
        <v>20060013</v>
      </c>
      <c r="G1110" t="str" cm="1">
        <f t="array" ref="G1110">INDEX('Linha 06'!$C$2:$ZZ$2,C1110)</f>
        <v>Limp Perf Aquafast Frescor Da Manha Cx/12 X 1l</v>
      </c>
      <c r="H1110" s="5" cm="1">
        <f t="array" ref="H1110">INDEX('Linha 06'!$C$4:$ZZ$1000,B1110,C1110)</f>
        <v>0</v>
      </c>
    </row>
    <row r="1111" spans="1:8" x14ac:dyDescent="0.25">
      <c r="A1111">
        <v>1109</v>
      </c>
      <c r="B1111">
        <f t="shared" si="34"/>
        <v>30</v>
      </c>
      <c r="C1111">
        <f t="shared" si="35"/>
        <v>7</v>
      </c>
      <c r="D1111" cm="1">
        <f t="array" ref="D1111">INDEX('Linha 06'!$A$4:$A$1000,B1111)</f>
        <v>20110026</v>
      </c>
      <c r="E1111" t="str" cm="1">
        <f t="array" ref="E1111">INDEX('Linha 06'!$B$4:$B$1000,B1111)</f>
        <v>Multi Uso Aquafast Pulverizador Poder O2 Cx/12 X 1l</v>
      </c>
      <c r="F1111" cm="1">
        <f t="array" ref="F1111">INDEX('Linha 06'!$C$3:$ZZ$3,C1111)</f>
        <v>20060015</v>
      </c>
      <c r="G1111" t="str" cm="1">
        <f t="array" ref="G1111">INDEX('Linha 06'!$C$2:$ZZ$2,C1111)</f>
        <v>Limp Perf Aquafast Doce Romance Cx/12 X 500ml</v>
      </c>
      <c r="H1111" s="5" cm="1">
        <f t="array" ref="H1111">INDEX('Linha 06'!$C$4:$ZZ$1000,B1111,C1111)</f>
        <v>0</v>
      </c>
    </row>
    <row r="1112" spans="1:8" x14ac:dyDescent="0.25">
      <c r="A1112">
        <v>1110</v>
      </c>
      <c r="B1112">
        <f t="shared" si="34"/>
        <v>30</v>
      </c>
      <c r="C1112">
        <f t="shared" si="35"/>
        <v>8</v>
      </c>
      <c r="D1112" cm="1">
        <f t="array" ref="D1112">INDEX('Linha 06'!$A$4:$A$1000,B1112)</f>
        <v>20110026</v>
      </c>
      <c r="E1112" t="str" cm="1">
        <f t="array" ref="E1112">INDEX('Linha 06'!$B$4:$B$1000,B1112)</f>
        <v>Multi Uso Aquafast Pulverizador Poder O2 Cx/12 X 1l</v>
      </c>
      <c r="F1112" cm="1">
        <f t="array" ref="F1112">INDEX('Linha 06'!$C$3:$ZZ$3,C1112)</f>
        <v>20060016</v>
      </c>
      <c r="G1112" t="str" cm="1">
        <f t="array" ref="G1112">INDEX('Linha 06'!$C$2:$ZZ$2,C1112)</f>
        <v>Limp Perf Aquafast Doce Romance Cx/12 X 1l</v>
      </c>
      <c r="H1112" s="5" cm="1">
        <f t="array" ref="H1112">INDEX('Linha 06'!$C$4:$ZZ$1000,B1112,C1112)</f>
        <v>0</v>
      </c>
    </row>
    <row r="1113" spans="1:8" x14ac:dyDescent="0.25">
      <c r="A1113">
        <v>1111</v>
      </c>
      <c r="B1113">
        <f t="shared" si="34"/>
        <v>30</v>
      </c>
      <c r="C1113">
        <f t="shared" si="35"/>
        <v>9</v>
      </c>
      <c r="D1113" cm="1">
        <f t="array" ref="D1113">INDEX('Linha 06'!$A$4:$A$1000,B1113)</f>
        <v>20110026</v>
      </c>
      <c r="E1113" t="str" cm="1">
        <f t="array" ref="E1113">INDEX('Linha 06'!$B$4:$B$1000,B1113)</f>
        <v>Multi Uso Aquafast Pulverizador Poder O2 Cx/12 X 1l</v>
      </c>
      <c r="F1113" cm="1">
        <f t="array" ref="F1113">INDEX('Linha 06'!$C$3:$ZZ$3,C1113)</f>
        <v>20060027</v>
      </c>
      <c r="G1113" t="str" cm="1">
        <f t="array" ref="G1113">INDEX('Linha 06'!$C$2:$ZZ$2,C1113)</f>
        <v>Limp Perf Aquafast Essencia Natural Cx/12 X 1l</v>
      </c>
      <c r="H1113" s="5" cm="1">
        <f t="array" ref="H1113">INDEX('Linha 06'!$C$4:$ZZ$1000,B1113,C1113)</f>
        <v>0</v>
      </c>
    </row>
    <row r="1114" spans="1:8" x14ac:dyDescent="0.25">
      <c r="A1114">
        <v>1112</v>
      </c>
      <c r="B1114">
        <f t="shared" si="34"/>
        <v>30</v>
      </c>
      <c r="C1114">
        <f t="shared" si="35"/>
        <v>10</v>
      </c>
      <c r="D1114" cm="1">
        <f t="array" ref="D1114">INDEX('Linha 06'!$A$4:$A$1000,B1114)</f>
        <v>20110026</v>
      </c>
      <c r="E1114" t="str" cm="1">
        <f t="array" ref="E1114">INDEX('Linha 06'!$B$4:$B$1000,B1114)</f>
        <v>Multi Uso Aquafast Pulverizador Poder O2 Cx/12 X 1l</v>
      </c>
      <c r="F1114" cm="1">
        <f t="array" ref="F1114">INDEX('Linha 06'!$C$3:$ZZ$3,C1114)</f>
        <v>20070001</v>
      </c>
      <c r="G1114" t="str" cm="1">
        <f t="array" ref="G1114">INDEX('Linha 06'!$C$2:$ZZ$2,C1114)</f>
        <v>Limpa Vidros Aquafast Pulverizador Cx/12 X 500ml</v>
      </c>
      <c r="H1114" s="5" cm="1">
        <f t="array" ref="H1114">INDEX('Linha 06'!$C$4:$ZZ$1000,B1114,C1114)</f>
        <v>0</v>
      </c>
    </row>
    <row r="1115" spans="1:8" x14ac:dyDescent="0.25">
      <c r="A1115">
        <v>1113</v>
      </c>
      <c r="B1115">
        <f t="shared" si="34"/>
        <v>30</v>
      </c>
      <c r="C1115">
        <f t="shared" si="35"/>
        <v>11</v>
      </c>
      <c r="D1115" cm="1">
        <f t="array" ref="D1115">INDEX('Linha 06'!$A$4:$A$1000,B1115)</f>
        <v>20110026</v>
      </c>
      <c r="E1115" t="str" cm="1">
        <f t="array" ref="E1115">INDEX('Linha 06'!$B$4:$B$1000,B1115)</f>
        <v>Multi Uso Aquafast Pulverizador Poder O2 Cx/12 X 1l</v>
      </c>
      <c r="F1115" cm="1">
        <f t="array" ref="F1115">INDEX('Linha 06'!$C$3:$ZZ$3,C1115)</f>
        <v>20070002</v>
      </c>
      <c r="G1115" t="str" cm="1">
        <f t="array" ref="G1115">INDEX('Linha 06'!$C$2:$ZZ$2,C1115)</f>
        <v>Limpa Vidros Aquafast Recarga Cx/12 X 500ml</v>
      </c>
      <c r="H1115" s="5" cm="1">
        <f t="array" ref="H1115">INDEX('Linha 06'!$C$4:$ZZ$1000,B1115,C1115)</f>
        <v>0</v>
      </c>
    </row>
    <row r="1116" spans="1:8" x14ac:dyDescent="0.25">
      <c r="A1116">
        <v>1114</v>
      </c>
      <c r="B1116">
        <f t="shared" si="34"/>
        <v>30</v>
      </c>
      <c r="C1116">
        <f t="shared" si="35"/>
        <v>12</v>
      </c>
      <c r="D1116" cm="1">
        <f t="array" ref="D1116">INDEX('Linha 06'!$A$4:$A$1000,B1116)</f>
        <v>20110026</v>
      </c>
      <c r="E1116" t="str" cm="1">
        <f t="array" ref="E1116">INDEX('Linha 06'!$B$4:$B$1000,B1116)</f>
        <v>Multi Uso Aquafast Pulverizador Poder O2 Cx/12 X 1l</v>
      </c>
      <c r="F1116" cm="1">
        <f t="array" ref="F1116">INDEX('Linha 06'!$C$3:$ZZ$3,C1116)</f>
        <v>20070006</v>
      </c>
      <c r="G1116" t="str" cm="1">
        <f t="array" ref="G1116">INDEX('Linha 06'!$C$2:$ZZ$2,C1116)</f>
        <v>Limpa Vidros Ito Pulverizador Cx/12 X 500ml</v>
      </c>
      <c r="H1116" s="5" cm="1">
        <f t="array" ref="H1116">INDEX('Linha 06'!$C$4:$ZZ$1000,B1116,C1116)</f>
        <v>0</v>
      </c>
    </row>
    <row r="1117" spans="1:8" x14ac:dyDescent="0.25">
      <c r="A1117">
        <v>1115</v>
      </c>
      <c r="B1117">
        <f t="shared" si="34"/>
        <v>30</v>
      </c>
      <c r="C1117">
        <f t="shared" si="35"/>
        <v>13</v>
      </c>
      <c r="D1117" cm="1">
        <f t="array" ref="D1117">INDEX('Linha 06'!$A$4:$A$1000,B1117)</f>
        <v>20110026</v>
      </c>
      <c r="E1117" t="str" cm="1">
        <f t="array" ref="E1117">INDEX('Linha 06'!$B$4:$B$1000,B1117)</f>
        <v>Multi Uso Aquafast Pulverizador Poder O2 Cx/12 X 1l</v>
      </c>
      <c r="F1117" cm="1">
        <f t="array" ref="F1117">INDEX('Linha 06'!$C$3:$ZZ$3,C1117)</f>
        <v>20070007</v>
      </c>
      <c r="G1117" t="str" cm="1">
        <f t="array" ref="G1117">INDEX('Linha 06'!$C$2:$ZZ$2,C1117)</f>
        <v>Limpa Vidros Ito Recarga Cx/12 X 500ml</v>
      </c>
      <c r="H1117" s="5" cm="1">
        <f t="array" ref="H1117">INDEX('Linha 06'!$C$4:$ZZ$1000,B1117,C1117)</f>
        <v>0</v>
      </c>
    </row>
    <row r="1118" spans="1:8" x14ac:dyDescent="0.25">
      <c r="A1118">
        <v>1116</v>
      </c>
      <c r="B1118">
        <f t="shared" si="34"/>
        <v>30</v>
      </c>
      <c r="C1118">
        <f t="shared" si="35"/>
        <v>14</v>
      </c>
      <c r="D1118" cm="1">
        <f t="array" ref="D1118">INDEX('Linha 06'!$A$4:$A$1000,B1118)</f>
        <v>20110026</v>
      </c>
      <c r="E1118" t="str" cm="1">
        <f t="array" ref="E1118">INDEX('Linha 06'!$B$4:$B$1000,B1118)</f>
        <v>Multi Uso Aquafast Pulverizador Poder O2 Cx/12 X 1l</v>
      </c>
      <c r="F1118" cm="1">
        <f t="array" ref="F1118">INDEX('Linha 06'!$C$3:$ZZ$3,C1118)</f>
        <v>20070008</v>
      </c>
      <c r="G1118" t="str" cm="1">
        <f t="array" ref="G1118">INDEX('Linha 06'!$C$2:$ZZ$2,C1118)</f>
        <v>Limpa Vidros Aquafast Squeeze Cx/12 X 500ml</v>
      </c>
      <c r="H1118" s="5" cm="1">
        <f t="array" ref="H1118">INDEX('Linha 06'!$C$4:$ZZ$1000,B1118,C1118)</f>
        <v>0</v>
      </c>
    </row>
    <row r="1119" spans="1:8" x14ac:dyDescent="0.25">
      <c r="A1119">
        <v>1117</v>
      </c>
      <c r="B1119">
        <f t="shared" si="34"/>
        <v>30</v>
      </c>
      <c r="C1119">
        <f t="shared" si="35"/>
        <v>15</v>
      </c>
      <c r="D1119" cm="1">
        <f t="array" ref="D1119">INDEX('Linha 06'!$A$4:$A$1000,B1119)</f>
        <v>20110026</v>
      </c>
      <c r="E1119" t="str" cm="1">
        <f t="array" ref="E1119">INDEX('Linha 06'!$B$4:$B$1000,B1119)</f>
        <v>Multi Uso Aquafast Pulverizador Poder O2 Cx/12 X 1l</v>
      </c>
      <c r="F1119" cm="1">
        <f t="array" ref="F1119">INDEX('Linha 06'!$C$3:$ZZ$3,C1119)</f>
        <v>20090001</v>
      </c>
      <c r="G1119" t="str" cm="1">
        <f t="array" ref="G1119">INDEX('Linha 06'!$C$2:$ZZ$2,C1119)</f>
        <v>Desengordurante Aquafast Pulverizador Cx/12 X 500ml</v>
      </c>
      <c r="H1119" s="5" cm="1">
        <f t="array" ref="H1119">INDEX('Linha 06'!$C$4:$ZZ$1000,B1119,C1119)</f>
        <v>0</v>
      </c>
    </row>
    <row r="1120" spans="1:8" x14ac:dyDescent="0.25">
      <c r="A1120">
        <v>1118</v>
      </c>
      <c r="B1120">
        <f t="shared" si="34"/>
        <v>30</v>
      </c>
      <c r="C1120">
        <f t="shared" si="35"/>
        <v>16</v>
      </c>
      <c r="D1120" cm="1">
        <f t="array" ref="D1120">INDEX('Linha 06'!$A$4:$A$1000,B1120)</f>
        <v>20110026</v>
      </c>
      <c r="E1120" t="str" cm="1">
        <f t="array" ref="E1120">INDEX('Linha 06'!$B$4:$B$1000,B1120)</f>
        <v>Multi Uso Aquafast Pulverizador Poder O2 Cx/12 X 1l</v>
      </c>
      <c r="F1120" cm="1">
        <f t="array" ref="F1120">INDEX('Linha 06'!$C$3:$ZZ$3,C1120)</f>
        <v>20090002</v>
      </c>
      <c r="G1120" t="str" cm="1">
        <f t="array" ref="G1120">INDEX('Linha 06'!$C$2:$ZZ$2,C1120)</f>
        <v>Desengordurante Aquafast Recarga Cx/12 X 500ml</v>
      </c>
      <c r="H1120" s="5" cm="1">
        <f t="array" ref="H1120">INDEX('Linha 06'!$C$4:$ZZ$1000,B1120,C1120)</f>
        <v>0</v>
      </c>
    </row>
    <row r="1121" spans="1:8" x14ac:dyDescent="0.25">
      <c r="A1121">
        <v>1119</v>
      </c>
      <c r="B1121">
        <f t="shared" si="34"/>
        <v>30</v>
      </c>
      <c r="C1121">
        <f t="shared" si="35"/>
        <v>17</v>
      </c>
      <c r="D1121" cm="1">
        <f t="array" ref="D1121">INDEX('Linha 06'!$A$4:$A$1000,B1121)</f>
        <v>20110026</v>
      </c>
      <c r="E1121" t="str" cm="1">
        <f t="array" ref="E1121">INDEX('Linha 06'!$B$4:$B$1000,B1121)</f>
        <v>Multi Uso Aquafast Pulverizador Poder O2 Cx/12 X 1l</v>
      </c>
      <c r="F1121" cm="1">
        <f t="array" ref="F1121">INDEX('Linha 06'!$C$3:$ZZ$3,C1121)</f>
        <v>20090004</v>
      </c>
      <c r="G1121" t="str" cm="1">
        <f t="array" ref="G1121">INDEX('Linha 06'!$C$2:$ZZ$2,C1121)</f>
        <v>Desengordurante Aquafast Squeeze Cx C/12 X 500ml</v>
      </c>
      <c r="H1121" s="5" cm="1">
        <f t="array" ref="H1121">INDEX('Linha 06'!$C$4:$ZZ$1000,B1121,C1121)</f>
        <v>0</v>
      </c>
    </row>
    <row r="1122" spans="1:8" x14ac:dyDescent="0.25">
      <c r="A1122">
        <v>1120</v>
      </c>
      <c r="B1122">
        <f t="shared" si="34"/>
        <v>30</v>
      </c>
      <c r="C1122">
        <f t="shared" si="35"/>
        <v>18</v>
      </c>
      <c r="D1122" cm="1">
        <f t="array" ref="D1122">INDEX('Linha 06'!$A$4:$A$1000,B1122)</f>
        <v>20110026</v>
      </c>
      <c r="E1122" t="str" cm="1">
        <f t="array" ref="E1122">INDEX('Linha 06'!$B$4:$B$1000,B1122)</f>
        <v>Multi Uso Aquafast Pulverizador Poder O2 Cx/12 X 1l</v>
      </c>
      <c r="F1122" cm="1">
        <f t="array" ref="F1122">INDEX('Linha 06'!$C$3:$ZZ$3,C1122)</f>
        <v>20090005</v>
      </c>
      <c r="G1122" t="str" cm="1">
        <f t="array" ref="G1122">INDEX('Linha 06'!$C$2:$ZZ$2,C1122)</f>
        <v>Desengordurante Aquafast Squeeze Cx C/12 X 1l</v>
      </c>
      <c r="H1122" s="5" cm="1">
        <f t="array" ref="H1122">INDEX('Linha 06'!$C$4:$ZZ$1000,B1122,C1122)</f>
        <v>0</v>
      </c>
    </row>
    <row r="1123" spans="1:8" x14ac:dyDescent="0.25">
      <c r="A1123">
        <v>1121</v>
      </c>
      <c r="B1123">
        <f t="shared" si="34"/>
        <v>30</v>
      </c>
      <c r="C1123">
        <f t="shared" si="35"/>
        <v>19</v>
      </c>
      <c r="D1123" cm="1">
        <f t="array" ref="D1123">INDEX('Linha 06'!$A$4:$A$1000,B1123)</f>
        <v>20110026</v>
      </c>
      <c r="E1123" t="str" cm="1">
        <f t="array" ref="E1123">INDEX('Linha 06'!$B$4:$B$1000,B1123)</f>
        <v>Multi Uso Aquafast Pulverizador Poder O2 Cx/12 X 1l</v>
      </c>
      <c r="F1123" cm="1">
        <f t="array" ref="F1123">INDEX('Linha 06'!$C$3:$ZZ$3,C1123)</f>
        <v>20090010</v>
      </c>
      <c r="G1123" t="str" cm="1">
        <f t="array" ref="G1123">INDEX('Linha 06'!$C$2:$ZZ$2,C1123)</f>
        <v>Intermed Pack Desengord Squeeze Cx C/18 X 500ml</v>
      </c>
      <c r="H1123" s="5" cm="1">
        <f t="array" ref="H1123">INDEX('Linha 06'!$C$4:$ZZ$1000,B1123,C1123)</f>
        <v>0</v>
      </c>
    </row>
    <row r="1124" spans="1:8" x14ac:dyDescent="0.25">
      <c r="A1124">
        <v>1122</v>
      </c>
      <c r="B1124">
        <f t="shared" si="34"/>
        <v>30</v>
      </c>
      <c r="C1124">
        <f t="shared" si="35"/>
        <v>20</v>
      </c>
      <c r="D1124" cm="1">
        <f t="array" ref="D1124">INDEX('Linha 06'!$A$4:$A$1000,B1124)</f>
        <v>20110026</v>
      </c>
      <c r="E1124" t="str" cm="1">
        <f t="array" ref="E1124">INDEX('Linha 06'!$B$4:$B$1000,B1124)</f>
        <v>Multi Uso Aquafast Pulverizador Poder O2 Cx/12 X 1l</v>
      </c>
      <c r="F1124" cm="1">
        <f t="array" ref="F1124">INDEX('Linha 06'!$C$3:$ZZ$3,C1124)</f>
        <v>20110002</v>
      </c>
      <c r="G1124" t="str" cm="1">
        <f t="array" ref="G1124">INDEX('Linha 06'!$C$2:$ZZ$2,C1124)</f>
        <v>Multi Uso Aquafast Squeeze Original Cx/12 X 500ml</v>
      </c>
      <c r="H1124" s="5" cm="1">
        <f t="array" ref="H1124">INDEX('Linha 06'!$C$4:$ZZ$1000,B1124,C1124)</f>
        <v>0</v>
      </c>
    </row>
    <row r="1125" spans="1:8" x14ac:dyDescent="0.25">
      <c r="A1125">
        <v>1123</v>
      </c>
      <c r="B1125">
        <f t="shared" si="34"/>
        <v>30</v>
      </c>
      <c r="C1125">
        <f t="shared" si="35"/>
        <v>21</v>
      </c>
      <c r="D1125" cm="1">
        <f t="array" ref="D1125">INDEX('Linha 06'!$A$4:$A$1000,B1125)</f>
        <v>20110026</v>
      </c>
      <c r="E1125" t="str" cm="1">
        <f t="array" ref="E1125">INDEX('Linha 06'!$B$4:$B$1000,B1125)</f>
        <v>Multi Uso Aquafast Pulverizador Poder O2 Cx/12 X 1l</v>
      </c>
      <c r="F1125" cm="1">
        <f t="array" ref="F1125">INDEX('Linha 06'!$C$3:$ZZ$3,C1125)</f>
        <v>20110004</v>
      </c>
      <c r="G1125" t="str" cm="1">
        <f t="array" ref="G1125">INDEX('Linha 06'!$C$2:$ZZ$2,C1125)</f>
        <v>Multi Uso Aquafast Squeeze Lavanda Cx/12 X 500ml</v>
      </c>
      <c r="H1125" s="5" cm="1">
        <f t="array" ref="H1125">INDEX('Linha 06'!$C$4:$ZZ$1000,B1125,C1125)</f>
        <v>0</v>
      </c>
    </row>
    <row r="1126" spans="1:8" x14ac:dyDescent="0.25">
      <c r="A1126">
        <v>1124</v>
      </c>
      <c r="B1126">
        <f t="shared" si="34"/>
        <v>30</v>
      </c>
      <c r="C1126">
        <f t="shared" si="35"/>
        <v>22</v>
      </c>
      <c r="D1126" cm="1">
        <f t="array" ref="D1126">INDEX('Linha 06'!$A$4:$A$1000,B1126)</f>
        <v>20110026</v>
      </c>
      <c r="E1126" t="str" cm="1">
        <f t="array" ref="E1126">INDEX('Linha 06'!$B$4:$B$1000,B1126)</f>
        <v>Multi Uso Aquafast Pulverizador Poder O2 Cx/12 X 1l</v>
      </c>
      <c r="F1126" cm="1">
        <f t="array" ref="F1126">INDEX('Linha 06'!$C$3:$ZZ$3,C1126)</f>
        <v>20110007</v>
      </c>
      <c r="G1126" t="str" cm="1">
        <f t="array" ref="G1126">INDEX('Linha 06'!$C$2:$ZZ$2,C1126)</f>
        <v>Multi Uso Aquafast Squeeze Seducao Cx/12 X 500ml</v>
      </c>
      <c r="H1126" s="5" cm="1">
        <f t="array" ref="H1126">INDEX('Linha 06'!$C$4:$ZZ$1000,B1126,C1126)</f>
        <v>0</v>
      </c>
    </row>
    <row r="1127" spans="1:8" x14ac:dyDescent="0.25">
      <c r="A1127">
        <v>1125</v>
      </c>
      <c r="B1127">
        <f t="shared" si="34"/>
        <v>30</v>
      </c>
      <c r="C1127">
        <f t="shared" si="35"/>
        <v>23</v>
      </c>
      <c r="D1127" cm="1">
        <f t="array" ref="D1127">INDEX('Linha 06'!$A$4:$A$1000,B1127)</f>
        <v>20110026</v>
      </c>
      <c r="E1127" t="str" cm="1">
        <f t="array" ref="E1127">INDEX('Linha 06'!$B$4:$B$1000,B1127)</f>
        <v>Multi Uso Aquafast Pulverizador Poder O2 Cx/12 X 1l</v>
      </c>
      <c r="F1127" cm="1">
        <f t="array" ref="F1127">INDEX('Linha 06'!$C$3:$ZZ$3,C1127)</f>
        <v>20110008</v>
      </c>
      <c r="G1127" t="str" cm="1">
        <f t="array" ref="G1127">INDEX('Linha 06'!$C$2:$ZZ$2,C1127)</f>
        <v>Multi Uso Aquafast Squeeze Original Cx/12 X 1l</v>
      </c>
      <c r="H1127" s="5" cm="1">
        <f t="array" ref="H1127">INDEX('Linha 06'!$C$4:$ZZ$1000,B1127,C1127)</f>
        <v>0</v>
      </c>
    </row>
    <row r="1128" spans="1:8" x14ac:dyDescent="0.25">
      <c r="A1128">
        <v>1126</v>
      </c>
      <c r="B1128">
        <f t="shared" si="34"/>
        <v>30</v>
      </c>
      <c r="C1128">
        <f t="shared" si="35"/>
        <v>24</v>
      </c>
      <c r="D1128" cm="1">
        <f t="array" ref="D1128">INDEX('Linha 06'!$A$4:$A$1000,B1128)</f>
        <v>20110026</v>
      </c>
      <c r="E1128" t="str" cm="1">
        <f t="array" ref="E1128">INDEX('Linha 06'!$B$4:$B$1000,B1128)</f>
        <v>Multi Uso Aquafast Pulverizador Poder O2 Cx/12 X 1l</v>
      </c>
      <c r="F1128" cm="1">
        <f t="array" ref="F1128">INDEX('Linha 06'!$C$3:$ZZ$3,C1128)</f>
        <v>20110010</v>
      </c>
      <c r="G1128" t="str" cm="1">
        <f t="array" ref="G1128">INDEX('Linha 06'!$C$2:$ZZ$2,C1128)</f>
        <v>Multi Uso Aquafast Squeeze Seducao Cx/12 1l</v>
      </c>
      <c r="H1128" s="5" cm="1">
        <f t="array" ref="H1128">INDEX('Linha 06'!$C$4:$ZZ$1000,B1128,C1128)</f>
        <v>0</v>
      </c>
    </row>
    <row r="1129" spans="1:8" x14ac:dyDescent="0.25">
      <c r="A1129">
        <v>1127</v>
      </c>
      <c r="B1129">
        <f t="shared" si="34"/>
        <v>30</v>
      </c>
      <c r="C1129">
        <f t="shared" si="35"/>
        <v>25</v>
      </c>
      <c r="D1129" cm="1">
        <f t="array" ref="D1129">INDEX('Linha 06'!$A$4:$A$1000,B1129)</f>
        <v>20110026</v>
      </c>
      <c r="E1129" t="str" cm="1">
        <f t="array" ref="E1129">INDEX('Linha 06'!$B$4:$B$1000,B1129)</f>
        <v>Multi Uso Aquafast Pulverizador Poder O2 Cx/12 X 1l</v>
      </c>
      <c r="F1129" cm="1">
        <f t="array" ref="F1129">INDEX('Linha 06'!$C$3:$ZZ$3,C1129)</f>
        <v>20110013</v>
      </c>
      <c r="G1129" t="str" cm="1">
        <f t="array" ref="G1129">INDEX('Linha 06'!$C$2:$ZZ$2,C1129)</f>
        <v>Multi Uso Aquafast Squeeze Lavanda Cx/12 X 1l</v>
      </c>
      <c r="H1129" s="5" cm="1">
        <f t="array" ref="H1129">INDEX('Linha 06'!$C$4:$ZZ$1000,B1129,C1129)</f>
        <v>0</v>
      </c>
    </row>
    <row r="1130" spans="1:8" x14ac:dyDescent="0.25">
      <c r="A1130">
        <v>1128</v>
      </c>
      <c r="B1130">
        <f t="shared" si="34"/>
        <v>30</v>
      </c>
      <c r="C1130">
        <f t="shared" si="35"/>
        <v>26</v>
      </c>
      <c r="D1130" cm="1">
        <f t="array" ref="D1130">INDEX('Linha 06'!$A$4:$A$1000,B1130)</f>
        <v>20110026</v>
      </c>
      <c r="E1130" t="str" cm="1">
        <f t="array" ref="E1130">INDEX('Linha 06'!$B$4:$B$1000,B1130)</f>
        <v>Multi Uso Aquafast Pulverizador Poder O2 Cx/12 X 1l</v>
      </c>
      <c r="F1130" cm="1">
        <f t="array" ref="F1130">INDEX('Linha 06'!$C$3:$ZZ$3,C1130)</f>
        <v>20110022</v>
      </c>
      <c r="G1130" t="str" cm="1">
        <f t="array" ref="G1130">INDEX('Linha 06'!$C$2:$ZZ$2,C1130)</f>
        <v>Intermed Pack Multi Uso Lavand C/Alcool Cx/18 X 500ml</v>
      </c>
      <c r="H1130" s="5" cm="1">
        <f t="array" ref="H1130">INDEX('Linha 06'!$C$4:$ZZ$1000,B1130,C1130)</f>
        <v>0</v>
      </c>
    </row>
    <row r="1131" spans="1:8" x14ac:dyDescent="0.25">
      <c r="A1131">
        <v>1129</v>
      </c>
      <c r="B1131">
        <f t="shared" si="34"/>
        <v>30</v>
      </c>
      <c r="C1131">
        <f t="shared" si="35"/>
        <v>27</v>
      </c>
      <c r="D1131" cm="1">
        <f t="array" ref="D1131">INDEX('Linha 06'!$A$4:$A$1000,B1131)</f>
        <v>20110026</v>
      </c>
      <c r="E1131" t="str" cm="1">
        <f t="array" ref="E1131">INDEX('Linha 06'!$B$4:$B$1000,B1131)</f>
        <v>Multi Uso Aquafast Pulverizador Poder O2 Cx/12 X 1l</v>
      </c>
      <c r="F1131" cm="1">
        <f t="array" ref="F1131">INDEX('Linha 06'!$C$3:$ZZ$3,C1131)</f>
        <v>20110023</v>
      </c>
      <c r="G1131" t="str" cm="1">
        <f t="array" ref="G1131">INDEX('Linha 06'!$C$2:$ZZ$2,C1131)</f>
        <v>Multi Uso Aquafast Squeeze Cha Branco  Cx/12 X 500ml</v>
      </c>
      <c r="H1131" s="5" cm="1">
        <f t="array" ref="H1131">INDEX('Linha 06'!$C$4:$ZZ$1000,B1131,C1131)</f>
        <v>0</v>
      </c>
    </row>
    <row r="1132" spans="1:8" x14ac:dyDescent="0.25">
      <c r="A1132">
        <v>1130</v>
      </c>
      <c r="B1132">
        <f t="shared" si="34"/>
        <v>30</v>
      </c>
      <c r="C1132">
        <f t="shared" si="35"/>
        <v>28</v>
      </c>
      <c r="D1132" cm="1">
        <f t="array" ref="D1132">INDEX('Linha 06'!$A$4:$A$1000,B1132)</f>
        <v>20110026</v>
      </c>
      <c r="E1132" t="str" cm="1">
        <f t="array" ref="E1132">INDEX('Linha 06'!$B$4:$B$1000,B1132)</f>
        <v>Multi Uso Aquafast Pulverizador Poder O2 Cx/12 X 1l</v>
      </c>
      <c r="F1132" cm="1">
        <f t="array" ref="F1132">INDEX('Linha 06'!$C$3:$ZZ$3,C1132)</f>
        <v>20110024</v>
      </c>
      <c r="G1132" t="str" cm="1">
        <f t="array" ref="G1132">INDEX('Linha 06'!$C$2:$ZZ$2,C1132)</f>
        <v>Multi Uso Aquafast Squeeze Cha Branco Cx12 X 1l</v>
      </c>
      <c r="H1132" s="5" cm="1">
        <f t="array" ref="H1132">INDEX('Linha 06'!$C$4:$ZZ$1000,B1132,C1132)</f>
        <v>0</v>
      </c>
    </row>
    <row r="1133" spans="1:8" x14ac:dyDescent="0.25">
      <c r="A1133">
        <v>1131</v>
      </c>
      <c r="B1133">
        <f t="shared" si="34"/>
        <v>30</v>
      </c>
      <c r="C1133">
        <f t="shared" si="35"/>
        <v>29</v>
      </c>
      <c r="D1133" cm="1">
        <f t="array" ref="D1133">INDEX('Linha 06'!$A$4:$A$1000,B1133)</f>
        <v>20110026</v>
      </c>
      <c r="E1133" t="str" cm="1">
        <f t="array" ref="E1133">INDEX('Linha 06'!$B$4:$B$1000,B1133)</f>
        <v>Multi Uso Aquafast Pulverizador Poder O2 Cx/12 X 1l</v>
      </c>
      <c r="F1133" cm="1">
        <f t="array" ref="F1133">INDEX('Linha 06'!$C$3:$ZZ$3,C1133)</f>
        <v>20110025</v>
      </c>
      <c r="G1133" t="str" cm="1">
        <f t="array" ref="G1133">INDEX('Linha 06'!$C$2:$ZZ$2,C1133)</f>
        <v>Multi Uso Aquafast Pulverizador Original Cx/12 X 1l</v>
      </c>
      <c r="H1133" s="5" cm="1">
        <f t="array" ref="H1133">INDEX('Linha 06'!$C$4:$ZZ$1000,B1133,C1133)</f>
        <v>0</v>
      </c>
    </row>
    <row r="1134" spans="1:8" x14ac:dyDescent="0.25">
      <c r="A1134">
        <v>1132</v>
      </c>
      <c r="B1134">
        <f t="shared" si="34"/>
        <v>30</v>
      </c>
      <c r="C1134">
        <f t="shared" si="35"/>
        <v>30</v>
      </c>
      <c r="D1134" cm="1">
        <f t="array" ref="D1134">INDEX('Linha 06'!$A$4:$A$1000,B1134)</f>
        <v>20110026</v>
      </c>
      <c r="E1134" t="str" cm="1">
        <f t="array" ref="E1134">INDEX('Linha 06'!$B$4:$B$1000,B1134)</f>
        <v>Multi Uso Aquafast Pulverizador Poder O2 Cx/12 X 1l</v>
      </c>
      <c r="F1134" cm="1">
        <f t="array" ref="F1134">INDEX('Linha 06'!$C$3:$ZZ$3,C1134)</f>
        <v>20110026</v>
      </c>
      <c r="G1134" t="str" cm="1">
        <f t="array" ref="G1134">INDEX('Linha 06'!$C$2:$ZZ$2,C1134)</f>
        <v>Multi Uso Aquafast Pulverizador Poder O2 Cx/12 X 1l</v>
      </c>
      <c r="H1134" s="5" cm="1">
        <f t="array" ref="H1134">INDEX('Linha 06'!$C$4:$ZZ$1000,B1134,C1134)</f>
        <v>0</v>
      </c>
    </row>
    <row r="1135" spans="1:8" x14ac:dyDescent="0.25">
      <c r="A1135">
        <v>1133</v>
      </c>
      <c r="B1135">
        <f t="shared" si="34"/>
        <v>30</v>
      </c>
      <c r="C1135">
        <f t="shared" si="35"/>
        <v>31</v>
      </c>
      <c r="D1135" cm="1">
        <f t="array" ref="D1135">INDEX('Linha 06'!$A$4:$A$1000,B1135)</f>
        <v>20110026</v>
      </c>
      <c r="E1135" t="str" cm="1">
        <f t="array" ref="E1135">INDEX('Linha 06'!$B$4:$B$1000,B1135)</f>
        <v>Multi Uso Aquafast Pulverizador Poder O2 Cx/12 X 1l</v>
      </c>
      <c r="F1135" cm="1">
        <f t="array" ref="F1135">INDEX('Linha 06'!$C$3:$ZZ$3,C1135)</f>
        <v>20110027</v>
      </c>
      <c r="G1135" t="str" cm="1">
        <f t="array" ref="G1135">INDEX('Linha 06'!$C$2:$ZZ$2,C1135)</f>
        <v>Multi Uso Aquafast Pulverizador Poder O2 Cx/12 X 500ml</v>
      </c>
      <c r="H1135" s="5" cm="1">
        <f t="array" ref="H1135">INDEX('Linha 06'!$C$4:$ZZ$1000,B1135,C1135)</f>
        <v>0</v>
      </c>
    </row>
    <row r="1136" spans="1:8" x14ac:dyDescent="0.25">
      <c r="A1136">
        <v>1134</v>
      </c>
      <c r="B1136">
        <f t="shared" si="34"/>
        <v>30</v>
      </c>
      <c r="C1136">
        <f t="shared" si="35"/>
        <v>32</v>
      </c>
      <c r="D1136" cm="1">
        <f t="array" ref="D1136">INDEX('Linha 06'!$A$4:$A$1000,B1136)</f>
        <v>20110026</v>
      </c>
      <c r="E1136" t="str" cm="1">
        <f t="array" ref="E1136">INDEX('Linha 06'!$B$4:$B$1000,B1136)</f>
        <v>Multi Uso Aquafast Pulverizador Poder O2 Cx/12 X 1l</v>
      </c>
      <c r="F1136" cm="1">
        <f t="array" ref="F1136">INDEX('Linha 06'!$C$3:$ZZ$3,C1136)</f>
        <v>20200073</v>
      </c>
      <c r="G1136" t="str" cm="1">
        <f t="array" ref="G1136">INDEX('Linha 06'!$C$2:$ZZ$2,C1136)</f>
        <v>Lava Roupas Aquafast Lavagem Rapida Total Clean Cx/9 X 1,5l</v>
      </c>
      <c r="H1136" s="5" cm="1">
        <f t="array" ref="H1136">INDEX('Linha 06'!$C$4:$ZZ$1000,B1136,C1136)</f>
        <v>0</v>
      </c>
    </row>
    <row r="1137" spans="1:8" x14ac:dyDescent="0.25">
      <c r="A1137">
        <v>1135</v>
      </c>
      <c r="B1137">
        <f t="shared" si="34"/>
        <v>30</v>
      </c>
      <c r="C1137">
        <f t="shared" si="35"/>
        <v>33</v>
      </c>
      <c r="D1137" cm="1">
        <f t="array" ref="D1137">INDEX('Linha 06'!$A$4:$A$1000,B1137)</f>
        <v>20110026</v>
      </c>
      <c r="E1137" t="str" cm="1">
        <f t="array" ref="E1137">INDEX('Linha 06'!$B$4:$B$1000,B1137)</f>
        <v>Multi Uso Aquafast Pulverizador Poder O2 Cx/12 X 1l</v>
      </c>
      <c r="F1137" cm="1">
        <f t="array" ref="F1137">INDEX('Linha 06'!$C$3:$ZZ$3,C1137)</f>
        <v>20200075</v>
      </c>
      <c r="G1137" t="str" cm="1">
        <f t="array" ref="G1137">INDEX('Linha 06'!$C$2:$ZZ$2,C1137)</f>
        <v>Lava Roupas Aquafast Lavagem Rapida Fresh Clean Cx/9 X 1,5l</v>
      </c>
      <c r="H1137" s="5" cm="1">
        <f t="array" ref="H1137">INDEX('Linha 06'!$C$4:$ZZ$1000,B1137,C1137)</f>
        <v>0</v>
      </c>
    </row>
    <row r="1138" spans="1:8" x14ac:dyDescent="0.25">
      <c r="A1138">
        <v>1136</v>
      </c>
      <c r="B1138">
        <f t="shared" si="34"/>
        <v>30</v>
      </c>
      <c r="C1138">
        <f t="shared" si="35"/>
        <v>34</v>
      </c>
      <c r="D1138" cm="1">
        <f t="array" ref="D1138">INDEX('Linha 06'!$A$4:$A$1000,B1138)</f>
        <v>20110026</v>
      </c>
      <c r="E1138" t="str" cm="1">
        <f t="array" ref="E1138">INDEX('Linha 06'!$B$4:$B$1000,B1138)</f>
        <v>Multi Uso Aquafast Pulverizador Poder O2 Cx/12 X 1l</v>
      </c>
      <c r="F1138" cm="1">
        <f t="array" ref="F1138">INDEX('Linha 06'!$C$3:$ZZ$3,C1138)</f>
        <v>20220018</v>
      </c>
      <c r="G1138" t="str" cm="1">
        <f t="array" ref="G1138">INDEX('Linha 06'!$C$2:$ZZ$2,C1138)</f>
        <v>Intermed. Aromat. Amoras E Baunilha Cx C/ 12un 250ml</v>
      </c>
      <c r="H1138" s="5" cm="1">
        <f t="array" ref="H1138">INDEX('Linha 06'!$C$4:$ZZ$1000,B1138,C1138)</f>
        <v>0</v>
      </c>
    </row>
    <row r="1139" spans="1:8" x14ac:dyDescent="0.25">
      <c r="A1139">
        <v>1137</v>
      </c>
      <c r="B1139">
        <f t="shared" si="34"/>
        <v>30</v>
      </c>
      <c r="C1139">
        <f t="shared" si="35"/>
        <v>35</v>
      </c>
      <c r="D1139" cm="1">
        <f t="array" ref="D1139">INDEX('Linha 06'!$A$4:$A$1000,B1139)</f>
        <v>20110026</v>
      </c>
      <c r="E1139" t="str" cm="1">
        <f t="array" ref="E1139">INDEX('Linha 06'!$B$4:$B$1000,B1139)</f>
        <v>Multi Uso Aquafast Pulverizador Poder O2 Cx/12 X 1l</v>
      </c>
      <c r="F1139" cm="1">
        <f t="array" ref="F1139">INDEX('Linha 06'!$C$3:$ZZ$3,C1139)</f>
        <v>20220019</v>
      </c>
      <c r="G1139" t="str" cm="1">
        <f t="array" ref="G1139">INDEX('Linha 06'!$C$2:$ZZ$2,C1139)</f>
        <v>Intermed. Aromat. Figo E Cedro Cx C/ 12un 250ml</v>
      </c>
      <c r="H1139" s="5" cm="1">
        <f t="array" ref="H1139">INDEX('Linha 06'!$C$4:$ZZ$1000,B1139,C1139)</f>
        <v>0</v>
      </c>
    </row>
    <row r="1140" spans="1:8" x14ac:dyDescent="0.25">
      <c r="A1140">
        <v>1138</v>
      </c>
      <c r="B1140">
        <f t="shared" si="34"/>
        <v>30</v>
      </c>
      <c r="C1140">
        <f t="shared" si="35"/>
        <v>36</v>
      </c>
      <c r="D1140" cm="1">
        <f t="array" ref="D1140">INDEX('Linha 06'!$A$4:$A$1000,B1140)</f>
        <v>20110026</v>
      </c>
      <c r="E1140" t="str" cm="1">
        <f t="array" ref="E1140">INDEX('Linha 06'!$B$4:$B$1000,B1140)</f>
        <v>Multi Uso Aquafast Pulverizador Poder O2 Cx/12 X 1l</v>
      </c>
      <c r="F1140" cm="1">
        <f t="array" ref="F1140">INDEX('Linha 06'!$C$3:$ZZ$3,C1140)</f>
        <v>20220020</v>
      </c>
      <c r="G1140" t="str" cm="1">
        <f t="array" ref="G1140">INDEX('Linha 06'!$C$2:$ZZ$2,C1140)</f>
        <v>Intermed. Aromat. Rosas E Magnolias Cx C/ 12un 250ml</v>
      </c>
      <c r="H1140" s="5" cm="1">
        <f t="array" ref="H1140">INDEX('Linha 06'!$C$4:$ZZ$1000,B1140,C1140)</f>
        <v>0</v>
      </c>
    </row>
    <row r="1141" spans="1:8" x14ac:dyDescent="0.25">
      <c r="A1141">
        <v>1139</v>
      </c>
      <c r="B1141">
        <f t="shared" si="34"/>
        <v>30</v>
      </c>
      <c r="C1141">
        <f t="shared" si="35"/>
        <v>37</v>
      </c>
      <c r="D1141" cm="1">
        <f t="array" ref="D1141">INDEX('Linha 06'!$A$4:$A$1000,B1141)</f>
        <v>20110026</v>
      </c>
      <c r="E1141" t="str" cm="1">
        <f t="array" ref="E1141">INDEX('Linha 06'!$B$4:$B$1000,B1141)</f>
        <v>Multi Uso Aquafast Pulverizador Poder O2 Cx/12 X 1l</v>
      </c>
      <c r="F1141" cm="1">
        <f t="array" ref="F1141">INDEX('Linha 06'!$C$3:$ZZ$3,C1141)</f>
        <v>20220021</v>
      </c>
      <c r="G1141" t="str" cm="1">
        <f t="array" ref="G1141">INDEX('Linha 06'!$C$2:$ZZ$2,C1141)</f>
        <v>Intermed. Aromat. Flores Exoticas Cx C/ 12un 250ml</v>
      </c>
      <c r="H1141" s="5" cm="1">
        <f t="array" ref="H1141">INDEX('Linha 06'!$C$4:$ZZ$1000,B1141,C1141)</f>
        <v>0</v>
      </c>
    </row>
    <row r="1142" spans="1:8" x14ac:dyDescent="0.25">
      <c r="A1142">
        <v>1140</v>
      </c>
      <c r="B1142">
        <f t="shared" si="34"/>
        <v>30</v>
      </c>
      <c r="C1142">
        <f t="shared" si="35"/>
        <v>38</v>
      </c>
      <c r="D1142" cm="1">
        <f t="array" ref="D1142">INDEX('Linha 06'!$A$4:$A$1000,B1142)</f>
        <v>20110026</v>
      </c>
      <c r="E1142" t="str" cm="1">
        <f t="array" ref="E1142">INDEX('Linha 06'!$B$4:$B$1000,B1142)</f>
        <v>Multi Uso Aquafast Pulverizador Poder O2 Cx/12 X 1l</v>
      </c>
      <c r="F1142" cm="1">
        <f t="array" ref="F1142">INDEX('Linha 06'!$C$3:$ZZ$3,C1142)</f>
        <v>20220022</v>
      </c>
      <c r="G1142" t="str" cm="1">
        <f t="array" ref="G1142">INDEX('Linha 06'!$C$2:$ZZ$2,C1142)</f>
        <v>Intermed. Aromat. Cha Verde E Grapef Cx C/ 12un 250ml</v>
      </c>
      <c r="H1142" s="5" cm="1">
        <f t="array" ref="H1142">INDEX('Linha 06'!$C$4:$ZZ$1000,B1142,C1142)</f>
        <v>0</v>
      </c>
    </row>
    <row r="1143" spans="1:8" x14ac:dyDescent="0.25">
      <c r="A1143">
        <v>1141</v>
      </c>
      <c r="B1143">
        <f t="shared" si="34"/>
        <v>31</v>
      </c>
      <c r="C1143">
        <f t="shared" si="35"/>
        <v>1</v>
      </c>
      <c r="D1143" cm="1">
        <f t="array" ref="D1143">INDEX('Linha 06'!$A$4:$A$1000,B1143)</f>
        <v>20110027</v>
      </c>
      <c r="E1143" t="str" cm="1">
        <f t="array" ref="E1143">INDEX('Linha 06'!$B$4:$B$1000,B1143)</f>
        <v>Multi Uso Aquafast Pulverizador Poder O2 Cx/12 X 500ml</v>
      </c>
      <c r="F1143" cm="1">
        <f t="array" ref="F1143">INDEX('Linha 06'!$C$3:$ZZ$3,C1143)</f>
        <v>20060001</v>
      </c>
      <c r="G1143" t="str" cm="1">
        <f t="array" ref="G1143">INDEX('Linha 06'!$C$2:$ZZ$2,C1143)</f>
        <v>Limp Perf Aquafast Magia Seducao Cx/12 X 500ml</v>
      </c>
      <c r="H1143" s="5" cm="1">
        <f t="array" ref="H1143">INDEX('Linha 06'!$C$4:$ZZ$1000,B1143,C1143)</f>
        <v>0</v>
      </c>
    </row>
    <row r="1144" spans="1:8" x14ac:dyDescent="0.25">
      <c r="A1144">
        <v>1142</v>
      </c>
      <c r="B1144">
        <f t="shared" si="34"/>
        <v>31</v>
      </c>
      <c r="C1144">
        <f t="shared" si="35"/>
        <v>2</v>
      </c>
      <c r="D1144" cm="1">
        <f t="array" ref="D1144">INDEX('Linha 06'!$A$4:$A$1000,B1144)</f>
        <v>20110027</v>
      </c>
      <c r="E1144" t="str" cm="1">
        <f t="array" ref="E1144">INDEX('Linha 06'!$B$4:$B$1000,B1144)</f>
        <v>Multi Uso Aquafast Pulverizador Poder O2 Cx/12 X 500ml</v>
      </c>
      <c r="F1144" cm="1">
        <f t="array" ref="F1144">INDEX('Linha 06'!$C$3:$ZZ$3,C1144)</f>
        <v>20060004</v>
      </c>
      <c r="G1144" t="str" cm="1">
        <f t="array" ref="G1144">INDEX('Linha 06'!$C$2:$ZZ$2,C1144)</f>
        <v>Limp Perf Aquafast Magia Seducao Cx/12 X 1l</v>
      </c>
      <c r="H1144" s="5" cm="1">
        <f t="array" ref="H1144">INDEX('Linha 06'!$C$4:$ZZ$1000,B1144,C1144)</f>
        <v>0</v>
      </c>
    </row>
    <row r="1145" spans="1:8" x14ac:dyDescent="0.25">
      <c r="A1145">
        <v>1143</v>
      </c>
      <c r="B1145">
        <f t="shared" si="34"/>
        <v>31</v>
      </c>
      <c r="C1145">
        <f t="shared" si="35"/>
        <v>3</v>
      </c>
      <c r="D1145" cm="1">
        <f t="array" ref="D1145">INDEX('Linha 06'!$A$4:$A$1000,B1145)</f>
        <v>20110027</v>
      </c>
      <c r="E1145" t="str" cm="1">
        <f t="array" ref="E1145">INDEX('Linha 06'!$B$4:$B$1000,B1145)</f>
        <v>Multi Uso Aquafast Pulverizador Poder O2 Cx/12 X 500ml</v>
      </c>
      <c r="F1145" cm="1">
        <f t="array" ref="F1145">INDEX('Linha 06'!$C$3:$ZZ$3,C1145)</f>
        <v>20060010</v>
      </c>
      <c r="G1145" t="str" cm="1">
        <f t="array" ref="G1145">INDEX('Linha 06'!$C$2:$ZZ$2,C1145)</f>
        <v>Limp Perf Aquafast Magia Da Infancia Cx/12 X 500ml</v>
      </c>
      <c r="H1145" s="5" cm="1">
        <f t="array" ref="H1145">INDEX('Linha 06'!$C$4:$ZZ$1000,B1145,C1145)</f>
        <v>0</v>
      </c>
    </row>
    <row r="1146" spans="1:8" x14ac:dyDescent="0.25">
      <c r="A1146">
        <v>1144</v>
      </c>
      <c r="B1146">
        <f t="shared" si="34"/>
        <v>31</v>
      </c>
      <c r="C1146">
        <f t="shared" si="35"/>
        <v>4</v>
      </c>
      <c r="D1146" cm="1">
        <f t="array" ref="D1146">INDEX('Linha 06'!$A$4:$A$1000,B1146)</f>
        <v>20110027</v>
      </c>
      <c r="E1146" t="str" cm="1">
        <f t="array" ref="E1146">INDEX('Linha 06'!$B$4:$B$1000,B1146)</f>
        <v>Multi Uso Aquafast Pulverizador Poder O2 Cx/12 X 500ml</v>
      </c>
      <c r="F1146" cm="1">
        <f t="array" ref="F1146">INDEX('Linha 06'!$C$3:$ZZ$3,C1146)</f>
        <v>20060011</v>
      </c>
      <c r="G1146" t="str" cm="1">
        <f t="array" ref="G1146">INDEX('Linha 06'!$C$2:$ZZ$2,C1146)</f>
        <v>Limp Perf Aquafast Frescor Da Manha Cx/12 X 500ml</v>
      </c>
      <c r="H1146" s="5" cm="1">
        <f t="array" ref="H1146">INDEX('Linha 06'!$C$4:$ZZ$1000,B1146,C1146)</f>
        <v>0</v>
      </c>
    </row>
    <row r="1147" spans="1:8" x14ac:dyDescent="0.25">
      <c r="A1147">
        <v>1145</v>
      </c>
      <c r="B1147">
        <f t="shared" si="34"/>
        <v>31</v>
      </c>
      <c r="C1147">
        <f t="shared" si="35"/>
        <v>5</v>
      </c>
      <c r="D1147" cm="1">
        <f t="array" ref="D1147">INDEX('Linha 06'!$A$4:$A$1000,B1147)</f>
        <v>20110027</v>
      </c>
      <c r="E1147" t="str" cm="1">
        <f t="array" ref="E1147">INDEX('Linha 06'!$B$4:$B$1000,B1147)</f>
        <v>Multi Uso Aquafast Pulverizador Poder O2 Cx/12 X 500ml</v>
      </c>
      <c r="F1147" cm="1">
        <f t="array" ref="F1147">INDEX('Linha 06'!$C$3:$ZZ$3,C1147)</f>
        <v>20060012</v>
      </c>
      <c r="G1147" t="str" cm="1">
        <f t="array" ref="G1147">INDEX('Linha 06'!$C$2:$ZZ$2,C1147)</f>
        <v>Limp Perf Aquafast Magia Da Infancia Cx/12 X 1l</v>
      </c>
      <c r="H1147" s="5" cm="1">
        <f t="array" ref="H1147">INDEX('Linha 06'!$C$4:$ZZ$1000,B1147,C1147)</f>
        <v>0</v>
      </c>
    </row>
    <row r="1148" spans="1:8" x14ac:dyDescent="0.25">
      <c r="A1148">
        <v>1146</v>
      </c>
      <c r="B1148">
        <f t="shared" si="34"/>
        <v>31</v>
      </c>
      <c r="C1148">
        <f t="shared" si="35"/>
        <v>6</v>
      </c>
      <c r="D1148" cm="1">
        <f t="array" ref="D1148">INDEX('Linha 06'!$A$4:$A$1000,B1148)</f>
        <v>20110027</v>
      </c>
      <c r="E1148" t="str" cm="1">
        <f t="array" ref="E1148">INDEX('Linha 06'!$B$4:$B$1000,B1148)</f>
        <v>Multi Uso Aquafast Pulverizador Poder O2 Cx/12 X 500ml</v>
      </c>
      <c r="F1148" cm="1">
        <f t="array" ref="F1148">INDEX('Linha 06'!$C$3:$ZZ$3,C1148)</f>
        <v>20060013</v>
      </c>
      <c r="G1148" t="str" cm="1">
        <f t="array" ref="G1148">INDEX('Linha 06'!$C$2:$ZZ$2,C1148)</f>
        <v>Limp Perf Aquafast Frescor Da Manha Cx/12 X 1l</v>
      </c>
      <c r="H1148" s="5" cm="1">
        <f t="array" ref="H1148">INDEX('Linha 06'!$C$4:$ZZ$1000,B1148,C1148)</f>
        <v>0</v>
      </c>
    </row>
    <row r="1149" spans="1:8" x14ac:dyDescent="0.25">
      <c r="A1149">
        <v>1147</v>
      </c>
      <c r="B1149">
        <f t="shared" si="34"/>
        <v>31</v>
      </c>
      <c r="C1149">
        <f t="shared" si="35"/>
        <v>7</v>
      </c>
      <c r="D1149" cm="1">
        <f t="array" ref="D1149">INDEX('Linha 06'!$A$4:$A$1000,B1149)</f>
        <v>20110027</v>
      </c>
      <c r="E1149" t="str" cm="1">
        <f t="array" ref="E1149">INDEX('Linha 06'!$B$4:$B$1000,B1149)</f>
        <v>Multi Uso Aquafast Pulverizador Poder O2 Cx/12 X 500ml</v>
      </c>
      <c r="F1149" cm="1">
        <f t="array" ref="F1149">INDEX('Linha 06'!$C$3:$ZZ$3,C1149)</f>
        <v>20060015</v>
      </c>
      <c r="G1149" t="str" cm="1">
        <f t="array" ref="G1149">INDEX('Linha 06'!$C$2:$ZZ$2,C1149)</f>
        <v>Limp Perf Aquafast Doce Romance Cx/12 X 500ml</v>
      </c>
      <c r="H1149" s="5" cm="1">
        <f t="array" ref="H1149">INDEX('Linha 06'!$C$4:$ZZ$1000,B1149,C1149)</f>
        <v>0</v>
      </c>
    </row>
    <row r="1150" spans="1:8" x14ac:dyDescent="0.25">
      <c r="A1150">
        <v>1148</v>
      </c>
      <c r="B1150">
        <f t="shared" si="34"/>
        <v>31</v>
      </c>
      <c r="C1150">
        <f t="shared" si="35"/>
        <v>8</v>
      </c>
      <c r="D1150" cm="1">
        <f t="array" ref="D1150">INDEX('Linha 06'!$A$4:$A$1000,B1150)</f>
        <v>20110027</v>
      </c>
      <c r="E1150" t="str" cm="1">
        <f t="array" ref="E1150">INDEX('Linha 06'!$B$4:$B$1000,B1150)</f>
        <v>Multi Uso Aquafast Pulverizador Poder O2 Cx/12 X 500ml</v>
      </c>
      <c r="F1150" cm="1">
        <f t="array" ref="F1150">INDEX('Linha 06'!$C$3:$ZZ$3,C1150)</f>
        <v>20060016</v>
      </c>
      <c r="G1150" t="str" cm="1">
        <f t="array" ref="G1150">INDEX('Linha 06'!$C$2:$ZZ$2,C1150)</f>
        <v>Limp Perf Aquafast Doce Romance Cx/12 X 1l</v>
      </c>
      <c r="H1150" s="5" cm="1">
        <f t="array" ref="H1150">INDEX('Linha 06'!$C$4:$ZZ$1000,B1150,C1150)</f>
        <v>0</v>
      </c>
    </row>
    <row r="1151" spans="1:8" x14ac:dyDescent="0.25">
      <c r="A1151">
        <v>1149</v>
      </c>
      <c r="B1151">
        <f t="shared" si="34"/>
        <v>31</v>
      </c>
      <c r="C1151">
        <f t="shared" si="35"/>
        <v>9</v>
      </c>
      <c r="D1151" cm="1">
        <f t="array" ref="D1151">INDEX('Linha 06'!$A$4:$A$1000,B1151)</f>
        <v>20110027</v>
      </c>
      <c r="E1151" t="str" cm="1">
        <f t="array" ref="E1151">INDEX('Linha 06'!$B$4:$B$1000,B1151)</f>
        <v>Multi Uso Aquafast Pulverizador Poder O2 Cx/12 X 500ml</v>
      </c>
      <c r="F1151" cm="1">
        <f t="array" ref="F1151">INDEX('Linha 06'!$C$3:$ZZ$3,C1151)</f>
        <v>20060027</v>
      </c>
      <c r="G1151" t="str" cm="1">
        <f t="array" ref="G1151">INDEX('Linha 06'!$C$2:$ZZ$2,C1151)</f>
        <v>Limp Perf Aquafast Essencia Natural Cx/12 X 1l</v>
      </c>
      <c r="H1151" s="5" cm="1">
        <f t="array" ref="H1151">INDEX('Linha 06'!$C$4:$ZZ$1000,B1151,C1151)</f>
        <v>0</v>
      </c>
    </row>
    <row r="1152" spans="1:8" x14ac:dyDescent="0.25">
      <c r="A1152">
        <v>1150</v>
      </c>
      <c r="B1152">
        <f t="shared" si="34"/>
        <v>31</v>
      </c>
      <c r="C1152">
        <f t="shared" si="35"/>
        <v>10</v>
      </c>
      <c r="D1152" cm="1">
        <f t="array" ref="D1152">INDEX('Linha 06'!$A$4:$A$1000,B1152)</f>
        <v>20110027</v>
      </c>
      <c r="E1152" t="str" cm="1">
        <f t="array" ref="E1152">INDEX('Linha 06'!$B$4:$B$1000,B1152)</f>
        <v>Multi Uso Aquafast Pulverizador Poder O2 Cx/12 X 500ml</v>
      </c>
      <c r="F1152" cm="1">
        <f t="array" ref="F1152">INDEX('Linha 06'!$C$3:$ZZ$3,C1152)</f>
        <v>20070001</v>
      </c>
      <c r="G1152" t="str" cm="1">
        <f t="array" ref="G1152">INDEX('Linha 06'!$C$2:$ZZ$2,C1152)</f>
        <v>Limpa Vidros Aquafast Pulverizador Cx/12 X 500ml</v>
      </c>
      <c r="H1152" s="5" cm="1">
        <f t="array" ref="H1152">INDEX('Linha 06'!$C$4:$ZZ$1000,B1152,C1152)</f>
        <v>0</v>
      </c>
    </row>
    <row r="1153" spans="1:8" x14ac:dyDescent="0.25">
      <c r="A1153">
        <v>1151</v>
      </c>
      <c r="B1153">
        <f t="shared" si="34"/>
        <v>31</v>
      </c>
      <c r="C1153">
        <f t="shared" si="35"/>
        <v>11</v>
      </c>
      <c r="D1153" cm="1">
        <f t="array" ref="D1153">INDEX('Linha 06'!$A$4:$A$1000,B1153)</f>
        <v>20110027</v>
      </c>
      <c r="E1153" t="str" cm="1">
        <f t="array" ref="E1153">INDEX('Linha 06'!$B$4:$B$1000,B1153)</f>
        <v>Multi Uso Aquafast Pulverizador Poder O2 Cx/12 X 500ml</v>
      </c>
      <c r="F1153" cm="1">
        <f t="array" ref="F1153">INDEX('Linha 06'!$C$3:$ZZ$3,C1153)</f>
        <v>20070002</v>
      </c>
      <c r="G1153" t="str" cm="1">
        <f t="array" ref="G1153">INDEX('Linha 06'!$C$2:$ZZ$2,C1153)</f>
        <v>Limpa Vidros Aquafast Recarga Cx/12 X 500ml</v>
      </c>
      <c r="H1153" s="5" cm="1">
        <f t="array" ref="H1153">INDEX('Linha 06'!$C$4:$ZZ$1000,B1153,C1153)</f>
        <v>0</v>
      </c>
    </row>
    <row r="1154" spans="1:8" x14ac:dyDescent="0.25">
      <c r="A1154">
        <v>1152</v>
      </c>
      <c r="B1154">
        <f t="shared" si="34"/>
        <v>31</v>
      </c>
      <c r="C1154">
        <f t="shared" si="35"/>
        <v>12</v>
      </c>
      <c r="D1154" cm="1">
        <f t="array" ref="D1154">INDEX('Linha 06'!$A$4:$A$1000,B1154)</f>
        <v>20110027</v>
      </c>
      <c r="E1154" t="str" cm="1">
        <f t="array" ref="E1154">INDEX('Linha 06'!$B$4:$B$1000,B1154)</f>
        <v>Multi Uso Aquafast Pulverizador Poder O2 Cx/12 X 500ml</v>
      </c>
      <c r="F1154" cm="1">
        <f t="array" ref="F1154">INDEX('Linha 06'!$C$3:$ZZ$3,C1154)</f>
        <v>20070006</v>
      </c>
      <c r="G1154" t="str" cm="1">
        <f t="array" ref="G1154">INDEX('Linha 06'!$C$2:$ZZ$2,C1154)</f>
        <v>Limpa Vidros Ito Pulverizador Cx/12 X 500ml</v>
      </c>
      <c r="H1154" s="5" cm="1">
        <f t="array" ref="H1154">INDEX('Linha 06'!$C$4:$ZZ$1000,B1154,C1154)</f>
        <v>0</v>
      </c>
    </row>
    <row r="1155" spans="1:8" x14ac:dyDescent="0.25">
      <c r="A1155">
        <v>1153</v>
      </c>
      <c r="B1155">
        <f t="shared" si="34"/>
        <v>31</v>
      </c>
      <c r="C1155">
        <f t="shared" si="35"/>
        <v>13</v>
      </c>
      <c r="D1155" cm="1">
        <f t="array" ref="D1155">INDEX('Linha 06'!$A$4:$A$1000,B1155)</f>
        <v>20110027</v>
      </c>
      <c r="E1155" t="str" cm="1">
        <f t="array" ref="E1155">INDEX('Linha 06'!$B$4:$B$1000,B1155)</f>
        <v>Multi Uso Aquafast Pulverizador Poder O2 Cx/12 X 500ml</v>
      </c>
      <c r="F1155" cm="1">
        <f t="array" ref="F1155">INDEX('Linha 06'!$C$3:$ZZ$3,C1155)</f>
        <v>20070007</v>
      </c>
      <c r="G1155" t="str" cm="1">
        <f t="array" ref="G1155">INDEX('Linha 06'!$C$2:$ZZ$2,C1155)</f>
        <v>Limpa Vidros Ito Recarga Cx/12 X 500ml</v>
      </c>
      <c r="H1155" s="5" cm="1">
        <f t="array" ref="H1155">INDEX('Linha 06'!$C$4:$ZZ$1000,B1155,C1155)</f>
        <v>0</v>
      </c>
    </row>
    <row r="1156" spans="1:8" x14ac:dyDescent="0.25">
      <c r="A1156">
        <v>1154</v>
      </c>
      <c r="B1156">
        <f t="shared" ref="B1156:B1219" si="36">INT((A1156-1)/$B$1)+1</f>
        <v>31</v>
      </c>
      <c r="C1156">
        <f t="shared" ref="C1156:C1219" si="37">MOD(A1156-1,$B$1)+1</f>
        <v>14</v>
      </c>
      <c r="D1156" cm="1">
        <f t="array" ref="D1156">INDEX('Linha 06'!$A$4:$A$1000,B1156)</f>
        <v>20110027</v>
      </c>
      <c r="E1156" t="str" cm="1">
        <f t="array" ref="E1156">INDEX('Linha 06'!$B$4:$B$1000,B1156)</f>
        <v>Multi Uso Aquafast Pulverizador Poder O2 Cx/12 X 500ml</v>
      </c>
      <c r="F1156" cm="1">
        <f t="array" ref="F1156">INDEX('Linha 06'!$C$3:$ZZ$3,C1156)</f>
        <v>20070008</v>
      </c>
      <c r="G1156" t="str" cm="1">
        <f t="array" ref="G1156">INDEX('Linha 06'!$C$2:$ZZ$2,C1156)</f>
        <v>Limpa Vidros Aquafast Squeeze Cx/12 X 500ml</v>
      </c>
      <c r="H1156" s="5" cm="1">
        <f t="array" ref="H1156">INDEX('Linha 06'!$C$4:$ZZ$1000,B1156,C1156)</f>
        <v>0</v>
      </c>
    </row>
    <row r="1157" spans="1:8" x14ac:dyDescent="0.25">
      <c r="A1157">
        <v>1155</v>
      </c>
      <c r="B1157">
        <f t="shared" si="36"/>
        <v>31</v>
      </c>
      <c r="C1157">
        <f t="shared" si="37"/>
        <v>15</v>
      </c>
      <c r="D1157" cm="1">
        <f t="array" ref="D1157">INDEX('Linha 06'!$A$4:$A$1000,B1157)</f>
        <v>20110027</v>
      </c>
      <c r="E1157" t="str" cm="1">
        <f t="array" ref="E1157">INDEX('Linha 06'!$B$4:$B$1000,B1157)</f>
        <v>Multi Uso Aquafast Pulverizador Poder O2 Cx/12 X 500ml</v>
      </c>
      <c r="F1157" cm="1">
        <f t="array" ref="F1157">INDEX('Linha 06'!$C$3:$ZZ$3,C1157)</f>
        <v>20090001</v>
      </c>
      <c r="G1157" t="str" cm="1">
        <f t="array" ref="G1157">INDEX('Linha 06'!$C$2:$ZZ$2,C1157)</f>
        <v>Desengordurante Aquafast Pulverizador Cx/12 X 500ml</v>
      </c>
      <c r="H1157" s="5" cm="1">
        <f t="array" ref="H1157">INDEX('Linha 06'!$C$4:$ZZ$1000,B1157,C1157)</f>
        <v>0</v>
      </c>
    </row>
    <row r="1158" spans="1:8" x14ac:dyDescent="0.25">
      <c r="A1158">
        <v>1156</v>
      </c>
      <c r="B1158">
        <f t="shared" si="36"/>
        <v>31</v>
      </c>
      <c r="C1158">
        <f t="shared" si="37"/>
        <v>16</v>
      </c>
      <c r="D1158" cm="1">
        <f t="array" ref="D1158">INDEX('Linha 06'!$A$4:$A$1000,B1158)</f>
        <v>20110027</v>
      </c>
      <c r="E1158" t="str" cm="1">
        <f t="array" ref="E1158">INDEX('Linha 06'!$B$4:$B$1000,B1158)</f>
        <v>Multi Uso Aquafast Pulverizador Poder O2 Cx/12 X 500ml</v>
      </c>
      <c r="F1158" cm="1">
        <f t="array" ref="F1158">INDEX('Linha 06'!$C$3:$ZZ$3,C1158)</f>
        <v>20090002</v>
      </c>
      <c r="G1158" t="str" cm="1">
        <f t="array" ref="G1158">INDEX('Linha 06'!$C$2:$ZZ$2,C1158)</f>
        <v>Desengordurante Aquafast Recarga Cx/12 X 500ml</v>
      </c>
      <c r="H1158" s="5" cm="1">
        <f t="array" ref="H1158">INDEX('Linha 06'!$C$4:$ZZ$1000,B1158,C1158)</f>
        <v>0</v>
      </c>
    </row>
    <row r="1159" spans="1:8" x14ac:dyDescent="0.25">
      <c r="A1159">
        <v>1157</v>
      </c>
      <c r="B1159">
        <f t="shared" si="36"/>
        <v>31</v>
      </c>
      <c r="C1159">
        <f t="shared" si="37"/>
        <v>17</v>
      </c>
      <c r="D1159" cm="1">
        <f t="array" ref="D1159">INDEX('Linha 06'!$A$4:$A$1000,B1159)</f>
        <v>20110027</v>
      </c>
      <c r="E1159" t="str" cm="1">
        <f t="array" ref="E1159">INDEX('Linha 06'!$B$4:$B$1000,B1159)</f>
        <v>Multi Uso Aquafast Pulverizador Poder O2 Cx/12 X 500ml</v>
      </c>
      <c r="F1159" cm="1">
        <f t="array" ref="F1159">INDEX('Linha 06'!$C$3:$ZZ$3,C1159)</f>
        <v>20090004</v>
      </c>
      <c r="G1159" t="str" cm="1">
        <f t="array" ref="G1159">INDEX('Linha 06'!$C$2:$ZZ$2,C1159)</f>
        <v>Desengordurante Aquafast Squeeze Cx C/12 X 500ml</v>
      </c>
      <c r="H1159" s="5" cm="1">
        <f t="array" ref="H1159">INDEX('Linha 06'!$C$4:$ZZ$1000,B1159,C1159)</f>
        <v>0</v>
      </c>
    </row>
    <row r="1160" spans="1:8" x14ac:dyDescent="0.25">
      <c r="A1160">
        <v>1158</v>
      </c>
      <c r="B1160">
        <f t="shared" si="36"/>
        <v>31</v>
      </c>
      <c r="C1160">
        <f t="shared" si="37"/>
        <v>18</v>
      </c>
      <c r="D1160" cm="1">
        <f t="array" ref="D1160">INDEX('Linha 06'!$A$4:$A$1000,B1160)</f>
        <v>20110027</v>
      </c>
      <c r="E1160" t="str" cm="1">
        <f t="array" ref="E1160">INDEX('Linha 06'!$B$4:$B$1000,B1160)</f>
        <v>Multi Uso Aquafast Pulverizador Poder O2 Cx/12 X 500ml</v>
      </c>
      <c r="F1160" cm="1">
        <f t="array" ref="F1160">INDEX('Linha 06'!$C$3:$ZZ$3,C1160)</f>
        <v>20090005</v>
      </c>
      <c r="G1160" t="str" cm="1">
        <f t="array" ref="G1160">INDEX('Linha 06'!$C$2:$ZZ$2,C1160)</f>
        <v>Desengordurante Aquafast Squeeze Cx C/12 X 1l</v>
      </c>
      <c r="H1160" s="5" cm="1">
        <f t="array" ref="H1160">INDEX('Linha 06'!$C$4:$ZZ$1000,B1160,C1160)</f>
        <v>0</v>
      </c>
    </row>
    <row r="1161" spans="1:8" x14ac:dyDescent="0.25">
      <c r="A1161">
        <v>1159</v>
      </c>
      <c r="B1161">
        <f t="shared" si="36"/>
        <v>31</v>
      </c>
      <c r="C1161">
        <f t="shared" si="37"/>
        <v>19</v>
      </c>
      <c r="D1161" cm="1">
        <f t="array" ref="D1161">INDEX('Linha 06'!$A$4:$A$1000,B1161)</f>
        <v>20110027</v>
      </c>
      <c r="E1161" t="str" cm="1">
        <f t="array" ref="E1161">INDEX('Linha 06'!$B$4:$B$1000,B1161)</f>
        <v>Multi Uso Aquafast Pulverizador Poder O2 Cx/12 X 500ml</v>
      </c>
      <c r="F1161" cm="1">
        <f t="array" ref="F1161">INDEX('Linha 06'!$C$3:$ZZ$3,C1161)</f>
        <v>20090010</v>
      </c>
      <c r="G1161" t="str" cm="1">
        <f t="array" ref="G1161">INDEX('Linha 06'!$C$2:$ZZ$2,C1161)</f>
        <v>Intermed Pack Desengord Squeeze Cx C/18 X 500ml</v>
      </c>
      <c r="H1161" s="5" cm="1">
        <f t="array" ref="H1161">INDEX('Linha 06'!$C$4:$ZZ$1000,B1161,C1161)</f>
        <v>0</v>
      </c>
    </row>
    <row r="1162" spans="1:8" x14ac:dyDescent="0.25">
      <c r="A1162">
        <v>1160</v>
      </c>
      <c r="B1162">
        <f t="shared" si="36"/>
        <v>31</v>
      </c>
      <c r="C1162">
        <f t="shared" si="37"/>
        <v>20</v>
      </c>
      <c r="D1162" cm="1">
        <f t="array" ref="D1162">INDEX('Linha 06'!$A$4:$A$1000,B1162)</f>
        <v>20110027</v>
      </c>
      <c r="E1162" t="str" cm="1">
        <f t="array" ref="E1162">INDEX('Linha 06'!$B$4:$B$1000,B1162)</f>
        <v>Multi Uso Aquafast Pulverizador Poder O2 Cx/12 X 500ml</v>
      </c>
      <c r="F1162" cm="1">
        <f t="array" ref="F1162">INDEX('Linha 06'!$C$3:$ZZ$3,C1162)</f>
        <v>20110002</v>
      </c>
      <c r="G1162" t="str" cm="1">
        <f t="array" ref="G1162">INDEX('Linha 06'!$C$2:$ZZ$2,C1162)</f>
        <v>Multi Uso Aquafast Squeeze Original Cx/12 X 500ml</v>
      </c>
      <c r="H1162" s="5" cm="1">
        <f t="array" ref="H1162">INDEX('Linha 06'!$C$4:$ZZ$1000,B1162,C1162)</f>
        <v>0</v>
      </c>
    </row>
    <row r="1163" spans="1:8" x14ac:dyDescent="0.25">
      <c r="A1163">
        <v>1161</v>
      </c>
      <c r="B1163">
        <f t="shared" si="36"/>
        <v>31</v>
      </c>
      <c r="C1163">
        <f t="shared" si="37"/>
        <v>21</v>
      </c>
      <c r="D1163" cm="1">
        <f t="array" ref="D1163">INDEX('Linha 06'!$A$4:$A$1000,B1163)</f>
        <v>20110027</v>
      </c>
      <c r="E1163" t="str" cm="1">
        <f t="array" ref="E1163">INDEX('Linha 06'!$B$4:$B$1000,B1163)</f>
        <v>Multi Uso Aquafast Pulverizador Poder O2 Cx/12 X 500ml</v>
      </c>
      <c r="F1163" cm="1">
        <f t="array" ref="F1163">INDEX('Linha 06'!$C$3:$ZZ$3,C1163)</f>
        <v>20110004</v>
      </c>
      <c r="G1163" t="str" cm="1">
        <f t="array" ref="G1163">INDEX('Linha 06'!$C$2:$ZZ$2,C1163)</f>
        <v>Multi Uso Aquafast Squeeze Lavanda Cx/12 X 500ml</v>
      </c>
      <c r="H1163" s="5" cm="1">
        <f t="array" ref="H1163">INDEX('Linha 06'!$C$4:$ZZ$1000,B1163,C1163)</f>
        <v>0</v>
      </c>
    </row>
    <row r="1164" spans="1:8" x14ac:dyDescent="0.25">
      <c r="A1164">
        <v>1162</v>
      </c>
      <c r="B1164">
        <f t="shared" si="36"/>
        <v>31</v>
      </c>
      <c r="C1164">
        <f t="shared" si="37"/>
        <v>22</v>
      </c>
      <c r="D1164" cm="1">
        <f t="array" ref="D1164">INDEX('Linha 06'!$A$4:$A$1000,B1164)</f>
        <v>20110027</v>
      </c>
      <c r="E1164" t="str" cm="1">
        <f t="array" ref="E1164">INDEX('Linha 06'!$B$4:$B$1000,B1164)</f>
        <v>Multi Uso Aquafast Pulverizador Poder O2 Cx/12 X 500ml</v>
      </c>
      <c r="F1164" cm="1">
        <f t="array" ref="F1164">INDEX('Linha 06'!$C$3:$ZZ$3,C1164)</f>
        <v>20110007</v>
      </c>
      <c r="G1164" t="str" cm="1">
        <f t="array" ref="G1164">INDEX('Linha 06'!$C$2:$ZZ$2,C1164)</f>
        <v>Multi Uso Aquafast Squeeze Seducao Cx/12 X 500ml</v>
      </c>
      <c r="H1164" s="5" cm="1">
        <f t="array" ref="H1164">INDEX('Linha 06'!$C$4:$ZZ$1000,B1164,C1164)</f>
        <v>0</v>
      </c>
    </row>
    <row r="1165" spans="1:8" x14ac:dyDescent="0.25">
      <c r="A1165">
        <v>1163</v>
      </c>
      <c r="B1165">
        <f t="shared" si="36"/>
        <v>31</v>
      </c>
      <c r="C1165">
        <f t="shared" si="37"/>
        <v>23</v>
      </c>
      <c r="D1165" cm="1">
        <f t="array" ref="D1165">INDEX('Linha 06'!$A$4:$A$1000,B1165)</f>
        <v>20110027</v>
      </c>
      <c r="E1165" t="str" cm="1">
        <f t="array" ref="E1165">INDEX('Linha 06'!$B$4:$B$1000,B1165)</f>
        <v>Multi Uso Aquafast Pulverizador Poder O2 Cx/12 X 500ml</v>
      </c>
      <c r="F1165" cm="1">
        <f t="array" ref="F1165">INDEX('Linha 06'!$C$3:$ZZ$3,C1165)</f>
        <v>20110008</v>
      </c>
      <c r="G1165" t="str" cm="1">
        <f t="array" ref="G1165">INDEX('Linha 06'!$C$2:$ZZ$2,C1165)</f>
        <v>Multi Uso Aquafast Squeeze Original Cx/12 X 1l</v>
      </c>
      <c r="H1165" s="5" cm="1">
        <f t="array" ref="H1165">INDEX('Linha 06'!$C$4:$ZZ$1000,B1165,C1165)</f>
        <v>0</v>
      </c>
    </row>
    <row r="1166" spans="1:8" x14ac:dyDescent="0.25">
      <c r="A1166">
        <v>1164</v>
      </c>
      <c r="B1166">
        <f t="shared" si="36"/>
        <v>31</v>
      </c>
      <c r="C1166">
        <f t="shared" si="37"/>
        <v>24</v>
      </c>
      <c r="D1166" cm="1">
        <f t="array" ref="D1166">INDEX('Linha 06'!$A$4:$A$1000,B1166)</f>
        <v>20110027</v>
      </c>
      <c r="E1166" t="str" cm="1">
        <f t="array" ref="E1166">INDEX('Linha 06'!$B$4:$B$1000,B1166)</f>
        <v>Multi Uso Aquafast Pulverizador Poder O2 Cx/12 X 500ml</v>
      </c>
      <c r="F1166" cm="1">
        <f t="array" ref="F1166">INDEX('Linha 06'!$C$3:$ZZ$3,C1166)</f>
        <v>20110010</v>
      </c>
      <c r="G1166" t="str" cm="1">
        <f t="array" ref="G1166">INDEX('Linha 06'!$C$2:$ZZ$2,C1166)</f>
        <v>Multi Uso Aquafast Squeeze Seducao Cx/12 1l</v>
      </c>
      <c r="H1166" s="5" cm="1">
        <f t="array" ref="H1166">INDEX('Linha 06'!$C$4:$ZZ$1000,B1166,C1166)</f>
        <v>0</v>
      </c>
    </row>
    <row r="1167" spans="1:8" x14ac:dyDescent="0.25">
      <c r="A1167">
        <v>1165</v>
      </c>
      <c r="B1167">
        <f t="shared" si="36"/>
        <v>31</v>
      </c>
      <c r="C1167">
        <f t="shared" si="37"/>
        <v>25</v>
      </c>
      <c r="D1167" cm="1">
        <f t="array" ref="D1167">INDEX('Linha 06'!$A$4:$A$1000,B1167)</f>
        <v>20110027</v>
      </c>
      <c r="E1167" t="str" cm="1">
        <f t="array" ref="E1167">INDEX('Linha 06'!$B$4:$B$1000,B1167)</f>
        <v>Multi Uso Aquafast Pulverizador Poder O2 Cx/12 X 500ml</v>
      </c>
      <c r="F1167" cm="1">
        <f t="array" ref="F1167">INDEX('Linha 06'!$C$3:$ZZ$3,C1167)</f>
        <v>20110013</v>
      </c>
      <c r="G1167" t="str" cm="1">
        <f t="array" ref="G1167">INDEX('Linha 06'!$C$2:$ZZ$2,C1167)</f>
        <v>Multi Uso Aquafast Squeeze Lavanda Cx/12 X 1l</v>
      </c>
      <c r="H1167" s="5" cm="1">
        <f t="array" ref="H1167">INDEX('Linha 06'!$C$4:$ZZ$1000,B1167,C1167)</f>
        <v>0</v>
      </c>
    </row>
    <row r="1168" spans="1:8" x14ac:dyDescent="0.25">
      <c r="A1168">
        <v>1166</v>
      </c>
      <c r="B1168">
        <f t="shared" si="36"/>
        <v>31</v>
      </c>
      <c r="C1168">
        <f t="shared" si="37"/>
        <v>26</v>
      </c>
      <c r="D1168" cm="1">
        <f t="array" ref="D1168">INDEX('Linha 06'!$A$4:$A$1000,B1168)</f>
        <v>20110027</v>
      </c>
      <c r="E1168" t="str" cm="1">
        <f t="array" ref="E1168">INDEX('Linha 06'!$B$4:$B$1000,B1168)</f>
        <v>Multi Uso Aquafast Pulverizador Poder O2 Cx/12 X 500ml</v>
      </c>
      <c r="F1168" cm="1">
        <f t="array" ref="F1168">INDEX('Linha 06'!$C$3:$ZZ$3,C1168)</f>
        <v>20110022</v>
      </c>
      <c r="G1168" t="str" cm="1">
        <f t="array" ref="G1168">INDEX('Linha 06'!$C$2:$ZZ$2,C1168)</f>
        <v>Intermed Pack Multi Uso Lavand C/Alcool Cx/18 X 500ml</v>
      </c>
      <c r="H1168" s="5" cm="1">
        <f t="array" ref="H1168">INDEX('Linha 06'!$C$4:$ZZ$1000,B1168,C1168)</f>
        <v>0</v>
      </c>
    </row>
    <row r="1169" spans="1:8" x14ac:dyDescent="0.25">
      <c r="A1169">
        <v>1167</v>
      </c>
      <c r="B1169">
        <f t="shared" si="36"/>
        <v>31</v>
      </c>
      <c r="C1169">
        <f t="shared" si="37"/>
        <v>27</v>
      </c>
      <c r="D1169" cm="1">
        <f t="array" ref="D1169">INDEX('Linha 06'!$A$4:$A$1000,B1169)</f>
        <v>20110027</v>
      </c>
      <c r="E1169" t="str" cm="1">
        <f t="array" ref="E1169">INDEX('Linha 06'!$B$4:$B$1000,B1169)</f>
        <v>Multi Uso Aquafast Pulverizador Poder O2 Cx/12 X 500ml</v>
      </c>
      <c r="F1169" cm="1">
        <f t="array" ref="F1169">INDEX('Linha 06'!$C$3:$ZZ$3,C1169)</f>
        <v>20110023</v>
      </c>
      <c r="G1169" t="str" cm="1">
        <f t="array" ref="G1169">INDEX('Linha 06'!$C$2:$ZZ$2,C1169)</f>
        <v>Multi Uso Aquafast Squeeze Cha Branco  Cx/12 X 500ml</v>
      </c>
      <c r="H1169" s="5" cm="1">
        <f t="array" ref="H1169">INDEX('Linha 06'!$C$4:$ZZ$1000,B1169,C1169)</f>
        <v>0</v>
      </c>
    </row>
    <row r="1170" spans="1:8" x14ac:dyDescent="0.25">
      <c r="A1170">
        <v>1168</v>
      </c>
      <c r="B1170">
        <f t="shared" si="36"/>
        <v>31</v>
      </c>
      <c r="C1170">
        <f t="shared" si="37"/>
        <v>28</v>
      </c>
      <c r="D1170" cm="1">
        <f t="array" ref="D1170">INDEX('Linha 06'!$A$4:$A$1000,B1170)</f>
        <v>20110027</v>
      </c>
      <c r="E1170" t="str" cm="1">
        <f t="array" ref="E1170">INDEX('Linha 06'!$B$4:$B$1000,B1170)</f>
        <v>Multi Uso Aquafast Pulverizador Poder O2 Cx/12 X 500ml</v>
      </c>
      <c r="F1170" cm="1">
        <f t="array" ref="F1170">INDEX('Linha 06'!$C$3:$ZZ$3,C1170)</f>
        <v>20110024</v>
      </c>
      <c r="G1170" t="str" cm="1">
        <f t="array" ref="G1170">INDEX('Linha 06'!$C$2:$ZZ$2,C1170)</f>
        <v>Multi Uso Aquafast Squeeze Cha Branco Cx12 X 1l</v>
      </c>
      <c r="H1170" s="5" cm="1">
        <f t="array" ref="H1170">INDEX('Linha 06'!$C$4:$ZZ$1000,B1170,C1170)</f>
        <v>0</v>
      </c>
    </row>
    <row r="1171" spans="1:8" x14ac:dyDescent="0.25">
      <c r="A1171">
        <v>1169</v>
      </c>
      <c r="B1171">
        <f t="shared" si="36"/>
        <v>31</v>
      </c>
      <c r="C1171">
        <f t="shared" si="37"/>
        <v>29</v>
      </c>
      <c r="D1171" cm="1">
        <f t="array" ref="D1171">INDEX('Linha 06'!$A$4:$A$1000,B1171)</f>
        <v>20110027</v>
      </c>
      <c r="E1171" t="str" cm="1">
        <f t="array" ref="E1171">INDEX('Linha 06'!$B$4:$B$1000,B1171)</f>
        <v>Multi Uso Aquafast Pulverizador Poder O2 Cx/12 X 500ml</v>
      </c>
      <c r="F1171" cm="1">
        <f t="array" ref="F1171">INDEX('Linha 06'!$C$3:$ZZ$3,C1171)</f>
        <v>20110025</v>
      </c>
      <c r="G1171" t="str" cm="1">
        <f t="array" ref="G1171">INDEX('Linha 06'!$C$2:$ZZ$2,C1171)</f>
        <v>Multi Uso Aquafast Pulverizador Original Cx/12 X 1l</v>
      </c>
      <c r="H1171" s="5" cm="1">
        <f t="array" ref="H1171">INDEX('Linha 06'!$C$4:$ZZ$1000,B1171,C1171)</f>
        <v>0</v>
      </c>
    </row>
    <row r="1172" spans="1:8" x14ac:dyDescent="0.25">
      <c r="A1172">
        <v>1170</v>
      </c>
      <c r="B1172">
        <f t="shared" si="36"/>
        <v>31</v>
      </c>
      <c r="C1172">
        <f t="shared" si="37"/>
        <v>30</v>
      </c>
      <c r="D1172" cm="1">
        <f t="array" ref="D1172">INDEX('Linha 06'!$A$4:$A$1000,B1172)</f>
        <v>20110027</v>
      </c>
      <c r="E1172" t="str" cm="1">
        <f t="array" ref="E1172">INDEX('Linha 06'!$B$4:$B$1000,B1172)</f>
        <v>Multi Uso Aquafast Pulverizador Poder O2 Cx/12 X 500ml</v>
      </c>
      <c r="F1172" cm="1">
        <f t="array" ref="F1172">INDEX('Linha 06'!$C$3:$ZZ$3,C1172)</f>
        <v>20110026</v>
      </c>
      <c r="G1172" t="str" cm="1">
        <f t="array" ref="G1172">INDEX('Linha 06'!$C$2:$ZZ$2,C1172)</f>
        <v>Multi Uso Aquafast Pulverizador Poder O2 Cx/12 X 1l</v>
      </c>
      <c r="H1172" s="5" cm="1">
        <f t="array" ref="H1172">INDEX('Linha 06'!$C$4:$ZZ$1000,B1172,C1172)</f>
        <v>0</v>
      </c>
    </row>
    <row r="1173" spans="1:8" x14ac:dyDescent="0.25">
      <c r="A1173">
        <v>1171</v>
      </c>
      <c r="B1173">
        <f t="shared" si="36"/>
        <v>31</v>
      </c>
      <c r="C1173">
        <f t="shared" si="37"/>
        <v>31</v>
      </c>
      <c r="D1173" cm="1">
        <f t="array" ref="D1173">INDEX('Linha 06'!$A$4:$A$1000,B1173)</f>
        <v>20110027</v>
      </c>
      <c r="E1173" t="str" cm="1">
        <f t="array" ref="E1173">INDEX('Linha 06'!$B$4:$B$1000,B1173)</f>
        <v>Multi Uso Aquafast Pulverizador Poder O2 Cx/12 X 500ml</v>
      </c>
      <c r="F1173" cm="1">
        <f t="array" ref="F1173">INDEX('Linha 06'!$C$3:$ZZ$3,C1173)</f>
        <v>20110027</v>
      </c>
      <c r="G1173" t="str" cm="1">
        <f t="array" ref="G1173">INDEX('Linha 06'!$C$2:$ZZ$2,C1173)</f>
        <v>Multi Uso Aquafast Pulverizador Poder O2 Cx/12 X 500ml</v>
      </c>
      <c r="H1173" s="5" cm="1">
        <f t="array" ref="H1173">INDEX('Linha 06'!$C$4:$ZZ$1000,B1173,C1173)</f>
        <v>0</v>
      </c>
    </row>
    <row r="1174" spans="1:8" x14ac:dyDescent="0.25">
      <c r="A1174">
        <v>1172</v>
      </c>
      <c r="B1174">
        <f t="shared" si="36"/>
        <v>31</v>
      </c>
      <c r="C1174">
        <f t="shared" si="37"/>
        <v>32</v>
      </c>
      <c r="D1174" cm="1">
        <f t="array" ref="D1174">INDEX('Linha 06'!$A$4:$A$1000,B1174)</f>
        <v>20110027</v>
      </c>
      <c r="E1174" t="str" cm="1">
        <f t="array" ref="E1174">INDEX('Linha 06'!$B$4:$B$1000,B1174)</f>
        <v>Multi Uso Aquafast Pulverizador Poder O2 Cx/12 X 500ml</v>
      </c>
      <c r="F1174" cm="1">
        <f t="array" ref="F1174">INDEX('Linha 06'!$C$3:$ZZ$3,C1174)</f>
        <v>20200073</v>
      </c>
      <c r="G1174" t="str" cm="1">
        <f t="array" ref="G1174">INDEX('Linha 06'!$C$2:$ZZ$2,C1174)</f>
        <v>Lava Roupas Aquafast Lavagem Rapida Total Clean Cx/9 X 1,5l</v>
      </c>
      <c r="H1174" s="5" cm="1">
        <f t="array" ref="H1174">INDEX('Linha 06'!$C$4:$ZZ$1000,B1174,C1174)</f>
        <v>0</v>
      </c>
    </row>
    <row r="1175" spans="1:8" x14ac:dyDescent="0.25">
      <c r="A1175">
        <v>1173</v>
      </c>
      <c r="B1175">
        <f t="shared" si="36"/>
        <v>31</v>
      </c>
      <c r="C1175">
        <f t="shared" si="37"/>
        <v>33</v>
      </c>
      <c r="D1175" cm="1">
        <f t="array" ref="D1175">INDEX('Linha 06'!$A$4:$A$1000,B1175)</f>
        <v>20110027</v>
      </c>
      <c r="E1175" t="str" cm="1">
        <f t="array" ref="E1175">INDEX('Linha 06'!$B$4:$B$1000,B1175)</f>
        <v>Multi Uso Aquafast Pulverizador Poder O2 Cx/12 X 500ml</v>
      </c>
      <c r="F1175" cm="1">
        <f t="array" ref="F1175">INDEX('Linha 06'!$C$3:$ZZ$3,C1175)</f>
        <v>20200075</v>
      </c>
      <c r="G1175" t="str" cm="1">
        <f t="array" ref="G1175">INDEX('Linha 06'!$C$2:$ZZ$2,C1175)</f>
        <v>Lava Roupas Aquafast Lavagem Rapida Fresh Clean Cx/9 X 1,5l</v>
      </c>
      <c r="H1175" s="5" cm="1">
        <f t="array" ref="H1175">INDEX('Linha 06'!$C$4:$ZZ$1000,B1175,C1175)</f>
        <v>0</v>
      </c>
    </row>
    <row r="1176" spans="1:8" x14ac:dyDescent="0.25">
      <c r="A1176">
        <v>1174</v>
      </c>
      <c r="B1176">
        <f t="shared" si="36"/>
        <v>31</v>
      </c>
      <c r="C1176">
        <f t="shared" si="37"/>
        <v>34</v>
      </c>
      <c r="D1176" cm="1">
        <f t="array" ref="D1176">INDEX('Linha 06'!$A$4:$A$1000,B1176)</f>
        <v>20110027</v>
      </c>
      <c r="E1176" t="str" cm="1">
        <f t="array" ref="E1176">INDEX('Linha 06'!$B$4:$B$1000,B1176)</f>
        <v>Multi Uso Aquafast Pulverizador Poder O2 Cx/12 X 500ml</v>
      </c>
      <c r="F1176" cm="1">
        <f t="array" ref="F1176">INDEX('Linha 06'!$C$3:$ZZ$3,C1176)</f>
        <v>20220018</v>
      </c>
      <c r="G1176" t="str" cm="1">
        <f t="array" ref="G1176">INDEX('Linha 06'!$C$2:$ZZ$2,C1176)</f>
        <v>Intermed. Aromat. Amoras E Baunilha Cx C/ 12un 250ml</v>
      </c>
      <c r="H1176" s="5" cm="1">
        <f t="array" ref="H1176">INDEX('Linha 06'!$C$4:$ZZ$1000,B1176,C1176)</f>
        <v>0</v>
      </c>
    </row>
    <row r="1177" spans="1:8" x14ac:dyDescent="0.25">
      <c r="A1177">
        <v>1175</v>
      </c>
      <c r="B1177">
        <f t="shared" si="36"/>
        <v>31</v>
      </c>
      <c r="C1177">
        <f t="shared" si="37"/>
        <v>35</v>
      </c>
      <c r="D1177" cm="1">
        <f t="array" ref="D1177">INDEX('Linha 06'!$A$4:$A$1000,B1177)</f>
        <v>20110027</v>
      </c>
      <c r="E1177" t="str" cm="1">
        <f t="array" ref="E1177">INDEX('Linha 06'!$B$4:$B$1000,B1177)</f>
        <v>Multi Uso Aquafast Pulverizador Poder O2 Cx/12 X 500ml</v>
      </c>
      <c r="F1177" cm="1">
        <f t="array" ref="F1177">INDEX('Linha 06'!$C$3:$ZZ$3,C1177)</f>
        <v>20220019</v>
      </c>
      <c r="G1177" t="str" cm="1">
        <f t="array" ref="G1177">INDEX('Linha 06'!$C$2:$ZZ$2,C1177)</f>
        <v>Intermed. Aromat. Figo E Cedro Cx C/ 12un 250ml</v>
      </c>
      <c r="H1177" s="5" cm="1">
        <f t="array" ref="H1177">INDEX('Linha 06'!$C$4:$ZZ$1000,B1177,C1177)</f>
        <v>0</v>
      </c>
    </row>
    <row r="1178" spans="1:8" x14ac:dyDescent="0.25">
      <c r="A1178">
        <v>1176</v>
      </c>
      <c r="B1178">
        <f t="shared" si="36"/>
        <v>31</v>
      </c>
      <c r="C1178">
        <f t="shared" si="37"/>
        <v>36</v>
      </c>
      <c r="D1178" cm="1">
        <f t="array" ref="D1178">INDEX('Linha 06'!$A$4:$A$1000,B1178)</f>
        <v>20110027</v>
      </c>
      <c r="E1178" t="str" cm="1">
        <f t="array" ref="E1178">INDEX('Linha 06'!$B$4:$B$1000,B1178)</f>
        <v>Multi Uso Aquafast Pulverizador Poder O2 Cx/12 X 500ml</v>
      </c>
      <c r="F1178" cm="1">
        <f t="array" ref="F1178">INDEX('Linha 06'!$C$3:$ZZ$3,C1178)</f>
        <v>20220020</v>
      </c>
      <c r="G1178" t="str" cm="1">
        <f t="array" ref="G1178">INDEX('Linha 06'!$C$2:$ZZ$2,C1178)</f>
        <v>Intermed. Aromat. Rosas E Magnolias Cx C/ 12un 250ml</v>
      </c>
      <c r="H1178" s="5" cm="1">
        <f t="array" ref="H1178">INDEX('Linha 06'!$C$4:$ZZ$1000,B1178,C1178)</f>
        <v>0</v>
      </c>
    </row>
    <row r="1179" spans="1:8" x14ac:dyDescent="0.25">
      <c r="A1179">
        <v>1177</v>
      </c>
      <c r="B1179">
        <f t="shared" si="36"/>
        <v>31</v>
      </c>
      <c r="C1179">
        <f t="shared" si="37"/>
        <v>37</v>
      </c>
      <c r="D1179" cm="1">
        <f t="array" ref="D1179">INDEX('Linha 06'!$A$4:$A$1000,B1179)</f>
        <v>20110027</v>
      </c>
      <c r="E1179" t="str" cm="1">
        <f t="array" ref="E1179">INDEX('Linha 06'!$B$4:$B$1000,B1179)</f>
        <v>Multi Uso Aquafast Pulverizador Poder O2 Cx/12 X 500ml</v>
      </c>
      <c r="F1179" cm="1">
        <f t="array" ref="F1179">INDEX('Linha 06'!$C$3:$ZZ$3,C1179)</f>
        <v>20220021</v>
      </c>
      <c r="G1179" t="str" cm="1">
        <f t="array" ref="G1179">INDEX('Linha 06'!$C$2:$ZZ$2,C1179)</f>
        <v>Intermed. Aromat. Flores Exoticas Cx C/ 12un 250ml</v>
      </c>
      <c r="H1179" s="5" cm="1">
        <f t="array" ref="H1179">INDEX('Linha 06'!$C$4:$ZZ$1000,B1179,C1179)</f>
        <v>0</v>
      </c>
    </row>
    <row r="1180" spans="1:8" x14ac:dyDescent="0.25">
      <c r="A1180">
        <v>1178</v>
      </c>
      <c r="B1180">
        <f t="shared" si="36"/>
        <v>31</v>
      </c>
      <c r="C1180">
        <f t="shared" si="37"/>
        <v>38</v>
      </c>
      <c r="D1180" cm="1">
        <f t="array" ref="D1180">INDEX('Linha 06'!$A$4:$A$1000,B1180)</f>
        <v>20110027</v>
      </c>
      <c r="E1180" t="str" cm="1">
        <f t="array" ref="E1180">INDEX('Linha 06'!$B$4:$B$1000,B1180)</f>
        <v>Multi Uso Aquafast Pulverizador Poder O2 Cx/12 X 500ml</v>
      </c>
      <c r="F1180" cm="1">
        <f t="array" ref="F1180">INDEX('Linha 06'!$C$3:$ZZ$3,C1180)</f>
        <v>20220022</v>
      </c>
      <c r="G1180" t="str" cm="1">
        <f t="array" ref="G1180">INDEX('Linha 06'!$C$2:$ZZ$2,C1180)</f>
        <v>Intermed. Aromat. Cha Verde E Grapef Cx C/ 12un 250ml</v>
      </c>
      <c r="H1180" s="5" cm="1">
        <f t="array" ref="H1180">INDEX('Linha 06'!$C$4:$ZZ$1000,B1180,C1180)</f>
        <v>0</v>
      </c>
    </row>
    <row r="1181" spans="1:8" x14ac:dyDescent="0.25">
      <c r="A1181">
        <v>1179</v>
      </c>
      <c r="B1181">
        <f t="shared" si="36"/>
        <v>32</v>
      </c>
      <c r="C1181">
        <f t="shared" si="37"/>
        <v>1</v>
      </c>
      <c r="D1181" cm="1">
        <f t="array" ref="D1181">INDEX('Linha 06'!$A$4:$A$1000,B1181)</f>
        <v>20200073</v>
      </c>
      <c r="E1181" t="str" cm="1">
        <f t="array" ref="E1181">INDEX('Linha 06'!$B$4:$B$1000,B1181)</f>
        <v>Lava Roupas Aquafast Lavagem Rapida Total Clean Cx/9 X 1,5l</v>
      </c>
      <c r="F1181" cm="1">
        <f t="array" ref="F1181">INDEX('Linha 06'!$C$3:$ZZ$3,C1181)</f>
        <v>20060001</v>
      </c>
      <c r="G1181" t="str" cm="1">
        <f t="array" ref="G1181">INDEX('Linha 06'!$C$2:$ZZ$2,C1181)</f>
        <v>Limp Perf Aquafast Magia Seducao Cx/12 X 500ml</v>
      </c>
      <c r="H1181" s="5" cm="1">
        <f t="array" ref="H1181">INDEX('Linha 06'!$C$4:$ZZ$1000,B1181,C1181)</f>
        <v>0</v>
      </c>
    </row>
    <row r="1182" spans="1:8" x14ac:dyDescent="0.25">
      <c r="A1182">
        <v>1180</v>
      </c>
      <c r="B1182">
        <f t="shared" si="36"/>
        <v>32</v>
      </c>
      <c r="C1182">
        <f t="shared" si="37"/>
        <v>2</v>
      </c>
      <c r="D1182" cm="1">
        <f t="array" ref="D1182">INDEX('Linha 06'!$A$4:$A$1000,B1182)</f>
        <v>20200073</v>
      </c>
      <c r="E1182" t="str" cm="1">
        <f t="array" ref="E1182">INDEX('Linha 06'!$B$4:$B$1000,B1182)</f>
        <v>Lava Roupas Aquafast Lavagem Rapida Total Clean Cx/9 X 1,5l</v>
      </c>
      <c r="F1182" cm="1">
        <f t="array" ref="F1182">INDEX('Linha 06'!$C$3:$ZZ$3,C1182)</f>
        <v>20060004</v>
      </c>
      <c r="G1182" t="str" cm="1">
        <f t="array" ref="G1182">INDEX('Linha 06'!$C$2:$ZZ$2,C1182)</f>
        <v>Limp Perf Aquafast Magia Seducao Cx/12 X 1l</v>
      </c>
      <c r="H1182" s="5" cm="1">
        <f t="array" ref="H1182">INDEX('Linha 06'!$C$4:$ZZ$1000,B1182,C1182)</f>
        <v>0</v>
      </c>
    </row>
    <row r="1183" spans="1:8" x14ac:dyDescent="0.25">
      <c r="A1183">
        <v>1181</v>
      </c>
      <c r="B1183">
        <f t="shared" si="36"/>
        <v>32</v>
      </c>
      <c r="C1183">
        <f t="shared" si="37"/>
        <v>3</v>
      </c>
      <c r="D1183" cm="1">
        <f t="array" ref="D1183">INDEX('Linha 06'!$A$4:$A$1000,B1183)</f>
        <v>20200073</v>
      </c>
      <c r="E1183" t="str" cm="1">
        <f t="array" ref="E1183">INDEX('Linha 06'!$B$4:$B$1000,B1183)</f>
        <v>Lava Roupas Aquafast Lavagem Rapida Total Clean Cx/9 X 1,5l</v>
      </c>
      <c r="F1183" cm="1">
        <f t="array" ref="F1183">INDEX('Linha 06'!$C$3:$ZZ$3,C1183)</f>
        <v>20060010</v>
      </c>
      <c r="G1183" t="str" cm="1">
        <f t="array" ref="G1183">INDEX('Linha 06'!$C$2:$ZZ$2,C1183)</f>
        <v>Limp Perf Aquafast Magia Da Infancia Cx/12 X 500ml</v>
      </c>
      <c r="H1183" s="5" cm="1">
        <f t="array" ref="H1183">INDEX('Linha 06'!$C$4:$ZZ$1000,B1183,C1183)</f>
        <v>0</v>
      </c>
    </row>
    <row r="1184" spans="1:8" x14ac:dyDescent="0.25">
      <c r="A1184">
        <v>1182</v>
      </c>
      <c r="B1184">
        <f t="shared" si="36"/>
        <v>32</v>
      </c>
      <c r="C1184">
        <f t="shared" si="37"/>
        <v>4</v>
      </c>
      <c r="D1184" cm="1">
        <f t="array" ref="D1184">INDEX('Linha 06'!$A$4:$A$1000,B1184)</f>
        <v>20200073</v>
      </c>
      <c r="E1184" t="str" cm="1">
        <f t="array" ref="E1184">INDEX('Linha 06'!$B$4:$B$1000,B1184)</f>
        <v>Lava Roupas Aquafast Lavagem Rapida Total Clean Cx/9 X 1,5l</v>
      </c>
      <c r="F1184" cm="1">
        <f t="array" ref="F1184">INDEX('Linha 06'!$C$3:$ZZ$3,C1184)</f>
        <v>20060011</v>
      </c>
      <c r="G1184" t="str" cm="1">
        <f t="array" ref="G1184">INDEX('Linha 06'!$C$2:$ZZ$2,C1184)</f>
        <v>Limp Perf Aquafast Frescor Da Manha Cx/12 X 500ml</v>
      </c>
      <c r="H1184" s="5" cm="1">
        <f t="array" ref="H1184">INDEX('Linha 06'!$C$4:$ZZ$1000,B1184,C1184)</f>
        <v>0</v>
      </c>
    </row>
    <row r="1185" spans="1:8" x14ac:dyDescent="0.25">
      <c r="A1185">
        <v>1183</v>
      </c>
      <c r="B1185">
        <f t="shared" si="36"/>
        <v>32</v>
      </c>
      <c r="C1185">
        <f t="shared" si="37"/>
        <v>5</v>
      </c>
      <c r="D1185" cm="1">
        <f t="array" ref="D1185">INDEX('Linha 06'!$A$4:$A$1000,B1185)</f>
        <v>20200073</v>
      </c>
      <c r="E1185" t="str" cm="1">
        <f t="array" ref="E1185">INDEX('Linha 06'!$B$4:$B$1000,B1185)</f>
        <v>Lava Roupas Aquafast Lavagem Rapida Total Clean Cx/9 X 1,5l</v>
      </c>
      <c r="F1185" cm="1">
        <f t="array" ref="F1185">INDEX('Linha 06'!$C$3:$ZZ$3,C1185)</f>
        <v>20060012</v>
      </c>
      <c r="G1185" t="str" cm="1">
        <f t="array" ref="G1185">INDEX('Linha 06'!$C$2:$ZZ$2,C1185)</f>
        <v>Limp Perf Aquafast Magia Da Infancia Cx/12 X 1l</v>
      </c>
      <c r="H1185" s="5" cm="1">
        <f t="array" ref="H1185">INDEX('Linha 06'!$C$4:$ZZ$1000,B1185,C1185)</f>
        <v>0</v>
      </c>
    </row>
    <row r="1186" spans="1:8" x14ac:dyDescent="0.25">
      <c r="A1186">
        <v>1184</v>
      </c>
      <c r="B1186">
        <f t="shared" si="36"/>
        <v>32</v>
      </c>
      <c r="C1186">
        <f t="shared" si="37"/>
        <v>6</v>
      </c>
      <c r="D1186" cm="1">
        <f t="array" ref="D1186">INDEX('Linha 06'!$A$4:$A$1000,B1186)</f>
        <v>20200073</v>
      </c>
      <c r="E1186" t="str" cm="1">
        <f t="array" ref="E1186">INDEX('Linha 06'!$B$4:$B$1000,B1186)</f>
        <v>Lava Roupas Aquafast Lavagem Rapida Total Clean Cx/9 X 1,5l</v>
      </c>
      <c r="F1186" cm="1">
        <f t="array" ref="F1186">INDEX('Linha 06'!$C$3:$ZZ$3,C1186)</f>
        <v>20060013</v>
      </c>
      <c r="G1186" t="str" cm="1">
        <f t="array" ref="G1186">INDEX('Linha 06'!$C$2:$ZZ$2,C1186)</f>
        <v>Limp Perf Aquafast Frescor Da Manha Cx/12 X 1l</v>
      </c>
      <c r="H1186" s="5" cm="1">
        <f t="array" ref="H1186">INDEX('Linha 06'!$C$4:$ZZ$1000,B1186,C1186)</f>
        <v>0</v>
      </c>
    </row>
    <row r="1187" spans="1:8" x14ac:dyDescent="0.25">
      <c r="A1187">
        <v>1185</v>
      </c>
      <c r="B1187">
        <f t="shared" si="36"/>
        <v>32</v>
      </c>
      <c r="C1187">
        <f t="shared" si="37"/>
        <v>7</v>
      </c>
      <c r="D1187" cm="1">
        <f t="array" ref="D1187">INDEX('Linha 06'!$A$4:$A$1000,B1187)</f>
        <v>20200073</v>
      </c>
      <c r="E1187" t="str" cm="1">
        <f t="array" ref="E1187">INDEX('Linha 06'!$B$4:$B$1000,B1187)</f>
        <v>Lava Roupas Aquafast Lavagem Rapida Total Clean Cx/9 X 1,5l</v>
      </c>
      <c r="F1187" cm="1">
        <f t="array" ref="F1187">INDEX('Linha 06'!$C$3:$ZZ$3,C1187)</f>
        <v>20060015</v>
      </c>
      <c r="G1187" t="str" cm="1">
        <f t="array" ref="G1187">INDEX('Linha 06'!$C$2:$ZZ$2,C1187)</f>
        <v>Limp Perf Aquafast Doce Romance Cx/12 X 500ml</v>
      </c>
      <c r="H1187" s="5" cm="1">
        <f t="array" ref="H1187">INDEX('Linha 06'!$C$4:$ZZ$1000,B1187,C1187)</f>
        <v>0</v>
      </c>
    </row>
    <row r="1188" spans="1:8" x14ac:dyDescent="0.25">
      <c r="A1188">
        <v>1186</v>
      </c>
      <c r="B1188">
        <f t="shared" si="36"/>
        <v>32</v>
      </c>
      <c r="C1188">
        <f t="shared" si="37"/>
        <v>8</v>
      </c>
      <c r="D1188" cm="1">
        <f t="array" ref="D1188">INDEX('Linha 06'!$A$4:$A$1000,B1188)</f>
        <v>20200073</v>
      </c>
      <c r="E1188" t="str" cm="1">
        <f t="array" ref="E1188">INDEX('Linha 06'!$B$4:$B$1000,B1188)</f>
        <v>Lava Roupas Aquafast Lavagem Rapida Total Clean Cx/9 X 1,5l</v>
      </c>
      <c r="F1188" cm="1">
        <f t="array" ref="F1188">INDEX('Linha 06'!$C$3:$ZZ$3,C1188)</f>
        <v>20060016</v>
      </c>
      <c r="G1188" t="str" cm="1">
        <f t="array" ref="G1188">INDEX('Linha 06'!$C$2:$ZZ$2,C1188)</f>
        <v>Limp Perf Aquafast Doce Romance Cx/12 X 1l</v>
      </c>
      <c r="H1188" s="5" cm="1">
        <f t="array" ref="H1188">INDEX('Linha 06'!$C$4:$ZZ$1000,B1188,C1188)</f>
        <v>0</v>
      </c>
    </row>
    <row r="1189" spans="1:8" x14ac:dyDescent="0.25">
      <c r="A1189">
        <v>1187</v>
      </c>
      <c r="B1189">
        <f t="shared" si="36"/>
        <v>32</v>
      </c>
      <c r="C1189">
        <f t="shared" si="37"/>
        <v>9</v>
      </c>
      <c r="D1189" cm="1">
        <f t="array" ref="D1189">INDEX('Linha 06'!$A$4:$A$1000,B1189)</f>
        <v>20200073</v>
      </c>
      <c r="E1189" t="str" cm="1">
        <f t="array" ref="E1189">INDEX('Linha 06'!$B$4:$B$1000,B1189)</f>
        <v>Lava Roupas Aquafast Lavagem Rapida Total Clean Cx/9 X 1,5l</v>
      </c>
      <c r="F1189" cm="1">
        <f t="array" ref="F1189">INDEX('Linha 06'!$C$3:$ZZ$3,C1189)</f>
        <v>20060027</v>
      </c>
      <c r="G1189" t="str" cm="1">
        <f t="array" ref="G1189">INDEX('Linha 06'!$C$2:$ZZ$2,C1189)</f>
        <v>Limp Perf Aquafast Essencia Natural Cx/12 X 1l</v>
      </c>
      <c r="H1189" s="5" cm="1">
        <f t="array" ref="H1189">INDEX('Linha 06'!$C$4:$ZZ$1000,B1189,C1189)</f>
        <v>0</v>
      </c>
    </row>
    <row r="1190" spans="1:8" x14ac:dyDescent="0.25">
      <c r="A1190">
        <v>1188</v>
      </c>
      <c r="B1190">
        <f t="shared" si="36"/>
        <v>32</v>
      </c>
      <c r="C1190">
        <f t="shared" si="37"/>
        <v>10</v>
      </c>
      <c r="D1190" cm="1">
        <f t="array" ref="D1190">INDEX('Linha 06'!$A$4:$A$1000,B1190)</f>
        <v>20200073</v>
      </c>
      <c r="E1190" t="str" cm="1">
        <f t="array" ref="E1190">INDEX('Linha 06'!$B$4:$B$1000,B1190)</f>
        <v>Lava Roupas Aquafast Lavagem Rapida Total Clean Cx/9 X 1,5l</v>
      </c>
      <c r="F1190" cm="1">
        <f t="array" ref="F1190">INDEX('Linha 06'!$C$3:$ZZ$3,C1190)</f>
        <v>20070001</v>
      </c>
      <c r="G1190" t="str" cm="1">
        <f t="array" ref="G1190">INDEX('Linha 06'!$C$2:$ZZ$2,C1190)</f>
        <v>Limpa Vidros Aquafast Pulverizador Cx/12 X 500ml</v>
      </c>
      <c r="H1190" s="5" cm="1">
        <f t="array" ref="H1190">INDEX('Linha 06'!$C$4:$ZZ$1000,B1190,C1190)</f>
        <v>0</v>
      </c>
    </row>
    <row r="1191" spans="1:8" x14ac:dyDescent="0.25">
      <c r="A1191">
        <v>1189</v>
      </c>
      <c r="B1191">
        <f t="shared" si="36"/>
        <v>32</v>
      </c>
      <c r="C1191">
        <f t="shared" si="37"/>
        <v>11</v>
      </c>
      <c r="D1191" cm="1">
        <f t="array" ref="D1191">INDEX('Linha 06'!$A$4:$A$1000,B1191)</f>
        <v>20200073</v>
      </c>
      <c r="E1191" t="str" cm="1">
        <f t="array" ref="E1191">INDEX('Linha 06'!$B$4:$B$1000,B1191)</f>
        <v>Lava Roupas Aquafast Lavagem Rapida Total Clean Cx/9 X 1,5l</v>
      </c>
      <c r="F1191" cm="1">
        <f t="array" ref="F1191">INDEX('Linha 06'!$C$3:$ZZ$3,C1191)</f>
        <v>20070002</v>
      </c>
      <c r="G1191" t="str" cm="1">
        <f t="array" ref="G1191">INDEX('Linha 06'!$C$2:$ZZ$2,C1191)</f>
        <v>Limpa Vidros Aquafast Recarga Cx/12 X 500ml</v>
      </c>
      <c r="H1191" s="5" cm="1">
        <f t="array" ref="H1191">INDEX('Linha 06'!$C$4:$ZZ$1000,B1191,C1191)</f>
        <v>0</v>
      </c>
    </row>
    <row r="1192" spans="1:8" x14ac:dyDescent="0.25">
      <c r="A1192">
        <v>1190</v>
      </c>
      <c r="B1192">
        <f t="shared" si="36"/>
        <v>32</v>
      </c>
      <c r="C1192">
        <f t="shared" si="37"/>
        <v>12</v>
      </c>
      <c r="D1192" cm="1">
        <f t="array" ref="D1192">INDEX('Linha 06'!$A$4:$A$1000,B1192)</f>
        <v>20200073</v>
      </c>
      <c r="E1192" t="str" cm="1">
        <f t="array" ref="E1192">INDEX('Linha 06'!$B$4:$B$1000,B1192)</f>
        <v>Lava Roupas Aquafast Lavagem Rapida Total Clean Cx/9 X 1,5l</v>
      </c>
      <c r="F1192" cm="1">
        <f t="array" ref="F1192">INDEX('Linha 06'!$C$3:$ZZ$3,C1192)</f>
        <v>20070006</v>
      </c>
      <c r="G1192" t="str" cm="1">
        <f t="array" ref="G1192">INDEX('Linha 06'!$C$2:$ZZ$2,C1192)</f>
        <v>Limpa Vidros Ito Pulverizador Cx/12 X 500ml</v>
      </c>
      <c r="H1192" s="5" cm="1">
        <f t="array" ref="H1192">INDEX('Linha 06'!$C$4:$ZZ$1000,B1192,C1192)</f>
        <v>0</v>
      </c>
    </row>
    <row r="1193" spans="1:8" x14ac:dyDescent="0.25">
      <c r="A1193">
        <v>1191</v>
      </c>
      <c r="B1193">
        <f t="shared" si="36"/>
        <v>32</v>
      </c>
      <c r="C1193">
        <f t="shared" si="37"/>
        <v>13</v>
      </c>
      <c r="D1193" cm="1">
        <f t="array" ref="D1193">INDEX('Linha 06'!$A$4:$A$1000,B1193)</f>
        <v>20200073</v>
      </c>
      <c r="E1193" t="str" cm="1">
        <f t="array" ref="E1193">INDEX('Linha 06'!$B$4:$B$1000,B1193)</f>
        <v>Lava Roupas Aquafast Lavagem Rapida Total Clean Cx/9 X 1,5l</v>
      </c>
      <c r="F1193" cm="1">
        <f t="array" ref="F1193">INDEX('Linha 06'!$C$3:$ZZ$3,C1193)</f>
        <v>20070007</v>
      </c>
      <c r="G1193" t="str" cm="1">
        <f t="array" ref="G1193">INDEX('Linha 06'!$C$2:$ZZ$2,C1193)</f>
        <v>Limpa Vidros Ito Recarga Cx/12 X 500ml</v>
      </c>
      <c r="H1193" s="5" cm="1">
        <f t="array" ref="H1193">INDEX('Linha 06'!$C$4:$ZZ$1000,B1193,C1193)</f>
        <v>0</v>
      </c>
    </row>
    <row r="1194" spans="1:8" x14ac:dyDescent="0.25">
      <c r="A1194">
        <v>1192</v>
      </c>
      <c r="B1194">
        <f t="shared" si="36"/>
        <v>32</v>
      </c>
      <c r="C1194">
        <f t="shared" si="37"/>
        <v>14</v>
      </c>
      <c r="D1194" cm="1">
        <f t="array" ref="D1194">INDEX('Linha 06'!$A$4:$A$1000,B1194)</f>
        <v>20200073</v>
      </c>
      <c r="E1194" t="str" cm="1">
        <f t="array" ref="E1194">INDEX('Linha 06'!$B$4:$B$1000,B1194)</f>
        <v>Lava Roupas Aquafast Lavagem Rapida Total Clean Cx/9 X 1,5l</v>
      </c>
      <c r="F1194" cm="1">
        <f t="array" ref="F1194">INDEX('Linha 06'!$C$3:$ZZ$3,C1194)</f>
        <v>20070008</v>
      </c>
      <c r="G1194" t="str" cm="1">
        <f t="array" ref="G1194">INDEX('Linha 06'!$C$2:$ZZ$2,C1194)</f>
        <v>Limpa Vidros Aquafast Squeeze Cx/12 X 500ml</v>
      </c>
      <c r="H1194" s="5" cm="1">
        <f t="array" ref="H1194">INDEX('Linha 06'!$C$4:$ZZ$1000,B1194,C1194)</f>
        <v>0</v>
      </c>
    </row>
    <row r="1195" spans="1:8" x14ac:dyDescent="0.25">
      <c r="A1195">
        <v>1193</v>
      </c>
      <c r="B1195">
        <f t="shared" si="36"/>
        <v>32</v>
      </c>
      <c r="C1195">
        <f t="shared" si="37"/>
        <v>15</v>
      </c>
      <c r="D1195" cm="1">
        <f t="array" ref="D1195">INDEX('Linha 06'!$A$4:$A$1000,B1195)</f>
        <v>20200073</v>
      </c>
      <c r="E1195" t="str" cm="1">
        <f t="array" ref="E1195">INDEX('Linha 06'!$B$4:$B$1000,B1195)</f>
        <v>Lava Roupas Aquafast Lavagem Rapida Total Clean Cx/9 X 1,5l</v>
      </c>
      <c r="F1195" cm="1">
        <f t="array" ref="F1195">INDEX('Linha 06'!$C$3:$ZZ$3,C1195)</f>
        <v>20090001</v>
      </c>
      <c r="G1195" t="str" cm="1">
        <f t="array" ref="G1195">INDEX('Linha 06'!$C$2:$ZZ$2,C1195)</f>
        <v>Desengordurante Aquafast Pulverizador Cx/12 X 500ml</v>
      </c>
      <c r="H1195" s="5" cm="1">
        <f t="array" ref="H1195">INDEX('Linha 06'!$C$4:$ZZ$1000,B1195,C1195)</f>
        <v>0</v>
      </c>
    </row>
    <row r="1196" spans="1:8" x14ac:dyDescent="0.25">
      <c r="A1196">
        <v>1194</v>
      </c>
      <c r="B1196">
        <f t="shared" si="36"/>
        <v>32</v>
      </c>
      <c r="C1196">
        <f t="shared" si="37"/>
        <v>16</v>
      </c>
      <c r="D1196" cm="1">
        <f t="array" ref="D1196">INDEX('Linha 06'!$A$4:$A$1000,B1196)</f>
        <v>20200073</v>
      </c>
      <c r="E1196" t="str" cm="1">
        <f t="array" ref="E1196">INDEX('Linha 06'!$B$4:$B$1000,B1196)</f>
        <v>Lava Roupas Aquafast Lavagem Rapida Total Clean Cx/9 X 1,5l</v>
      </c>
      <c r="F1196" cm="1">
        <f t="array" ref="F1196">INDEX('Linha 06'!$C$3:$ZZ$3,C1196)</f>
        <v>20090002</v>
      </c>
      <c r="G1196" t="str" cm="1">
        <f t="array" ref="G1196">INDEX('Linha 06'!$C$2:$ZZ$2,C1196)</f>
        <v>Desengordurante Aquafast Recarga Cx/12 X 500ml</v>
      </c>
      <c r="H1196" s="5" cm="1">
        <f t="array" ref="H1196">INDEX('Linha 06'!$C$4:$ZZ$1000,B1196,C1196)</f>
        <v>0</v>
      </c>
    </row>
    <row r="1197" spans="1:8" x14ac:dyDescent="0.25">
      <c r="A1197">
        <v>1195</v>
      </c>
      <c r="B1197">
        <f t="shared" si="36"/>
        <v>32</v>
      </c>
      <c r="C1197">
        <f t="shared" si="37"/>
        <v>17</v>
      </c>
      <c r="D1197" cm="1">
        <f t="array" ref="D1197">INDEX('Linha 06'!$A$4:$A$1000,B1197)</f>
        <v>20200073</v>
      </c>
      <c r="E1197" t="str" cm="1">
        <f t="array" ref="E1197">INDEX('Linha 06'!$B$4:$B$1000,B1197)</f>
        <v>Lava Roupas Aquafast Lavagem Rapida Total Clean Cx/9 X 1,5l</v>
      </c>
      <c r="F1197" cm="1">
        <f t="array" ref="F1197">INDEX('Linha 06'!$C$3:$ZZ$3,C1197)</f>
        <v>20090004</v>
      </c>
      <c r="G1197" t="str" cm="1">
        <f t="array" ref="G1197">INDEX('Linha 06'!$C$2:$ZZ$2,C1197)</f>
        <v>Desengordurante Aquafast Squeeze Cx C/12 X 500ml</v>
      </c>
      <c r="H1197" s="5" cm="1">
        <f t="array" ref="H1197">INDEX('Linha 06'!$C$4:$ZZ$1000,B1197,C1197)</f>
        <v>0</v>
      </c>
    </row>
    <row r="1198" spans="1:8" x14ac:dyDescent="0.25">
      <c r="A1198">
        <v>1196</v>
      </c>
      <c r="B1198">
        <f t="shared" si="36"/>
        <v>32</v>
      </c>
      <c r="C1198">
        <f t="shared" si="37"/>
        <v>18</v>
      </c>
      <c r="D1198" cm="1">
        <f t="array" ref="D1198">INDEX('Linha 06'!$A$4:$A$1000,B1198)</f>
        <v>20200073</v>
      </c>
      <c r="E1198" t="str" cm="1">
        <f t="array" ref="E1198">INDEX('Linha 06'!$B$4:$B$1000,B1198)</f>
        <v>Lava Roupas Aquafast Lavagem Rapida Total Clean Cx/9 X 1,5l</v>
      </c>
      <c r="F1198" cm="1">
        <f t="array" ref="F1198">INDEX('Linha 06'!$C$3:$ZZ$3,C1198)</f>
        <v>20090005</v>
      </c>
      <c r="G1198" t="str" cm="1">
        <f t="array" ref="G1198">INDEX('Linha 06'!$C$2:$ZZ$2,C1198)</f>
        <v>Desengordurante Aquafast Squeeze Cx C/12 X 1l</v>
      </c>
      <c r="H1198" s="5" cm="1">
        <f t="array" ref="H1198">INDEX('Linha 06'!$C$4:$ZZ$1000,B1198,C1198)</f>
        <v>0</v>
      </c>
    </row>
    <row r="1199" spans="1:8" x14ac:dyDescent="0.25">
      <c r="A1199">
        <v>1197</v>
      </c>
      <c r="B1199">
        <f t="shared" si="36"/>
        <v>32</v>
      </c>
      <c r="C1199">
        <f t="shared" si="37"/>
        <v>19</v>
      </c>
      <c r="D1199" cm="1">
        <f t="array" ref="D1199">INDEX('Linha 06'!$A$4:$A$1000,B1199)</f>
        <v>20200073</v>
      </c>
      <c r="E1199" t="str" cm="1">
        <f t="array" ref="E1199">INDEX('Linha 06'!$B$4:$B$1000,B1199)</f>
        <v>Lava Roupas Aquafast Lavagem Rapida Total Clean Cx/9 X 1,5l</v>
      </c>
      <c r="F1199" cm="1">
        <f t="array" ref="F1199">INDEX('Linha 06'!$C$3:$ZZ$3,C1199)</f>
        <v>20090010</v>
      </c>
      <c r="G1199" t="str" cm="1">
        <f t="array" ref="G1199">INDEX('Linha 06'!$C$2:$ZZ$2,C1199)</f>
        <v>Intermed Pack Desengord Squeeze Cx C/18 X 500ml</v>
      </c>
      <c r="H1199" s="5" cm="1">
        <f t="array" ref="H1199">INDEX('Linha 06'!$C$4:$ZZ$1000,B1199,C1199)</f>
        <v>0</v>
      </c>
    </row>
    <row r="1200" spans="1:8" x14ac:dyDescent="0.25">
      <c r="A1200">
        <v>1198</v>
      </c>
      <c r="B1200">
        <f t="shared" si="36"/>
        <v>32</v>
      </c>
      <c r="C1200">
        <f t="shared" si="37"/>
        <v>20</v>
      </c>
      <c r="D1200" cm="1">
        <f t="array" ref="D1200">INDEX('Linha 06'!$A$4:$A$1000,B1200)</f>
        <v>20200073</v>
      </c>
      <c r="E1200" t="str" cm="1">
        <f t="array" ref="E1200">INDEX('Linha 06'!$B$4:$B$1000,B1200)</f>
        <v>Lava Roupas Aquafast Lavagem Rapida Total Clean Cx/9 X 1,5l</v>
      </c>
      <c r="F1200" cm="1">
        <f t="array" ref="F1200">INDEX('Linha 06'!$C$3:$ZZ$3,C1200)</f>
        <v>20110002</v>
      </c>
      <c r="G1200" t="str" cm="1">
        <f t="array" ref="G1200">INDEX('Linha 06'!$C$2:$ZZ$2,C1200)</f>
        <v>Multi Uso Aquafast Squeeze Original Cx/12 X 500ml</v>
      </c>
      <c r="H1200" s="5" cm="1">
        <f t="array" ref="H1200">INDEX('Linha 06'!$C$4:$ZZ$1000,B1200,C1200)</f>
        <v>0</v>
      </c>
    </row>
    <row r="1201" spans="1:8" x14ac:dyDescent="0.25">
      <c r="A1201">
        <v>1199</v>
      </c>
      <c r="B1201">
        <f t="shared" si="36"/>
        <v>32</v>
      </c>
      <c r="C1201">
        <f t="shared" si="37"/>
        <v>21</v>
      </c>
      <c r="D1201" cm="1">
        <f t="array" ref="D1201">INDEX('Linha 06'!$A$4:$A$1000,B1201)</f>
        <v>20200073</v>
      </c>
      <c r="E1201" t="str" cm="1">
        <f t="array" ref="E1201">INDEX('Linha 06'!$B$4:$B$1000,B1201)</f>
        <v>Lava Roupas Aquafast Lavagem Rapida Total Clean Cx/9 X 1,5l</v>
      </c>
      <c r="F1201" cm="1">
        <f t="array" ref="F1201">INDEX('Linha 06'!$C$3:$ZZ$3,C1201)</f>
        <v>20110004</v>
      </c>
      <c r="G1201" t="str" cm="1">
        <f t="array" ref="G1201">INDEX('Linha 06'!$C$2:$ZZ$2,C1201)</f>
        <v>Multi Uso Aquafast Squeeze Lavanda Cx/12 X 500ml</v>
      </c>
      <c r="H1201" s="5" cm="1">
        <f t="array" ref="H1201">INDEX('Linha 06'!$C$4:$ZZ$1000,B1201,C1201)</f>
        <v>0</v>
      </c>
    </row>
    <row r="1202" spans="1:8" x14ac:dyDescent="0.25">
      <c r="A1202">
        <v>1200</v>
      </c>
      <c r="B1202">
        <f t="shared" si="36"/>
        <v>32</v>
      </c>
      <c r="C1202">
        <f t="shared" si="37"/>
        <v>22</v>
      </c>
      <c r="D1202" cm="1">
        <f t="array" ref="D1202">INDEX('Linha 06'!$A$4:$A$1000,B1202)</f>
        <v>20200073</v>
      </c>
      <c r="E1202" t="str" cm="1">
        <f t="array" ref="E1202">INDEX('Linha 06'!$B$4:$B$1000,B1202)</f>
        <v>Lava Roupas Aquafast Lavagem Rapida Total Clean Cx/9 X 1,5l</v>
      </c>
      <c r="F1202" cm="1">
        <f t="array" ref="F1202">INDEX('Linha 06'!$C$3:$ZZ$3,C1202)</f>
        <v>20110007</v>
      </c>
      <c r="G1202" t="str" cm="1">
        <f t="array" ref="G1202">INDEX('Linha 06'!$C$2:$ZZ$2,C1202)</f>
        <v>Multi Uso Aquafast Squeeze Seducao Cx/12 X 500ml</v>
      </c>
      <c r="H1202" s="5" cm="1">
        <f t="array" ref="H1202">INDEX('Linha 06'!$C$4:$ZZ$1000,B1202,C1202)</f>
        <v>0</v>
      </c>
    </row>
    <row r="1203" spans="1:8" x14ac:dyDescent="0.25">
      <c r="A1203">
        <v>1201</v>
      </c>
      <c r="B1203">
        <f t="shared" si="36"/>
        <v>32</v>
      </c>
      <c r="C1203">
        <f t="shared" si="37"/>
        <v>23</v>
      </c>
      <c r="D1203" cm="1">
        <f t="array" ref="D1203">INDEX('Linha 06'!$A$4:$A$1000,B1203)</f>
        <v>20200073</v>
      </c>
      <c r="E1203" t="str" cm="1">
        <f t="array" ref="E1203">INDEX('Linha 06'!$B$4:$B$1000,B1203)</f>
        <v>Lava Roupas Aquafast Lavagem Rapida Total Clean Cx/9 X 1,5l</v>
      </c>
      <c r="F1203" cm="1">
        <f t="array" ref="F1203">INDEX('Linha 06'!$C$3:$ZZ$3,C1203)</f>
        <v>20110008</v>
      </c>
      <c r="G1203" t="str" cm="1">
        <f t="array" ref="G1203">INDEX('Linha 06'!$C$2:$ZZ$2,C1203)</f>
        <v>Multi Uso Aquafast Squeeze Original Cx/12 X 1l</v>
      </c>
      <c r="H1203" s="5" cm="1">
        <f t="array" ref="H1203">INDEX('Linha 06'!$C$4:$ZZ$1000,B1203,C1203)</f>
        <v>0</v>
      </c>
    </row>
    <row r="1204" spans="1:8" x14ac:dyDescent="0.25">
      <c r="A1204">
        <v>1202</v>
      </c>
      <c r="B1204">
        <f t="shared" si="36"/>
        <v>32</v>
      </c>
      <c r="C1204">
        <f t="shared" si="37"/>
        <v>24</v>
      </c>
      <c r="D1204" cm="1">
        <f t="array" ref="D1204">INDEX('Linha 06'!$A$4:$A$1000,B1204)</f>
        <v>20200073</v>
      </c>
      <c r="E1204" t="str" cm="1">
        <f t="array" ref="E1204">INDEX('Linha 06'!$B$4:$B$1000,B1204)</f>
        <v>Lava Roupas Aquafast Lavagem Rapida Total Clean Cx/9 X 1,5l</v>
      </c>
      <c r="F1204" cm="1">
        <f t="array" ref="F1204">INDEX('Linha 06'!$C$3:$ZZ$3,C1204)</f>
        <v>20110010</v>
      </c>
      <c r="G1204" t="str" cm="1">
        <f t="array" ref="G1204">INDEX('Linha 06'!$C$2:$ZZ$2,C1204)</f>
        <v>Multi Uso Aquafast Squeeze Seducao Cx/12 1l</v>
      </c>
      <c r="H1204" s="5" cm="1">
        <f t="array" ref="H1204">INDEX('Linha 06'!$C$4:$ZZ$1000,B1204,C1204)</f>
        <v>0</v>
      </c>
    </row>
    <row r="1205" spans="1:8" x14ac:dyDescent="0.25">
      <c r="A1205">
        <v>1203</v>
      </c>
      <c r="B1205">
        <f t="shared" si="36"/>
        <v>32</v>
      </c>
      <c r="C1205">
        <f t="shared" si="37"/>
        <v>25</v>
      </c>
      <c r="D1205" cm="1">
        <f t="array" ref="D1205">INDEX('Linha 06'!$A$4:$A$1000,B1205)</f>
        <v>20200073</v>
      </c>
      <c r="E1205" t="str" cm="1">
        <f t="array" ref="E1205">INDEX('Linha 06'!$B$4:$B$1000,B1205)</f>
        <v>Lava Roupas Aquafast Lavagem Rapida Total Clean Cx/9 X 1,5l</v>
      </c>
      <c r="F1205" cm="1">
        <f t="array" ref="F1205">INDEX('Linha 06'!$C$3:$ZZ$3,C1205)</f>
        <v>20110013</v>
      </c>
      <c r="G1205" t="str" cm="1">
        <f t="array" ref="G1205">INDEX('Linha 06'!$C$2:$ZZ$2,C1205)</f>
        <v>Multi Uso Aquafast Squeeze Lavanda Cx/12 X 1l</v>
      </c>
      <c r="H1205" s="5" cm="1">
        <f t="array" ref="H1205">INDEX('Linha 06'!$C$4:$ZZ$1000,B1205,C1205)</f>
        <v>0</v>
      </c>
    </row>
    <row r="1206" spans="1:8" x14ac:dyDescent="0.25">
      <c r="A1206">
        <v>1204</v>
      </c>
      <c r="B1206">
        <f t="shared" si="36"/>
        <v>32</v>
      </c>
      <c r="C1206">
        <f t="shared" si="37"/>
        <v>26</v>
      </c>
      <c r="D1206" cm="1">
        <f t="array" ref="D1206">INDEX('Linha 06'!$A$4:$A$1000,B1206)</f>
        <v>20200073</v>
      </c>
      <c r="E1206" t="str" cm="1">
        <f t="array" ref="E1206">INDEX('Linha 06'!$B$4:$B$1000,B1206)</f>
        <v>Lava Roupas Aquafast Lavagem Rapida Total Clean Cx/9 X 1,5l</v>
      </c>
      <c r="F1206" cm="1">
        <f t="array" ref="F1206">INDEX('Linha 06'!$C$3:$ZZ$3,C1206)</f>
        <v>20110022</v>
      </c>
      <c r="G1206" t="str" cm="1">
        <f t="array" ref="G1206">INDEX('Linha 06'!$C$2:$ZZ$2,C1206)</f>
        <v>Intermed Pack Multi Uso Lavand C/Alcool Cx/18 X 500ml</v>
      </c>
      <c r="H1206" s="5" cm="1">
        <f t="array" ref="H1206">INDEX('Linha 06'!$C$4:$ZZ$1000,B1206,C1206)</f>
        <v>0</v>
      </c>
    </row>
    <row r="1207" spans="1:8" x14ac:dyDescent="0.25">
      <c r="A1207">
        <v>1205</v>
      </c>
      <c r="B1207">
        <f t="shared" si="36"/>
        <v>32</v>
      </c>
      <c r="C1207">
        <f t="shared" si="37"/>
        <v>27</v>
      </c>
      <c r="D1207" cm="1">
        <f t="array" ref="D1207">INDEX('Linha 06'!$A$4:$A$1000,B1207)</f>
        <v>20200073</v>
      </c>
      <c r="E1207" t="str" cm="1">
        <f t="array" ref="E1207">INDEX('Linha 06'!$B$4:$B$1000,B1207)</f>
        <v>Lava Roupas Aquafast Lavagem Rapida Total Clean Cx/9 X 1,5l</v>
      </c>
      <c r="F1207" cm="1">
        <f t="array" ref="F1207">INDEX('Linha 06'!$C$3:$ZZ$3,C1207)</f>
        <v>20110023</v>
      </c>
      <c r="G1207" t="str" cm="1">
        <f t="array" ref="G1207">INDEX('Linha 06'!$C$2:$ZZ$2,C1207)</f>
        <v>Multi Uso Aquafast Squeeze Cha Branco  Cx/12 X 500ml</v>
      </c>
      <c r="H1207" s="5" cm="1">
        <f t="array" ref="H1207">INDEX('Linha 06'!$C$4:$ZZ$1000,B1207,C1207)</f>
        <v>0</v>
      </c>
    </row>
    <row r="1208" spans="1:8" x14ac:dyDescent="0.25">
      <c r="A1208">
        <v>1206</v>
      </c>
      <c r="B1208">
        <f t="shared" si="36"/>
        <v>32</v>
      </c>
      <c r="C1208">
        <f t="shared" si="37"/>
        <v>28</v>
      </c>
      <c r="D1208" cm="1">
        <f t="array" ref="D1208">INDEX('Linha 06'!$A$4:$A$1000,B1208)</f>
        <v>20200073</v>
      </c>
      <c r="E1208" t="str" cm="1">
        <f t="array" ref="E1208">INDEX('Linha 06'!$B$4:$B$1000,B1208)</f>
        <v>Lava Roupas Aquafast Lavagem Rapida Total Clean Cx/9 X 1,5l</v>
      </c>
      <c r="F1208" cm="1">
        <f t="array" ref="F1208">INDEX('Linha 06'!$C$3:$ZZ$3,C1208)</f>
        <v>20110024</v>
      </c>
      <c r="G1208" t="str" cm="1">
        <f t="array" ref="G1208">INDEX('Linha 06'!$C$2:$ZZ$2,C1208)</f>
        <v>Multi Uso Aquafast Squeeze Cha Branco Cx12 X 1l</v>
      </c>
      <c r="H1208" s="5" cm="1">
        <f t="array" ref="H1208">INDEX('Linha 06'!$C$4:$ZZ$1000,B1208,C1208)</f>
        <v>0</v>
      </c>
    </row>
    <row r="1209" spans="1:8" x14ac:dyDescent="0.25">
      <c r="A1209">
        <v>1207</v>
      </c>
      <c r="B1209">
        <f t="shared" si="36"/>
        <v>32</v>
      </c>
      <c r="C1209">
        <f t="shared" si="37"/>
        <v>29</v>
      </c>
      <c r="D1209" cm="1">
        <f t="array" ref="D1209">INDEX('Linha 06'!$A$4:$A$1000,B1209)</f>
        <v>20200073</v>
      </c>
      <c r="E1209" t="str" cm="1">
        <f t="array" ref="E1209">INDEX('Linha 06'!$B$4:$B$1000,B1209)</f>
        <v>Lava Roupas Aquafast Lavagem Rapida Total Clean Cx/9 X 1,5l</v>
      </c>
      <c r="F1209" cm="1">
        <f t="array" ref="F1209">INDEX('Linha 06'!$C$3:$ZZ$3,C1209)</f>
        <v>20110025</v>
      </c>
      <c r="G1209" t="str" cm="1">
        <f t="array" ref="G1209">INDEX('Linha 06'!$C$2:$ZZ$2,C1209)</f>
        <v>Multi Uso Aquafast Pulverizador Original Cx/12 X 1l</v>
      </c>
      <c r="H1209" s="5" cm="1">
        <f t="array" ref="H1209">INDEX('Linha 06'!$C$4:$ZZ$1000,B1209,C1209)</f>
        <v>0</v>
      </c>
    </row>
    <row r="1210" spans="1:8" x14ac:dyDescent="0.25">
      <c r="A1210">
        <v>1208</v>
      </c>
      <c r="B1210">
        <f t="shared" si="36"/>
        <v>32</v>
      </c>
      <c r="C1210">
        <f t="shared" si="37"/>
        <v>30</v>
      </c>
      <c r="D1210" cm="1">
        <f t="array" ref="D1210">INDEX('Linha 06'!$A$4:$A$1000,B1210)</f>
        <v>20200073</v>
      </c>
      <c r="E1210" t="str" cm="1">
        <f t="array" ref="E1210">INDEX('Linha 06'!$B$4:$B$1000,B1210)</f>
        <v>Lava Roupas Aquafast Lavagem Rapida Total Clean Cx/9 X 1,5l</v>
      </c>
      <c r="F1210" cm="1">
        <f t="array" ref="F1210">INDEX('Linha 06'!$C$3:$ZZ$3,C1210)</f>
        <v>20110026</v>
      </c>
      <c r="G1210" t="str" cm="1">
        <f t="array" ref="G1210">INDEX('Linha 06'!$C$2:$ZZ$2,C1210)</f>
        <v>Multi Uso Aquafast Pulverizador Poder O2 Cx/12 X 1l</v>
      </c>
      <c r="H1210" s="5" cm="1">
        <f t="array" ref="H1210">INDEX('Linha 06'!$C$4:$ZZ$1000,B1210,C1210)</f>
        <v>0</v>
      </c>
    </row>
    <row r="1211" spans="1:8" x14ac:dyDescent="0.25">
      <c r="A1211">
        <v>1209</v>
      </c>
      <c r="B1211">
        <f t="shared" si="36"/>
        <v>32</v>
      </c>
      <c r="C1211">
        <f t="shared" si="37"/>
        <v>31</v>
      </c>
      <c r="D1211" cm="1">
        <f t="array" ref="D1211">INDEX('Linha 06'!$A$4:$A$1000,B1211)</f>
        <v>20200073</v>
      </c>
      <c r="E1211" t="str" cm="1">
        <f t="array" ref="E1211">INDEX('Linha 06'!$B$4:$B$1000,B1211)</f>
        <v>Lava Roupas Aquafast Lavagem Rapida Total Clean Cx/9 X 1,5l</v>
      </c>
      <c r="F1211" cm="1">
        <f t="array" ref="F1211">INDEX('Linha 06'!$C$3:$ZZ$3,C1211)</f>
        <v>20110027</v>
      </c>
      <c r="G1211" t="str" cm="1">
        <f t="array" ref="G1211">INDEX('Linha 06'!$C$2:$ZZ$2,C1211)</f>
        <v>Multi Uso Aquafast Pulverizador Poder O2 Cx/12 X 500ml</v>
      </c>
      <c r="H1211" s="5" cm="1">
        <f t="array" ref="H1211">INDEX('Linha 06'!$C$4:$ZZ$1000,B1211,C1211)</f>
        <v>0</v>
      </c>
    </row>
    <row r="1212" spans="1:8" x14ac:dyDescent="0.25">
      <c r="A1212">
        <v>1210</v>
      </c>
      <c r="B1212">
        <f t="shared" si="36"/>
        <v>32</v>
      </c>
      <c r="C1212">
        <f t="shared" si="37"/>
        <v>32</v>
      </c>
      <c r="D1212" cm="1">
        <f t="array" ref="D1212">INDEX('Linha 06'!$A$4:$A$1000,B1212)</f>
        <v>20200073</v>
      </c>
      <c r="E1212" t="str" cm="1">
        <f t="array" ref="E1212">INDEX('Linha 06'!$B$4:$B$1000,B1212)</f>
        <v>Lava Roupas Aquafast Lavagem Rapida Total Clean Cx/9 X 1,5l</v>
      </c>
      <c r="F1212" cm="1">
        <f t="array" ref="F1212">INDEX('Linha 06'!$C$3:$ZZ$3,C1212)</f>
        <v>20200073</v>
      </c>
      <c r="G1212" t="str" cm="1">
        <f t="array" ref="G1212">INDEX('Linha 06'!$C$2:$ZZ$2,C1212)</f>
        <v>Lava Roupas Aquafast Lavagem Rapida Total Clean Cx/9 X 1,5l</v>
      </c>
      <c r="H1212" s="5" cm="1">
        <f t="array" ref="H1212">INDEX('Linha 06'!$C$4:$ZZ$1000,B1212,C1212)</f>
        <v>0</v>
      </c>
    </row>
    <row r="1213" spans="1:8" x14ac:dyDescent="0.25">
      <c r="A1213">
        <v>1211</v>
      </c>
      <c r="B1213">
        <f t="shared" si="36"/>
        <v>32</v>
      </c>
      <c r="C1213">
        <f t="shared" si="37"/>
        <v>33</v>
      </c>
      <c r="D1213" cm="1">
        <f t="array" ref="D1213">INDEX('Linha 06'!$A$4:$A$1000,B1213)</f>
        <v>20200073</v>
      </c>
      <c r="E1213" t="str" cm="1">
        <f t="array" ref="E1213">INDEX('Linha 06'!$B$4:$B$1000,B1213)</f>
        <v>Lava Roupas Aquafast Lavagem Rapida Total Clean Cx/9 X 1,5l</v>
      </c>
      <c r="F1213" cm="1">
        <f t="array" ref="F1213">INDEX('Linha 06'!$C$3:$ZZ$3,C1213)</f>
        <v>20200075</v>
      </c>
      <c r="G1213" t="str" cm="1">
        <f t="array" ref="G1213">INDEX('Linha 06'!$C$2:$ZZ$2,C1213)</f>
        <v>Lava Roupas Aquafast Lavagem Rapida Fresh Clean Cx/9 X 1,5l</v>
      </c>
      <c r="H1213" s="5" cm="1">
        <f t="array" ref="H1213">INDEX('Linha 06'!$C$4:$ZZ$1000,B1213,C1213)</f>
        <v>0</v>
      </c>
    </row>
    <row r="1214" spans="1:8" x14ac:dyDescent="0.25">
      <c r="A1214">
        <v>1212</v>
      </c>
      <c r="B1214">
        <f t="shared" si="36"/>
        <v>32</v>
      </c>
      <c r="C1214">
        <f t="shared" si="37"/>
        <v>34</v>
      </c>
      <c r="D1214" cm="1">
        <f t="array" ref="D1214">INDEX('Linha 06'!$A$4:$A$1000,B1214)</f>
        <v>20200073</v>
      </c>
      <c r="E1214" t="str" cm="1">
        <f t="array" ref="E1214">INDEX('Linha 06'!$B$4:$B$1000,B1214)</f>
        <v>Lava Roupas Aquafast Lavagem Rapida Total Clean Cx/9 X 1,5l</v>
      </c>
      <c r="F1214" cm="1">
        <f t="array" ref="F1214">INDEX('Linha 06'!$C$3:$ZZ$3,C1214)</f>
        <v>20220018</v>
      </c>
      <c r="G1214" t="str" cm="1">
        <f t="array" ref="G1214">INDEX('Linha 06'!$C$2:$ZZ$2,C1214)</f>
        <v>Intermed. Aromat. Amoras E Baunilha Cx C/ 12un 250ml</v>
      </c>
      <c r="H1214" s="5" cm="1">
        <f t="array" ref="H1214">INDEX('Linha 06'!$C$4:$ZZ$1000,B1214,C1214)</f>
        <v>0</v>
      </c>
    </row>
    <row r="1215" spans="1:8" x14ac:dyDescent="0.25">
      <c r="A1215">
        <v>1213</v>
      </c>
      <c r="B1215">
        <f t="shared" si="36"/>
        <v>32</v>
      </c>
      <c r="C1215">
        <f t="shared" si="37"/>
        <v>35</v>
      </c>
      <c r="D1215" cm="1">
        <f t="array" ref="D1215">INDEX('Linha 06'!$A$4:$A$1000,B1215)</f>
        <v>20200073</v>
      </c>
      <c r="E1215" t="str" cm="1">
        <f t="array" ref="E1215">INDEX('Linha 06'!$B$4:$B$1000,B1215)</f>
        <v>Lava Roupas Aquafast Lavagem Rapida Total Clean Cx/9 X 1,5l</v>
      </c>
      <c r="F1215" cm="1">
        <f t="array" ref="F1215">INDEX('Linha 06'!$C$3:$ZZ$3,C1215)</f>
        <v>20220019</v>
      </c>
      <c r="G1215" t="str" cm="1">
        <f t="array" ref="G1215">INDEX('Linha 06'!$C$2:$ZZ$2,C1215)</f>
        <v>Intermed. Aromat. Figo E Cedro Cx C/ 12un 250ml</v>
      </c>
      <c r="H1215" s="5" cm="1">
        <f t="array" ref="H1215">INDEX('Linha 06'!$C$4:$ZZ$1000,B1215,C1215)</f>
        <v>0</v>
      </c>
    </row>
    <row r="1216" spans="1:8" x14ac:dyDescent="0.25">
      <c r="A1216">
        <v>1214</v>
      </c>
      <c r="B1216">
        <f t="shared" si="36"/>
        <v>32</v>
      </c>
      <c r="C1216">
        <f t="shared" si="37"/>
        <v>36</v>
      </c>
      <c r="D1216" cm="1">
        <f t="array" ref="D1216">INDEX('Linha 06'!$A$4:$A$1000,B1216)</f>
        <v>20200073</v>
      </c>
      <c r="E1216" t="str" cm="1">
        <f t="array" ref="E1216">INDEX('Linha 06'!$B$4:$B$1000,B1216)</f>
        <v>Lava Roupas Aquafast Lavagem Rapida Total Clean Cx/9 X 1,5l</v>
      </c>
      <c r="F1216" cm="1">
        <f t="array" ref="F1216">INDEX('Linha 06'!$C$3:$ZZ$3,C1216)</f>
        <v>20220020</v>
      </c>
      <c r="G1216" t="str" cm="1">
        <f t="array" ref="G1216">INDEX('Linha 06'!$C$2:$ZZ$2,C1216)</f>
        <v>Intermed. Aromat. Rosas E Magnolias Cx C/ 12un 250ml</v>
      </c>
      <c r="H1216" s="5" cm="1">
        <f t="array" ref="H1216">INDEX('Linha 06'!$C$4:$ZZ$1000,B1216,C1216)</f>
        <v>0</v>
      </c>
    </row>
    <row r="1217" spans="1:8" x14ac:dyDescent="0.25">
      <c r="A1217">
        <v>1215</v>
      </c>
      <c r="B1217">
        <f t="shared" si="36"/>
        <v>32</v>
      </c>
      <c r="C1217">
        <f t="shared" si="37"/>
        <v>37</v>
      </c>
      <c r="D1217" cm="1">
        <f t="array" ref="D1217">INDEX('Linha 06'!$A$4:$A$1000,B1217)</f>
        <v>20200073</v>
      </c>
      <c r="E1217" t="str" cm="1">
        <f t="array" ref="E1217">INDEX('Linha 06'!$B$4:$B$1000,B1217)</f>
        <v>Lava Roupas Aquafast Lavagem Rapida Total Clean Cx/9 X 1,5l</v>
      </c>
      <c r="F1217" cm="1">
        <f t="array" ref="F1217">INDEX('Linha 06'!$C$3:$ZZ$3,C1217)</f>
        <v>20220021</v>
      </c>
      <c r="G1217" t="str" cm="1">
        <f t="array" ref="G1217">INDEX('Linha 06'!$C$2:$ZZ$2,C1217)</f>
        <v>Intermed. Aromat. Flores Exoticas Cx C/ 12un 250ml</v>
      </c>
      <c r="H1217" s="5" cm="1">
        <f t="array" ref="H1217">INDEX('Linha 06'!$C$4:$ZZ$1000,B1217,C1217)</f>
        <v>0</v>
      </c>
    </row>
    <row r="1218" spans="1:8" x14ac:dyDescent="0.25">
      <c r="A1218">
        <v>1216</v>
      </c>
      <c r="B1218">
        <f t="shared" si="36"/>
        <v>32</v>
      </c>
      <c r="C1218">
        <f t="shared" si="37"/>
        <v>38</v>
      </c>
      <c r="D1218" cm="1">
        <f t="array" ref="D1218">INDEX('Linha 06'!$A$4:$A$1000,B1218)</f>
        <v>20200073</v>
      </c>
      <c r="E1218" t="str" cm="1">
        <f t="array" ref="E1218">INDEX('Linha 06'!$B$4:$B$1000,B1218)</f>
        <v>Lava Roupas Aquafast Lavagem Rapida Total Clean Cx/9 X 1,5l</v>
      </c>
      <c r="F1218" cm="1">
        <f t="array" ref="F1218">INDEX('Linha 06'!$C$3:$ZZ$3,C1218)</f>
        <v>20220022</v>
      </c>
      <c r="G1218" t="str" cm="1">
        <f t="array" ref="G1218">INDEX('Linha 06'!$C$2:$ZZ$2,C1218)</f>
        <v>Intermed. Aromat. Cha Verde E Grapef Cx C/ 12un 250ml</v>
      </c>
      <c r="H1218" s="5" cm="1">
        <f t="array" ref="H1218">INDEX('Linha 06'!$C$4:$ZZ$1000,B1218,C1218)</f>
        <v>0</v>
      </c>
    </row>
    <row r="1219" spans="1:8" x14ac:dyDescent="0.25">
      <c r="A1219">
        <v>1217</v>
      </c>
      <c r="B1219">
        <f t="shared" si="36"/>
        <v>33</v>
      </c>
      <c r="C1219">
        <f t="shared" si="37"/>
        <v>1</v>
      </c>
      <c r="D1219" cm="1">
        <f t="array" ref="D1219">INDEX('Linha 06'!$A$4:$A$1000,B1219)</f>
        <v>20200075</v>
      </c>
      <c r="E1219" t="str" cm="1">
        <f t="array" ref="E1219">INDEX('Linha 06'!$B$4:$B$1000,B1219)</f>
        <v>Lava Roupas Aquafast Lavagem Rapida Fresh Clean Cx/9 X 1,5l</v>
      </c>
      <c r="F1219" cm="1">
        <f t="array" ref="F1219">INDEX('Linha 06'!$C$3:$ZZ$3,C1219)</f>
        <v>20060001</v>
      </c>
      <c r="G1219" t="str" cm="1">
        <f t="array" ref="G1219">INDEX('Linha 06'!$C$2:$ZZ$2,C1219)</f>
        <v>Limp Perf Aquafast Magia Seducao Cx/12 X 500ml</v>
      </c>
      <c r="H1219" s="5" cm="1">
        <f t="array" ref="H1219">INDEX('Linha 06'!$C$4:$ZZ$1000,B1219,C1219)</f>
        <v>0</v>
      </c>
    </row>
    <row r="1220" spans="1:8" x14ac:dyDescent="0.25">
      <c r="A1220">
        <v>1218</v>
      </c>
      <c r="B1220">
        <f t="shared" ref="B1220:B1283" si="38">INT((A1220-1)/$B$1)+1</f>
        <v>33</v>
      </c>
      <c r="C1220">
        <f t="shared" ref="C1220:C1283" si="39">MOD(A1220-1,$B$1)+1</f>
        <v>2</v>
      </c>
      <c r="D1220" cm="1">
        <f t="array" ref="D1220">INDEX('Linha 06'!$A$4:$A$1000,B1220)</f>
        <v>20200075</v>
      </c>
      <c r="E1220" t="str" cm="1">
        <f t="array" ref="E1220">INDEX('Linha 06'!$B$4:$B$1000,B1220)</f>
        <v>Lava Roupas Aquafast Lavagem Rapida Fresh Clean Cx/9 X 1,5l</v>
      </c>
      <c r="F1220" cm="1">
        <f t="array" ref="F1220">INDEX('Linha 06'!$C$3:$ZZ$3,C1220)</f>
        <v>20060004</v>
      </c>
      <c r="G1220" t="str" cm="1">
        <f t="array" ref="G1220">INDEX('Linha 06'!$C$2:$ZZ$2,C1220)</f>
        <v>Limp Perf Aquafast Magia Seducao Cx/12 X 1l</v>
      </c>
      <c r="H1220" s="5" cm="1">
        <f t="array" ref="H1220">INDEX('Linha 06'!$C$4:$ZZ$1000,B1220,C1220)</f>
        <v>0</v>
      </c>
    </row>
    <row r="1221" spans="1:8" x14ac:dyDescent="0.25">
      <c r="A1221">
        <v>1219</v>
      </c>
      <c r="B1221">
        <f t="shared" si="38"/>
        <v>33</v>
      </c>
      <c r="C1221">
        <f t="shared" si="39"/>
        <v>3</v>
      </c>
      <c r="D1221" cm="1">
        <f t="array" ref="D1221">INDEX('Linha 06'!$A$4:$A$1000,B1221)</f>
        <v>20200075</v>
      </c>
      <c r="E1221" t="str" cm="1">
        <f t="array" ref="E1221">INDEX('Linha 06'!$B$4:$B$1000,B1221)</f>
        <v>Lava Roupas Aquafast Lavagem Rapida Fresh Clean Cx/9 X 1,5l</v>
      </c>
      <c r="F1221" cm="1">
        <f t="array" ref="F1221">INDEX('Linha 06'!$C$3:$ZZ$3,C1221)</f>
        <v>20060010</v>
      </c>
      <c r="G1221" t="str" cm="1">
        <f t="array" ref="G1221">INDEX('Linha 06'!$C$2:$ZZ$2,C1221)</f>
        <v>Limp Perf Aquafast Magia Da Infancia Cx/12 X 500ml</v>
      </c>
      <c r="H1221" s="5" cm="1">
        <f t="array" ref="H1221">INDEX('Linha 06'!$C$4:$ZZ$1000,B1221,C1221)</f>
        <v>0</v>
      </c>
    </row>
    <row r="1222" spans="1:8" x14ac:dyDescent="0.25">
      <c r="A1222">
        <v>1220</v>
      </c>
      <c r="B1222">
        <f t="shared" si="38"/>
        <v>33</v>
      </c>
      <c r="C1222">
        <f t="shared" si="39"/>
        <v>4</v>
      </c>
      <c r="D1222" cm="1">
        <f t="array" ref="D1222">INDEX('Linha 06'!$A$4:$A$1000,B1222)</f>
        <v>20200075</v>
      </c>
      <c r="E1222" t="str" cm="1">
        <f t="array" ref="E1222">INDEX('Linha 06'!$B$4:$B$1000,B1222)</f>
        <v>Lava Roupas Aquafast Lavagem Rapida Fresh Clean Cx/9 X 1,5l</v>
      </c>
      <c r="F1222" cm="1">
        <f t="array" ref="F1222">INDEX('Linha 06'!$C$3:$ZZ$3,C1222)</f>
        <v>20060011</v>
      </c>
      <c r="G1222" t="str" cm="1">
        <f t="array" ref="G1222">INDEX('Linha 06'!$C$2:$ZZ$2,C1222)</f>
        <v>Limp Perf Aquafast Frescor Da Manha Cx/12 X 500ml</v>
      </c>
      <c r="H1222" s="5" cm="1">
        <f t="array" ref="H1222">INDEX('Linha 06'!$C$4:$ZZ$1000,B1222,C1222)</f>
        <v>0</v>
      </c>
    </row>
    <row r="1223" spans="1:8" x14ac:dyDescent="0.25">
      <c r="A1223">
        <v>1221</v>
      </c>
      <c r="B1223">
        <f t="shared" si="38"/>
        <v>33</v>
      </c>
      <c r="C1223">
        <f t="shared" si="39"/>
        <v>5</v>
      </c>
      <c r="D1223" cm="1">
        <f t="array" ref="D1223">INDEX('Linha 06'!$A$4:$A$1000,B1223)</f>
        <v>20200075</v>
      </c>
      <c r="E1223" t="str" cm="1">
        <f t="array" ref="E1223">INDEX('Linha 06'!$B$4:$B$1000,B1223)</f>
        <v>Lava Roupas Aquafast Lavagem Rapida Fresh Clean Cx/9 X 1,5l</v>
      </c>
      <c r="F1223" cm="1">
        <f t="array" ref="F1223">INDEX('Linha 06'!$C$3:$ZZ$3,C1223)</f>
        <v>20060012</v>
      </c>
      <c r="G1223" t="str" cm="1">
        <f t="array" ref="G1223">INDEX('Linha 06'!$C$2:$ZZ$2,C1223)</f>
        <v>Limp Perf Aquafast Magia Da Infancia Cx/12 X 1l</v>
      </c>
      <c r="H1223" s="5" cm="1">
        <f t="array" ref="H1223">INDEX('Linha 06'!$C$4:$ZZ$1000,B1223,C1223)</f>
        <v>0</v>
      </c>
    </row>
    <row r="1224" spans="1:8" x14ac:dyDescent="0.25">
      <c r="A1224">
        <v>1222</v>
      </c>
      <c r="B1224">
        <f t="shared" si="38"/>
        <v>33</v>
      </c>
      <c r="C1224">
        <f t="shared" si="39"/>
        <v>6</v>
      </c>
      <c r="D1224" cm="1">
        <f t="array" ref="D1224">INDEX('Linha 06'!$A$4:$A$1000,B1224)</f>
        <v>20200075</v>
      </c>
      <c r="E1224" t="str" cm="1">
        <f t="array" ref="E1224">INDEX('Linha 06'!$B$4:$B$1000,B1224)</f>
        <v>Lava Roupas Aquafast Lavagem Rapida Fresh Clean Cx/9 X 1,5l</v>
      </c>
      <c r="F1224" cm="1">
        <f t="array" ref="F1224">INDEX('Linha 06'!$C$3:$ZZ$3,C1224)</f>
        <v>20060013</v>
      </c>
      <c r="G1224" t="str" cm="1">
        <f t="array" ref="G1224">INDEX('Linha 06'!$C$2:$ZZ$2,C1224)</f>
        <v>Limp Perf Aquafast Frescor Da Manha Cx/12 X 1l</v>
      </c>
      <c r="H1224" s="5" cm="1">
        <f t="array" ref="H1224">INDEX('Linha 06'!$C$4:$ZZ$1000,B1224,C1224)</f>
        <v>0</v>
      </c>
    </row>
    <row r="1225" spans="1:8" x14ac:dyDescent="0.25">
      <c r="A1225">
        <v>1223</v>
      </c>
      <c r="B1225">
        <f t="shared" si="38"/>
        <v>33</v>
      </c>
      <c r="C1225">
        <f t="shared" si="39"/>
        <v>7</v>
      </c>
      <c r="D1225" cm="1">
        <f t="array" ref="D1225">INDEX('Linha 06'!$A$4:$A$1000,B1225)</f>
        <v>20200075</v>
      </c>
      <c r="E1225" t="str" cm="1">
        <f t="array" ref="E1225">INDEX('Linha 06'!$B$4:$B$1000,B1225)</f>
        <v>Lava Roupas Aquafast Lavagem Rapida Fresh Clean Cx/9 X 1,5l</v>
      </c>
      <c r="F1225" cm="1">
        <f t="array" ref="F1225">INDEX('Linha 06'!$C$3:$ZZ$3,C1225)</f>
        <v>20060015</v>
      </c>
      <c r="G1225" t="str" cm="1">
        <f t="array" ref="G1225">INDEX('Linha 06'!$C$2:$ZZ$2,C1225)</f>
        <v>Limp Perf Aquafast Doce Romance Cx/12 X 500ml</v>
      </c>
      <c r="H1225" s="5" cm="1">
        <f t="array" ref="H1225">INDEX('Linha 06'!$C$4:$ZZ$1000,B1225,C1225)</f>
        <v>0</v>
      </c>
    </row>
    <row r="1226" spans="1:8" x14ac:dyDescent="0.25">
      <c r="A1226">
        <v>1224</v>
      </c>
      <c r="B1226">
        <f t="shared" si="38"/>
        <v>33</v>
      </c>
      <c r="C1226">
        <f t="shared" si="39"/>
        <v>8</v>
      </c>
      <c r="D1226" cm="1">
        <f t="array" ref="D1226">INDEX('Linha 06'!$A$4:$A$1000,B1226)</f>
        <v>20200075</v>
      </c>
      <c r="E1226" t="str" cm="1">
        <f t="array" ref="E1226">INDEX('Linha 06'!$B$4:$B$1000,B1226)</f>
        <v>Lava Roupas Aquafast Lavagem Rapida Fresh Clean Cx/9 X 1,5l</v>
      </c>
      <c r="F1226" cm="1">
        <f t="array" ref="F1226">INDEX('Linha 06'!$C$3:$ZZ$3,C1226)</f>
        <v>20060016</v>
      </c>
      <c r="G1226" t="str" cm="1">
        <f t="array" ref="G1226">INDEX('Linha 06'!$C$2:$ZZ$2,C1226)</f>
        <v>Limp Perf Aquafast Doce Romance Cx/12 X 1l</v>
      </c>
      <c r="H1226" s="5" cm="1">
        <f t="array" ref="H1226">INDEX('Linha 06'!$C$4:$ZZ$1000,B1226,C1226)</f>
        <v>0</v>
      </c>
    </row>
    <row r="1227" spans="1:8" x14ac:dyDescent="0.25">
      <c r="A1227">
        <v>1225</v>
      </c>
      <c r="B1227">
        <f t="shared" si="38"/>
        <v>33</v>
      </c>
      <c r="C1227">
        <f t="shared" si="39"/>
        <v>9</v>
      </c>
      <c r="D1227" cm="1">
        <f t="array" ref="D1227">INDEX('Linha 06'!$A$4:$A$1000,B1227)</f>
        <v>20200075</v>
      </c>
      <c r="E1227" t="str" cm="1">
        <f t="array" ref="E1227">INDEX('Linha 06'!$B$4:$B$1000,B1227)</f>
        <v>Lava Roupas Aquafast Lavagem Rapida Fresh Clean Cx/9 X 1,5l</v>
      </c>
      <c r="F1227" cm="1">
        <f t="array" ref="F1227">INDEX('Linha 06'!$C$3:$ZZ$3,C1227)</f>
        <v>20060027</v>
      </c>
      <c r="G1227" t="str" cm="1">
        <f t="array" ref="G1227">INDEX('Linha 06'!$C$2:$ZZ$2,C1227)</f>
        <v>Limp Perf Aquafast Essencia Natural Cx/12 X 1l</v>
      </c>
      <c r="H1227" s="5" cm="1">
        <f t="array" ref="H1227">INDEX('Linha 06'!$C$4:$ZZ$1000,B1227,C1227)</f>
        <v>0</v>
      </c>
    </row>
    <row r="1228" spans="1:8" x14ac:dyDescent="0.25">
      <c r="A1228">
        <v>1226</v>
      </c>
      <c r="B1228">
        <f t="shared" si="38"/>
        <v>33</v>
      </c>
      <c r="C1228">
        <f t="shared" si="39"/>
        <v>10</v>
      </c>
      <c r="D1228" cm="1">
        <f t="array" ref="D1228">INDEX('Linha 06'!$A$4:$A$1000,B1228)</f>
        <v>20200075</v>
      </c>
      <c r="E1228" t="str" cm="1">
        <f t="array" ref="E1228">INDEX('Linha 06'!$B$4:$B$1000,B1228)</f>
        <v>Lava Roupas Aquafast Lavagem Rapida Fresh Clean Cx/9 X 1,5l</v>
      </c>
      <c r="F1228" cm="1">
        <f t="array" ref="F1228">INDEX('Linha 06'!$C$3:$ZZ$3,C1228)</f>
        <v>20070001</v>
      </c>
      <c r="G1228" t="str" cm="1">
        <f t="array" ref="G1228">INDEX('Linha 06'!$C$2:$ZZ$2,C1228)</f>
        <v>Limpa Vidros Aquafast Pulverizador Cx/12 X 500ml</v>
      </c>
      <c r="H1228" s="5" cm="1">
        <f t="array" ref="H1228">INDEX('Linha 06'!$C$4:$ZZ$1000,B1228,C1228)</f>
        <v>0</v>
      </c>
    </row>
    <row r="1229" spans="1:8" x14ac:dyDescent="0.25">
      <c r="A1229">
        <v>1227</v>
      </c>
      <c r="B1229">
        <f t="shared" si="38"/>
        <v>33</v>
      </c>
      <c r="C1229">
        <f t="shared" si="39"/>
        <v>11</v>
      </c>
      <c r="D1229" cm="1">
        <f t="array" ref="D1229">INDEX('Linha 06'!$A$4:$A$1000,B1229)</f>
        <v>20200075</v>
      </c>
      <c r="E1229" t="str" cm="1">
        <f t="array" ref="E1229">INDEX('Linha 06'!$B$4:$B$1000,B1229)</f>
        <v>Lava Roupas Aquafast Lavagem Rapida Fresh Clean Cx/9 X 1,5l</v>
      </c>
      <c r="F1229" cm="1">
        <f t="array" ref="F1229">INDEX('Linha 06'!$C$3:$ZZ$3,C1229)</f>
        <v>20070002</v>
      </c>
      <c r="G1229" t="str" cm="1">
        <f t="array" ref="G1229">INDEX('Linha 06'!$C$2:$ZZ$2,C1229)</f>
        <v>Limpa Vidros Aquafast Recarga Cx/12 X 500ml</v>
      </c>
      <c r="H1229" s="5" cm="1">
        <f t="array" ref="H1229">INDEX('Linha 06'!$C$4:$ZZ$1000,B1229,C1229)</f>
        <v>0</v>
      </c>
    </row>
    <row r="1230" spans="1:8" x14ac:dyDescent="0.25">
      <c r="A1230">
        <v>1228</v>
      </c>
      <c r="B1230">
        <f t="shared" si="38"/>
        <v>33</v>
      </c>
      <c r="C1230">
        <f t="shared" si="39"/>
        <v>12</v>
      </c>
      <c r="D1230" cm="1">
        <f t="array" ref="D1230">INDEX('Linha 06'!$A$4:$A$1000,B1230)</f>
        <v>20200075</v>
      </c>
      <c r="E1230" t="str" cm="1">
        <f t="array" ref="E1230">INDEX('Linha 06'!$B$4:$B$1000,B1230)</f>
        <v>Lava Roupas Aquafast Lavagem Rapida Fresh Clean Cx/9 X 1,5l</v>
      </c>
      <c r="F1230" cm="1">
        <f t="array" ref="F1230">INDEX('Linha 06'!$C$3:$ZZ$3,C1230)</f>
        <v>20070006</v>
      </c>
      <c r="G1230" t="str" cm="1">
        <f t="array" ref="G1230">INDEX('Linha 06'!$C$2:$ZZ$2,C1230)</f>
        <v>Limpa Vidros Ito Pulverizador Cx/12 X 500ml</v>
      </c>
      <c r="H1230" s="5" cm="1">
        <f t="array" ref="H1230">INDEX('Linha 06'!$C$4:$ZZ$1000,B1230,C1230)</f>
        <v>0</v>
      </c>
    </row>
    <row r="1231" spans="1:8" x14ac:dyDescent="0.25">
      <c r="A1231">
        <v>1229</v>
      </c>
      <c r="B1231">
        <f t="shared" si="38"/>
        <v>33</v>
      </c>
      <c r="C1231">
        <f t="shared" si="39"/>
        <v>13</v>
      </c>
      <c r="D1231" cm="1">
        <f t="array" ref="D1231">INDEX('Linha 06'!$A$4:$A$1000,B1231)</f>
        <v>20200075</v>
      </c>
      <c r="E1231" t="str" cm="1">
        <f t="array" ref="E1231">INDEX('Linha 06'!$B$4:$B$1000,B1231)</f>
        <v>Lava Roupas Aquafast Lavagem Rapida Fresh Clean Cx/9 X 1,5l</v>
      </c>
      <c r="F1231" cm="1">
        <f t="array" ref="F1231">INDEX('Linha 06'!$C$3:$ZZ$3,C1231)</f>
        <v>20070007</v>
      </c>
      <c r="G1231" t="str" cm="1">
        <f t="array" ref="G1231">INDEX('Linha 06'!$C$2:$ZZ$2,C1231)</f>
        <v>Limpa Vidros Ito Recarga Cx/12 X 500ml</v>
      </c>
      <c r="H1231" s="5" cm="1">
        <f t="array" ref="H1231">INDEX('Linha 06'!$C$4:$ZZ$1000,B1231,C1231)</f>
        <v>0</v>
      </c>
    </row>
    <row r="1232" spans="1:8" x14ac:dyDescent="0.25">
      <c r="A1232">
        <v>1230</v>
      </c>
      <c r="B1232">
        <f t="shared" si="38"/>
        <v>33</v>
      </c>
      <c r="C1232">
        <f t="shared" si="39"/>
        <v>14</v>
      </c>
      <c r="D1232" cm="1">
        <f t="array" ref="D1232">INDEX('Linha 06'!$A$4:$A$1000,B1232)</f>
        <v>20200075</v>
      </c>
      <c r="E1232" t="str" cm="1">
        <f t="array" ref="E1232">INDEX('Linha 06'!$B$4:$B$1000,B1232)</f>
        <v>Lava Roupas Aquafast Lavagem Rapida Fresh Clean Cx/9 X 1,5l</v>
      </c>
      <c r="F1232" cm="1">
        <f t="array" ref="F1232">INDEX('Linha 06'!$C$3:$ZZ$3,C1232)</f>
        <v>20070008</v>
      </c>
      <c r="G1232" t="str" cm="1">
        <f t="array" ref="G1232">INDEX('Linha 06'!$C$2:$ZZ$2,C1232)</f>
        <v>Limpa Vidros Aquafast Squeeze Cx/12 X 500ml</v>
      </c>
      <c r="H1232" s="5" cm="1">
        <f t="array" ref="H1232">INDEX('Linha 06'!$C$4:$ZZ$1000,B1232,C1232)</f>
        <v>0</v>
      </c>
    </row>
    <row r="1233" spans="1:8" x14ac:dyDescent="0.25">
      <c r="A1233">
        <v>1231</v>
      </c>
      <c r="B1233">
        <f t="shared" si="38"/>
        <v>33</v>
      </c>
      <c r="C1233">
        <f t="shared" si="39"/>
        <v>15</v>
      </c>
      <c r="D1233" cm="1">
        <f t="array" ref="D1233">INDEX('Linha 06'!$A$4:$A$1000,B1233)</f>
        <v>20200075</v>
      </c>
      <c r="E1233" t="str" cm="1">
        <f t="array" ref="E1233">INDEX('Linha 06'!$B$4:$B$1000,B1233)</f>
        <v>Lava Roupas Aquafast Lavagem Rapida Fresh Clean Cx/9 X 1,5l</v>
      </c>
      <c r="F1233" cm="1">
        <f t="array" ref="F1233">INDEX('Linha 06'!$C$3:$ZZ$3,C1233)</f>
        <v>20090001</v>
      </c>
      <c r="G1233" t="str" cm="1">
        <f t="array" ref="G1233">INDEX('Linha 06'!$C$2:$ZZ$2,C1233)</f>
        <v>Desengordurante Aquafast Pulverizador Cx/12 X 500ml</v>
      </c>
      <c r="H1233" s="5" cm="1">
        <f t="array" ref="H1233">INDEX('Linha 06'!$C$4:$ZZ$1000,B1233,C1233)</f>
        <v>0</v>
      </c>
    </row>
    <row r="1234" spans="1:8" x14ac:dyDescent="0.25">
      <c r="A1234">
        <v>1232</v>
      </c>
      <c r="B1234">
        <f t="shared" si="38"/>
        <v>33</v>
      </c>
      <c r="C1234">
        <f t="shared" si="39"/>
        <v>16</v>
      </c>
      <c r="D1234" cm="1">
        <f t="array" ref="D1234">INDEX('Linha 06'!$A$4:$A$1000,B1234)</f>
        <v>20200075</v>
      </c>
      <c r="E1234" t="str" cm="1">
        <f t="array" ref="E1234">INDEX('Linha 06'!$B$4:$B$1000,B1234)</f>
        <v>Lava Roupas Aquafast Lavagem Rapida Fresh Clean Cx/9 X 1,5l</v>
      </c>
      <c r="F1234" cm="1">
        <f t="array" ref="F1234">INDEX('Linha 06'!$C$3:$ZZ$3,C1234)</f>
        <v>20090002</v>
      </c>
      <c r="G1234" t="str" cm="1">
        <f t="array" ref="G1234">INDEX('Linha 06'!$C$2:$ZZ$2,C1234)</f>
        <v>Desengordurante Aquafast Recarga Cx/12 X 500ml</v>
      </c>
      <c r="H1234" s="5" cm="1">
        <f t="array" ref="H1234">INDEX('Linha 06'!$C$4:$ZZ$1000,B1234,C1234)</f>
        <v>0</v>
      </c>
    </row>
    <row r="1235" spans="1:8" x14ac:dyDescent="0.25">
      <c r="A1235">
        <v>1233</v>
      </c>
      <c r="B1235">
        <f t="shared" si="38"/>
        <v>33</v>
      </c>
      <c r="C1235">
        <f t="shared" si="39"/>
        <v>17</v>
      </c>
      <c r="D1235" cm="1">
        <f t="array" ref="D1235">INDEX('Linha 06'!$A$4:$A$1000,B1235)</f>
        <v>20200075</v>
      </c>
      <c r="E1235" t="str" cm="1">
        <f t="array" ref="E1235">INDEX('Linha 06'!$B$4:$B$1000,B1235)</f>
        <v>Lava Roupas Aquafast Lavagem Rapida Fresh Clean Cx/9 X 1,5l</v>
      </c>
      <c r="F1235" cm="1">
        <f t="array" ref="F1235">INDEX('Linha 06'!$C$3:$ZZ$3,C1235)</f>
        <v>20090004</v>
      </c>
      <c r="G1235" t="str" cm="1">
        <f t="array" ref="G1235">INDEX('Linha 06'!$C$2:$ZZ$2,C1235)</f>
        <v>Desengordurante Aquafast Squeeze Cx C/12 X 500ml</v>
      </c>
      <c r="H1235" s="5" cm="1">
        <f t="array" ref="H1235">INDEX('Linha 06'!$C$4:$ZZ$1000,B1235,C1235)</f>
        <v>0</v>
      </c>
    </row>
    <row r="1236" spans="1:8" x14ac:dyDescent="0.25">
      <c r="A1236">
        <v>1234</v>
      </c>
      <c r="B1236">
        <f t="shared" si="38"/>
        <v>33</v>
      </c>
      <c r="C1236">
        <f t="shared" si="39"/>
        <v>18</v>
      </c>
      <c r="D1236" cm="1">
        <f t="array" ref="D1236">INDEX('Linha 06'!$A$4:$A$1000,B1236)</f>
        <v>20200075</v>
      </c>
      <c r="E1236" t="str" cm="1">
        <f t="array" ref="E1236">INDEX('Linha 06'!$B$4:$B$1000,B1236)</f>
        <v>Lava Roupas Aquafast Lavagem Rapida Fresh Clean Cx/9 X 1,5l</v>
      </c>
      <c r="F1236" cm="1">
        <f t="array" ref="F1236">INDEX('Linha 06'!$C$3:$ZZ$3,C1236)</f>
        <v>20090005</v>
      </c>
      <c r="G1236" t="str" cm="1">
        <f t="array" ref="G1236">INDEX('Linha 06'!$C$2:$ZZ$2,C1236)</f>
        <v>Desengordurante Aquafast Squeeze Cx C/12 X 1l</v>
      </c>
      <c r="H1236" s="5" cm="1">
        <f t="array" ref="H1236">INDEX('Linha 06'!$C$4:$ZZ$1000,B1236,C1236)</f>
        <v>0</v>
      </c>
    </row>
    <row r="1237" spans="1:8" x14ac:dyDescent="0.25">
      <c r="A1237">
        <v>1235</v>
      </c>
      <c r="B1237">
        <f t="shared" si="38"/>
        <v>33</v>
      </c>
      <c r="C1237">
        <f t="shared" si="39"/>
        <v>19</v>
      </c>
      <c r="D1237" cm="1">
        <f t="array" ref="D1237">INDEX('Linha 06'!$A$4:$A$1000,B1237)</f>
        <v>20200075</v>
      </c>
      <c r="E1237" t="str" cm="1">
        <f t="array" ref="E1237">INDEX('Linha 06'!$B$4:$B$1000,B1237)</f>
        <v>Lava Roupas Aquafast Lavagem Rapida Fresh Clean Cx/9 X 1,5l</v>
      </c>
      <c r="F1237" cm="1">
        <f t="array" ref="F1237">INDEX('Linha 06'!$C$3:$ZZ$3,C1237)</f>
        <v>20090010</v>
      </c>
      <c r="G1237" t="str" cm="1">
        <f t="array" ref="G1237">INDEX('Linha 06'!$C$2:$ZZ$2,C1237)</f>
        <v>Intermed Pack Desengord Squeeze Cx C/18 X 500ml</v>
      </c>
      <c r="H1237" s="5" cm="1">
        <f t="array" ref="H1237">INDEX('Linha 06'!$C$4:$ZZ$1000,B1237,C1237)</f>
        <v>0</v>
      </c>
    </row>
    <row r="1238" spans="1:8" x14ac:dyDescent="0.25">
      <c r="A1238">
        <v>1236</v>
      </c>
      <c r="B1238">
        <f t="shared" si="38"/>
        <v>33</v>
      </c>
      <c r="C1238">
        <f t="shared" si="39"/>
        <v>20</v>
      </c>
      <c r="D1238" cm="1">
        <f t="array" ref="D1238">INDEX('Linha 06'!$A$4:$A$1000,B1238)</f>
        <v>20200075</v>
      </c>
      <c r="E1238" t="str" cm="1">
        <f t="array" ref="E1238">INDEX('Linha 06'!$B$4:$B$1000,B1238)</f>
        <v>Lava Roupas Aquafast Lavagem Rapida Fresh Clean Cx/9 X 1,5l</v>
      </c>
      <c r="F1238" cm="1">
        <f t="array" ref="F1238">INDEX('Linha 06'!$C$3:$ZZ$3,C1238)</f>
        <v>20110002</v>
      </c>
      <c r="G1238" t="str" cm="1">
        <f t="array" ref="G1238">INDEX('Linha 06'!$C$2:$ZZ$2,C1238)</f>
        <v>Multi Uso Aquafast Squeeze Original Cx/12 X 500ml</v>
      </c>
      <c r="H1238" s="5" cm="1">
        <f t="array" ref="H1238">INDEX('Linha 06'!$C$4:$ZZ$1000,B1238,C1238)</f>
        <v>0</v>
      </c>
    </row>
    <row r="1239" spans="1:8" x14ac:dyDescent="0.25">
      <c r="A1239">
        <v>1237</v>
      </c>
      <c r="B1239">
        <f t="shared" si="38"/>
        <v>33</v>
      </c>
      <c r="C1239">
        <f t="shared" si="39"/>
        <v>21</v>
      </c>
      <c r="D1239" cm="1">
        <f t="array" ref="D1239">INDEX('Linha 06'!$A$4:$A$1000,B1239)</f>
        <v>20200075</v>
      </c>
      <c r="E1239" t="str" cm="1">
        <f t="array" ref="E1239">INDEX('Linha 06'!$B$4:$B$1000,B1239)</f>
        <v>Lava Roupas Aquafast Lavagem Rapida Fresh Clean Cx/9 X 1,5l</v>
      </c>
      <c r="F1239" cm="1">
        <f t="array" ref="F1239">INDEX('Linha 06'!$C$3:$ZZ$3,C1239)</f>
        <v>20110004</v>
      </c>
      <c r="G1239" t="str" cm="1">
        <f t="array" ref="G1239">INDEX('Linha 06'!$C$2:$ZZ$2,C1239)</f>
        <v>Multi Uso Aquafast Squeeze Lavanda Cx/12 X 500ml</v>
      </c>
      <c r="H1239" s="5" cm="1">
        <f t="array" ref="H1239">INDEX('Linha 06'!$C$4:$ZZ$1000,B1239,C1239)</f>
        <v>0</v>
      </c>
    </row>
    <row r="1240" spans="1:8" x14ac:dyDescent="0.25">
      <c r="A1240">
        <v>1238</v>
      </c>
      <c r="B1240">
        <f t="shared" si="38"/>
        <v>33</v>
      </c>
      <c r="C1240">
        <f t="shared" si="39"/>
        <v>22</v>
      </c>
      <c r="D1240" cm="1">
        <f t="array" ref="D1240">INDEX('Linha 06'!$A$4:$A$1000,B1240)</f>
        <v>20200075</v>
      </c>
      <c r="E1240" t="str" cm="1">
        <f t="array" ref="E1240">INDEX('Linha 06'!$B$4:$B$1000,B1240)</f>
        <v>Lava Roupas Aquafast Lavagem Rapida Fresh Clean Cx/9 X 1,5l</v>
      </c>
      <c r="F1240" cm="1">
        <f t="array" ref="F1240">INDEX('Linha 06'!$C$3:$ZZ$3,C1240)</f>
        <v>20110007</v>
      </c>
      <c r="G1240" t="str" cm="1">
        <f t="array" ref="G1240">INDEX('Linha 06'!$C$2:$ZZ$2,C1240)</f>
        <v>Multi Uso Aquafast Squeeze Seducao Cx/12 X 500ml</v>
      </c>
      <c r="H1240" s="5" cm="1">
        <f t="array" ref="H1240">INDEX('Linha 06'!$C$4:$ZZ$1000,B1240,C1240)</f>
        <v>0</v>
      </c>
    </row>
    <row r="1241" spans="1:8" x14ac:dyDescent="0.25">
      <c r="A1241">
        <v>1239</v>
      </c>
      <c r="B1241">
        <f t="shared" si="38"/>
        <v>33</v>
      </c>
      <c r="C1241">
        <f t="shared" si="39"/>
        <v>23</v>
      </c>
      <c r="D1241" cm="1">
        <f t="array" ref="D1241">INDEX('Linha 06'!$A$4:$A$1000,B1241)</f>
        <v>20200075</v>
      </c>
      <c r="E1241" t="str" cm="1">
        <f t="array" ref="E1241">INDEX('Linha 06'!$B$4:$B$1000,B1241)</f>
        <v>Lava Roupas Aquafast Lavagem Rapida Fresh Clean Cx/9 X 1,5l</v>
      </c>
      <c r="F1241" cm="1">
        <f t="array" ref="F1241">INDEX('Linha 06'!$C$3:$ZZ$3,C1241)</f>
        <v>20110008</v>
      </c>
      <c r="G1241" t="str" cm="1">
        <f t="array" ref="G1241">INDEX('Linha 06'!$C$2:$ZZ$2,C1241)</f>
        <v>Multi Uso Aquafast Squeeze Original Cx/12 X 1l</v>
      </c>
      <c r="H1241" s="5" cm="1">
        <f t="array" ref="H1241">INDEX('Linha 06'!$C$4:$ZZ$1000,B1241,C1241)</f>
        <v>0</v>
      </c>
    </row>
    <row r="1242" spans="1:8" x14ac:dyDescent="0.25">
      <c r="A1242">
        <v>1240</v>
      </c>
      <c r="B1242">
        <f t="shared" si="38"/>
        <v>33</v>
      </c>
      <c r="C1242">
        <f t="shared" si="39"/>
        <v>24</v>
      </c>
      <c r="D1242" cm="1">
        <f t="array" ref="D1242">INDEX('Linha 06'!$A$4:$A$1000,B1242)</f>
        <v>20200075</v>
      </c>
      <c r="E1242" t="str" cm="1">
        <f t="array" ref="E1242">INDEX('Linha 06'!$B$4:$B$1000,B1242)</f>
        <v>Lava Roupas Aquafast Lavagem Rapida Fresh Clean Cx/9 X 1,5l</v>
      </c>
      <c r="F1242" cm="1">
        <f t="array" ref="F1242">INDEX('Linha 06'!$C$3:$ZZ$3,C1242)</f>
        <v>20110010</v>
      </c>
      <c r="G1242" t="str" cm="1">
        <f t="array" ref="G1242">INDEX('Linha 06'!$C$2:$ZZ$2,C1242)</f>
        <v>Multi Uso Aquafast Squeeze Seducao Cx/12 1l</v>
      </c>
      <c r="H1242" s="5" cm="1">
        <f t="array" ref="H1242">INDEX('Linha 06'!$C$4:$ZZ$1000,B1242,C1242)</f>
        <v>0</v>
      </c>
    </row>
    <row r="1243" spans="1:8" x14ac:dyDescent="0.25">
      <c r="A1243">
        <v>1241</v>
      </c>
      <c r="B1243">
        <f t="shared" si="38"/>
        <v>33</v>
      </c>
      <c r="C1243">
        <f t="shared" si="39"/>
        <v>25</v>
      </c>
      <c r="D1243" cm="1">
        <f t="array" ref="D1243">INDEX('Linha 06'!$A$4:$A$1000,B1243)</f>
        <v>20200075</v>
      </c>
      <c r="E1243" t="str" cm="1">
        <f t="array" ref="E1243">INDEX('Linha 06'!$B$4:$B$1000,B1243)</f>
        <v>Lava Roupas Aquafast Lavagem Rapida Fresh Clean Cx/9 X 1,5l</v>
      </c>
      <c r="F1243" cm="1">
        <f t="array" ref="F1243">INDEX('Linha 06'!$C$3:$ZZ$3,C1243)</f>
        <v>20110013</v>
      </c>
      <c r="G1243" t="str" cm="1">
        <f t="array" ref="G1243">INDEX('Linha 06'!$C$2:$ZZ$2,C1243)</f>
        <v>Multi Uso Aquafast Squeeze Lavanda Cx/12 X 1l</v>
      </c>
      <c r="H1243" s="5" cm="1">
        <f t="array" ref="H1243">INDEX('Linha 06'!$C$4:$ZZ$1000,B1243,C1243)</f>
        <v>0</v>
      </c>
    </row>
    <row r="1244" spans="1:8" x14ac:dyDescent="0.25">
      <c r="A1244">
        <v>1242</v>
      </c>
      <c r="B1244">
        <f t="shared" si="38"/>
        <v>33</v>
      </c>
      <c r="C1244">
        <f t="shared" si="39"/>
        <v>26</v>
      </c>
      <c r="D1244" cm="1">
        <f t="array" ref="D1244">INDEX('Linha 06'!$A$4:$A$1000,B1244)</f>
        <v>20200075</v>
      </c>
      <c r="E1244" t="str" cm="1">
        <f t="array" ref="E1244">INDEX('Linha 06'!$B$4:$B$1000,B1244)</f>
        <v>Lava Roupas Aquafast Lavagem Rapida Fresh Clean Cx/9 X 1,5l</v>
      </c>
      <c r="F1244" cm="1">
        <f t="array" ref="F1244">INDEX('Linha 06'!$C$3:$ZZ$3,C1244)</f>
        <v>20110022</v>
      </c>
      <c r="G1244" t="str" cm="1">
        <f t="array" ref="G1244">INDEX('Linha 06'!$C$2:$ZZ$2,C1244)</f>
        <v>Intermed Pack Multi Uso Lavand C/Alcool Cx/18 X 500ml</v>
      </c>
      <c r="H1244" s="5" cm="1">
        <f t="array" ref="H1244">INDEX('Linha 06'!$C$4:$ZZ$1000,B1244,C1244)</f>
        <v>0</v>
      </c>
    </row>
    <row r="1245" spans="1:8" x14ac:dyDescent="0.25">
      <c r="A1245">
        <v>1243</v>
      </c>
      <c r="B1245">
        <f t="shared" si="38"/>
        <v>33</v>
      </c>
      <c r="C1245">
        <f t="shared" si="39"/>
        <v>27</v>
      </c>
      <c r="D1245" cm="1">
        <f t="array" ref="D1245">INDEX('Linha 06'!$A$4:$A$1000,B1245)</f>
        <v>20200075</v>
      </c>
      <c r="E1245" t="str" cm="1">
        <f t="array" ref="E1245">INDEX('Linha 06'!$B$4:$B$1000,B1245)</f>
        <v>Lava Roupas Aquafast Lavagem Rapida Fresh Clean Cx/9 X 1,5l</v>
      </c>
      <c r="F1245" cm="1">
        <f t="array" ref="F1245">INDEX('Linha 06'!$C$3:$ZZ$3,C1245)</f>
        <v>20110023</v>
      </c>
      <c r="G1245" t="str" cm="1">
        <f t="array" ref="G1245">INDEX('Linha 06'!$C$2:$ZZ$2,C1245)</f>
        <v>Multi Uso Aquafast Squeeze Cha Branco  Cx/12 X 500ml</v>
      </c>
      <c r="H1245" s="5" cm="1">
        <f t="array" ref="H1245">INDEX('Linha 06'!$C$4:$ZZ$1000,B1245,C1245)</f>
        <v>0</v>
      </c>
    </row>
    <row r="1246" spans="1:8" x14ac:dyDescent="0.25">
      <c r="A1246">
        <v>1244</v>
      </c>
      <c r="B1246">
        <f t="shared" si="38"/>
        <v>33</v>
      </c>
      <c r="C1246">
        <f t="shared" si="39"/>
        <v>28</v>
      </c>
      <c r="D1246" cm="1">
        <f t="array" ref="D1246">INDEX('Linha 06'!$A$4:$A$1000,B1246)</f>
        <v>20200075</v>
      </c>
      <c r="E1246" t="str" cm="1">
        <f t="array" ref="E1246">INDEX('Linha 06'!$B$4:$B$1000,B1246)</f>
        <v>Lava Roupas Aquafast Lavagem Rapida Fresh Clean Cx/9 X 1,5l</v>
      </c>
      <c r="F1246" cm="1">
        <f t="array" ref="F1246">INDEX('Linha 06'!$C$3:$ZZ$3,C1246)</f>
        <v>20110024</v>
      </c>
      <c r="G1246" t="str" cm="1">
        <f t="array" ref="G1246">INDEX('Linha 06'!$C$2:$ZZ$2,C1246)</f>
        <v>Multi Uso Aquafast Squeeze Cha Branco Cx12 X 1l</v>
      </c>
      <c r="H1246" s="5" cm="1">
        <f t="array" ref="H1246">INDEX('Linha 06'!$C$4:$ZZ$1000,B1246,C1246)</f>
        <v>0</v>
      </c>
    </row>
    <row r="1247" spans="1:8" x14ac:dyDescent="0.25">
      <c r="A1247">
        <v>1245</v>
      </c>
      <c r="B1247">
        <f t="shared" si="38"/>
        <v>33</v>
      </c>
      <c r="C1247">
        <f t="shared" si="39"/>
        <v>29</v>
      </c>
      <c r="D1247" cm="1">
        <f t="array" ref="D1247">INDEX('Linha 06'!$A$4:$A$1000,B1247)</f>
        <v>20200075</v>
      </c>
      <c r="E1247" t="str" cm="1">
        <f t="array" ref="E1247">INDEX('Linha 06'!$B$4:$B$1000,B1247)</f>
        <v>Lava Roupas Aquafast Lavagem Rapida Fresh Clean Cx/9 X 1,5l</v>
      </c>
      <c r="F1247" cm="1">
        <f t="array" ref="F1247">INDEX('Linha 06'!$C$3:$ZZ$3,C1247)</f>
        <v>20110025</v>
      </c>
      <c r="G1247" t="str" cm="1">
        <f t="array" ref="G1247">INDEX('Linha 06'!$C$2:$ZZ$2,C1247)</f>
        <v>Multi Uso Aquafast Pulverizador Original Cx/12 X 1l</v>
      </c>
      <c r="H1247" s="5" cm="1">
        <f t="array" ref="H1247">INDEX('Linha 06'!$C$4:$ZZ$1000,B1247,C1247)</f>
        <v>0</v>
      </c>
    </row>
    <row r="1248" spans="1:8" x14ac:dyDescent="0.25">
      <c r="A1248">
        <v>1246</v>
      </c>
      <c r="B1248">
        <f t="shared" si="38"/>
        <v>33</v>
      </c>
      <c r="C1248">
        <f t="shared" si="39"/>
        <v>30</v>
      </c>
      <c r="D1248" cm="1">
        <f t="array" ref="D1248">INDEX('Linha 06'!$A$4:$A$1000,B1248)</f>
        <v>20200075</v>
      </c>
      <c r="E1248" t="str" cm="1">
        <f t="array" ref="E1248">INDEX('Linha 06'!$B$4:$B$1000,B1248)</f>
        <v>Lava Roupas Aquafast Lavagem Rapida Fresh Clean Cx/9 X 1,5l</v>
      </c>
      <c r="F1248" cm="1">
        <f t="array" ref="F1248">INDEX('Linha 06'!$C$3:$ZZ$3,C1248)</f>
        <v>20110026</v>
      </c>
      <c r="G1248" t="str" cm="1">
        <f t="array" ref="G1248">INDEX('Linha 06'!$C$2:$ZZ$2,C1248)</f>
        <v>Multi Uso Aquafast Pulverizador Poder O2 Cx/12 X 1l</v>
      </c>
      <c r="H1248" s="5" cm="1">
        <f t="array" ref="H1248">INDEX('Linha 06'!$C$4:$ZZ$1000,B1248,C1248)</f>
        <v>0</v>
      </c>
    </row>
    <row r="1249" spans="1:8" x14ac:dyDescent="0.25">
      <c r="A1249">
        <v>1247</v>
      </c>
      <c r="B1249">
        <f t="shared" si="38"/>
        <v>33</v>
      </c>
      <c r="C1249">
        <f t="shared" si="39"/>
        <v>31</v>
      </c>
      <c r="D1249" cm="1">
        <f t="array" ref="D1249">INDEX('Linha 06'!$A$4:$A$1000,B1249)</f>
        <v>20200075</v>
      </c>
      <c r="E1249" t="str" cm="1">
        <f t="array" ref="E1249">INDEX('Linha 06'!$B$4:$B$1000,B1249)</f>
        <v>Lava Roupas Aquafast Lavagem Rapida Fresh Clean Cx/9 X 1,5l</v>
      </c>
      <c r="F1249" cm="1">
        <f t="array" ref="F1249">INDEX('Linha 06'!$C$3:$ZZ$3,C1249)</f>
        <v>20110027</v>
      </c>
      <c r="G1249" t="str" cm="1">
        <f t="array" ref="G1249">INDEX('Linha 06'!$C$2:$ZZ$2,C1249)</f>
        <v>Multi Uso Aquafast Pulverizador Poder O2 Cx/12 X 500ml</v>
      </c>
      <c r="H1249" s="5" cm="1">
        <f t="array" ref="H1249">INDEX('Linha 06'!$C$4:$ZZ$1000,B1249,C1249)</f>
        <v>0</v>
      </c>
    </row>
    <row r="1250" spans="1:8" x14ac:dyDescent="0.25">
      <c r="A1250">
        <v>1248</v>
      </c>
      <c r="B1250">
        <f t="shared" si="38"/>
        <v>33</v>
      </c>
      <c r="C1250">
        <f t="shared" si="39"/>
        <v>32</v>
      </c>
      <c r="D1250" cm="1">
        <f t="array" ref="D1250">INDEX('Linha 06'!$A$4:$A$1000,B1250)</f>
        <v>20200075</v>
      </c>
      <c r="E1250" t="str" cm="1">
        <f t="array" ref="E1250">INDEX('Linha 06'!$B$4:$B$1000,B1250)</f>
        <v>Lava Roupas Aquafast Lavagem Rapida Fresh Clean Cx/9 X 1,5l</v>
      </c>
      <c r="F1250" cm="1">
        <f t="array" ref="F1250">INDEX('Linha 06'!$C$3:$ZZ$3,C1250)</f>
        <v>20200073</v>
      </c>
      <c r="G1250" t="str" cm="1">
        <f t="array" ref="G1250">INDEX('Linha 06'!$C$2:$ZZ$2,C1250)</f>
        <v>Lava Roupas Aquafast Lavagem Rapida Total Clean Cx/9 X 1,5l</v>
      </c>
      <c r="H1250" s="5" cm="1">
        <f t="array" ref="H1250">INDEX('Linha 06'!$C$4:$ZZ$1000,B1250,C1250)</f>
        <v>0</v>
      </c>
    </row>
    <row r="1251" spans="1:8" x14ac:dyDescent="0.25">
      <c r="A1251">
        <v>1249</v>
      </c>
      <c r="B1251">
        <f t="shared" si="38"/>
        <v>33</v>
      </c>
      <c r="C1251">
        <f t="shared" si="39"/>
        <v>33</v>
      </c>
      <c r="D1251" cm="1">
        <f t="array" ref="D1251">INDEX('Linha 06'!$A$4:$A$1000,B1251)</f>
        <v>20200075</v>
      </c>
      <c r="E1251" t="str" cm="1">
        <f t="array" ref="E1251">INDEX('Linha 06'!$B$4:$B$1000,B1251)</f>
        <v>Lava Roupas Aquafast Lavagem Rapida Fresh Clean Cx/9 X 1,5l</v>
      </c>
      <c r="F1251" cm="1">
        <f t="array" ref="F1251">INDEX('Linha 06'!$C$3:$ZZ$3,C1251)</f>
        <v>20200075</v>
      </c>
      <c r="G1251" t="str" cm="1">
        <f t="array" ref="G1251">INDEX('Linha 06'!$C$2:$ZZ$2,C1251)</f>
        <v>Lava Roupas Aquafast Lavagem Rapida Fresh Clean Cx/9 X 1,5l</v>
      </c>
      <c r="H1251" s="5" cm="1">
        <f t="array" ref="H1251">INDEX('Linha 06'!$C$4:$ZZ$1000,B1251,C1251)</f>
        <v>0</v>
      </c>
    </row>
    <row r="1252" spans="1:8" x14ac:dyDescent="0.25">
      <c r="A1252">
        <v>1250</v>
      </c>
      <c r="B1252">
        <f t="shared" si="38"/>
        <v>33</v>
      </c>
      <c r="C1252">
        <f t="shared" si="39"/>
        <v>34</v>
      </c>
      <c r="D1252" cm="1">
        <f t="array" ref="D1252">INDEX('Linha 06'!$A$4:$A$1000,B1252)</f>
        <v>20200075</v>
      </c>
      <c r="E1252" t="str" cm="1">
        <f t="array" ref="E1252">INDEX('Linha 06'!$B$4:$B$1000,B1252)</f>
        <v>Lava Roupas Aquafast Lavagem Rapida Fresh Clean Cx/9 X 1,5l</v>
      </c>
      <c r="F1252" cm="1">
        <f t="array" ref="F1252">INDEX('Linha 06'!$C$3:$ZZ$3,C1252)</f>
        <v>20220018</v>
      </c>
      <c r="G1252" t="str" cm="1">
        <f t="array" ref="G1252">INDEX('Linha 06'!$C$2:$ZZ$2,C1252)</f>
        <v>Intermed. Aromat. Amoras E Baunilha Cx C/ 12un 250ml</v>
      </c>
      <c r="H1252" s="5" cm="1">
        <f t="array" ref="H1252">INDEX('Linha 06'!$C$4:$ZZ$1000,B1252,C1252)</f>
        <v>0</v>
      </c>
    </row>
    <row r="1253" spans="1:8" x14ac:dyDescent="0.25">
      <c r="A1253">
        <v>1251</v>
      </c>
      <c r="B1253">
        <f t="shared" si="38"/>
        <v>33</v>
      </c>
      <c r="C1253">
        <f t="shared" si="39"/>
        <v>35</v>
      </c>
      <c r="D1253" cm="1">
        <f t="array" ref="D1253">INDEX('Linha 06'!$A$4:$A$1000,B1253)</f>
        <v>20200075</v>
      </c>
      <c r="E1253" t="str" cm="1">
        <f t="array" ref="E1253">INDEX('Linha 06'!$B$4:$B$1000,B1253)</f>
        <v>Lava Roupas Aquafast Lavagem Rapida Fresh Clean Cx/9 X 1,5l</v>
      </c>
      <c r="F1253" cm="1">
        <f t="array" ref="F1253">INDEX('Linha 06'!$C$3:$ZZ$3,C1253)</f>
        <v>20220019</v>
      </c>
      <c r="G1253" t="str" cm="1">
        <f t="array" ref="G1253">INDEX('Linha 06'!$C$2:$ZZ$2,C1253)</f>
        <v>Intermed. Aromat. Figo E Cedro Cx C/ 12un 250ml</v>
      </c>
      <c r="H1253" s="5" cm="1">
        <f t="array" ref="H1253">INDEX('Linha 06'!$C$4:$ZZ$1000,B1253,C1253)</f>
        <v>0</v>
      </c>
    </row>
    <row r="1254" spans="1:8" x14ac:dyDescent="0.25">
      <c r="A1254">
        <v>1252</v>
      </c>
      <c r="B1254">
        <f t="shared" si="38"/>
        <v>33</v>
      </c>
      <c r="C1254">
        <f t="shared" si="39"/>
        <v>36</v>
      </c>
      <c r="D1254" cm="1">
        <f t="array" ref="D1254">INDEX('Linha 06'!$A$4:$A$1000,B1254)</f>
        <v>20200075</v>
      </c>
      <c r="E1254" t="str" cm="1">
        <f t="array" ref="E1254">INDEX('Linha 06'!$B$4:$B$1000,B1254)</f>
        <v>Lava Roupas Aquafast Lavagem Rapida Fresh Clean Cx/9 X 1,5l</v>
      </c>
      <c r="F1254" cm="1">
        <f t="array" ref="F1254">INDEX('Linha 06'!$C$3:$ZZ$3,C1254)</f>
        <v>20220020</v>
      </c>
      <c r="G1254" t="str" cm="1">
        <f t="array" ref="G1254">INDEX('Linha 06'!$C$2:$ZZ$2,C1254)</f>
        <v>Intermed. Aromat. Rosas E Magnolias Cx C/ 12un 250ml</v>
      </c>
      <c r="H1254" s="5" cm="1">
        <f t="array" ref="H1254">INDEX('Linha 06'!$C$4:$ZZ$1000,B1254,C1254)</f>
        <v>0</v>
      </c>
    </row>
    <row r="1255" spans="1:8" x14ac:dyDescent="0.25">
      <c r="A1255">
        <v>1253</v>
      </c>
      <c r="B1255">
        <f t="shared" si="38"/>
        <v>33</v>
      </c>
      <c r="C1255">
        <f t="shared" si="39"/>
        <v>37</v>
      </c>
      <c r="D1255" cm="1">
        <f t="array" ref="D1255">INDEX('Linha 06'!$A$4:$A$1000,B1255)</f>
        <v>20200075</v>
      </c>
      <c r="E1255" t="str" cm="1">
        <f t="array" ref="E1255">INDEX('Linha 06'!$B$4:$B$1000,B1255)</f>
        <v>Lava Roupas Aquafast Lavagem Rapida Fresh Clean Cx/9 X 1,5l</v>
      </c>
      <c r="F1255" cm="1">
        <f t="array" ref="F1255">INDEX('Linha 06'!$C$3:$ZZ$3,C1255)</f>
        <v>20220021</v>
      </c>
      <c r="G1255" t="str" cm="1">
        <f t="array" ref="G1255">INDEX('Linha 06'!$C$2:$ZZ$2,C1255)</f>
        <v>Intermed. Aromat. Flores Exoticas Cx C/ 12un 250ml</v>
      </c>
      <c r="H1255" s="5" cm="1">
        <f t="array" ref="H1255">INDEX('Linha 06'!$C$4:$ZZ$1000,B1255,C1255)</f>
        <v>0</v>
      </c>
    </row>
    <row r="1256" spans="1:8" x14ac:dyDescent="0.25">
      <c r="A1256">
        <v>1254</v>
      </c>
      <c r="B1256">
        <f t="shared" si="38"/>
        <v>33</v>
      </c>
      <c r="C1256">
        <f t="shared" si="39"/>
        <v>38</v>
      </c>
      <c r="D1256" cm="1">
        <f t="array" ref="D1256">INDEX('Linha 06'!$A$4:$A$1000,B1256)</f>
        <v>20200075</v>
      </c>
      <c r="E1256" t="str" cm="1">
        <f t="array" ref="E1256">INDEX('Linha 06'!$B$4:$B$1000,B1256)</f>
        <v>Lava Roupas Aquafast Lavagem Rapida Fresh Clean Cx/9 X 1,5l</v>
      </c>
      <c r="F1256" cm="1">
        <f t="array" ref="F1256">INDEX('Linha 06'!$C$3:$ZZ$3,C1256)</f>
        <v>20220022</v>
      </c>
      <c r="G1256" t="str" cm="1">
        <f t="array" ref="G1256">INDEX('Linha 06'!$C$2:$ZZ$2,C1256)</f>
        <v>Intermed. Aromat. Cha Verde E Grapef Cx C/ 12un 250ml</v>
      </c>
      <c r="H1256" s="5" cm="1">
        <f t="array" ref="H1256">INDEX('Linha 06'!$C$4:$ZZ$1000,B1256,C1256)</f>
        <v>0</v>
      </c>
    </row>
    <row r="1257" spans="1:8" x14ac:dyDescent="0.25">
      <c r="A1257">
        <v>1255</v>
      </c>
      <c r="B1257">
        <f t="shared" si="38"/>
        <v>34</v>
      </c>
      <c r="C1257">
        <f t="shared" si="39"/>
        <v>1</v>
      </c>
      <c r="D1257" cm="1">
        <f t="array" ref="D1257">INDEX('Linha 06'!$A$4:$A$1000,B1257)</f>
        <v>20220018</v>
      </c>
      <c r="E1257" t="str" cm="1">
        <f t="array" ref="E1257">INDEX('Linha 06'!$B$4:$B$1000,B1257)</f>
        <v>Intermed. Aromat. Amoras E Baunilha Cx C/ 12un 250ml</v>
      </c>
      <c r="F1257" cm="1">
        <f t="array" ref="F1257">INDEX('Linha 06'!$C$3:$ZZ$3,C1257)</f>
        <v>20060001</v>
      </c>
      <c r="G1257" t="str" cm="1">
        <f t="array" ref="G1257">INDEX('Linha 06'!$C$2:$ZZ$2,C1257)</f>
        <v>Limp Perf Aquafast Magia Seducao Cx/12 X 500ml</v>
      </c>
      <c r="H1257" s="5" cm="1">
        <f t="array" ref="H1257">INDEX('Linha 06'!$C$4:$ZZ$1000,B1257,C1257)</f>
        <v>0</v>
      </c>
    </row>
    <row r="1258" spans="1:8" x14ac:dyDescent="0.25">
      <c r="A1258">
        <v>1256</v>
      </c>
      <c r="B1258">
        <f t="shared" si="38"/>
        <v>34</v>
      </c>
      <c r="C1258">
        <f t="shared" si="39"/>
        <v>2</v>
      </c>
      <c r="D1258" cm="1">
        <f t="array" ref="D1258">INDEX('Linha 06'!$A$4:$A$1000,B1258)</f>
        <v>20220018</v>
      </c>
      <c r="E1258" t="str" cm="1">
        <f t="array" ref="E1258">INDEX('Linha 06'!$B$4:$B$1000,B1258)</f>
        <v>Intermed. Aromat. Amoras E Baunilha Cx C/ 12un 250ml</v>
      </c>
      <c r="F1258" cm="1">
        <f t="array" ref="F1258">INDEX('Linha 06'!$C$3:$ZZ$3,C1258)</f>
        <v>20060004</v>
      </c>
      <c r="G1258" t="str" cm="1">
        <f t="array" ref="G1258">INDEX('Linha 06'!$C$2:$ZZ$2,C1258)</f>
        <v>Limp Perf Aquafast Magia Seducao Cx/12 X 1l</v>
      </c>
      <c r="H1258" s="5" cm="1">
        <f t="array" ref="H1258">INDEX('Linha 06'!$C$4:$ZZ$1000,B1258,C1258)</f>
        <v>0</v>
      </c>
    </row>
    <row r="1259" spans="1:8" x14ac:dyDescent="0.25">
      <c r="A1259">
        <v>1257</v>
      </c>
      <c r="B1259">
        <f t="shared" si="38"/>
        <v>34</v>
      </c>
      <c r="C1259">
        <f t="shared" si="39"/>
        <v>3</v>
      </c>
      <c r="D1259" cm="1">
        <f t="array" ref="D1259">INDEX('Linha 06'!$A$4:$A$1000,B1259)</f>
        <v>20220018</v>
      </c>
      <c r="E1259" t="str" cm="1">
        <f t="array" ref="E1259">INDEX('Linha 06'!$B$4:$B$1000,B1259)</f>
        <v>Intermed. Aromat. Amoras E Baunilha Cx C/ 12un 250ml</v>
      </c>
      <c r="F1259" cm="1">
        <f t="array" ref="F1259">INDEX('Linha 06'!$C$3:$ZZ$3,C1259)</f>
        <v>20060010</v>
      </c>
      <c r="G1259" t="str" cm="1">
        <f t="array" ref="G1259">INDEX('Linha 06'!$C$2:$ZZ$2,C1259)</f>
        <v>Limp Perf Aquafast Magia Da Infancia Cx/12 X 500ml</v>
      </c>
      <c r="H1259" s="5" cm="1">
        <f t="array" ref="H1259">INDEX('Linha 06'!$C$4:$ZZ$1000,B1259,C1259)</f>
        <v>0</v>
      </c>
    </row>
    <row r="1260" spans="1:8" x14ac:dyDescent="0.25">
      <c r="A1260">
        <v>1258</v>
      </c>
      <c r="B1260">
        <f t="shared" si="38"/>
        <v>34</v>
      </c>
      <c r="C1260">
        <f t="shared" si="39"/>
        <v>4</v>
      </c>
      <c r="D1260" cm="1">
        <f t="array" ref="D1260">INDEX('Linha 06'!$A$4:$A$1000,B1260)</f>
        <v>20220018</v>
      </c>
      <c r="E1260" t="str" cm="1">
        <f t="array" ref="E1260">INDEX('Linha 06'!$B$4:$B$1000,B1260)</f>
        <v>Intermed. Aromat. Amoras E Baunilha Cx C/ 12un 250ml</v>
      </c>
      <c r="F1260" cm="1">
        <f t="array" ref="F1260">INDEX('Linha 06'!$C$3:$ZZ$3,C1260)</f>
        <v>20060011</v>
      </c>
      <c r="G1260" t="str" cm="1">
        <f t="array" ref="G1260">INDEX('Linha 06'!$C$2:$ZZ$2,C1260)</f>
        <v>Limp Perf Aquafast Frescor Da Manha Cx/12 X 500ml</v>
      </c>
      <c r="H1260" s="5" cm="1">
        <f t="array" ref="H1260">INDEX('Linha 06'!$C$4:$ZZ$1000,B1260,C1260)</f>
        <v>0</v>
      </c>
    </row>
    <row r="1261" spans="1:8" x14ac:dyDescent="0.25">
      <c r="A1261">
        <v>1259</v>
      </c>
      <c r="B1261">
        <f t="shared" si="38"/>
        <v>34</v>
      </c>
      <c r="C1261">
        <f t="shared" si="39"/>
        <v>5</v>
      </c>
      <c r="D1261" cm="1">
        <f t="array" ref="D1261">INDEX('Linha 06'!$A$4:$A$1000,B1261)</f>
        <v>20220018</v>
      </c>
      <c r="E1261" t="str" cm="1">
        <f t="array" ref="E1261">INDEX('Linha 06'!$B$4:$B$1000,B1261)</f>
        <v>Intermed. Aromat. Amoras E Baunilha Cx C/ 12un 250ml</v>
      </c>
      <c r="F1261" cm="1">
        <f t="array" ref="F1261">INDEX('Linha 06'!$C$3:$ZZ$3,C1261)</f>
        <v>20060012</v>
      </c>
      <c r="G1261" t="str" cm="1">
        <f t="array" ref="G1261">INDEX('Linha 06'!$C$2:$ZZ$2,C1261)</f>
        <v>Limp Perf Aquafast Magia Da Infancia Cx/12 X 1l</v>
      </c>
      <c r="H1261" s="5" cm="1">
        <f t="array" ref="H1261">INDEX('Linha 06'!$C$4:$ZZ$1000,B1261,C1261)</f>
        <v>0</v>
      </c>
    </row>
    <row r="1262" spans="1:8" x14ac:dyDescent="0.25">
      <c r="A1262">
        <v>1260</v>
      </c>
      <c r="B1262">
        <f t="shared" si="38"/>
        <v>34</v>
      </c>
      <c r="C1262">
        <f t="shared" si="39"/>
        <v>6</v>
      </c>
      <c r="D1262" cm="1">
        <f t="array" ref="D1262">INDEX('Linha 06'!$A$4:$A$1000,B1262)</f>
        <v>20220018</v>
      </c>
      <c r="E1262" t="str" cm="1">
        <f t="array" ref="E1262">INDEX('Linha 06'!$B$4:$B$1000,B1262)</f>
        <v>Intermed. Aromat. Amoras E Baunilha Cx C/ 12un 250ml</v>
      </c>
      <c r="F1262" cm="1">
        <f t="array" ref="F1262">INDEX('Linha 06'!$C$3:$ZZ$3,C1262)</f>
        <v>20060013</v>
      </c>
      <c r="G1262" t="str" cm="1">
        <f t="array" ref="G1262">INDEX('Linha 06'!$C$2:$ZZ$2,C1262)</f>
        <v>Limp Perf Aquafast Frescor Da Manha Cx/12 X 1l</v>
      </c>
      <c r="H1262" s="5" cm="1">
        <f t="array" ref="H1262">INDEX('Linha 06'!$C$4:$ZZ$1000,B1262,C1262)</f>
        <v>0</v>
      </c>
    </row>
    <row r="1263" spans="1:8" x14ac:dyDescent="0.25">
      <c r="A1263">
        <v>1261</v>
      </c>
      <c r="B1263">
        <f t="shared" si="38"/>
        <v>34</v>
      </c>
      <c r="C1263">
        <f t="shared" si="39"/>
        <v>7</v>
      </c>
      <c r="D1263" cm="1">
        <f t="array" ref="D1263">INDEX('Linha 06'!$A$4:$A$1000,B1263)</f>
        <v>20220018</v>
      </c>
      <c r="E1263" t="str" cm="1">
        <f t="array" ref="E1263">INDEX('Linha 06'!$B$4:$B$1000,B1263)</f>
        <v>Intermed. Aromat. Amoras E Baunilha Cx C/ 12un 250ml</v>
      </c>
      <c r="F1263" cm="1">
        <f t="array" ref="F1263">INDEX('Linha 06'!$C$3:$ZZ$3,C1263)</f>
        <v>20060015</v>
      </c>
      <c r="G1263" t="str" cm="1">
        <f t="array" ref="G1263">INDEX('Linha 06'!$C$2:$ZZ$2,C1263)</f>
        <v>Limp Perf Aquafast Doce Romance Cx/12 X 500ml</v>
      </c>
      <c r="H1263" s="5" cm="1">
        <f t="array" ref="H1263">INDEX('Linha 06'!$C$4:$ZZ$1000,B1263,C1263)</f>
        <v>0</v>
      </c>
    </row>
    <row r="1264" spans="1:8" x14ac:dyDescent="0.25">
      <c r="A1264">
        <v>1262</v>
      </c>
      <c r="B1264">
        <f t="shared" si="38"/>
        <v>34</v>
      </c>
      <c r="C1264">
        <f t="shared" si="39"/>
        <v>8</v>
      </c>
      <c r="D1264" cm="1">
        <f t="array" ref="D1264">INDEX('Linha 06'!$A$4:$A$1000,B1264)</f>
        <v>20220018</v>
      </c>
      <c r="E1264" t="str" cm="1">
        <f t="array" ref="E1264">INDEX('Linha 06'!$B$4:$B$1000,B1264)</f>
        <v>Intermed. Aromat. Amoras E Baunilha Cx C/ 12un 250ml</v>
      </c>
      <c r="F1264" cm="1">
        <f t="array" ref="F1264">INDEX('Linha 06'!$C$3:$ZZ$3,C1264)</f>
        <v>20060016</v>
      </c>
      <c r="G1264" t="str" cm="1">
        <f t="array" ref="G1264">INDEX('Linha 06'!$C$2:$ZZ$2,C1264)</f>
        <v>Limp Perf Aquafast Doce Romance Cx/12 X 1l</v>
      </c>
      <c r="H1264" s="5" cm="1">
        <f t="array" ref="H1264">INDEX('Linha 06'!$C$4:$ZZ$1000,B1264,C1264)</f>
        <v>0</v>
      </c>
    </row>
    <row r="1265" spans="1:8" x14ac:dyDescent="0.25">
      <c r="A1265">
        <v>1263</v>
      </c>
      <c r="B1265">
        <f t="shared" si="38"/>
        <v>34</v>
      </c>
      <c r="C1265">
        <f t="shared" si="39"/>
        <v>9</v>
      </c>
      <c r="D1265" cm="1">
        <f t="array" ref="D1265">INDEX('Linha 06'!$A$4:$A$1000,B1265)</f>
        <v>20220018</v>
      </c>
      <c r="E1265" t="str" cm="1">
        <f t="array" ref="E1265">INDEX('Linha 06'!$B$4:$B$1000,B1265)</f>
        <v>Intermed. Aromat. Amoras E Baunilha Cx C/ 12un 250ml</v>
      </c>
      <c r="F1265" cm="1">
        <f t="array" ref="F1265">INDEX('Linha 06'!$C$3:$ZZ$3,C1265)</f>
        <v>20060027</v>
      </c>
      <c r="G1265" t="str" cm="1">
        <f t="array" ref="G1265">INDEX('Linha 06'!$C$2:$ZZ$2,C1265)</f>
        <v>Limp Perf Aquafast Essencia Natural Cx/12 X 1l</v>
      </c>
      <c r="H1265" s="5" cm="1">
        <f t="array" ref="H1265">INDEX('Linha 06'!$C$4:$ZZ$1000,B1265,C1265)</f>
        <v>0</v>
      </c>
    </row>
    <row r="1266" spans="1:8" x14ac:dyDescent="0.25">
      <c r="A1266">
        <v>1264</v>
      </c>
      <c r="B1266">
        <f t="shared" si="38"/>
        <v>34</v>
      </c>
      <c r="C1266">
        <f t="shared" si="39"/>
        <v>10</v>
      </c>
      <c r="D1266" cm="1">
        <f t="array" ref="D1266">INDEX('Linha 06'!$A$4:$A$1000,B1266)</f>
        <v>20220018</v>
      </c>
      <c r="E1266" t="str" cm="1">
        <f t="array" ref="E1266">INDEX('Linha 06'!$B$4:$B$1000,B1266)</f>
        <v>Intermed. Aromat. Amoras E Baunilha Cx C/ 12un 250ml</v>
      </c>
      <c r="F1266" cm="1">
        <f t="array" ref="F1266">INDEX('Linha 06'!$C$3:$ZZ$3,C1266)</f>
        <v>20070001</v>
      </c>
      <c r="G1266" t="str" cm="1">
        <f t="array" ref="G1266">INDEX('Linha 06'!$C$2:$ZZ$2,C1266)</f>
        <v>Limpa Vidros Aquafast Pulverizador Cx/12 X 500ml</v>
      </c>
      <c r="H1266" s="5" cm="1">
        <f t="array" ref="H1266">INDEX('Linha 06'!$C$4:$ZZ$1000,B1266,C1266)</f>
        <v>0</v>
      </c>
    </row>
    <row r="1267" spans="1:8" x14ac:dyDescent="0.25">
      <c r="A1267">
        <v>1265</v>
      </c>
      <c r="B1267">
        <f t="shared" si="38"/>
        <v>34</v>
      </c>
      <c r="C1267">
        <f t="shared" si="39"/>
        <v>11</v>
      </c>
      <c r="D1267" cm="1">
        <f t="array" ref="D1267">INDEX('Linha 06'!$A$4:$A$1000,B1267)</f>
        <v>20220018</v>
      </c>
      <c r="E1267" t="str" cm="1">
        <f t="array" ref="E1267">INDEX('Linha 06'!$B$4:$B$1000,B1267)</f>
        <v>Intermed. Aromat. Amoras E Baunilha Cx C/ 12un 250ml</v>
      </c>
      <c r="F1267" cm="1">
        <f t="array" ref="F1267">INDEX('Linha 06'!$C$3:$ZZ$3,C1267)</f>
        <v>20070002</v>
      </c>
      <c r="G1267" t="str" cm="1">
        <f t="array" ref="G1267">INDEX('Linha 06'!$C$2:$ZZ$2,C1267)</f>
        <v>Limpa Vidros Aquafast Recarga Cx/12 X 500ml</v>
      </c>
      <c r="H1267" s="5" cm="1">
        <f t="array" ref="H1267">INDEX('Linha 06'!$C$4:$ZZ$1000,B1267,C1267)</f>
        <v>0</v>
      </c>
    </row>
    <row r="1268" spans="1:8" x14ac:dyDescent="0.25">
      <c r="A1268">
        <v>1266</v>
      </c>
      <c r="B1268">
        <f t="shared" si="38"/>
        <v>34</v>
      </c>
      <c r="C1268">
        <f t="shared" si="39"/>
        <v>12</v>
      </c>
      <c r="D1268" cm="1">
        <f t="array" ref="D1268">INDEX('Linha 06'!$A$4:$A$1000,B1268)</f>
        <v>20220018</v>
      </c>
      <c r="E1268" t="str" cm="1">
        <f t="array" ref="E1268">INDEX('Linha 06'!$B$4:$B$1000,B1268)</f>
        <v>Intermed. Aromat. Amoras E Baunilha Cx C/ 12un 250ml</v>
      </c>
      <c r="F1268" cm="1">
        <f t="array" ref="F1268">INDEX('Linha 06'!$C$3:$ZZ$3,C1268)</f>
        <v>20070006</v>
      </c>
      <c r="G1268" t="str" cm="1">
        <f t="array" ref="G1268">INDEX('Linha 06'!$C$2:$ZZ$2,C1268)</f>
        <v>Limpa Vidros Ito Pulverizador Cx/12 X 500ml</v>
      </c>
      <c r="H1268" s="5" cm="1">
        <f t="array" ref="H1268">INDEX('Linha 06'!$C$4:$ZZ$1000,B1268,C1268)</f>
        <v>0</v>
      </c>
    </row>
    <row r="1269" spans="1:8" x14ac:dyDescent="0.25">
      <c r="A1269">
        <v>1267</v>
      </c>
      <c r="B1269">
        <f t="shared" si="38"/>
        <v>34</v>
      </c>
      <c r="C1269">
        <f t="shared" si="39"/>
        <v>13</v>
      </c>
      <c r="D1269" cm="1">
        <f t="array" ref="D1269">INDEX('Linha 06'!$A$4:$A$1000,B1269)</f>
        <v>20220018</v>
      </c>
      <c r="E1269" t="str" cm="1">
        <f t="array" ref="E1269">INDEX('Linha 06'!$B$4:$B$1000,B1269)</f>
        <v>Intermed. Aromat. Amoras E Baunilha Cx C/ 12un 250ml</v>
      </c>
      <c r="F1269" cm="1">
        <f t="array" ref="F1269">INDEX('Linha 06'!$C$3:$ZZ$3,C1269)</f>
        <v>20070007</v>
      </c>
      <c r="G1269" t="str" cm="1">
        <f t="array" ref="G1269">INDEX('Linha 06'!$C$2:$ZZ$2,C1269)</f>
        <v>Limpa Vidros Ito Recarga Cx/12 X 500ml</v>
      </c>
      <c r="H1269" s="5" cm="1">
        <f t="array" ref="H1269">INDEX('Linha 06'!$C$4:$ZZ$1000,B1269,C1269)</f>
        <v>0</v>
      </c>
    </row>
    <row r="1270" spans="1:8" x14ac:dyDescent="0.25">
      <c r="A1270">
        <v>1268</v>
      </c>
      <c r="B1270">
        <f t="shared" si="38"/>
        <v>34</v>
      </c>
      <c r="C1270">
        <f t="shared" si="39"/>
        <v>14</v>
      </c>
      <c r="D1270" cm="1">
        <f t="array" ref="D1270">INDEX('Linha 06'!$A$4:$A$1000,B1270)</f>
        <v>20220018</v>
      </c>
      <c r="E1270" t="str" cm="1">
        <f t="array" ref="E1270">INDEX('Linha 06'!$B$4:$B$1000,B1270)</f>
        <v>Intermed. Aromat. Amoras E Baunilha Cx C/ 12un 250ml</v>
      </c>
      <c r="F1270" cm="1">
        <f t="array" ref="F1270">INDEX('Linha 06'!$C$3:$ZZ$3,C1270)</f>
        <v>20070008</v>
      </c>
      <c r="G1270" t="str" cm="1">
        <f t="array" ref="G1270">INDEX('Linha 06'!$C$2:$ZZ$2,C1270)</f>
        <v>Limpa Vidros Aquafast Squeeze Cx/12 X 500ml</v>
      </c>
      <c r="H1270" s="5" cm="1">
        <f t="array" ref="H1270">INDEX('Linha 06'!$C$4:$ZZ$1000,B1270,C1270)</f>
        <v>0</v>
      </c>
    </row>
    <row r="1271" spans="1:8" x14ac:dyDescent="0.25">
      <c r="A1271">
        <v>1269</v>
      </c>
      <c r="B1271">
        <f t="shared" si="38"/>
        <v>34</v>
      </c>
      <c r="C1271">
        <f t="shared" si="39"/>
        <v>15</v>
      </c>
      <c r="D1271" cm="1">
        <f t="array" ref="D1271">INDEX('Linha 06'!$A$4:$A$1000,B1271)</f>
        <v>20220018</v>
      </c>
      <c r="E1271" t="str" cm="1">
        <f t="array" ref="E1271">INDEX('Linha 06'!$B$4:$B$1000,B1271)</f>
        <v>Intermed. Aromat. Amoras E Baunilha Cx C/ 12un 250ml</v>
      </c>
      <c r="F1271" cm="1">
        <f t="array" ref="F1271">INDEX('Linha 06'!$C$3:$ZZ$3,C1271)</f>
        <v>20090001</v>
      </c>
      <c r="G1271" t="str" cm="1">
        <f t="array" ref="G1271">INDEX('Linha 06'!$C$2:$ZZ$2,C1271)</f>
        <v>Desengordurante Aquafast Pulverizador Cx/12 X 500ml</v>
      </c>
      <c r="H1271" s="5" cm="1">
        <f t="array" ref="H1271">INDEX('Linha 06'!$C$4:$ZZ$1000,B1271,C1271)</f>
        <v>0</v>
      </c>
    </row>
    <row r="1272" spans="1:8" x14ac:dyDescent="0.25">
      <c r="A1272">
        <v>1270</v>
      </c>
      <c r="B1272">
        <f t="shared" si="38"/>
        <v>34</v>
      </c>
      <c r="C1272">
        <f t="shared" si="39"/>
        <v>16</v>
      </c>
      <c r="D1272" cm="1">
        <f t="array" ref="D1272">INDEX('Linha 06'!$A$4:$A$1000,B1272)</f>
        <v>20220018</v>
      </c>
      <c r="E1272" t="str" cm="1">
        <f t="array" ref="E1272">INDEX('Linha 06'!$B$4:$B$1000,B1272)</f>
        <v>Intermed. Aromat. Amoras E Baunilha Cx C/ 12un 250ml</v>
      </c>
      <c r="F1272" cm="1">
        <f t="array" ref="F1272">INDEX('Linha 06'!$C$3:$ZZ$3,C1272)</f>
        <v>20090002</v>
      </c>
      <c r="G1272" t="str" cm="1">
        <f t="array" ref="G1272">INDEX('Linha 06'!$C$2:$ZZ$2,C1272)</f>
        <v>Desengordurante Aquafast Recarga Cx/12 X 500ml</v>
      </c>
      <c r="H1272" s="5" cm="1">
        <f t="array" ref="H1272">INDEX('Linha 06'!$C$4:$ZZ$1000,B1272,C1272)</f>
        <v>0</v>
      </c>
    </row>
    <row r="1273" spans="1:8" x14ac:dyDescent="0.25">
      <c r="A1273">
        <v>1271</v>
      </c>
      <c r="B1273">
        <f t="shared" si="38"/>
        <v>34</v>
      </c>
      <c r="C1273">
        <f t="shared" si="39"/>
        <v>17</v>
      </c>
      <c r="D1273" cm="1">
        <f t="array" ref="D1273">INDEX('Linha 06'!$A$4:$A$1000,B1273)</f>
        <v>20220018</v>
      </c>
      <c r="E1273" t="str" cm="1">
        <f t="array" ref="E1273">INDEX('Linha 06'!$B$4:$B$1000,B1273)</f>
        <v>Intermed. Aromat. Amoras E Baunilha Cx C/ 12un 250ml</v>
      </c>
      <c r="F1273" cm="1">
        <f t="array" ref="F1273">INDEX('Linha 06'!$C$3:$ZZ$3,C1273)</f>
        <v>20090004</v>
      </c>
      <c r="G1273" t="str" cm="1">
        <f t="array" ref="G1273">INDEX('Linha 06'!$C$2:$ZZ$2,C1273)</f>
        <v>Desengordurante Aquafast Squeeze Cx C/12 X 500ml</v>
      </c>
      <c r="H1273" s="5" cm="1">
        <f t="array" ref="H1273">INDEX('Linha 06'!$C$4:$ZZ$1000,B1273,C1273)</f>
        <v>0</v>
      </c>
    </row>
    <row r="1274" spans="1:8" x14ac:dyDescent="0.25">
      <c r="A1274">
        <v>1272</v>
      </c>
      <c r="B1274">
        <f t="shared" si="38"/>
        <v>34</v>
      </c>
      <c r="C1274">
        <f t="shared" si="39"/>
        <v>18</v>
      </c>
      <c r="D1274" cm="1">
        <f t="array" ref="D1274">INDEX('Linha 06'!$A$4:$A$1000,B1274)</f>
        <v>20220018</v>
      </c>
      <c r="E1274" t="str" cm="1">
        <f t="array" ref="E1274">INDEX('Linha 06'!$B$4:$B$1000,B1274)</f>
        <v>Intermed. Aromat. Amoras E Baunilha Cx C/ 12un 250ml</v>
      </c>
      <c r="F1274" cm="1">
        <f t="array" ref="F1274">INDEX('Linha 06'!$C$3:$ZZ$3,C1274)</f>
        <v>20090005</v>
      </c>
      <c r="G1274" t="str" cm="1">
        <f t="array" ref="G1274">INDEX('Linha 06'!$C$2:$ZZ$2,C1274)</f>
        <v>Desengordurante Aquafast Squeeze Cx C/12 X 1l</v>
      </c>
      <c r="H1274" s="5" cm="1">
        <f t="array" ref="H1274">INDEX('Linha 06'!$C$4:$ZZ$1000,B1274,C1274)</f>
        <v>0</v>
      </c>
    </row>
    <row r="1275" spans="1:8" x14ac:dyDescent="0.25">
      <c r="A1275">
        <v>1273</v>
      </c>
      <c r="B1275">
        <f t="shared" si="38"/>
        <v>34</v>
      </c>
      <c r="C1275">
        <f t="shared" si="39"/>
        <v>19</v>
      </c>
      <c r="D1275" cm="1">
        <f t="array" ref="D1275">INDEX('Linha 06'!$A$4:$A$1000,B1275)</f>
        <v>20220018</v>
      </c>
      <c r="E1275" t="str" cm="1">
        <f t="array" ref="E1275">INDEX('Linha 06'!$B$4:$B$1000,B1275)</f>
        <v>Intermed. Aromat. Amoras E Baunilha Cx C/ 12un 250ml</v>
      </c>
      <c r="F1275" cm="1">
        <f t="array" ref="F1275">INDEX('Linha 06'!$C$3:$ZZ$3,C1275)</f>
        <v>20090010</v>
      </c>
      <c r="G1275" t="str" cm="1">
        <f t="array" ref="G1275">INDEX('Linha 06'!$C$2:$ZZ$2,C1275)</f>
        <v>Intermed Pack Desengord Squeeze Cx C/18 X 500ml</v>
      </c>
      <c r="H1275" s="5" cm="1">
        <f t="array" ref="H1275">INDEX('Linha 06'!$C$4:$ZZ$1000,B1275,C1275)</f>
        <v>0</v>
      </c>
    </row>
    <row r="1276" spans="1:8" x14ac:dyDescent="0.25">
      <c r="A1276">
        <v>1274</v>
      </c>
      <c r="B1276">
        <f t="shared" si="38"/>
        <v>34</v>
      </c>
      <c r="C1276">
        <f t="shared" si="39"/>
        <v>20</v>
      </c>
      <c r="D1276" cm="1">
        <f t="array" ref="D1276">INDEX('Linha 06'!$A$4:$A$1000,B1276)</f>
        <v>20220018</v>
      </c>
      <c r="E1276" t="str" cm="1">
        <f t="array" ref="E1276">INDEX('Linha 06'!$B$4:$B$1000,B1276)</f>
        <v>Intermed. Aromat. Amoras E Baunilha Cx C/ 12un 250ml</v>
      </c>
      <c r="F1276" cm="1">
        <f t="array" ref="F1276">INDEX('Linha 06'!$C$3:$ZZ$3,C1276)</f>
        <v>20110002</v>
      </c>
      <c r="G1276" t="str" cm="1">
        <f t="array" ref="G1276">INDEX('Linha 06'!$C$2:$ZZ$2,C1276)</f>
        <v>Multi Uso Aquafast Squeeze Original Cx/12 X 500ml</v>
      </c>
      <c r="H1276" s="5" cm="1">
        <f t="array" ref="H1276">INDEX('Linha 06'!$C$4:$ZZ$1000,B1276,C1276)</f>
        <v>0</v>
      </c>
    </row>
    <row r="1277" spans="1:8" x14ac:dyDescent="0.25">
      <c r="A1277">
        <v>1275</v>
      </c>
      <c r="B1277">
        <f t="shared" si="38"/>
        <v>34</v>
      </c>
      <c r="C1277">
        <f t="shared" si="39"/>
        <v>21</v>
      </c>
      <c r="D1277" cm="1">
        <f t="array" ref="D1277">INDEX('Linha 06'!$A$4:$A$1000,B1277)</f>
        <v>20220018</v>
      </c>
      <c r="E1277" t="str" cm="1">
        <f t="array" ref="E1277">INDEX('Linha 06'!$B$4:$B$1000,B1277)</f>
        <v>Intermed. Aromat. Amoras E Baunilha Cx C/ 12un 250ml</v>
      </c>
      <c r="F1277" cm="1">
        <f t="array" ref="F1277">INDEX('Linha 06'!$C$3:$ZZ$3,C1277)</f>
        <v>20110004</v>
      </c>
      <c r="G1277" t="str" cm="1">
        <f t="array" ref="G1277">INDEX('Linha 06'!$C$2:$ZZ$2,C1277)</f>
        <v>Multi Uso Aquafast Squeeze Lavanda Cx/12 X 500ml</v>
      </c>
      <c r="H1277" s="5" cm="1">
        <f t="array" ref="H1277">INDEX('Linha 06'!$C$4:$ZZ$1000,B1277,C1277)</f>
        <v>0</v>
      </c>
    </row>
    <row r="1278" spans="1:8" x14ac:dyDescent="0.25">
      <c r="A1278">
        <v>1276</v>
      </c>
      <c r="B1278">
        <f t="shared" si="38"/>
        <v>34</v>
      </c>
      <c r="C1278">
        <f t="shared" si="39"/>
        <v>22</v>
      </c>
      <c r="D1278" cm="1">
        <f t="array" ref="D1278">INDEX('Linha 06'!$A$4:$A$1000,B1278)</f>
        <v>20220018</v>
      </c>
      <c r="E1278" t="str" cm="1">
        <f t="array" ref="E1278">INDEX('Linha 06'!$B$4:$B$1000,B1278)</f>
        <v>Intermed. Aromat. Amoras E Baunilha Cx C/ 12un 250ml</v>
      </c>
      <c r="F1278" cm="1">
        <f t="array" ref="F1278">INDEX('Linha 06'!$C$3:$ZZ$3,C1278)</f>
        <v>20110007</v>
      </c>
      <c r="G1278" t="str" cm="1">
        <f t="array" ref="G1278">INDEX('Linha 06'!$C$2:$ZZ$2,C1278)</f>
        <v>Multi Uso Aquafast Squeeze Seducao Cx/12 X 500ml</v>
      </c>
      <c r="H1278" s="5" cm="1">
        <f t="array" ref="H1278">INDEX('Linha 06'!$C$4:$ZZ$1000,B1278,C1278)</f>
        <v>0</v>
      </c>
    </row>
    <row r="1279" spans="1:8" x14ac:dyDescent="0.25">
      <c r="A1279">
        <v>1277</v>
      </c>
      <c r="B1279">
        <f t="shared" si="38"/>
        <v>34</v>
      </c>
      <c r="C1279">
        <f t="shared" si="39"/>
        <v>23</v>
      </c>
      <c r="D1279" cm="1">
        <f t="array" ref="D1279">INDEX('Linha 06'!$A$4:$A$1000,B1279)</f>
        <v>20220018</v>
      </c>
      <c r="E1279" t="str" cm="1">
        <f t="array" ref="E1279">INDEX('Linha 06'!$B$4:$B$1000,B1279)</f>
        <v>Intermed. Aromat. Amoras E Baunilha Cx C/ 12un 250ml</v>
      </c>
      <c r="F1279" cm="1">
        <f t="array" ref="F1279">INDEX('Linha 06'!$C$3:$ZZ$3,C1279)</f>
        <v>20110008</v>
      </c>
      <c r="G1279" t="str" cm="1">
        <f t="array" ref="G1279">INDEX('Linha 06'!$C$2:$ZZ$2,C1279)</f>
        <v>Multi Uso Aquafast Squeeze Original Cx/12 X 1l</v>
      </c>
      <c r="H1279" s="5" cm="1">
        <f t="array" ref="H1279">INDEX('Linha 06'!$C$4:$ZZ$1000,B1279,C1279)</f>
        <v>0</v>
      </c>
    </row>
    <row r="1280" spans="1:8" x14ac:dyDescent="0.25">
      <c r="A1280">
        <v>1278</v>
      </c>
      <c r="B1280">
        <f t="shared" si="38"/>
        <v>34</v>
      </c>
      <c r="C1280">
        <f t="shared" si="39"/>
        <v>24</v>
      </c>
      <c r="D1280" cm="1">
        <f t="array" ref="D1280">INDEX('Linha 06'!$A$4:$A$1000,B1280)</f>
        <v>20220018</v>
      </c>
      <c r="E1280" t="str" cm="1">
        <f t="array" ref="E1280">INDEX('Linha 06'!$B$4:$B$1000,B1280)</f>
        <v>Intermed. Aromat. Amoras E Baunilha Cx C/ 12un 250ml</v>
      </c>
      <c r="F1280" cm="1">
        <f t="array" ref="F1280">INDEX('Linha 06'!$C$3:$ZZ$3,C1280)</f>
        <v>20110010</v>
      </c>
      <c r="G1280" t="str" cm="1">
        <f t="array" ref="G1280">INDEX('Linha 06'!$C$2:$ZZ$2,C1280)</f>
        <v>Multi Uso Aquafast Squeeze Seducao Cx/12 1l</v>
      </c>
      <c r="H1280" s="5" cm="1">
        <f t="array" ref="H1280">INDEX('Linha 06'!$C$4:$ZZ$1000,B1280,C1280)</f>
        <v>0</v>
      </c>
    </row>
    <row r="1281" spans="1:8" x14ac:dyDescent="0.25">
      <c r="A1281">
        <v>1279</v>
      </c>
      <c r="B1281">
        <f t="shared" si="38"/>
        <v>34</v>
      </c>
      <c r="C1281">
        <f t="shared" si="39"/>
        <v>25</v>
      </c>
      <c r="D1281" cm="1">
        <f t="array" ref="D1281">INDEX('Linha 06'!$A$4:$A$1000,B1281)</f>
        <v>20220018</v>
      </c>
      <c r="E1281" t="str" cm="1">
        <f t="array" ref="E1281">INDEX('Linha 06'!$B$4:$B$1000,B1281)</f>
        <v>Intermed. Aromat. Amoras E Baunilha Cx C/ 12un 250ml</v>
      </c>
      <c r="F1281" cm="1">
        <f t="array" ref="F1281">INDEX('Linha 06'!$C$3:$ZZ$3,C1281)</f>
        <v>20110013</v>
      </c>
      <c r="G1281" t="str" cm="1">
        <f t="array" ref="G1281">INDEX('Linha 06'!$C$2:$ZZ$2,C1281)</f>
        <v>Multi Uso Aquafast Squeeze Lavanda Cx/12 X 1l</v>
      </c>
      <c r="H1281" s="5" cm="1">
        <f t="array" ref="H1281">INDEX('Linha 06'!$C$4:$ZZ$1000,B1281,C1281)</f>
        <v>0</v>
      </c>
    </row>
    <row r="1282" spans="1:8" x14ac:dyDescent="0.25">
      <c r="A1282">
        <v>1280</v>
      </c>
      <c r="B1282">
        <f t="shared" si="38"/>
        <v>34</v>
      </c>
      <c r="C1282">
        <f t="shared" si="39"/>
        <v>26</v>
      </c>
      <c r="D1282" cm="1">
        <f t="array" ref="D1282">INDEX('Linha 06'!$A$4:$A$1000,B1282)</f>
        <v>20220018</v>
      </c>
      <c r="E1282" t="str" cm="1">
        <f t="array" ref="E1282">INDEX('Linha 06'!$B$4:$B$1000,B1282)</f>
        <v>Intermed. Aromat. Amoras E Baunilha Cx C/ 12un 250ml</v>
      </c>
      <c r="F1282" cm="1">
        <f t="array" ref="F1282">INDEX('Linha 06'!$C$3:$ZZ$3,C1282)</f>
        <v>20110022</v>
      </c>
      <c r="G1282" t="str" cm="1">
        <f t="array" ref="G1282">INDEX('Linha 06'!$C$2:$ZZ$2,C1282)</f>
        <v>Intermed Pack Multi Uso Lavand C/Alcool Cx/18 X 500ml</v>
      </c>
      <c r="H1282" s="5" cm="1">
        <f t="array" ref="H1282">INDEX('Linha 06'!$C$4:$ZZ$1000,B1282,C1282)</f>
        <v>0</v>
      </c>
    </row>
    <row r="1283" spans="1:8" x14ac:dyDescent="0.25">
      <c r="A1283">
        <v>1281</v>
      </c>
      <c r="B1283">
        <f t="shared" si="38"/>
        <v>34</v>
      </c>
      <c r="C1283">
        <f t="shared" si="39"/>
        <v>27</v>
      </c>
      <c r="D1283" cm="1">
        <f t="array" ref="D1283">INDEX('Linha 06'!$A$4:$A$1000,B1283)</f>
        <v>20220018</v>
      </c>
      <c r="E1283" t="str" cm="1">
        <f t="array" ref="E1283">INDEX('Linha 06'!$B$4:$B$1000,B1283)</f>
        <v>Intermed. Aromat. Amoras E Baunilha Cx C/ 12un 250ml</v>
      </c>
      <c r="F1283" cm="1">
        <f t="array" ref="F1283">INDEX('Linha 06'!$C$3:$ZZ$3,C1283)</f>
        <v>20110023</v>
      </c>
      <c r="G1283" t="str" cm="1">
        <f t="array" ref="G1283">INDEX('Linha 06'!$C$2:$ZZ$2,C1283)</f>
        <v>Multi Uso Aquafast Squeeze Cha Branco  Cx/12 X 500ml</v>
      </c>
      <c r="H1283" s="5" cm="1">
        <f t="array" ref="H1283">INDEX('Linha 06'!$C$4:$ZZ$1000,B1283,C1283)</f>
        <v>0</v>
      </c>
    </row>
    <row r="1284" spans="1:8" x14ac:dyDescent="0.25">
      <c r="A1284">
        <v>1282</v>
      </c>
      <c r="B1284">
        <f t="shared" ref="B1284:B1347" si="40">INT((A1284-1)/$B$1)+1</f>
        <v>34</v>
      </c>
      <c r="C1284">
        <f t="shared" ref="C1284:C1347" si="41">MOD(A1284-1,$B$1)+1</f>
        <v>28</v>
      </c>
      <c r="D1284" cm="1">
        <f t="array" ref="D1284">INDEX('Linha 06'!$A$4:$A$1000,B1284)</f>
        <v>20220018</v>
      </c>
      <c r="E1284" t="str" cm="1">
        <f t="array" ref="E1284">INDEX('Linha 06'!$B$4:$B$1000,B1284)</f>
        <v>Intermed. Aromat. Amoras E Baunilha Cx C/ 12un 250ml</v>
      </c>
      <c r="F1284" cm="1">
        <f t="array" ref="F1284">INDEX('Linha 06'!$C$3:$ZZ$3,C1284)</f>
        <v>20110024</v>
      </c>
      <c r="G1284" t="str" cm="1">
        <f t="array" ref="G1284">INDEX('Linha 06'!$C$2:$ZZ$2,C1284)</f>
        <v>Multi Uso Aquafast Squeeze Cha Branco Cx12 X 1l</v>
      </c>
      <c r="H1284" s="5" cm="1">
        <f t="array" ref="H1284">INDEX('Linha 06'!$C$4:$ZZ$1000,B1284,C1284)</f>
        <v>0</v>
      </c>
    </row>
    <row r="1285" spans="1:8" x14ac:dyDescent="0.25">
      <c r="A1285">
        <v>1283</v>
      </c>
      <c r="B1285">
        <f t="shared" si="40"/>
        <v>34</v>
      </c>
      <c r="C1285">
        <f t="shared" si="41"/>
        <v>29</v>
      </c>
      <c r="D1285" cm="1">
        <f t="array" ref="D1285">INDEX('Linha 06'!$A$4:$A$1000,B1285)</f>
        <v>20220018</v>
      </c>
      <c r="E1285" t="str" cm="1">
        <f t="array" ref="E1285">INDEX('Linha 06'!$B$4:$B$1000,B1285)</f>
        <v>Intermed. Aromat. Amoras E Baunilha Cx C/ 12un 250ml</v>
      </c>
      <c r="F1285" cm="1">
        <f t="array" ref="F1285">INDEX('Linha 06'!$C$3:$ZZ$3,C1285)</f>
        <v>20110025</v>
      </c>
      <c r="G1285" t="str" cm="1">
        <f t="array" ref="G1285">INDEX('Linha 06'!$C$2:$ZZ$2,C1285)</f>
        <v>Multi Uso Aquafast Pulverizador Original Cx/12 X 1l</v>
      </c>
      <c r="H1285" s="5" cm="1">
        <f t="array" ref="H1285">INDEX('Linha 06'!$C$4:$ZZ$1000,B1285,C1285)</f>
        <v>0</v>
      </c>
    </row>
    <row r="1286" spans="1:8" x14ac:dyDescent="0.25">
      <c r="A1286">
        <v>1284</v>
      </c>
      <c r="B1286">
        <f t="shared" si="40"/>
        <v>34</v>
      </c>
      <c r="C1286">
        <f t="shared" si="41"/>
        <v>30</v>
      </c>
      <c r="D1286" cm="1">
        <f t="array" ref="D1286">INDEX('Linha 06'!$A$4:$A$1000,B1286)</f>
        <v>20220018</v>
      </c>
      <c r="E1286" t="str" cm="1">
        <f t="array" ref="E1286">INDEX('Linha 06'!$B$4:$B$1000,B1286)</f>
        <v>Intermed. Aromat. Amoras E Baunilha Cx C/ 12un 250ml</v>
      </c>
      <c r="F1286" cm="1">
        <f t="array" ref="F1286">INDEX('Linha 06'!$C$3:$ZZ$3,C1286)</f>
        <v>20110026</v>
      </c>
      <c r="G1286" t="str" cm="1">
        <f t="array" ref="G1286">INDEX('Linha 06'!$C$2:$ZZ$2,C1286)</f>
        <v>Multi Uso Aquafast Pulverizador Poder O2 Cx/12 X 1l</v>
      </c>
      <c r="H1286" s="5" cm="1">
        <f t="array" ref="H1286">INDEX('Linha 06'!$C$4:$ZZ$1000,B1286,C1286)</f>
        <v>0</v>
      </c>
    </row>
    <row r="1287" spans="1:8" x14ac:dyDescent="0.25">
      <c r="A1287">
        <v>1285</v>
      </c>
      <c r="B1287">
        <f t="shared" si="40"/>
        <v>34</v>
      </c>
      <c r="C1287">
        <f t="shared" si="41"/>
        <v>31</v>
      </c>
      <c r="D1287" cm="1">
        <f t="array" ref="D1287">INDEX('Linha 06'!$A$4:$A$1000,B1287)</f>
        <v>20220018</v>
      </c>
      <c r="E1287" t="str" cm="1">
        <f t="array" ref="E1287">INDEX('Linha 06'!$B$4:$B$1000,B1287)</f>
        <v>Intermed. Aromat. Amoras E Baunilha Cx C/ 12un 250ml</v>
      </c>
      <c r="F1287" cm="1">
        <f t="array" ref="F1287">INDEX('Linha 06'!$C$3:$ZZ$3,C1287)</f>
        <v>20110027</v>
      </c>
      <c r="G1287" t="str" cm="1">
        <f t="array" ref="G1287">INDEX('Linha 06'!$C$2:$ZZ$2,C1287)</f>
        <v>Multi Uso Aquafast Pulverizador Poder O2 Cx/12 X 500ml</v>
      </c>
      <c r="H1287" s="5" cm="1">
        <f t="array" ref="H1287">INDEX('Linha 06'!$C$4:$ZZ$1000,B1287,C1287)</f>
        <v>0</v>
      </c>
    </row>
    <row r="1288" spans="1:8" x14ac:dyDescent="0.25">
      <c r="A1288">
        <v>1286</v>
      </c>
      <c r="B1288">
        <f t="shared" si="40"/>
        <v>34</v>
      </c>
      <c r="C1288">
        <f t="shared" si="41"/>
        <v>32</v>
      </c>
      <c r="D1288" cm="1">
        <f t="array" ref="D1288">INDEX('Linha 06'!$A$4:$A$1000,B1288)</f>
        <v>20220018</v>
      </c>
      <c r="E1288" t="str" cm="1">
        <f t="array" ref="E1288">INDEX('Linha 06'!$B$4:$B$1000,B1288)</f>
        <v>Intermed. Aromat. Amoras E Baunilha Cx C/ 12un 250ml</v>
      </c>
      <c r="F1288" cm="1">
        <f t="array" ref="F1288">INDEX('Linha 06'!$C$3:$ZZ$3,C1288)</f>
        <v>20200073</v>
      </c>
      <c r="G1288" t="str" cm="1">
        <f t="array" ref="G1288">INDEX('Linha 06'!$C$2:$ZZ$2,C1288)</f>
        <v>Lava Roupas Aquafast Lavagem Rapida Total Clean Cx/9 X 1,5l</v>
      </c>
      <c r="H1288" s="5" cm="1">
        <f t="array" ref="H1288">INDEX('Linha 06'!$C$4:$ZZ$1000,B1288,C1288)</f>
        <v>0</v>
      </c>
    </row>
    <row r="1289" spans="1:8" x14ac:dyDescent="0.25">
      <c r="A1289">
        <v>1287</v>
      </c>
      <c r="B1289">
        <f t="shared" si="40"/>
        <v>34</v>
      </c>
      <c r="C1289">
        <f t="shared" si="41"/>
        <v>33</v>
      </c>
      <c r="D1289" cm="1">
        <f t="array" ref="D1289">INDEX('Linha 06'!$A$4:$A$1000,B1289)</f>
        <v>20220018</v>
      </c>
      <c r="E1289" t="str" cm="1">
        <f t="array" ref="E1289">INDEX('Linha 06'!$B$4:$B$1000,B1289)</f>
        <v>Intermed. Aromat. Amoras E Baunilha Cx C/ 12un 250ml</v>
      </c>
      <c r="F1289" cm="1">
        <f t="array" ref="F1289">INDEX('Linha 06'!$C$3:$ZZ$3,C1289)</f>
        <v>20200075</v>
      </c>
      <c r="G1289" t="str" cm="1">
        <f t="array" ref="G1289">INDEX('Linha 06'!$C$2:$ZZ$2,C1289)</f>
        <v>Lava Roupas Aquafast Lavagem Rapida Fresh Clean Cx/9 X 1,5l</v>
      </c>
      <c r="H1289" s="5" cm="1">
        <f t="array" ref="H1289">INDEX('Linha 06'!$C$4:$ZZ$1000,B1289,C1289)</f>
        <v>0</v>
      </c>
    </row>
    <row r="1290" spans="1:8" x14ac:dyDescent="0.25">
      <c r="A1290">
        <v>1288</v>
      </c>
      <c r="B1290">
        <f t="shared" si="40"/>
        <v>34</v>
      </c>
      <c r="C1290">
        <f t="shared" si="41"/>
        <v>34</v>
      </c>
      <c r="D1290" cm="1">
        <f t="array" ref="D1290">INDEX('Linha 06'!$A$4:$A$1000,B1290)</f>
        <v>20220018</v>
      </c>
      <c r="E1290" t="str" cm="1">
        <f t="array" ref="E1290">INDEX('Linha 06'!$B$4:$B$1000,B1290)</f>
        <v>Intermed. Aromat. Amoras E Baunilha Cx C/ 12un 250ml</v>
      </c>
      <c r="F1290" cm="1">
        <f t="array" ref="F1290">INDEX('Linha 06'!$C$3:$ZZ$3,C1290)</f>
        <v>20220018</v>
      </c>
      <c r="G1290" t="str" cm="1">
        <f t="array" ref="G1290">INDEX('Linha 06'!$C$2:$ZZ$2,C1290)</f>
        <v>Intermed. Aromat. Amoras E Baunilha Cx C/ 12un 250ml</v>
      </c>
      <c r="H1290" s="5" cm="1">
        <f t="array" ref="H1290">INDEX('Linha 06'!$C$4:$ZZ$1000,B1290,C1290)</f>
        <v>0</v>
      </c>
    </row>
    <row r="1291" spans="1:8" x14ac:dyDescent="0.25">
      <c r="A1291">
        <v>1289</v>
      </c>
      <c r="B1291">
        <f t="shared" si="40"/>
        <v>34</v>
      </c>
      <c r="C1291">
        <f t="shared" si="41"/>
        <v>35</v>
      </c>
      <c r="D1291" cm="1">
        <f t="array" ref="D1291">INDEX('Linha 06'!$A$4:$A$1000,B1291)</f>
        <v>20220018</v>
      </c>
      <c r="E1291" t="str" cm="1">
        <f t="array" ref="E1291">INDEX('Linha 06'!$B$4:$B$1000,B1291)</f>
        <v>Intermed. Aromat. Amoras E Baunilha Cx C/ 12un 250ml</v>
      </c>
      <c r="F1291" cm="1">
        <f t="array" ref="F1291">INDEX('Linha 06'!$C$3:$ZZ$3,C1291)</f>
        <v>20220019</v>
      </c>
      <c r="G1291" t="str" cm="1">
        <f t="array" ref="G1291">INDEX('Linha 06'!$C$2:$ZZ$2,C1291)</f>
        <v>Intermed. Aromat. Figo E Cedro Cx C/ 12un 250ml</v>
      </c>
      <c r="H1291" s="5" cm="1">
        <f t="array" ref="H1291">INDEX('Linha 06'!$C$4:$ZZ$1000,B1291,C1291)</f>
        <v>0</v>
      </c>
    </row>
    <row r="1292" spans="1:8" x14ac:dyDescent="0.25">
      <c r="A1292">
        <v>1290</v>
      </c>
      <c r="B1292">
        <f t="shared" si="40"/>
        <v>34</v>
      </c>
      <c r="C1292">
        <f t="shared" si="41"/>
        <v>36</v>
      </c>
      <c r="D1292" cm="1">
        <f t="array" ref="D1292">INDEX('Linha 06'!$A$4:$A$1000,B1292)</f>
        <v>20220018</v>
      </c>
      <c r="E1292" t="str" cm="1">
        <f t="array" ref="E1292">INDEX('Linha 06'!$B$4:$B$1000,B1292)</f>
        <v>Intermed. Aromat. Amoras E Baunilha Cx C/ 12un 250ml</v>
      </c>
      <c r="F1292" cm="1">
        <f t="array" ref="F1292">INDEX('Linha 06'!$C$3:$ZZ$3,C1292)</f>
        <v>20220020</v>
      </c>
      <c r="G1292" t="str" cm="1">
        <f t="array" ref="G1292">INDEX('Linha 06'!$C$2:$ZZ$2,C1292)</f>
        <v>Intermed. Aromat. Rosas E Magnolias Cx C/ 12un 250ml</v>
      </c>
      <c r="H1292" s="5" cm="1">
        <f t="array" ref="H1292">INDEX('Linha 06'!$C$4:$ZZ$1000,B1292,C1292)</f>
        <v>0</v>
      </c>
    </row>
    <row r="1293" spans="1:8" x14ac:dyDescent="0.25">
      <c r="A1293">
        <v>1291</v>
      </c>
      <c r="B1293">
        <f t="shared" si="40"/>
        <v>34</v>
      </c>
      <c r="C1293">
        <f t="shared" si="41"/>
        <v>37</v>
      </c>
      <c r="D1293" cm="1">
        <f t="array" ref="D1293">INDEX('Linha 06'!$A$4:$A$1000,B1293)</f>
        <v>20220018</v>
      </c>
      <c r="E1293" t="str" cm="1">
        <f t="array" ref="E1293">INDEX('Linha 06'!$B$4:$B$1000,B1293)</f>
        <v>Intermed. Aromat. Amoras E Baunilha Cx C/ 12un 250ml</v>
      </c>
      <c r="F1293" cm="1">
        <f t="array" ref="F1293">INDEX('Linha 06'!$C$3:$ZZ$3,C1293)</f>
        <v>20220021</v>
      </c>
      <c r="G1293" t="str" cm="1">
        <f t="array" ref="G1293">INDEX('Linha 06'!$C$2:$ZZ$2,C1293)</f>
        <v>Intermed. Aromat. Flores Exoticas Cx C/ 12un 250ml</v>
      </c>
      <c r="H1293" s="5" cm="1">
        <f t="array" ref="H1293">INDEX('Linha 06'!$C$4:$ZZ$1000,B1293,C1293)</f>
        <v>0</v>
      </c>
    </row>
    <row r="1294" spans="1:8" x14ac:dyDescent="0.25">
      <c r="A1294">
        <v>1292</v>
      </c>
      <c r="B1294">
        <f t="shared" si="40"/>
        <v>34</v>
      </c>
      <c r="C1294">
        <f t="shared" si="41"/>
        <v>38</v>
      </c>
      <c r="D1294" cm="1">
        <f t="array" ref="D1294">INDEX('Linha 06'!$A$4:$A$1000,B1294)</f>
        <v>20220018</v>
      </c>
      <c r="E1294" t="str" cm="1">
        <f t="array" ref="E1294">INDEX('Linha 06'!$B$4:$B$1000,B1294)</f>
        <v>Intermed. Aromat. Amoras E Baunilha Cx C/ 12un 250ml</v>
      </c>
      <c r="F1294" cm="1">
        <f t="array" ref="F1294">INDEX('Linha 06'!$C$3:$ZZ$3,C1294)</f>
        <v>20220022</v>
      </c>
      <c r="G1294" t="str" cm="1">
        <f t="array" ref="G1294">INDEX('Linha 06'!$C$2:$ZZ$2,C1294)</f>
        <v>Intermed. Aromat. Cha Verde E Grapef Cx C/ 12un 250ml</v>
      </c>
      <c r="H1294" s="5" cm="1">
        <f t="array" ref="H1294">INDEX('Linha 06'!$C$4:$ZZ$1000,B1294,C1294)</f>
        <v>0</v>
      </c>
    </row>
    <row r="1295" spans="1:8" x14ac:dyDescent="0.25">
      <c r="A1295">
        <v>1293</v>
      </c>
      <c r="B1295">
        <f t="shared" si="40"/>
        <v>35</v>
      </c>
      <c r="C1295">
        <f t="shared" si="41"/>
        <v>1</v>
      </c>
      <c r="D1295" cm="1">
        <f t="array" ref="D1295">INDEX('Linha 06'!$A$4:$A$1000,B1295)</f>
        <v>20220019</v>
      </c>
      <c r="E1295" t="str" cm="1">
        <f t="array" ref="E1295">INDEX('Linha 06'!$B$4:$B$1000,B1295)</f>
        <v>Intermed. Aromat. Figo E Cedro Cx C/ 12un 250ml</v>
      </c>
      <c r="F1295" cm="1">
        <f t="array" ref="F1295">INDEX('Linha 06'!$C$3:$ZZ$3,C1295)</f>
        <v>20060001</v>
      </c>
      <c r="G1295" t="str" cm="1">
        <f t="array" ref="G1295">INDEX('Linha 06'!$C$2:$ZZ$2,C1295)</f>
        <v>Limp Perf Aquafast Magia Seducao Cx/12 X 500ml</v>
      </c>
      <c r="H1295" s="5" cm="1">
        <f t="array" ref="H1295">INDEX('Linha 06'!$C$4:$ZZ$1000,B1295,C1295)</f>
        <v>0</v>
      </c>
    </row>
    <row r="1296" spans="1:8" x14ac:dyDescent="0.25">
      <c r="A1296">
        <v>1294</v>
      </c>
      <c r="B1296">
        <f t="shared" si="40"/>
        <v>35</v>
      </c>
      <c r="C1296">
        <f t="shared" si="41"/>
        <v>2</v>
      </c>
      <c r="D1296" cm="1">
        <f t="array" ref="D1296">INDEX('Linha 06'!$A$4:$A$1000,B1296)</f>
        <v>20220019</v>
      </c>
      <c r="E1296" t="str" cm="1">
        <f t="array" ref="E1296">INDEX('Linha 06'!$B$4:$B$1000,B1296)</f>
        <v>Intermed. Aromat. Figo E Cedro Cx C/ 12un 250ml</v>
      </c>
      <c r="F1296" cm="1">
        <f t="array" ref="F1296">INDEX('Linha 06'!$C$3:$ZZ$3,C1296)</f>
        <v>20060004</v>
      </c>
      <c r="G1296" t="str" cm="1">
        <f t="array" ref="G1296">INDEX('Linha 06'!$C$2:$ZZ$2,C1296)</f>
        <v>Limp Perf Aquafast Magia Seducao Cx/12 X 1l</v>
      </c>
      <c r="H1296" s="5" cm="1">
        <f t="array" ref="H1296">INDEX('Linha 06'!$C$4:$ZZ$1000,B1296,C1296)</f>
        <v>0</v>
      </c>
    </row>
    <row r="1297" spans="1:8" x14ac:dyDescent="0.25">
      <c r="A1297">
        <v>1295</v>
      </c>
      <c r="B1297">
        <f t="shared" si="40"/>
        <v>35</v>
      </c>
      <c r="C1297">
        <f t="shared" si="41"/>
        <v>3</v>
      </c>
      <c r="D1297" cm="1">
        <f t="array" ref="D1297">INDEX('Linha 06'!$A$4:$A$1000,B1297)</f>
        <v>20220019</v>
      </c>
      <c r="E1297" t="str" cm="1">
        <f t="array" ref="E1297">INDEX('Linha 06'!$B$4:$B$1000,B1297)</f>
        <v>Intermed. Aromat. Figo E Cedro Cx C/ 12un 250ml</v>
      </c>
      <c r="F1297" cm="1">
        <f t="array" ref="F1297">INDEX('Linha 06'!$C$3:$ZZ$3,C1297)</f>
        <v>20060010</v>
      </c>
      <c r="G1297" t="str" cm="1">
        <f t="array" ref="G1297">INDEX('Linha 06'!$C$2:$ZZ$2,C1297)</f>
        <v>Limp Perf Aquafast Magia Da Infancia Cx/12 X 500ml</v>
      </c>
      <c r="H1297" s="5" cm="1">
        <f t="array" ref="H1297">INDEX('Linha 06'!$C$4:$ZZ$1000,B1297,C1297)</f>
        <v>0</v>
      </c>
    </row>
    <row r="1298" spans="1:8" x14ac:dyDescent="0.25">
      <c r="A1298">
        <v>1296</v>
      </c>
      <c r="B1298">
        <f t="shared" si="40"/>
        <v>35</v>
      </c>
      <c r="C1298">
        <f t="shared" si="41"/>
        <v>4</v>
      </c>
      <c r="D1298" cm="1">
        <f t="array" ref="D1298">INDEX('Linha 06'!$A$4:$A$1000,B1298)</f>
        <v>20220019</v>
      </c>
      <c r="E1298" t="str" cm="1">
        <f t="array" ref="E1298">INDEX('Linha 06'!$B$4:$B$1000,B1298)</f>
        <v>Intermed. Aromat. Figo E Cedro Cx C/ 12un 250ml</v>
      </c>
      <c r="F1298" cm="1">
        <f t="array" ref="F1298">INDEX('Linha 06'!$C$3:$ZZ$3,C1298)</f>
        <v>20060011</v>
      </c>
      <c r="G1298" t="str" cm="1">
        <f t="array" ref="G1298">INDEX('Linha 06'!$C$2:$ZZ$2,C1298)</f>
        <v>Limp Perf Aquafast Frescor Da Manha Cx/12 X 500ml</v>
      </c>
      <c r="H1298" s="5" cm="1">
        <f t="array" ref="H1298">INDEX('Linha 06'!$C$4:$ZZ$1000,B1298,C1298)</f>
        <v>0</v>
      </c>
    </row>
    <row r="1299" spans="1:8" x14ac:dyDescent="0.25">
      <c r="A1299">
        <v>1297</v>
      </c>
      <c r="B1299">
        <f t="shared" si="40"/>
        <v>35</v>
      </c>
      <c r="C1299">
        <f t="shared" si="41"/>
        <v>5</v>
      </c>
      <c r="D1299" cm="1">
        <f t="array" ref="D1299">INDEX('Linha 06'!$A$4:$A$1000,B1299)</f>
        <v>20220019</v>
      </c>
      <c r="E1299" t="str" cm="1">
        <f t="array" ref="E1299">INDEX('Linha 06'!$B$4:$B$1000,B1299)</f>
        <v>Intermed. Aromat. Figo E Cedro Cx C/ 12un 250ml</v>
      </c>
      <c r="F1299" cm="1">
        <f t="array" ref="F1299">INDEX('Linha 06'!$C$3:$ZZ$3,C1299)</f>
        <v>20060012</v>
      </c>
      <c r="G1299" t="str" cm="1">
        <f t="array" ref="G1299">INDEX('Linha 06'!$C$2:$ZZ$2,C1299)</f>
        <v>Limp Perf Aquafast Magia Da Infancia Cx/12 X 1l</v>
      </c>
      <c r="H1299" s="5" cm="1">
        <f t="array" ref="H1299">INDEX('Linha 06'!$C$4:$ZZ$1000,B1299,C1299)</f>
        <v>0</v>
      </c>
    </row>
    <row r="1300" spans="1:8" x14ac:dyDescent="0.25">
      <c r="A1300">
        <v>1298</v>
      </c>
      <c r="B1300">
        <f t="shared" si="40"/>
        <v>35</v>
      </c>
      <c r="C1300">
        <f t="shared" si="41"/>
        <v>6</v>
      </c>
      <c r="D1300" cm="1">
        <f t="array" ref="D1300">INDEX('Linha 06'!$A$4:$A$1000,B1300)</f>
        <v>20220019</v>
      </c>
      <c r="E1300" t="str" cm="1">
        <f t="array" ref="E1300">INDEX('Linha 06'!$B$4:$B$1000,B1300)</f>
        <v>Intermed. Aromat. Figo E Cedro Cx C/ 12un 250ml</v>
      </c>
      <c r="F1300" cm="1">
        <f t="array" ref="F1300">INDEX('Linha 06'!$C$3:$ZZ$3,C1300)</f>
        <v>20060013</v>
      </c>
      <c r="G1300" t="str" cm="1">
        <f t="array" ref="G1300">INDEX('Linha 06'!$C$2:$ZZ$2,C1300)</f>
        <v>Limp Perf Aquafast Frescor Da Manha Cx/12 X 1l</v>
      </c>
      <c r="H1300" s="5" cm="1">
        <f t="array" ref="H1300">INDEX('Linha 06'!$C$4:$ZZ$1000,B1300,C1300)</f>
        <v>0</v>
      </c>
    </row>
    <row r="1301" spans="1:8" x14ac:dyDescent="0.25">
      <c r="A1301">
        <v>1299</v>
      </c>
      <c r="B1301">
        <f t="shared" si="40"/>
        <v>35</v>
      </c>
      <c r="C1301">
        <f t="shared" si="41"/>
        <v>7</v>
      </c>
      <c r="D1301" cm="1">
        <f t="array" ref="D1301">INDEX('Linha 06'!$A$4:$A$1000,B1301)</f>
        <v>20220019</v>
      </c>
      <c r="E1301" t="str" cm="1">
        <f t="array" ref="E1301">INDEX('Linha 06'!$B$4:$B$1000,B1301)</f>
        <v>Intermed. Aromat. Figo E Cedro Cx C/ 12un 250ml</v>
      </c>
      <c r="F1301" cm="1">
        <f t="array" ref="F1301">INDEX('Linha 06'!$C$3:$ZZ$3,C1301)</f>
        <v>20060015</v>
      </c>
      <c r="G1301" t="str" cm="1">
        <f t="array" ref="G1301">INDEX('Linha 06'!$C$2:$ZZ$2,C1301)</f>
        <v>Limp Perf Aquafast Doce Romance Cx/12 X 500ml</v>
      </c>
      <c r="H1301" s="5" cm="1">
        <f t="array" ref="H1301">INDEX('Linha 06'!$C$4:$ZZ$1000,B1301,C1301)</f>
        <v>0</v>
      </c>
    </row>
    <row r="1302" spans="1:8" x14ac:dyDescent="0.25">
      <c r="A1302">
        <v>1300</v>
      </c>
      <c r="B1302">
        <f t="shared" si="40"/>
        <v>35</v>
      </c>
      <c r="C1302">
        <f t="shared" si="41"/>
        <v>8</v>
      </c>
      <c r="D1302" cm="1">
        <f t="array" ref="D1302">INDEX('Linha 06'!$A$4:$A$1000,B1302)</f>
        <v>20220019</v>
      </c>
      <c r="E1302" t="str" cm="1">
        <f t="array" ref="E1302">INDEX('Linha 06'!$B$4:$B$1000,B1302)</f>
        <v>Intermed. Aromat. Figo E Cedro Cx C/ 12un 250ml</v>
      </c>
      <c r="F1302" cm="1">
        <f t="array" ref="F1302">INDEX('Linha 06'!$C$3:$ZZ$3,C1302)</f>
        <v>20060016</v>
      </c>
      <c r="G1302" t="str" cm="1">
        <f t="array" ref="G1302">INDEX('Linha 06'!$C$2:$ZZ$2,C1302)</f>
        <v>Limp Perf Aquafast Doce Romance Cx/12 X 1l</v>
      </c>
      <c r="H1302" s="5" cm="1">
        <f t="array" ref="H1302">INDEX('Linha 06'!$C$4:$ZZ$1000,B1302,C1302)</f>
        <v>0</v>
      </c>
    </row>
    <row r="1303" spans="1:8" x14ac:dyDescent="0.25">
      <c r="A1303">
        <v>1301</v>
      </c>
      <c r="B1303">
        <f t="shared" si="40"/>
        <v>35</v>
      </c>
      <c r="C1303">
        <f t="shared" si="41"/>
        <v>9</v>
      </c>
      <c r="D1303" cm="1">
        <f t="array" ref="D1303">INDEX('Linha 06'!$A$4:$A$1000,B1303)</f>
        <v>20220019</v>
      </c>
      <c r="E1303" t="str" cm="1">
        <f t="array" ref="E1303">INDEX('Linha 06'!$B$4:$B$1000,B1303)</f>
        <v>Intermed. Aromat. Figo E Cedro Cx C/ 12un 250ml</v>
      </c>
      <c r="F1303" cm="1">
        <f t="array" ref="F1303">INDEX('Linha 06'!$C$3:$ZZ$3,C1303)</f>
        <v>20060027</v>
      </c>
      <c r="G1303" t="str" cm="1">
        <f t="array" ref="G1303">INDEX('Linha 06'!$C$2:$ZZ$2,C1303)</f>
        <v>Limp Perf Aquafast Essencia Natural Cx/12 X 1l</v>
      </c>
      <c r="H1303" s="5" cm="1">
        <f t="array" ref="H1303">INDEX('Linha 06'!$C$4:$ZZ$1000,B1303,C1303)</f>
        <v>0</v>
      </c>
    </row>
    <row r="1304" spans="1:8" x14ac:dyDescent="0.25">
      <c r="A1304">
        <v>1302</v>
      </c>
      <c r="B1304">
        <f t="shared" si="40"/>
        <v>35</v>
      </c>
      <c r="C1304">
        <f t="shared" si="41"/>
        <v>10</v>
      </c>
      <c r="D1304" cm="1">
        <f t="array" ref="D1304">INDEX('Linha 06'!$A$4:$A$1000,B1304)</f>
        <v>20220019</v>
      </c>
      <c r="E1304" t="str" cm="1">
        <f t="array" ref="E1304">INDEX('Linha 06'!$B$4:$B$1000,B1304)</f>
        <v>Intermed. Aromat. Figo E Cedro Cx C/ 12un 250ml</v>
      </c>
      <c r="F1304" cm="1">
        <f t="array" ref="F1304">INDEX('Linha 06'!$C$3:$ZZ$3,C1304)</f>
        <v>20070001</v>
      </c>
      <c r="G1304" t="str" cm="1">
        <f t="array" ref="G1304">INDEX('Linha 06'!$C$2:$ZZ$2,C1304)</f>
        <v>Limpa Vidros Aquafast Pulverizador Cx/12 X 500ml</v>
      </c>
      <c r="H1304" s="5" cm="1">
        <f t="array" ref="H1304">INDEX('Linha 06'!$C$4:$ZZ$1000,B1304,C1304)</f>
        <v>0</v>
      </c>
    </row>
    <row r="1305" spans="1:8" x14ac:dyDescent="0.25">
      <c r="A1305">
        <v>1303</v>
      </c>
      <c r="B1305">
        <f t="shared" si="40"/>
        <v>35</v>
      </c>
      <c r="C1305">
        <f t="shared" si="41"/>
        <v>11</v>
      </c>
      <c r="D1305" cm="1">
        <f t="array" ref="D1305">INDEX('Linha 06'!$A$4:$A$1000,B1305)</f>
        <v>20220019</v>
      </c>
      <c r="E1305" t="str" cm="1">
        <f t="array" ref="E1305">INDEX('Linha 06'!$B$4:$B$1000,B1305)</f>
        <v>Intermed. Aromat. Figo E Cedro Cx C/ 12un 250ml</v>
      </c>
      <c r="F1305" cm="1">
        <f t="array" ref="F1305">INDEX('Linha 06'!$C$3:$ZZ$3,C1305)</f>
        <v>20070002</v>
      </c>
      <c r="G1305" t="str" cm="1">
        <f t="array" ref="G1305">INDEX('Linha 06'!$C$2:$ZZ$2,C1305)</f>
        <v>Limpa Vidros Aquafast Recarga Cx/12 X 500ml</v>
      </c>
      <c r="H1305" s="5" cm="1">
        <f t="array" ref="H1305">INDEX('Linha 06'!$C$4:$ZZ$1000,B1305,C1305)</f>
        <v>0</v>
      </c>
    </row>
    <row r="1306" spans="1:8" x14ac:dyDescent="0.25">
      <c r="A1306">
        <v>1304</v>
      </c>
      <c r="B1306">
        <f t="shared" si="40"/>
        <v>35</v>
      </c>
      <c r="C1306">
        <f t="shared" si="41"/>
        <v>12</v>
      </c>
      <c r="D1306" cm="1">
        <f t="array" ref="D1306">INDEX('Linha 06'!$A$4:$A$1000,B1306)</f>
        <v>20220019</v>
      </c>
      <c r="E1306" t="str" cm="1">
        <f t="array" ref="E1306">INDEX('Linha 06'!$B$4:$B$1000,B1306)</f>
        <v>Intermed. Aromat. Figo E Cedro Cx C/ 12un 250ml</v>
      </c>
      <c r="F1306" cm="1">
        <f t="array" ref="F1306">INDEX('Linha 06'!$C$3:$ZZ$3,C1306)</f>
        <v>20070006</v>
      </c>
      <c r="G1306" t="str" cm="1">
        <f t="array" ref="G1306">INDEX('Linha 06'!$C$2:$ZZ$2,C1306)</f>
        <v>Limpa Vidros Ito Pulverizador Cx/12 X 500ml</v>
      </c>
      <c r="H1306" s="5" cm="1">
        <f t="array" ref="H1306">INDEX('Linha 06'!$C$4:$ZZ$1000,B1306,C1306)</f>
        <v>0</v>
      </c>
    </row>
    <row r="1307" spans="1:8" x14ac:dyDescent="0.25">
      <c r="A1307">
        <v>1305</v>
      </c>
      <c r="B1307">
        <f t="shared" si="40"/>
        <v>35</v>
      </c>
      <c r="C1307">
        <f t="shared" si="41"/>
        <v>13</v>
      </c>
      <c r="D1307" cm="1">
        <f t="array" ref="D1307">INDEX('Linha 06'!$A$4:$A$1000,B1307)</f>
        <v>20220019</v>
      </c>
      <c r="E1307" t="str" cm="1">
        <f t="array" ref="E1307">INDEX('Linha 06'!$B$4:$B$1000,B1307)</f>
        <v>Intermed. Aromat. Figo E Cedro Cx C/ 12un 250ml</v>
      </c>
      <c r="F1307" cm="1">
        <f t="array" ref="F1307">INDEX('Linha 06'!$C$3:$ZZ$3,C1307)</f>
        <v>20070007</v>
      </c>
      <c r="G1307" t="str" cm="1">
        <f t="array" ref="G1307">INDEX('Linha 06'!$C$2:$ZZ$2,C1307)</f>
        <v>Limpa Vidros Ito Recarga Cx/12 X 500ml</v>
      </c>
      <c r="H1307" s="5" cm="1">
        <f t="array" ref="H1307">INDEX('Linha 06'!$C$4:$ZZ$1000,B1307,C1307)</f>
        <v>0</v>
      </c>
    </row>
    <row r="1308" spans="1:8" x14ac:dyDescent="0.25">
      <c r="A1308">
        <v>1306</v>
      </c>
      <c r="B1308">
        <f t="shared" si="40"/>
        <v>35</v>
      </c>
      <c r="C1308">
        <f t="shared" si="41"/>
        <v>14</v>
      </c>
      <c r="D1308" cm="1">
        <f t="array" ref="D1308">INDEX('Linha 06'!$A$4:$A$1000,B1308)</f>
        <v>20220019</v>
      </c>
      <c r="E1308" t="str" cm="1">
        <f t="array" ref="E1308">INDEX('Linha 06'!$B$4:$B$1000,B1308)</f>
        <v>Intermed. Aromat. Figo E Cedro Cx C/ 12un 250ml</v>
      </c>
      <c r="F1308" cm="1">
        <f t="array" ref="F1308">INDEX('Linha 06'!$C$3:$ZZ$3,C1308)</f>
        <v>20070008</v>
      </c>
      <c r="G1308" t="str" cm="1">
        <f t="array" ref="G1308">INDEX('Linha 06'!$C$2:$ZZ$2,C1308)</f>
        <v>Limpa Vidros Aquafast Squeeze Cx/12 X 500ml</v>
      </c>
      <c r="H1308" s="5" cm="1">
        <f t="array" ref="H1308">INDEX('Linha 06'!$C$4:$ZZ$1000,B1308,C1308)</f>
        <v>0</v>
      </c>
    </row>
    <row r="1309" spans="1:8" x14ac:dyDescent="0.25">
      <c r="A1309">
        <v>1307</v>
      </c>
      <c r="B1309">
        <f t="shared" si="40"/>
        <v>35</v>
      </c>
      <c r="C1309">
        <f t="shared" si="41"/>
        <v>15</v>
      </c>
      <c r="D1309" cm="1">
        <f t="array" ref="D1309">INDEX('Linha 06'!$A$4:$A$1000,B1309)</f>
        <v>20220019</v>
      </c>
      <c r="E1309" t="str" cm="1">
        <f t="array" ref="E1309">INDEX('Linha 06'!$B$4:$B$1000,B1309)</f>
        <v>Intermed. Aromat. Figo E Cedro Cx C/ 12un 250ml</v>
      </c>
      <c r="F1309" cm="1">
        <f t="array" ref="F1309">INDEX('Linha 06'!$C$3:$ZZ$3,C1309)</f>
        <v>20090001</v>
      </c>
      <c r="G1309" t="str" cm="1">
        <f t="array" ref="G1309">INDEX('Linha 06'!$C$2:$ZZ$2,C1309)</f>
        <v>Desengordurante Aquafast Pulverizador Cx/12 X 500ml</v>
      </c>
      <c r="H1309" s="5" cm="1">
        <f t="array" ref="H1309">INDEX('Linha 06'!$C$4:$ZZ$1000,B1309,C1309)</f>
        <v>0</v>
      </c>
    </row>
    <row r="1310" spans="1:8" x14ac:dyDescent="0.25">
      <c r="A1310">
        <v>1308</v>
      </c>
      <c r="B1310">
        <f t="shared" si="40"/>
        <v>35</v>
      </c>
      <c r="C1310">
        <f t="shared" si="41"/>
        <v>16</v>
      </c>
      <c r="D1310" cm="1">
        <f t="array" ref="D1310">INDEX('Linha 06'!$A$4:$A$1000,B1310)</f>
        <v>20220019</v>
      </c>
      <c r="E1310" t="str" cm="1">
        <f t="array" ref="E1310">INDEX('Linha 06'!$B$4:$B$1000,B1310)</f>
        <v>Intermed. Aromat. Figo E Cedro Cx C/ 12un 250ml</v>
      </c>
      <c r="F1310" cm="1">
        <f t="array" ref="F1310">INDEX('Linha 06'!$C$3:$ZZ$3,C1310)</f>
        <v>20090002</v>
      </c>
      <c r="G1310" t="str" cm="1">
        <f t="array" ref="G1310">INDEX('Linha 06'!$C$2:$ZZ$2,C1310)</f>
        <v>Desengordurante Aquafast Recarga Cx/12 X 500ml</v>
      </c>
      <c r="H1310" s="5" cm="1">
        <f t="array" ref="H1310">INDEX('Linha 06'!$C$4:$ZZ$1000,B1310,C1310)</f>
        <v>0</v>
      </c>
    </row>
    <row r="1311" spans="1:8" x14ac:dyDescent="0.25">
      <c r="A1311">
        <v>1309</v>
      </c>
      <c r="B1311">
        <f t="shared" si="40"/>
        <v>35</v>
      </c>
      <c r="C1311">
        <f t="shared" si="41"/>
        <v>17</v>
      </c>
      <c r="D1311" cm="1">
        <f t="array" ref="D1311">INDEX('Linha 06'!$A$4:$A$1000,B1311)</f>
        <v>20220019</v>
      </c>
      <c r="E1311" t="str" cm="1">
        <f t="array" ref="E1311">INDEX('Linha 06'!$B$4:$B$1000,B1311)</f>
        <v>Intermed. Aromat. Figo E Cedro Cx C/ 12un 250ml</v>
      </c>
      <c r="F1311" cm="1">
        <f t="array" ref="F1311">INDEX('Linha 06'!$C$3:$ZZ$3,C1311)</f>
        <v>20090004</v>
      </c>
      <c r="G1311" t="str" cm="1">
        <f t="array" ref="G1311">INDEX('Linha 06'!$C$2:$ZZ$2,C1311)</f>
        <v>Desengordurante Aquafast Squeeze Cx C/12 X 500ml</v>
      </c>
      <c r="H1311" s="5" cm="1">
        <f t="array" ref="H1311">INDEX('Linha 06'!$C$4:$ZZ$1000,B1311,C1311)</f>
        <v>0</v>
      </c>
    </row>
    <row r="1312" spans="1:8" x14ac:dyDescent="0.25">
      <c r="A1312">
        <v>1310</v>
      </c>
      <c r="B1312">
        <f t="shared" si="40"/>
        <v>35</v>
      </c>
      <c r="C1312">
        <f t="shared" si="41"/>
        <v>18</v>
      </c>
      <c r="D1312" cm="1">
        <f t="array" ref="D1312">INDEX('Linha 06'!$A$4:$A$1000,B1312)</f>
        <v>20220019</v>
      </c>
      <c r="E1312" t="str" cm="1">
        <f t="array" ref="E1312">INDEX('Linha 06'!$B$4:$B$1000,B1312)</f>
        <v>Intermed. Aromat. Figo E Cedro Cx C/ 12un 250ml</v>
      </c>
      <c r="F1312" cm="1">
        <f t="array" ref="F1312">INDEX('Linha 06'!$C$3:$ZZ$3,C1312)</f>
        <v>20090005</v>
      </c>
      <c r="G1312" t="str" cm="1">
        <f t="array" ref="G1312">INDEX('Linha 06'!$C$2:$ZZ$2,C1312)</f>
        <v>Desengordurante Aquafast Squeeze Cx C/12 X 1l</v>
      </c>
      <c r="H1312" s="5" cm="1">
        <f t="array" ref="H1312">INDEX('Linha 06'!$C$4:$ZZ$1000,B1312,C1312)</f>
        <v>0</v>
      </c>
    </row>
    <row r="1313" spans="1:8" x14ac:dyDescent="0.25">
      <c r="A1313">
        <v>1311</v>
      </c>
      <c r="B1313">
        <f t="shared" si="40"/>
        <v>35</v>
      </c>
      <c r="C1313">
        <f t="shared" si="41"/>
        <v>19</v>
      </c>
      <c r="D1313" cm="1">
        <f t="array" ref="D1313">INDEX('Linha 06'!$A$4:$A$1000,B1313)</f>
        <v>20220019</v>
      </c>
      <c r="E1313" t="str" cm="1">
        <f t="array" ref="E1313">INDEX('Linha 06'!$B$4:$B$1000,B1313)</f>
        <v>Intermed. Aromat. Figo E Cedro Cx C/ 12un 250ml</v>
      </c>
      <c r="F1313" cm="1">
        <f t="array" ref="F1313">INDEX('Linha 06'!$C$3:$ZZ$3,C1313)</f>
        <v>20090010</v>
      </c>
      <c r="G1313" t="str" cm="1">
        <f t="array" ref="G1313">INDEX('Linha 06'!$C$2:$ZZ$2,C1313)</f>
        <v>Intermed Pack Desengord Squeeze Cx C/18 X 500ml</v>
      </c>
      <c r="H1313" s="5" cm="1">
        <f t="array" ref="H1313">INDEX('Linha 06'!$C$4:$ZZ$1000,B1313,C1313)</f>
        <v>0</v>
      </c>
    </row>
    <row r="1314" spans="1:8" x14ac:dyDescent="0.25">
      <c r="A1314">
        <v>1312</v>
      </c>
      <c r="B1314">
        <f t="shared" si="40"/>
        <v>35</v>
      </c>
      <c r="C1314">
        <f t="shared" si="41"/>
        <v>20</v>
      </c>
      <c r="D1314" cm="1">
        <f t="array" ref="D1314">INDEX('Linha 06'!$A$4:$A$1000,B1314)</f>
        <v>20220019</v>
      </c>
      <c r="E1314" t="str" cm="1">
        <f t="array" ref="E1314">INDEX('Linha 06'!$B$4:$B$1000,B1314)</f>
        <v>Intermed. Aromat. Figo E Cedro Cx C/ 12un 250ml</v>
      </c>
      <c r="F1314" cm="1">
        <f t="array" ref="F1314">INDEX('Linha 06'!$C$3:$ZZ$3,C1314)</f>
        <v>20110002</v>
      </c>
      <c r="G1314" t="str" cm="1">
        <f t="array" ref="G1314">INDEX('Linha 06'!$C$2:$ZZ$2,C1314)</f>
        <v>Multi Uso Aquafast Squeeze Original Cx/12 X 500ml</v>
      </c>
      <c r="H1314" s="5" cm="1">
        <f t="array" ref="H1314">INDEX('Linha 06'!$C$4:$ZZ$1000,B1314,C1314)</f>
        <v>0</v>
      </c>
    </row>
    <row r="1315" spans="1:8" x14ac:dyDescent="0.25">
      <c r="A1315">
        <v>1313</v>
      </c>
      <c r="B1315">
        <f t="shared" si="40"/>
        <v>35</v>
      </c>
      <c r="C1315">
        <f t="shared" si="41"/>
        <v>21</v>
      </c>
      <c r="D1315" cm="1">
        <f t="array" ref="D1315">INDEX('Linha 06'!$A$4:$A$1000,B1315)</f>
        <v>20220019</v>
      </c>
      <c r="E1315" t="str" cm="1">
        <f t="array" ref="E1315">INDEX('Linha 06'!$B$4:$B$1000,B1315)</f>
        <v>Intermed. Aromat. Figo E Cedro Cx C/ 12un 250ml</v>
      </c>
      <c r="F1315" cm="1">
        <f t="array" ref="F1315">INDEX('Linha 06'!$C$3:$ZZ$3,C1315)</f>
        <v>20110004</v>
      </c>
      <c r="G1315" t="str" cm="1">
        <f t="array" ref="G1315">INDEX('Linha 06'!$C$2:$ZZ$2,C1315)</f>
        <v>Multi Uso Aquafast Squeeze Lavanda Cx/12 X 500ml</v>
      </c>
      <c r="H1315" s="5" cm="1">
        <f t="array" ref="H1315">INDEX('Linha 06'!$C$4:$ZZ$1000,B1315,C1315)</f>
        <v>0</v>
      </c>
    </row>
    <row r="1316" spans="1:8" x14ac:dyDescent="0.25">
      <c r="A1316">
        <v>1314</v>
      </c>
      <c r="B1316">
        <f t="shared" si="40"/>
        <v>35</v>
      </c>
      <c r="C1316">
        <f t="shared" si="41"/>
        <v>22</v>
      </c>
      <c r="D1316" cm="1">
        <f t="array" ref="D1316">INDEX('Linha 06'!$A$4:$A$1000,B1316)</f>
        <v>20220019</v>
      </c>
      <c r="E1316" t="str" cm="1">
        <f t="array" ref="E1316">INDEX('Linha 06'!$B$4:$B$1000,B1316)</f>
        <v>Intermed. Aromat. Figo E Cedro Cx C/ 12un 250ml</v>
      </c>
      <c r="F1316" cm="1">
        <f t="array" ref="F1316">INDEX('Linha 06'!$C$3:$ZZ$3,C1316)</f>
        <v>20110007</v>
      </c>
      <c r="G1316" t="str" cm="1">
        <f t="array" ref="G1316">INDEX('Linha 06'!$C$2:$ZZ$2,C1316)</f>
        <v>Multi Uso Aquafast Squeeze Seducao Cx/12 X 500ml</v>
      </c>
      <c r="H1316" s="5" cm="1">
        <f t="array" ref="H1316">INDEX('Linha 06'!$C$4:$ZZ$1000,B1316,C1316)</f>
        <v>0</v>
      </c>
    </row>
    <row r="1317" spans="1:8" x14ac:dyDescent="0.25">
      <c r="A1317">
        <v>1315</v>
      </c>
      <c r="B1317">
        <f t="shared" si="40"/>
        <v>35</v>
      </c>
      <c r="C1317">
        <f t="shared" si="41"/>
        <v>23</v>
      </c>
      <c r="D1317" cm="1">
        <f t="array" ref="D1317">INDEX('Linha 06'!$A$4:$A$1000,B1317)</f>
        <v>20220019</v>
      </c>
      <c r="E1317" t="str" cm="1">
        <f t="array" ref="E1317">INDEX('Linha 06'!$B$4:$B$1000,B1317)</f>
        <v>Intermed. Aromat. Figo E Cedro Cx C/ 12un 250ml</v>
      </c>
      <c r="F1317" cm="1">
        <f t="array" ref="F1317">INDEX('Linha 06'!$C$3:$ZZ$3,C1317)</f>
        <v>20110008</v>
      </c>
      <c r="G1317" t="str" cm="1">
        <f t="array" ref="G1317">INDEX('Linha 06'!$C$2:$ZZ$2,C1317)</f>
        <v>Multi Uso Aquafast Squeeze Original Cx/12 X 1l</v>
      </c>
      <c r="H1317" s="5" cm="1">
        <f t="array" ref="H1317">INDEX('Linha 06'!$C$4:$ZZ$1000,B1317,C1317)</f>
        <v>0</v>
      </c>
    </row>
    <row r="1318" spans="1:8" x14ac:dyDescent="0.25">
      <c r="A1318">
        <v>1316</v>
      </c>
      <c r="B1318">
        <f t="shared" si="40"/>
        <v>35</v>
      </c>
      <c r="C1318">
        <f t="shared" si="41"/>
        <v>24</v>
      </c>
      <c r="D1318" cm="1">
        <f t="array" ref="D1318">INDEX('Linha 06'!$A$4:$A$1000,B1318)</f>
        <v>20220019</v>
      </c>
      <c r="E1318" t="str" cm="1">
        <f t="array" ref="E1318">INDEX('Linha 06'!$B$4:$B$1000,B1318)</f>
        <v>Intermed. Aromat. Figo E Cedro Cx C/ 12un 250ml</v>
      </c>
      <c r="F1318" cm="1">
        <f t="array" ref="F1318">INDEX('Linha 06'!$C$3:$ZZ$3,C1318)</f>
        <v>20110010</v>
      </c>
      <c r="G1318" t="str" cm="1">
        <f t="array" ref="G1318">INDEX('Linha 06'!$C$2:$ZZ$2,C1318)</f>
        <v>Multi Uso Aquafast Squeeze Seducao Cx/12 1l</v>
      </c>
      <c r="H1318" s="5" cm="1">
        <f t="array" ref="H1318">INDEX('Linha 06'!$C$4:$ZZ$1000,B1318,C1318)</f>
        <v>0</v>
      </c>
    </row>
    <row r="1319" spans="1:8" x14ac:dyDescent="0.25">
      <c r="A1319">
        <v>1317</v>
      </c>
      <c r="B1319">
        <f t="shared" si="40"/>
        <v>35</v>
      </c>
      <c r="C1319">
        <f t="shared" si="41"/>
        <v>25</v>
      </c>
      <c r="D1319" cm="1">
        <f t="array" ref="D1319">INDEX('Linha 06'!$A$4:$A$1000,B1319)</f>
        <v>20220019</v>
      </c>
      <c r="E1319" t="str" cm="1">
        <f t="array" ref="E1319">INDEX('Linha 06'!$B$4:$B$1000,B1319)</f>
        <v>Intermed. Aromat. Figo E Cedro Cx C/ 12un 250ml</v>
      </c>
      <c r="F1319" cm="1">
        <f t="array" ref="F1319">INDEX('Linha 06'!$C$3:$ZZ$3,C1319)</f>
        <v>20110013</v>
      </c>
      <c r="G1319" t="str" cm="1">
        <f t="array" ref="G1319">INDEX('Linha 06'!$C$2:$ZZ$2,C1319)</f>
        <v>Multi Uso Aquafast Squeeze Lavanda Cx/12 X 1l</v>
      </c>
      <c r="H1319" s="5" cm="1">
        <f t="array" ref="H1319">INDEX('Linha 06'!$C$4:$ZZ$1000,B1319,C1319)</f>
        <v>0</v>
      </c>
    </row>
    <row r="1320" spans="1:8" x14ac:dyDescent="0.25">
      <c r="A1320">
        <v>1318</v>
      </c>
      <c r="B1320">
        <f t="shared" si="40"/>
        <v>35</v>
      </c>
      <c r="C1320">
        <f t="shared" si="41"/>
        <v>26</v>
      </c>
      <c r="D1320" cm="1">
        <f t="array" ref="D1320">INDEX('Linha 06'!$A$4:$A$1000,B1320)</f>
        <v>20220019</v>
      </c>
      <c r="E1320" t="str" cm="1">
        <f t="array" ref="E1320">INDEX('Linha 06'!$B$4:$B$1000,B1320)</f>
        <v>Intermed. Aromat. Figo E Cedro Cx C/ 12un 250ml</v>
      </c>
      <c r="F1320" cm="1">
        <f t="array" ref="F1320">INDEX('Linha 06'!$C$3:$ZZ$3,C1320)</f>
        <v>20110022</v>
      </c>
      <c r="G1320" t="str" cm="1">
        <f t="array" ref="G1320">INDEX('Linha 06'!$C$2:$ZZ$2,C1320)</f>
        <v>Intermed Pack Multi Uso Lavand C/Alcool Cx/18 X 500ml</v>
      </c>
      <c r="H1320" s="5" cm="1">
        <f t="array" ref="H1320">INDEX('Linha 06'!$C$4:$ZZ$1000,B1320,C1320)</f>
        <v>0</v>
      </c>
    </row>
    <row r="1321" spans="1:8" x14ac:dyDescent="0.25">
      <c r="A1321">
        <v>1319</v>
      </c>
      <c r="B1321">
        <f t="shared" si="40"/>
        <v>35</v>
      </c>
      <c r="C1321">
        <f t="shared" si="41"/>
        <v>27</v>
      </c>
      <c r="D1321" cm="1">
        <f t="array" ref="D1321">INDEX('Linha 06'!$A$4:$A$1000,B1321)</f>
        <v>20220019</v>
      </c>
      <c r="E1321" t="str" cm="1">
        <f t="array" ref="E1321">INDEX('Linha 06'!$B$4:$B$1000,B1321)</f>
        <v>Intermed. Aromat. Figo E Cedro Cx C/ 12un 250ml</v>
      </c>
      <c r="F1321" cm="1">
        <f t="array" ref="F1321">INDEX('Linha 06'!$C$3:$ZZ$3,C1321)</f>
        <v>20110023</v>
      </c>
      <c r="G1321" t="str" cm="1">
        <f t="array" ref="G1321">INDEX('Linha 06'!$C$2:$ZZ$2,C1321)</f>
        <v>Multi Uso Aquafast Squeeze Cha Branco  Cx/12 X 500ml</v>
      </c>
      <c r="H1321" s="5" cm="1">
        <f t="array" ref="H1321">INDEX('Linha 06'!$C$4:$ZZ$1000,B1321,C1321)</f>
        <v>0</v>
      </c>
    </row>
    <row r="1322" spans="1:8" x14ac:dyDescent="0.25">
      <c r="A1322">
        <v>1320</v>
      </c>
      <c r="B1322">
        <f t="shared" si="40"/>
        <v>35</v>
      </c>
      <c r="C1322">
        <f t="shared" si="41"/>
        <v>28</v>
      </c>
      <c r="D1322" cm="1">
        <f t="array" ref="D1322">INDEX('Linha 06'!$A$4:$A$1000,B1322)</f>
        <v>20220019</v>
      </c>
      <c r="E1322" t="str" cm="1">
        <f t="array" ref="E1322">INDEX('Linha 06'!$B$4:$B$1000,B1322)</f>
        <v>Intermed. Aromat. Figo E Cedro Cx C/ 12un 250ml</v>
      </c>
      <c r="F1322" cm="1">
        <f t="array" ref="F1322">INDEX('Linha 06'!$C$3:$ZZ$3,C1322)</f>
        <v>20110024</v>
      </c>
      <c r="G1322" t="str" cm="1">
        <f t="array" ref="G1322">INDEX('Linha 06'!$C$2:$ZZ$2,C1322)</f>
        <v>Multi Uso Aquafast Squeeze Cha Branco Cx12 X 1l</v>
      </c>
      <c r="H1322" s="5" cm="1">
        <f t="array" ref="H1322">INDEX('Linha 06'!$C$4:$ZZ$1000,B1322,C1322)</f>
        <v>0</v>
      </c>
    </row>
    <row r="1323" spans="1:8" x14ac:dyDescent="0.25">
      <c r="A1323">
        <v>1321</v>
      </c>
      <c r="B1323">
        <f t="shared" si="40"/>
        <v>35</v>
      </c>
      <c r="C1323">
        <f t="shared" si="41"/>
        <v>29</v>
      </c>
      <c r="D1323" cm="1">
        <f t="array" ref="D1323">INDEX('Linha 06'!$A$4:$A$1000,B1323)</f>
        <v>20220019</v>
      </c>
      <c r="E1323" t="str" cm="1">
        <f t="array" ref="E1323">INDEX('Linha 06'!$B$4:$B$1000,B1323)</f>
        <v>Intermed. Aromat. Figo E Cedro Cx C/ 12un 250ml</v>
      </c>
      <c r="F1323" cm="1">
        <f t="array" ref="F1323">INDEX('Linha 06'!$C$3:$ZZ$3,C1323)</f>
        <v>20110025</v>
      </c>
      <c r="G1323" t="str" cm="1">
        <f t="array" ref="G1323">INDEX('Linha 06'!$C$2:$ZZ$2,C1323)</f>
        <v>Multi Uso Aquafast Pulverizador Original Cx/12 X 1l</v>
      </c>
      <c r="H1323" s="5" cm="1">
        <f t="array" ref="H1323">INDEX('Linha 06'!$C$4:$ZZ$1000,B1323,C1323)</f>
        <v>0</v>
      </c>
    </row>
    <row r="1324" spans="1:8" x14ac:dyDescent="0.25">
      <c r="A1324">
        <v>1322</v>
      </c>
      <c r="B1324">
        <f t="shared" si="40"/>
        <v>35</v>
      </c>
      <c r="C1324">
        <f t="shared" si="41"/>
        <v>30</v>
      </c>
      <c r="D1324" cm="1">
        <f t="array" ref="D1324">INDEX('Linha 06'!$A$4:$A$1000,B1324)</f>
        <v>20220019</v>
      </c>
      <c r="E1324" t="str" cm="1">
        <f t="array" ref="E1324">INDEX('Linha 06'!$B$4:$B$1000,B1324)</f>
        <v>Intermed. Aromat. Figo E Cedro Cx C/ 12un 250ml</v>
      </c>
      <c r="F1324" cm="1">
        <f t="array" ref="F1324">INDEX('Linha 06'!$C$3:$ZZ$3,C1324)</f>
        <v>20110026</v>
      </c>
      <c r="G1324" t="str" cm="1">
        <f t="array" ref="G1324">INDEX('Linha 06'!$C$2:$ZZ$2,C1324)</f>
        <v>Multi Uso Aquafast Pulverizador Poder O2 Cx/12 X 1l</v>
      </c>
      <c r="H1324" s="5" cm="1">
        <f t="array" ref="H1324">INDEX('Linha 06'!$C$4:$ZZ$1000,B1324,C1324)</f>
        <v>0</v>
      </c>
    </row>
    <row r="1325" spans="1:8" x14ac:dyDescent="0.25">
      <c r="A1325">
        <v>1323</v>
      </c>
      <c r="B1325">
        <f t="shared" si="40"/>
        <v>35</v>
      </c>
      <c r="C1325">
        <f t="shared" si="41"/>
        <v>31</v>
      </c>
      <c r="D1325" cm="1">
        <f t="array" ref="D1325">INDEX('Linha 06'!$A$4:$A$1000,B1325)</f>
        <v>20220019</v>
      </c>
      <c r="E1325" t="str" cm="1">
        <f t="array" ref="E1325">INDEX('Linha 06'!$B$4:$B$1000,B1325)</f>
        <v>Intermed. Aromat. Figo E Cedro Cx C/ 12un 250ml</v>
      </c>
      <c r="F1325" cm="1">
        <f t="array" ref="F1325">INDEX('Linha 06'!$C$3:$ZZ$3,C1325)</f>
        <v>20110027</v>
      </c>
      <c r="G1325" t="str" cm="1">
        <f t="array" ref="G1325">INDEX('Linha 06'!$C$2:$ZZ$2,C1325)</f>
        <v>Multi Uso Aquafast Pulverizador Poder O2 Cx/12 X 500ml</v>
      </c>
      <c r="H1325" s="5" cm="1">
        <f t="array" ref="H1325">INDEX('Linha 06'!$C$4:$ZZ$1000,B1325,C1325)</f>
        <v>0</v>
      </c>
    </row>
    <row r="1326" spans="1:8" x14ac:dyDescent="0.25">
      <c r="A1326">
        <v>1324</v>
      </c>
      <c r="B1326">
        <f t="shared" si="40"/>
        <v>35</v>
      </c>
      <c r="C1326">
        <f t="shared" si="41"/>
        <v>32</v>
      </c>
      <c r="D1326" cm="1">
        <f t="array" ref="D1326">INDEX('Linha 06'!$A$4:$A$1000,B1326)</f>
        <v>20220019</v>
      </c>
      <c r="E1326" t="str" cm="1">
        <f t="array" ref="E1326">INDEX('Linha 06'!$B$4:$B$1000,B1326)</f>
        <v>Intermed. Aromat. Figo E Cedro Cx C/ 12un 250ml</v>
      </c>
      <c r="F1326" cm="1">
        <f t="array" ref="F1326">INDEX('Linha 06'!$C$3:$ZZ$3,C1326)</f>
        <v>20200073</v>
      </c>
      <c r="G1326" t="str" cm="1">
        <f t="array" ref="G1326">INDEX('Linha 06'!$C$2:$ZZ$2,C1326)</f>
        <v>Lava Roupas Aquafast Lavagem Rapida Total Clean Cx/9 X 1,5l</v>
      </c>
      <c r="H1326" s="5" cm="1">
        <f t="array" ref="H1326">INDEX('Linha 06'!$C$4:$ZZ$1000,B1326,C1326)</f>
        <v>0</v>
      </c>
    </row>
    <row r="1327" spans="1:8" x14ac:dyDescent="0.25">
      <c r="A1327">
        <v>1325</v>
      </c>
      <c r="B1327">
        <f t="shared" si="40"/>
        <v>35</v>
      </c>
      <c r="C1327">
        <f t="shared" si="41"/>
        <v>33</v>
      </c>
      <c r="D1327" cm="1">
        <f t="array" ref="D1327">INDEX('Linha 06'!$A$4:$A$1000,B1327)</f>
        <v>20220019</v>
      </c>
      <c r="E1327" t="str" cm="1">
        <f t="array" ref="E1327">INDEX('Linha 06'!$B$4:$B$1000,B1327)</f>
        <v>Intermed. Aromat. Figo E Cedro Cx C/ 12un 250ml</v>
      </c>
      <c r="F1327" cm="1">
        <f t="array" ref="F1327">INDEX('Linha 06'!$C$3:$ZZ$3,C1327)</f>
        <v>20200075</v>
      </c>
      <c r="G1327" t="str" cm="1">
        <f t="array" ref="G1327">INDEX('Linha 06'!$C$2:$ZZ$2,C1327)</f>
        <v>Lava Roupas Aquafast Lavagem Rapida Fresh Clean Cx/9 X 1,5l</v>
      </c>
      <c r="H1327" s="5" cm="1">
        <f t="array" ref="H1327">INDEX('Linha 06'!$C$4:$ZZ$1000,B1327,C1327)</f>
        <v>0</v>
      </c>
    </row>
    <row r="1328" spans="1:8" x14ac:dyDescent="0.25">
      <c r="A1328">
        <v>1326</v>
      </c>
      <c r="B1328">
        <f t="shared" si="40"/>
        <v>35</v>
      </c>
      <c r="C1328">
        <f t="shared" si="41"/>
        <v>34</v>
      </c>
      <c r="D1328" cm="1">
        <f t="array" ref="D1328">INDEX('Linha 06'!$A$4:$A$1000,B1328)</f>
        <v>20220019</v>
      </c>
      <c r="E1328" t="str" cm="1">
        <f t="array" ref="E1328">INDEX('Linha 06'!$B$4:$B$1000,B1328)</f>
        <v>Intermed. Aromat. Figo E Cedro Cx C/ 12un 250ml</v>
      </c>
      <c r="F1328" cm="1">
        <f t="array" ref="F1328">INDEX('Linha 06'!$C$3:$ZZ$3,C1328)</f>
        <v>20220018</v>
      </c>
      <c r="G1328" t="str" cm="1">
        <f t="array" ref="G1328">INDEX('Linha 06'!$C$2:$ZZ$2,C1328)</f>
        <v>Intermed. Aromat. Amoras E Baunilha Cx C/ 12un 250ml</v>
      </c>
      <c r="H1328" s="5" cm="1">
        <f t="array" ref="H1328">INDEX('Linha 06'!$C$4:$ZZ$1000,B1328,C1328)</f>
        <v>0</v>
      </c>
    </row>
    <row r="1329" spans="1:8" x14ac:dyDescent="0.25">
      <c r="A1329">
        <v>1327</v>
      </c>
      <c r="B1329">
        <f t="shared" si="40"/>
        <v>35</v>
      </c>
      <c r="C1329">
        <f t="shared" si="41"/>
        <v>35</v>
      </c>
      <c r="D1329" cm="1">
        <f t="array" ref="D1329">INDEX('Linha 06'!$A$4:$A$1000,B1329)</f>
        <v>20220019</v>
      </c>
      <c r="E1329" t="str" cm="1">
        <f t="array" ref="E1329">INDEX('Linha 06'!$B$4:$B$1000,B1329)</f>
        <v>Intermed. Aromat. Figo E Cedro Cx C/ 12un 250ml</v>
      </c>
      <c r="F1329" cm="1">
        <f t="array" ref="F1329">INDEX('Linha 06'!$C$3:$ZZ$3,C1329)</f>
        <v>20220019</v>
      </c>
      <c r="G1329" t="str" cm="1">
        <f t="array" ref="G1329">INDEX('Linha 06'!$C$2:$ZZ$2,C1329)</f>
        <v>Intermed. Aromat. Figo E Cedro Cx C/ 12un 250ml</v>
      </c>
      <c r="H1329" s="5" cm="1">
        <f t="array" ref="H1329">INDEX('Linha 06'!$C$4:$ZZ$1000,B1329,C1329)</f>
        <v>0</v>
      </c>
    </row>
    <row r="1330" spans="1:8" x14ac:dyDescent="0.25">
      <c r="A1330">
        <v>1328</v>
      </c>
      <c r="B1330">
        <f t="shared" si="40"/>
        <v>35</v>
      </c>
      <c r="C1330">
        <f t="shared" si="41"/>
        <v>36</v>
      </c>
      <c r="D1330" cm="1">
        <f t="array" ref="D1330">INDEX('Linha 06'!$A$4:$A$1000,B1330)</f>
        <v>20220019</v>
      </c>
      <c r="E1330" t="str" cm="1">
        <f t="array" ref="E1330">INDEX('Linha 06'!$B$4:$B$1000,B1330)</f>
        <v>Intermed. Aromat. Figo E Cedro Cx C/ 12un 250ml</v>
      </c>
      <c r="F1330" cm="1">
        <f t="array" ref="F1330">INDEX('Linha 06'!$C$3:$ZZ$3,C1330)</f>
        <v>20220020</v>
      </c>
      <c r="G1330" t="str" cm="1">
        <f t="array" ref="G1330">INDEX('Linha 06'!$C$2:$ZZ$2,C1330)</f>
        <v>Intermed. Aromat. Rosas E Magnolias Cx C/ 12un 250ml</v>
      </c>
      <c r="H1330" s="5" cm="1">
        <f t="array" ref="H1330">INDEX('Linha 06'!$C$4:$ZZ$1000,B1330,C1330)</f>
        <v>0</v>
      </c>
    </row>
    <row r="1331" spans="1:8" x14ac:dyDescent="0.25">
      <c r="A1331">
        <v>1329</v>
      </c>
      <c r="B1331">
        <f t="shared" si="40"/>
        <v>35</v>
      </c>
      <c r="C1331">
        <f t="shared" si="41"/>
        <v>37</v>
      </c>
      <c r="D1331" cm="1">
        <f t="array" ref="D1331">INDEX('Linha 06'!$A$4:$A$1000,B1331)</f>
        <v>20220019</v>
      </c>
      <c r="E1331" t="str" cm="1">
        <f t="array" ref="E1331">INDEX('Linha 06'!$B$4:$B$1000,B1331)</f>
        <v>Intermed. Aromat. Figo E Cedro Cx C/ 12un 250ml</v>
      </c>
      <c r="F1331" cm="1">
        <f t="array" ref="F1331">INDEX('Linha 06'!$C$3:$ZZ$3,C1331)</f>
        <v>20220021</v>
      </c>
      <c r="G1331" t="str" cm="1">
        <f t="array" ref="G1331">INDEX('Linha 06'!$C$2:$ZZ$2,C1331)</f>
        <v>Intermed. Aromat. Flores Exoticas Cx C/ 12un 250ml</v>
      </c>
      <c r="H1331" s="5" cm="1">
        <f t="array" ref="H1331">INDEX('Linha 06'!$C$4:$ZZ$1000,B1331,C1331)</f>
        <v>0</v>
      </c>
    </row>
    <row r="1332" spans="1:8" x14ac:dyDescent="0.25">
      <c r="A1332">
        <v>1330</v>
      </c>
      <c r="B1332">
        <f t="shared" si="40"/>
        <v>35</v>
      </c>
      <c r="C1332">
        <f t="shared" si="41"/>
        <v>38</v>
      </c>
      <c r="D1332" cm="1">
        <f t="array" ref="D1332">INDEX('Linha 06'!$A$4:$A$1000,B1332)</f>
        <v>20220019</v>
      </c>
      <c r="E1332" t="str" cm="1">
        <f t="array" ref="E1332">INDEX('Linha 06'!$B$4:$B$1000,B1332)</f>
        <v>Intermed. Aromat. Figo E Cedro Cx C/ 12un 250ml</v>
      </c>
      <c r="F1332" cm="1">
        <f t="array" ref="F1332">INDEX('Linha 06'!$C$3:$ZZ$3,C1332)</f>
        <v>20220022</v>
      </c>
      <c r="G1332" t="str" cm="1">
        <f t="array" ref="G1332">INDEX('Linha 06'!$C$2:$ZZ$2,C1332)</f>
        <v>Intermed. Aromat. Cha Verde E Grapef Cx C/ 12un 250ml</v>
      </c>
      <c r="H1332" s="5" cm="1">
        <f t="array" ref="H1332">INDEX('Linha 06'!$C$4:$ZZ$1000,B1332,C1332)</f>
        <v>0</v>
      </c>
    </row>
    <row r="1333" spans="1:8" x14ac:dyDescent="0.25">
      <c r="A1333">
        <v>1331</v>
      </c>
      <c r="B1333">
        <f t="shared" si="40"/>
        <v>36</v>
      </c>
      <c r="C1333">
        <f t="shared" si="41"/>
        <v>1</v>
      </c>
      <c r="D1333" cm="1">
        <f t="array" ref="D1333">INDEX('Linha 06'!$A$4:$A$1000,B1333)</f>
        <v>20220020</v>
      </c>
      <c r="E1333" t="str" cm="1">
        <f t="array" ref="E1333">INDEX('Linha 06'!$B$4:$B$1000,B1333)</f>
        <v>Intermed. Aromat. Rosas E Magnolias Cx C/ 12un 250ml</v>
      </c>
      <c r="F1333" cm="1">
        <f t="array" ref="F1333">INDEX('Linha 06'!$C$3:$ZZ$3,C1333)</f>
        <v>20060001</v>
      </c>
      <c r="G1333" t="str" cm="1">
        <f t="array" ref="G1333">INDEX('Linha 06'!$C$2:$ZZ$2,C1333)</f>
        <v>Limp Perf Aquafast Magia Seducao Cx/12 X 500ml</v>
      </c>
      <c r="H1333" s="5" cm="1">
        <f t="array" ref="H1333">INDEX('Linha 06'!$C$4:$ZZ$1000,B1333,C1333)</f>
        <v>0</v>
      </c>
    </row>
    <row r="1334" spans="1:8" x14ac:dyDescent="0.25">
      <c r="A1334">
        <v>1332</v>
      </c>
      <c r="B1334">
        <f t="shared" si="40"/>
        <v>36</v>
      </c>
      <c r="C1334">
        <f t="shared" si="41"/>
        <v>2</v>
      </c>
      <c r="D1334" cm="1">
        <f t="array" ref="D1334">INDEX('Linha 06'!$A$4:$A$1000,B1334)</f>
        <v>20220020</v>
      </c>
      <c r="E1334" t="str" cm="1">
        <f t="array" ref="E1334">INDEX('Linha 06'!$B$4:$B$1000,B1334)</f>
        <v>Intermed. Aromat. Rosas E Magnolias Cx C/ 12un 250ml</v>
      </c>
      <c r="F1334" cm="1">
        <f t="array" ref="F1334">INDEX('Linha 06'!$C$3:$ZZ$3,C1334)</f>
        <v>20060004</v>
      </c>
      <c r="G1334" t="str" cm="1">
        <f t="array" ref="G1334">INDEX('Linha 06'!$C$2:$ZZ$2,C1334)</f>
        <v>Limp Perf Aquafast Magia Seducao Cx/12 X 1l</v>
      </c>
      <c r="H1334" s="5" cm="1">
        <f t="array" ref="H1334">INDEX('Linha 06'!$C$4:$ZZ$1000,B1334,C1334)</f>
        <v>0</v>
      </c>
    </row>
    <row r="1335" spans="1:8" x14ac:dyDescent="0.25">
      <c r="A1335">
        <v>1333</v>
      </c>
      <c r="B1335">
        <f t="shared" si="40"/>
        <v>36</v>
      </c>
      <c r="C1335">
        <f t="shared" si="41"/>
        <v>3</v>
      </c>
      <c r="D1335" cm="1">
        <f t="array" ref="D1335">INDEX('Linha 06'!$A$4:$A$1000,B1335)</f>
        <v>20220020</v>
      </c>
      <c r="E1335" t="str" cm="1">
        <f t="array" ref="E1335">INDEX('Linha 06'!$B$4:$B$1000,B1335)</f>
        <v>Intermed. Aromat. Rosas E Magnolias Cx C/ 12un 250ml</v>
      </c>
      <c r="F1335" cm="1">
        <f t="array" ref="F1335">INDEX('Linha 06'!$C$3:$ZZ$3,C1335)</f>
        <v>20060010</v>
      </c>
      <c r="G1335" t="str" cm="1">
        <f t="array" ref="G1335">INDEX('Linha 06'!$C$2:$ZZ$2,C1335)</f>
        <v>Limp Perf Aquafast Magia Da Infancia Cx/12 X 500ml</v>
      </c>
      <c r="H1335" s="5" cm="1">
        <f t="array" ref="H1335">INDEX('Linha 06'!$C$4:$ZZ$1000,B1335,C1335)</f>
        <v>0</v>
      </c>
    </row>
    <row r="1336" spans="1:8" x14ac:dyDescent="0.25">
      <c r="A1336">
        <v>1334</v>
      </c>
      <c r="B1336">
        <f t="shared" si="40"/>
        <v>36</v>
      </c>
      <c r="C1336">
        <f t="shared" si="41"/>
        <v>4</v>
      </c>
      <c r="D1336" cm="1">
        <f t="array" ref="D1336">INDEX('Linha 06'!$A$4:$A$1000,B1336)</f>
        <v>20220020</v>
      </c>
      <c r="E1336" t="str" cm="1">
        <f t="array" ref="E1336">INDEX('Linha 06'!$B$4:$B$1000,B1336)</f>
        <v>Intermed. Aromat. Rosas E Magnolias Cx C/ 12un 250ml</v>
      </c>
      <c r="F1336" cm="1">
        <f t="array" ref="F1336">INDEX('Linha 06'!$C$3:$ZZ$3,C1336)</f>
        <v>20060011</v>
      </c>
      <c r="G1336" t="str" cm="1">
        <f t="array" ref="G1336">INDEX('Linha 06'!$C$2:$ZZ$2,C1336)</f>
        <v>Limp Perf Aquafast Frescor Da Manha Cx/12 X 500ml</v>
      </c>
      <c r="H1336" s="5" cm="1">
        <f t="array" ref="H1336">INDEX('Linha 06'!$C$4:$ZZ$1000,B1336,C1336)</f>
        <v>0</v>
      </c>
    </row>
    <row r="1337" spans="1:8" x14ac:dyDescent="0.25">
      <c r="A1337">
        <v>1335</v>
      </c>
      <c r="B1337">
        <f t="shared" si="40"/>
        <v>36</v>
      </c>
      <c r="C1337">
        <f t="shared" si="41"/>
        <v>5</v>
      </c>
      <c r="D1337" cm="1">
        <f t="array" ref="D1337">INDEX('Linha 06'!$A$4:$A$1000,B1337)</f>
        <v>20220020</v>
      </c>
      <c r="E1337" t="str" cm="1">
        <f t="array" ref="E1337">INDEX('Linha 06'!$B$4:$B$1000,B1337)</f>
        <v>Intermed. Aromat. Rosas E Magnolias Cx C/ 12un 250ml</v>
      </c>
      <c r="F1337" cm="1">
        <f t="array" ref="F1337">INDEX('Linha 06'!$C$3:$ZZ$3,C1337)</f>
        <v>20060012</v>
      </c>
      <c r="G1337" t="str" cm="1">
        <f t="array" ref="G1337">INDEX('Linha 06'!$C$2:$ZZ$2,C1337)</f>
        <v>Limp Perf Aquafast Magia Da Infancia Cx/12 X 1l</v>
      </c>
      <c r="H1337" s="5" cm="1">
        <f t="array" ref="H1337">INDEX('Linha 06'!$C$4:$ZZ$1000,B1337,C1337)</f>
        <v>0</v>
      </c>
    </row>
    <row r="1338" spans="1:8" x14ac:dyDescent="0.25">
      <c r="A1338">
        <v>1336</v>
      </c>
      <c r="B1338">
        <f t="shared" si="40"/>
        <v>36</v>
      </c>
      <c r="C1338">
        <f t="shared" si="41"/>
        <v>6</v>
      </c>
      <c r="D1338" cm="1">
        <f t="array" ref="D1338">INDEX('Linha 06'!$A$4:$A$1000,B1338)</f>
        <v>20220020</v>
      </c>
      <c r="E1338" t="str" cm="1">
        <f t="array" ref="E1338">INDEX('Linha 06'!$B$4:$B$1000,B1338)</f>
        <v>Intermed. Aromat. Rosas E Magnolias Cx C/ 12un 250ml</v>
      </c>
      <c r="F1338" cm="1">
        <f t="array" ref="F1338">INDEX('Linha 06'!$C$3:$ZZ$3,C1338)</f>
        <v>20060013</v>
      </c>
      <c r="G1338" t="str" cm="1">
        <f t="array" ref="G1338">INDEX('Linha 06'!$C$2:$ZZ$2,C1338)</f>
        <v>Limp Perf Aquafast Frescor Da Manha Cx/12 X 1l</v>
      </c>
      <c r="H1338" s="5" cm="1">
        <f t="array" ref="H1338">INDEX('Linha 06'!$C$4:$ZZ$1000,B1338,C1338)</f>
        <v>0</v>
      </c>
    </row>
    <row r="1339" spans="1:8" x14ac:dyDescent="0.25">
      <c r="A1339">
        <v>1337</v>
      </c>
      <c r="B1339">
        <f t="shared" si="40"/>
        <v>36</v>
      </c>
      <c r="C1339">
        <f t="shared" si="41"/>
        <v>7</v>
      </c>
      <c r="D1339" cm="1">
        <f t="array" ref="D1339">INDEX('Linha 06'!$A$4:$A$1000,B1339)</f>
        <v>20220020</v>
      </c>
      <c r="E1339" t="str" cm="1">
        <f t="array" ref="E1339">INDEX('Linha 06'!$B$4:$B$1000,B1339)</f>
        <v>Intermed. Aromat. Rosas E Magnolias Cx C/ 12un 250ml</v>
      </c>
      <c r="F1339" cm="1">
        <f t="array" ref="F1339">INDEX('Linha 06'!$C$3:$ZZ$3,C1339)</f>
        <v>20060015</v>
      </c>
      <c r="G1339" t="str" cm="1">
        <f t="array" ref="G1339">INDEX('Linha 06'!$C$2:$ZZ$2,C1339)</f>
        <v>Limp Perf Aquafast Doce Romance Cx/12 X 500ml</v>
      </c>
      <c r="H1339" s="5" cm="1">
        <f t="array" ref="H1339">INDEX('Linha 06'!$C$4:$ZZ$1000,B1339,C1339)</f>
        <v>0</v>
      </c>
    </row>
    <row r="1340" spans="1:8" x14ac:dyDescent="0.25">
      <c r="A1340">
        <v>1338</v>
      </c>
      <c r="B1340">
        <f t="shared" si="40"/>
        <v>36</v>
      </c>
      <c r="C1340">
        <f t="shared" si="41"/>
        <v>8</v>
      </c>
      <c r="D1340" cm="1">
        <f t="array" ref="D1340">INDEX('Linha 06'!$A$4:$A$1000,B1340)</f>
        <v>20220020</v>
      </c>
      <c r="E1340" t="str" cm="1">
        <f t="array" ref="E1340">INDEX('Linha 06'!$B$4:$B$1000,B1340)</f>
        <v>Intermed. Aromat. Rosas E Magnolias Cx C/ 12un 250ml</v>
      </c>
      <c r="F1340" cm="1">
        <f t="array" ref="F1340">INDEX('Linha 06'!$C$3:$ZZ$3,C1340)</f>
        <v>20060016</v>
      </c>
      <c r="G1340" t="str" cm="1">
        <f t="array" ref="G1340">INDEX('Linha 06'!$C$2:$ZZ$2,C1340)</f>
        <v>Limp Perf Aquafast Doce Romance Cx/12 X 1l</v>
      </c>
      <c r="H1340" s="5" cm="1">
        <f t="array" ref="H1340">INDEX('Linha 06'!$C$4:$ZZ$1000,B1340,C1340)</f>
        <v>0</v>
      </c>
    </row>
    <row r="1341" spans="1:8" x14ac:dyDescent="0.25">
      <c r="A1341">
        <v>1339</v>
      </c>
      <c r="B1341">
        <f t="shared" si="40"/>
        <v>36</v>
      </c>
      <c r="C1341">
        <f t="shared" si="41"/>
        <v>9</v>
      </c>
      <c r="D1341" cm="1">
        <f t="array" ref="D1341">INDEX('Linha 06'!$A$4:$A$1000,B1341)</f>
        <v>20220020</v>
      </c>
      <c r="E1341" t="str" cm="1">
        <f t="array" ref="E1341">INDEX('Linha 06'!$B$4:$B$1000,B1341)</f>
        <v>Intermed. Aromat. Rosas E Magnolias Cx C/ 12un 250ml</v>
      </c>
      <c r="F1341" cm="1">
        <f t="array" ref="F1341">INDEX('Linha 06'!$C$3:$ZZ$3,C1341)</f>
        <v>20060027</v>
      </c>
      <c r="G1341" t="str" cm="1">
        <f t="array" ref="G1341">INDEX('Linha 06'!$C$2:$ZZ$2,C1341)</f>
        <v>Limp Perf Aquafast Essencia Natural Cx/12 X 1l</v>
      </c>
      <c r="H1341" s="5" cm="1">
        <f t="array" ref="H1341">INDEX('Linha 06'!$C$4:$ZZ$1000,B1341,C1341)</f>
        <v>0</v>
      </c>
    </row>
    <row r="1342" spans="1:8" x14ac:dyDescent="0.25">
      <c r="A1342">
        <v>1340</v>
      </c>
      <c r="B1342">
        <f t="shared" si="40"/>
        <v>36</v>
      </c>
      <c r="C1342">
        <f t="shared" si="41"/>
        <v>10</v>
      </c>
      <c r="D1342" cm="1">
        <f t="array" ref="D1342">INDEX('Linha 06'!$A$4:$A$1000,B1342)</f>
        <v>20220020</v>
      </c>
      <c r="E1342" t="str" cm="1">
        <f t="array" ref="E1342">INDEX('Linha 06'!$B$4:$B$1000,B1342)</f>
        <v>Intermed. Aromat. Rosas E Magnolias Cx C/ 12un 250ml</v>
      </c>
      <c r="F1342" cm="1">
        <f t="array" ref="F1342">INDEX('Linha 06'!$C$3:$ZZ$3,C1342)</f>
        <v>20070001</v>
      </c>
      <c r="G1342" t="str" cm="1">
        <f t="array" ref="G1342">INDEX('Linha 06'!$C$2:$ZZ$2,C1342)</f>
        <v>Limpa Vidros Aquafast Pulverizador Cx/12 X 500ml</v>
      </c>
      <c r="H1342" s="5" cm="1">
        <f t="array" ref="H1342">INDEX('Linha 06'!$C$4:$ZZ$1000,B1342,C1342)</f>
        <v>0</v>
      </c>
    </row>
    <row r="1343" spans="1:8" x14ac:dyDescent="0.25">
      <c r="A1343">
        <v>1341</v>
      </c>
      <c r="B1343">
        <f t="shared" si="40"/>
        <v>36</v>
      </c>
      <c r="C1343">
        <f t="shared" si="41"/>
        <v>11</v>
      </c>
      <c r="D1343" cm="1">
        <f t="array" ref="D1343">INDEX('Linha 06'!$A$4:$A$1000,B1343)</f>
        <v>20220020</v>
      </c>
      <c r="E1343" t="str" cm="1">
        <f t="array" ref="E1343">INDEX('Linha 06'!$B$4:$B$1000,B1343)</f>
        <v>Intermed. Aromat. Rosas E Magnolias Cx C/ 12un 250ml</v>
      </c>
      <c r="F1343" cm="1">
        <f t="array" ref="F1343">INDEX('Linha 06'!$C$3:$ZZ$3,C1343)</f>
        <v>20070002</v>
      </c>
      <c r="G1343" t="str" cm="1">
        <f t="array" ref="G1343">INDEX('Linha 06'!$C$2:$ZZ$2,C1343)</f>
        <v>Limpa Vidros Aquafast Recarga Cx/12 X 500ml</v>
      </c>
      <c r="H1343" s="5" cm="1">
        <f t="array" ref="H1343">INDEX('Linha 06'!$C$4:$ZZ$1000,B1343,C1343)</f>
        <v>0</v>
      </c>
    </row>
    <row r="1344" spans="1:8" x14ac:dyDescent="0.25">
      <c r="A1344">
        <v>1342</v>
      </c>
      <c r="B1344">
        <f t="shared" si="40"/>
        <v>36</v>
      </c>
      <c r="C1344">
        <f t="shared" si="41"/>
        <v>12</v>
      </c>
      <c r="D1344" cm="1">
        <f t="array" ref="D1344">INDEX('Linha 06'!$A$4:$A$1000,B1344)</f>
        <v>20220020</v>
      </c>
      <c r="E1344" t="str" cm="1">
        <f t="array" ref="E1344">INDEX('Linha 06'!$B$4:$B$1000,B1344)</f>
        <v>Intermed. Aromat. Rosas E Magnolias Cx C/ 12un 250ml</v>
      </c>
      <c r="F1344" cm="1">
        <f t="array" ref="F1344">INDEX('Linha 06'!$C$3:$ZZ$3,C1344)</f>
        <v>20070006</v>
      </c>
      <c r="G1344" t="str" cm="1">
        <f t="array" ref="G1344">INDEX('Linha 06'!$C$2:$ZZ$2,C1344)</f>
        <v>Limpa Vidros Ito Pulverizador Cx/12 X 500ml</v>
      </c>
      <c r="H1344" s="5" cm="1">
        <f t="array" ref="H1344">INDEX('Linha 06'!$C$4:$ZZ$1000,B1344,C1344)</f>
        <v>0</v>
      </c>
    </row>
    <row r="1345" spans="1:8" x14ac:dyDescent="0.25">
      <c r="A1345">
        <v>1343</v>
      </c>
      <c r="B1345">
        <f t="shared" si="40"/>
        <v>36</v>
      </c>
      <c r="C1345">
        <f t="shared" si="41"/>
        <v>13</v>
      </c>
      <c r="D1345" cm="1">
        <f t="array" ref="D1345">INDEX('Linha 06'!$A$4:$A$1000,B1345)</f>
        <v>20220020</v>
      </c>
      <c r="E1345" t="str" cm="1">
        <f t="array" ref="E1345">INDEX('Linha 06'!$B$4:$B$1000,B1345)</f>
        <v>Intermed. Aromat. Rosas E Magnolias Cx C/ 12un 250ml</v>
      </c>
      <c r="F1345" cm="1">
        <f t="array" ref="F1345">INDEX('Linha 06'!$C$3:$ZZ$3,C1345)</f>
        <v>20070007</v>
      </c>
      <c r="G1345" t="str" cm="1">
        <f t="array" ref="G1345">INDEX('Linha 06'!$C$2:$ZZ$2,C1345)</f>
        <v>Limpa Vidros Ito Recarga Cx/12 X 500ml</v>
      </c>
      <c r="H1345" s="5" cm="1">
        <f t="array" ref="H1345">INDEX('Linha 06'!$C$4:$ZZ$1000,B1345,C1345)</f>
        <v>0</v>
      </c>
    </row>
    <row r="1346" spans="1:8" x14ac:dyDescent="0.25">
      <c r="A1346">
        <v>1344</v>
      </c>
      <c r="B1346">
        <f t="shared" si="40"/>
        <v>36</v>
      </c>
      <c r="C1346">
        <f t="shared" si="41"/>
        <v>14</v>
      </c>
      <c r="D1346" cm="1">
        <f t="array" ref="D1346">INDEX('Linha 06'!$A$4:$A$1000,B1346)</f>
        <v>20220020</v>
      </c>
      <c r="E1346" t="str" cm="1">
        <f t="array" ref="E1346">INDEX('Linha 06'!$B$4:$B$1000,B1346)</f>
        <v>Intermed. Aromat. Rosas E Magnolias Cx C/ 12un 250ml</v>
      </c>
      <c r="F1346" cm="1">
        <f t="array" ref="F1346">INDEX('Linha 06'!$C$3:$ZZ$3,C1346)</f>
        <v>20070008</v>
      </c>
      <c r="G1346" t="str" cm="1">
        <f t="array" ref="G1346">INDEX('Linha 06'!$C$2:$ZZ$2,C1346)</f>
        <v>Limpa Vidros Aquafast Squeeze Cx/12 X 500ml</v>
      </c>
      <c r="H1346" s="5" cm="1">
        <f t="array" ref="H1346">INDEX('Linha 06'!$C$4:$ZZ$1000,B1346,C1346)</f>
        <v>0</v>
      </c>
    </row>
    <row r="1347" spans="1:8" x14ac:dyDescent="0.25">
      <c r="A1347">
        <v>1345</v>
      </c>
      <c r="B1347">
        <f t="shared" si="40"/>
        <v>36</v>
      </c>
      <c r="C1347">
        <f t="shared" si="41"/>
        <v>15</v>
      </c>
      <c r="D1347" cm="1">
        <f t="array" ref="D1347">INDEX('Linha 06'!$A$4:$A$1000,B1347)</f>
        <v>20220020</v>
      </c>
      <c r="E1347" t="str" cm="1">
        <f t="array" ref="E1347">INDEX('Linha 06'!$B$4:$B$1000,B1347)</f>
        <v>Intermed. Aromat. Rosas E Magnolias Cx C/ 12un 250ml</v>
      </c>
      <c r="F1347" cm="1">
        <f t="array" ref="F1347">INDEX('Linha 06'!$C$3:$ZZ$3,C1347)</f>
        <v>20090001</v>
      </c>
      <c r="G1347" t="str" cm="1">
        <f t="array" ref="G1347">INDEX('Linha 06'!$C$2:$ZZ$2,C1347)</f>
        <v>Desengordurante Aquafast Pulverizador Cx/12 X 500ml</v>
      </c>
      <c r="H1347" s="5" cm="1">
        <f t="array" ref="H1347">INDEX('Linha 06'!$C$4:$ZZ$1000,B1347,C1347)</f>
        <v>0</v>
      </c>
    </row>
    <row r="1348" spans="1:8" x14ac:dyDescent="0.25">
      <c r="A1348">
        <v>1346</v>
      </c>
      <c r="B1348">
        <f t="shared" ref="B1348:B1411" si="42">INT((A1348-1)/$B$1)+1</f>
        <v>36</v>
      </c>
      <c r="C1348">
        <f t="shared" ref="C1348:C1411" si="43">MOD(A1348-1,$B$1)+1</f>
        <v>16</v>
      </c>
      <c r="D1348" cm="1">
        <f t="array" ref="D1348">INDEX('Linha 06'!$A$4:$A$1000,B1348)</f>
        <v>20220020</v>
      </c>
      <c r="E1348" t="str" cm="1">
        <f t="array" ref="E1348">INDEX('Linha 06'!$B$4:$B$1000,B1348)</f>
        <v>Intermed. Aromat. Rosas E Magnolias Cx C/ 12un 250ml</v>
      </c>
      <c r="F1348" cm="1">
        <f t="array" ref="F1348">INDEX('Linha 06'!$C$3:$ZZ$3,C1348)</f>
        <v>20090002</v>
      </c>
      <c r="G1348" t="str" cm="1">
        <f t="array" ref="G1348">INDEX('Linha 06'!$C$2:$ZZ$2,C1348)</f>
        <v>Desengordurante Aquafast Recarga Cx/12 X 500ml</v>
      </c>
      <c r="H1348" s="5" cm="1">
        <f t="array" ref="H1348">INDEX('Linha 06'!$C$4:$ZZ$1000,B1348,C1348)</f>
        <v>0</v>
      </c>
    </row>
    <row r="1349" spans="1:8" x14ac:dyDescent="0.25">
      <c r="A1349">
        <v>1347</v>
      </c>
      <c r="B1349">
        <f t="shared" si="42"/>
        <v>36</v>
      </c>
      <c r="C1349">
        <f t="shared" si="43"/>
        <v>17</v>
      </c>
      <c r="D1349" cm="1">
        <f t="array" ref="D1349">INDEX('Linha 06'!$A$4:$A$1000,B1349)</f>
        <v>20220020</v>
      </c>
      <c r="E1349" t="str" cm="1">
        <f t="array" ref="E1349">INDEX('Linha 06'!$B$4:$B$1000,B1349)</f>
        <v>Intermed. Aromat. Rosas E Magnolias Cx C/ 12un 250ml</v>
      </c>
      <c r="F1349" cm="1">
        <f t="array" ref="F1349">INDEX('Linha 06'!$C$3:$ZZ$3,C1349)</f>
        <v>20090004</v>
      </c>
      <c r="G1349" t="str" cm="1">
        <f t="array" ref="G1349">INDEX('Linha 06'!$C$2:$ZZ$2,C1349)</f>
        <v>Desengordurante Aquafast Squeeze Cx C/12 X 500ml</v>
      </c>
      <c r="H1349" s="5" cm="1">
        <f t="array" ref="H1349">INDEX('Linha 06'!$C$4:$ZZ$1000,B1349,C1349)</f>
        <v>0</v>
      </c>
    </row>
    <row r="1350" spans="1:8" x14ac:dyDescent="0.25">
      <c r="A1350">
        <v>1348</v>
      </c>
      <c r="B1350">
        <f t="shared" si="42"/>
        <v>36</v>
      </c>
      <c r="C1350">
        <f t="shared" si="43"/>
        <v>18</v>
      </c>
      <c r="D1350" cm="1">
        <f t="array" ref="D1350">INDEX('Linha 06'!$A$4:$A$1000,B1350)</f>
        <v>20220020</v>
      </c>
      <c r="E1350" t="str" cm="1">
        <f t="array" ref="E1350">INDEX('Linha 06'!$B$4:$B$1000,B1350)</f>
        <v>Intermed. Aromat. Rosas E Magnolias Cx C/ 12un 250ml</v>
      </c>
      <c r="F1350" cm="1">
        <f t="array" ref="F1350">INDEX('Linha 06'!$C$3:$ZZ$3,C1350)</f>
        <v>20090005</v>
      </c>
      <c r="G1350" t="str" cm="1">
        <f t="array" ref="G1350">INDEX('Linha 06'!$C$2:$ZZ$2,C1350)</f>
        <v>Desengordurante Aquafast Squeeze Cx C/12 X 1l</v>
      </c>
      <c r="H1350" s="5" cm="1">
        <f t="array" ref="H1350">INDEX('Linha 06'!$C$4:$ZZ$1000,B1350,C1350)</f>
        <v>0</v>
      </c>
    </row>
    <row r="1351" spans="1:8" x14ac:dyDescent="0.25">
      <c r="A1351">
        <v>1349</v>
      </c>
      <c r="B1351">
        <f t="shared" si="42"/>
        <v>36</v>
      </c>
      <c r="C1351">
        <f t="shared" si="43"/>
        <v>19</v>
      </c>
      <c r="D1351" cm="1">
        <f t="array" ref="D1351">INDEX('Linha 06'!$A$4:$A$1000,B1351)</f>
        <v>20220020</v>
      </c>
      <c r="E1351" t="str" cm="1">
        <f t="array" ref="E1351">INDEX('Linha 06'!$B$4:$B$1000,B1351)</f>
        <v>Intermed. Aromat. Rosas E Magnolias Cx C/ 12un 250ml</v>
      </c>
      <c r="F1351" cm="1">
        <f t="array" ref="F1351">INDEX('Linha 06'!$C$3:$ZZ$3,C1351)</f>
        <v>20090010</v>
      </c>
      <c r="G1351" t="str" cm="1">
        <f t="array" ref="G1351">INDEX('Linha 06'!$C$2:$ZZ$2,C1351)</f>
        <v>Intermed Pack Desengord Squeeze Cx C/18 X 500ml</v>
      </c>
      <c r="H1351" s="5" cm="1">
        <f t="array" ref="H1351">INDEX('Linha 06'!$C$4:$ZZ$1000,B1351,C1351)</f>
        <v>0</v>
      </c>
    </row>
    <row r="1352" spans="1:8" x14ac:dyDescent="0.25">
      <c r="A1352">
        <v>1350</v>
      </c>
      <c r="B1352">
        <f t="shared" si="42"/>
        <v>36</v>
      </c>
      <c r="C1352">
        <f t="shared" si="43"/>
        <v>20</v>
      </c>
      <c r="D1352" cm="1">
        <f t="array" ref="D1352">INDEX('Linha 06'!$A$4:$A$1000,B1352)</f>
        <v>20220020</v>
      </c>
      <c r="E1352" t="str" cm="1">
        <f t="array" ref="E1352">INDEX('Linha 06'!$B$4:$B$1000,B1352)</f>
        <v>Intermed. Aromat. Rosas E Magnolias Cx C/ 12un 250ml</v>
      </c>
      <c r="F1352" cm="1">
        <f t="array" ref="F1352">INDEX('Linha 06'!$C$3:$ZZ$3,C1352)</f>
        <v>20110002</v>
      </c>
      <c r="G1352" t="str" cm="1">
        <f t="array" ref="G1352">INDEX('Linha 06'!$C$2:$ZZ$2,C1352)</f>
        <v>Multi Uso Aquafast Squeeze Original Cx/12 X 500ml</v>
      </c>
      <c r="H1352" s="5" cm="1">
        <f t="array" ref="H1352">INDEX('Linha 06'!$C$4:$ZZ$1000,B1352,C1352)</f>
        <v>0</v>
      </c>
    </row>
    <row r="1353" spans="1:8" x14ac:dyDescent="0.25">
      <c r="A1353">
        <v>1351</v>
      </c>
      <c r="B1353">
        <f t="shared" si="42"/>
        <v>36</v>
      </c>
      <c r="C1353">
        <f t="shared" si="43"/>
        <v>21</v>
      </c>
      <c r="D1353" cm="1">
        <f t="array" ref="D1353">INDEX('Linha 06'!$A$4:$A$1000,B1353)</f>
        <v>20220020</v>
      </c>
      <c r="E1353" t="str" cm="1">
        <f t="array" ref="E1353">INDEX('Linha 06'!$B$4:$B$1000,B1353)</f>
        <v>Intermed. Aromat. Rosas E Magnolias Cx C/ 12un 250ml</v>
      </c>
      <c r="F1353" cm="1">
        <f t="array" ref="F1353">INDEX('Linha 06'!$C$3:$ZZ$3,C1353)</f>
        <v>20110004</v>
      </c>
      <c r="G1353" t="str" cm="1">
        <f t="array" ref="G1353">INDEX('Linha 06'!$C$2:$ZZ$2,C1353)</f>
        <v>Multi Uso Aquafast Squeeze Lavanda Cx/12 X 500ml</v>
      </c>
      <c r="H1353" s="5" cm="1">
        <f t="array" ref="H1353">INDEX('Linha 06'!$C$4:$ZZ$1000,B1353,C1353)</f>
        <v>0</v>
      </c>
    </row>
    <row r="1354" spans="1:8" x14ac:dyDescent="0.25">
      <c r="A1354">
        <v>1352</v>
      </c>
      <c r="B1354">
        <f t="shared" si="42"/>
        <v>36</v>
      </c>
      <c r="C1354">
        <f t="shared" si="43"/>
        <v>22</v>
      </c>
      <c r="D1354" cm="1">
        <f t="array" ref="D1354">INDEX('Linha 06'!$A$4:$A$1000,B1354)</f>
        <v>20220020</v>
      </c>
      <c r="E1354" t="str" cm="1">
        <f t="array" ref="E1354">INDEX('Linha 06'!$B$4:$B$1000,B1354)</f>
        <v>Intermed. Aromat. Rosas E Magnolias Cx C/ 12un 250ml</v>
      </c>
      <c r="F1354" cm="1">
        <f t="array" ref="F1354">INDEX('Linha 06'!$C$3:$ZZ$3,C1354)</f>
        <v>20110007</v>
      </c>
      <c r="G1354" t="str" cm="1">
        <f t="array" ref="G1354">INDEX('Linha 06'!$C$2:$ZZ$2,C1354)</f>
        <v>Multi Uso Aquafast Squeeze Seducao Cx/12 X 500ml</v>
      </c>
      <c r="H1354" s="5" cm="1">
        <f t="array" ref="H1354">INDEX('Linha 06'!$C$4:$ZZ$1000,B1354,C1354)</f>
        <v>0</v>
      </c>
    </row>
    <row r="1355" spans="1:8" x14ac:dyDescent="0.25">
      <c r="A1355">
        <v>1353</v>
      </c>
      <c r="B1355">
        <f t="shared" si="42"/>
        <v>36</v>
      </c>
      <c r="C1355">
        <f t="shared" si="43"/>
        <v>23</v>
      </c>
      <c r="D1355" cm="1">
        <f t="array" ref="D1355">INDEX('Linha 06'!$A$4:$A$1000,B1355)</f>
        <v>20220020</v>
      </c>
      <c r="E1355" t="str" cm="1">
        <f t="array" ref="E1355">INDEX('Linha 06'!$B$4:$B$1000,B1355)</f>
        <v>Intermed. Aromat. Rosas E Magnolias Cx C/ 12un 250ml</v>
      </c>
      <c r="F1355" cm="1">
        <f t="array" ref="F1355">INDEX('Linha 06'!$C$3:$ZZ$3,C1355)</f>
        <v>20110008</v>
      </c>
      <c r="G1355" t="str" cm="1">
        <f t="array" ref="G1355">INDEX('Linha 06'!$C$2:$ZZ$2,C1355)</f>
        <v>Multi Uso Aquafast Squeeze Original Cx/12 X 1l</v>
      </c>
      <c r="H1355" s="5" cm="1">
        <f t="array" ref="H1355">INDEX('Linha 06'!$C$4:$ZZ$1000,B1355,C1355)</f>
        <v>0</v>
      </c>
    </row>
    <row r="1356" spans="1:8" x14ac:dyDescent="0.25">
      <c r="A1356">
        <v>1354</v>
      </c>
      <c r="B1356">
        <f t="shared" si="42"/>
        <v>36</v>
      </c>
      <c r="C1356">
        <f t="shared" si="43"/>
        <v>24</v>
      </c>
      <c r="D1356" cm="1">
        <f t="array" ref="D1356">INDEX('Linha 06'!$A$4:$A$1000,B1356)</f>
        <v>20220020</v>
      </c>
      <c r="E1356" t="str" cm="1">
        <f t="array" ref="E1356">INDEX('Linha 06'!$B$4:$B$1000,B1356)</f>
        <v>Intermed. Aromat. Rosas E Magnolias Cx C/ 12un 250ml</v>
      </c>
      <c r="F1356" cm="1">
        <f t="array" ref="F1356">INDEX('Linha 06'!$C$3:$ZZ$3,C1356)</f>
        <v>20110010</v>
      </c>
      <c r="G1356" t="str" cm="1">
        <f t="array" ref="G1356">INDEX('Linha 06'!$C$2:$ZZ$2,C1356)</f>
        <v>Multi Uso Aquafast Squeeze Seducao Cx/12 1l</v>
      </c>
      <c r="H1356" s="5" cm="1">
        <f t="array" ref="H1356">INDEX('Linha 06'!$C$4:$ZZ$1000,B1356,C1356)</f>
        <v>0</v>
      </c>
    </row>
    <row r="1357" spans="1:8" x14ac:dyDescent="0.25">
      <c r="A1357">
        <v>1355</v>
      </c>
      <c r="B1357">
        <f t="shared" si="42"/>
        <v>36</v>
      </c>
      <c r="C1357">
        <f t="shared" si="43"/>
        <v>25</v>
      </c>
      <c r="D1357" cm="1">
        <f t="array" ref="D1357">INDEX('Linha 06'!$A$4:$A$1000,B1357)</f>
        <v>20220020</v>
      </c>
      <c r="E1357" t="str" cm="1">
        <f t="array" ref="E1357">INDEX('Linha 06'!$B$4:$B$1000,B1357)</f>
        <v>Intermed. Aromat. Rosas E Magnolias Cx C/ 12un 250ml</v>
      </c>
      <c r="F1357" cm="1">
        <f t="array" ref="F1357">INDEX('Linha 06'!$C$3:$ZZ$3,C1357)</f>
        <v>20110013</v>
      </c>
      <c r="G1357" t="str" cm="1">
        <f t="array" ref="G1357">INDEX('Linha 06'!$C$2:$ZZ$2,C1357)</f>
        <v>Multi Uso Aquafast Squeeze Lavanda Cx/12 X 1l</v>
      </c>
      <c r="H1357" s="5" cm="1">
        <f t="array" ref="H1357">INDEX('Linha 06'!$C$4:$ZZ$1000,B1357,C1357)</f>
        <v>0</v>
      </c>
    </row>
    <row r="1358" spans="1:8" x14ac:dyDescent="0.25">
      <c r="A1358">
        <v>1356</v>
      </c>
      <c r="B1358">
        <f t="shared" si="42"/>
        <v>36</v>
      </c>
      <c r="C1358">
        <f t="shared" si="43"/>
        <v>26</v>
      </c>
      <c r="D1358" cm="1">
        <f t="array" ref="D1358">INDEX('Linha 06'!$A$4:$A$1000,B1358)</f>
        <v>20220020</v>
      </c>
      <c r="E1358" t="str" cm="1">
        <f t="array" ref="E1358">INDEX('Linha 06'!$B$4:$B$1000,B1358)</f>
        <v>Intermed. Aromat. Rosas E Magnolias Cx C/ 12un 250ml</v>
      </c>
      <c r="F1358" cm="1">
        <f t="array" ref="F1358">INDEX('Linha 06'!$C$3:$ZZ$3,C1358)</f>
        <v>20110022</v>
      </c>
      <c r="G1358" t="str" cm="1">
        <f t="array" ref="G1358">INDEX('Linha 06'!$C$2:$ZZ$2,C1358)</f>
        <v>Intermed Pack Multi Uso Lavand C/Alcool Cx/18 X 500ml</v>
      </c>
      <c r="H1358" s="5" cm="1">
        <f t="array" ref="H1358">INDEX('Linha 06'!$C$4:$ZZ$1000,B1358,C1358)</f>
        <v>0</v>
      </c>
    </row>
    <row r="1359" spans="1:8" x14ac:dyDescent="0.25">
      <c r="A1359">
        <v>1357</v>
      </c>
      <c r="B1359">
        <f t="shared" si="42"/>
        <v>36</v>
      </c>
      <c r="C1359">
        <f t="shared" si="43"/>
        <v>27</v>
      </c>
      <c r="D1359" cm="1">
        <f t="array" ref="D1359">INDEX('Linha 06'!$A$4:$A$1000,B1359)</f>
        <v>20220020</v>
      </c>
      <c r="E1359" t="str" cm="1">
        <f t="array" ref="E1359">INDEX('Linha 06'!$B$4:$B$1000,B1359)</f>
        <v>Intermed. Aromat. Rosas E Magnolias Cx C/ 12un 250ml</v>
      </c>
      <c r="F1359" cm="1">
        <f t="array" ref="F1359">INDEX('Linha 06'!$C$3:$ZZ$3,C1359)</f>
        <v>20110023</v>
      </c>
      <c r="G1359" t="str" cm="1">
        <f t="array" ref="G1359">INDEX('Linha 06'!$C$2:$ZZ$2,C1359)</f>
        <v>Multi Uso Aquafast Squeeze Cha Branco  Cx/12 X 500ml</v>
      </c>
      <c r="H1359" s="5" cm="1">
        <f t="array" ref="H1359">INDEX('Linha 06'!$C$4:$ZZ$1000,B1359,C1359)</f>
        <v>0</v>
      </c>
    </row>
    <row r="1360" spans="1:8" x14ac:dyDescent="0.25">
      <c r="A1360">
        <v>1358</v>
      </c>
      <c r="B1360">
        <f t="shared" si="42"/>
        <v>36</v>
      </c>
      <c r="C1360">
        <f t="shared" si="43"/>
        <v>28</v>
      </c>
      <c r="D1360" cm="1">
        <f t="array" ref="D1360">INDEX('Linha 06'!$A$4:$A$1000,B1360)</f>
        <v>20220020</v>
      </c>
      <c r="E1360" t="str" cm="1">
        <f t="array" ref="E1360">INDEX('Linha 06'!$B$4:$B$1000,B1360)</f>
        <v>Intermed. Aromat. Rosas E Magnolias Cx C/ 12un 250ml</v>
      </c>
      <c r="F1360" cm="1">
        <f t="array" ref="F1360">INDEX('Linha 06'!$C$3:$ZZ$3,C1360)</f>
        <v>20110024</v>
      </c>
      <c r="G1360" t="str" cm="1">
        <f t="array" ref="G1360">INDEX('Linha 06'!$C$2:$ZZ$2,C1360)</f>
        <v>Multi Uso Aquafast Squeeze Cha Branco Cx12 X 1l</v>
      </c>
      <c r="H1360" s="5" cm="1">
        <f t="array" ref="H1360">INDEX('Linha 06'!$C$4:$ZZ$1000,B1360,C1360)</f>
        <v>0</v>
      </c>
    </row>
    <row r="1361" spans="1:8" x14ac:dyDescent="0.25">
      <c r="A1361">
        <v>1359</v>
      </c>
      <c r="B1361">
        <f t="shared" si="42"/>
        <v>36</v>
      </c>
      <c r="C1361">
        <f t="shared" si="43"/>
        <v>29</v>
      </c>
      <c r="D1361" cm="1">
        <f t="array" ref="D1361">INDEX('Linha 06'!$A$4:$A$1000,B1361)</f>
        <v>20220020</v>
      </c>
      <c r="E1361" t="str" cm="1">
        <f t="array" ref="E1361">INDEX('Linha 06'!$B$4:$B$1000,B1361)</f>
        <v>Intermed. Aromat. Rosas E Magnolias Cx C/ 12un 250ml</v>
      </c>
      <c r="F1361" cm="1">
        <f t="array" ref="F1361">INDEX('Linha 06'!$C$3:$ZZ$3,C1361)</f>
        <v>20110025</v>
      </c>
      <c r="G1361" t="str" cm="1">
        <f t="array" ref="G1361">INDEX('Linha 06'!$C$2:$ZZ$2,C1361)</f>
        <v>Multi Uso Aquafast Pulverizador Original Cx/12 X 1l</v>
      </c>
      <c r="H1361" s="5" cm="1">
        <f t="array" ref="H1361">INDEX('Linha 06'!$C$4:$ZZ$1000,B1361,C1361)</f>
        <v>0</v>
      </c>
    </row>
    <row r="1362" spans="1:8" x14ac:dyDescent="0.25">
      <c r="A1362">
        <v>1360</v>
      </c>
      <c r="B1362">
        <f t="shared" si="42"/>
        <v>36</v>
      </c>
      <c r="C1362">
        <f t="shared" si="43"/>
        <v>30</v>
      </c>
      <c r="D1362" cm="1">
        <f t="array" ref="D1362">INDEX('Linha 06'!$A$4:$A$1000,B1362)</f>
        <v>20220020</v>
      </c>
      <c r="E1362" t="str" cm="1">
        <f t="array" ref="E1362">INDEX('Linha 06'!$B$4:$B$1000,B1362)</f>
        <v>Intermed. Aromat. Rosas E Magnolias Cx C/ 12un 250ml</v>
      </c>
      <c r="F1362" cm="1">
        <f t="array" ref="F1362">INDEX('Linha 06'!$C$3:$ZZ$3,C1362)</f>
        <v>20110026</v>
      </c>
      <c r="G1362" t="str" cm="1">
        <f t="array" ref="G1362">INDEX('Linha 06'!$C$2:$ZZ$2,C1362)</f>
        <v>Multi Uso Aquafast Pulverizador Poder O2 Cx/12 X 1l</v>
      </c>
      <c r="H1362" s="5" cm="1">
        <f t="array" ref="H1362">INDEX('Linha 06'!$C$4:$ZZ$1000,B1362,C1362)</f>
        <v>0</v>
      </c>
    </row>
    <row r="1363" spans="1:8" x14ac:dyDescent="0.25">
      <c r="A1363">
        <v>1361</v>
      </c>
      <c r="B1363">
        <f t="shared" si="42"/>
        <v>36</v>
      </c>
      <c r="C1363">
        <f t="shared" si="43"/>
        <v>31</v>
      </c>
      <c r="D1363" cm="1">
        <f t="array" ref="D1363">INDEX('Linha 06'!$A$4:$A$1000,B1363)</f>
        <v>20220020</v>
      </c>
      <c r="E1363" t="str" cm="1">
        <f t="array" ref="E1363">INDEX('Linha 06'!$B$4:$B$1000,B1363)</f>
        <v>Intermed. Aromat. Rosas E Magnolias Cx C/ 12un 250ml</v>
      </c>
      <c r="F1363" cm="1">
        <f t="array" ref="F1363">INDEX('Linha 06'!$C$3:$ZZ$3,C1363)</f>
        <v>20110027</v>
      </c>
      <c r="G1363" t="str" cm="1">
        <f t="array" ref="G1363">INDEX('Linha 06'!$C$2:$ZZ$2,C1363)</f>
        <v>Multi Uso Aquafast Pulverizador Poder O2 Cx/12 X 500ml</v>
      </c>
      <c r="H1363" s="5" cm="1">
        <f t="array" ref="H1363">INDEX('Linha 06'!$C$4:$ZZ$1000,B1363,C1363)</f>
        <v>0</v>
      </c>
    </row>
    <row r="1364" spans="1:8" x14ac:dyDescent="0.25">
      <c r="A1364">
        <v>1362</v>
      </c>
      <c r="B1364">
        <f t="shared" si="42"/>
        <v>36</v>
      </c>
      <c r="C1364">
        <f t="shared" si="43"/>
        <v>32</v>
      </c>
      <c r="D1364" cm="1">
        <f t="array" ref="D1364">INDEX('Linha 06'!$A$4:$A$1000,B1364)</f>
        <v>20220020</v>
      </c>
      <c r="E1364" t="str" cm="1">
        <f t="array" ref="E1364">INDEX('Linha 06'!$B$4:$B$1000,B1364)</f>
        <v>Intermed. Aromat. Rosas E Magnolias Cx C/ 12un 250ml</v>
      </c>
      <c r="F1364" cm="1">
        <f t="array" ref="F1364">INDEX('Linha 06'!$C$3:$ZZ$3,C1364)</f>
        <v>20200073</v>
      </c>
      <c r="G1364" t="str" cm="1">
        <f t="array" ref="G1364">INDEX('Linha 06'!$C$2:$ZZ$2,C1364)</f>
        <v>Lava Roupas Aquafast Lavagem Rapida Total Clean Cx/9 X 1,5l</v>
      </c>
      <c r="H1364" s="5" cm="1">
        <f t="array" ref="H1364">INDEX('Linha 06'!$C$4:$ZZ$1000,B1364,C1364)</f>
        <v>0</v>
      </c>
    </row>
    <row r="1365" spans="1:8" x14ac:dyDescent="0.25">
      <c r="A1365">
        <v>1363</v>
      </c>
      <c r="B1365">
        <f t="shared" si="42"/>
        <v>36</v>
      </c>
      <c r="C1365">
        <f t="shared" si="43"/>
        <v>33</v>
      </c>
      <c r="D1365" cm="1">
        <f t="array" ref="D1365">INDEX('Linha 06'!$A$4:$A$1000,B1365)</f>
        <v>20220020</v>
      </c>
      <c r="E1365" t="str" cm="1">
        <f t="array" ref="E1365">INDEX('Linha 06'!$B$4:$B$1000,B1365)</f>
        <v>Intermed. Aromat. Rosas E Magnolias Cx C/ 12un 250ml</v>
      </c>
      <c r="F1365" cm="1">
        <f t="array" ref="F1365">INDEX('Linha 06'!$C$3:$ZZ$3,C1365)</f>
        <v>20200075</v>
      </c>
      <c r="G1365" t="str" cm="1">
        <f t="array" ref="G1365">INDEX('Linha 06'!$C$2:$ZZ$2,C1365)</f>
        <v>Lava Roupas Aquafast Lavagem Rapida Fresh Clean Cx/9 X 1,5l</v>
      </c>
      <c r="H1365" s="5" cm="1">
        <f t="array" ref="H1365">INDEX('Linha 06'!$C$4:$ZZ$1000,B1365,C1365)</f>
        <v>0</v>
      </c>
    </row>
    <row r="1366" spans="1:8" x14ac:dyDescent="0.25">
      <c r="A1366">
        <v>1364</v>
      </c>
      <c r="B1366">
        <f t="shared" si="42"/>
        <v>36</v>
      </c>
      <c r="C1366">
        <f t="shared" si="43"/>
        <v>34</v>
      </c>
      <c r="D1366" cm="1">
        <f t="array" ref="D1366">INDEX('Linha 06'!$A$4:$A$1000,B1366)</f>
        <v>20220020</v>
      </c>
      <c r="E1366" t="str" cm="1">
        <f t="array" ref="E1366">INDEX('Linha 06'!$B$4:$B$1000,B1366)</f>
        <v>Intermed. Aromat. Rosas E Magnolias Cx C/ 12un 250ml</v>
      </c>
      <c r="F1366" cm="1">
        <f t="array" ref="F1366">INDEX('Linha 06'!$C$3:$ZZ$3,C1366)</f>
        <v>20220018</v>
      </c>
      <c r="G1366" t="str" cm="1">
        <f t="array" ref="G1366">INDEX('Linha 06'!$C$2:$ZZ$2,C1366)</f>
        <v>Intermed. Aromat. Amoras E Baunilha Cx C/ 12un 250ml</v>
      </c>
      <c r="H1366" s="5" cm="1">
        <f t="array" ref="H1366">INDEX('Linha 06'!$C$4:$ZZ$1000,B1366,C1366)</f>
        <v>0</v>
      </c>
    </row>
    <row r="1367" spans="1:8" x14ac:dyDescent="0.25">
      <c r="A1367">
        <v>1365</v>
      </c>
      <c r="B1367">
        <f t="shared" si="42"/>
        <v>36</v>
      </c>
      <c r="C1367">
        <f t="shared" si="43"/>
        <v>35</v>
      </c>
      <c r="D1367" cm="1">
        <f t="array" ref="D1367">INDEX('Linha 06'!$A$4:$A$1000,B1367)</f>
        <v>20220020</v>
      </c>
      <c r="E1367" t="str" cm="1">
        <f t="array" ref="E1367">INDEX('Linha 06'!$B$4:$B$1000,B1367)</f>
        <v>Intermed. Aromat. Rosas E Magnolias Cx C/ 12un 250ml</v>
      </c>
      <c r="F1367" cm="1">
        <f t="array" ref="F1367">INDEX('Linha 06'!$C$3:$ZZ$3,C1367)</f>
        <v>20220019</v>
      </c>
      <c r="G1367" t="str" cm="1">
        <f t="array" ref="G1367">INDEX('Linha 06'!$C$2:$ZZ$2,C1367)</f>
        <v>Intermed. Aromat. Figo E Cedro Cx C/ 12un 250ml</v>
      </c>
      <c r="H1367" s="5" cm="1">
        <f t="array" ref="H1367">INDEX('Linha 06'!$C$4:$ZZ$1000,B1367,C1367)</f>
        <v>0</v>
      </c>
    </row>
    <row r="1368" spans="1:8" x14ac:dyDescent="0.25">
      <c r="A1368">
        <v>1366</v>
      </c>
      <c r="B1368">
        <f t="shared" si="42"/>
        <v>36</v>
      </c>
      <c r="C1368">
        <f t="shared" si="43"/>
        <v>36</v>
      </c>
      <c r="D1368" cm="1">
        <f t="array" ref="D1368">INDEX('Linha 06'!$A$4:$A$1000,B1368)</f>
        <v>20220020</v>
      </c>
      <c r="E1368" t="str" cm="1">
        <f t="array" ref="E1368">INDEX('Linha 06'!$B$4:$B$1000,B1368)</f>
        <v>Intermed. Aromat. Rosas E Magnolias Cx C/ 12un 250ml</v>
      </c>
      <c r="F1368" cm="1">
        <f t="array" ref="F1368">INDEX('Linha 06'!$C$3:$ZZ$3,C1368)</f>
        <v>20220020</v>
      </c>
      <c r="G1368" t="str" cm="1">
        <f t="array" ref="G1368">INDEX('Linha 06'!$C$2:$ZZ$2,C1368)</f>
        <v>Intermed. Aromat. Rosas E Magnolias Cx C/ 12un 250ml</v>
      </c>
      <c r="H1368" s="5" cm="1">
        <f t="array" ref="H1368">INDEX('Linha 06'!$C$4:$ZZ$1000,B1368,C1368)</f>
        <v>0</v>
      </c>
    </row>
    <row r="1369" spans="1:8" x14ac:dyDescent="0.25">
      <c r="A1369">
        <v>1367</v>
      </c>
      <c r="B1369">
        <f t="shared" si="42"/>
        <v>36</v>
      </c>
      <c r="C1369">
        <f t="shared" si="43"/>
        <v>37</v>
      </c>
      <c r="D1369" cm="1">
        <f t="array" ref="D1369">INDEX('Linha 06'!$A$4:$A$1000,B1369)</f>
        <v>20220020</v>
      </c>
      <c r="E1369" t="str" cm="1">
        <f t="array" ref="E1369">INDEX('Linha 06'!$B$4:$B$1000,B1369)</f>
        <v>Intermed. Aromat. Rosas E Magnolias Cx C/ 12un 250ml</v>
      </c>
      <c r="F1369" cm="1">
        <f t="array" ref="F1369">INDEX('Linha 06'!$C$3:$ZZ$3,C1369)</f>
        <v>20220021</v>
      </c>
      <c r="G1369" t="str" cm="1">
        <f t="array" ref="G1369">INDEX('Linha 06'!$C$2:$ZZ$2,C1369)</f>
        <v>Intermed. Aromat. Flores Exoticas Cx C/ 12un 250ml</v>
      </c>
      <c r="H1369" s="5" cm="1">
        <f t="array" ref="H1369">INDEX('Linha 06'!$C$4:$ZZ$1000,B1369,C1369)</f>
        <v>0</v>
      </c>
    </row>
    <row r="1370" spans="1:8" x14ac:dyDescent="0.25">
      <c r="A1370">
        <v>1368</v>
      </c>
      <c r="B1370">
        <f t="shared" si="42"/>
        <v>36</v>
      </c>
      <c r="C1370">
        <f t="shared" si="43"/>
        <v>38</v>
      </c>
      <c r="D1370" cm="1">
        <f t="array" ref="D1370">INDEX('Linha 06'!$A$4:$A$1000,B1370)</f>
        <v>20220020</v>
      </c>
      <c r="E1370" t="str" cm="1">
        <f t="array" ref="E1370">INDEX('Linha 06'!$B$4:$B$1000,B1370)</f>
        <v>Intermed. Aromat. Rosas E Magnolias Cx C/ 12un 250ml</v>
      </c>
      <c r="F1370" cm="1">
        <f t="array" ref="F1370">INDEX('Linha 06'!$C$3:$ZZ$3,C1370)</f>
        <v>20220022</v>
      </c>
      <c r="G1370" t="str" cm="1">
        <f t="array" ref="G1370">INDEX('Linha 06'!$C$2:$ZZ$2,C1370)</f>
        <v>Intermed. Aromat. Cha Verde E Grapef Cx C/ 12un 250ml</v>
      </c>
      <c r="H1370" s="5" cm="1">
        <f t="array" ref="H1370">INDEX('Linha 06'!$C$4:$ZZ$1000,B1370,C1370)</f>
        <v>0</v>
      </c>
    </row>
    <row r="1371" spans="1:8" x14ac:dyDescent="0.25">
      <c r="A1371">
        <v>1369</v>
      </c>
      <c r="B1371">
        <f t="shared" si="42"/>
        <v>37</v>
      </c>
      <c r="C1371">
        <f t="shared" si="43"/>
        <v>1</v>
      </c>
      <c r="D1371" cm="1">
        <f t="array" ref="D1371">INDEX('Linha 06'!$A$4:$A$1000,B1371)</f>
        <v>20220021</v>
      </c>
      <c r="E1371" t="str" cm="1">
        <f t="array" ref="E1371">INDEX('Linha 06'!$B$4:$B$1000,B1371)</f>
        <v>Intermed. Aromat. Flores Exoticas Cx C/ 12un 250ml</v>
      </c>
      <c r="F1371" cm="1">
        <f t="array" ref="F1371">INDEX('Linha 06'!$C$3:$ZZ$3,C1371)</f>
        <v>20060001</v>
      </c>
      <c r="G1371" t="str" cm="1">
        <f t="array" ref="G1371">INDEX('Linha 06'!$C$2:$ZZ$2,C1371)</f>
        <v>Limp Perf Aquafast Magia Seducao Cx/12 X 500ml</v>
      </c>
      <c r="H1371" s="5" cm="1">
        <f t="array" ref="H1371">INDEX('Linha 06'!$C$4:$ZZ$1000,B1371,C1371)</f>
        <v>0</v>
      </c>
    </row>
    <row r="1372" spans="1:8" x14ac:dyDescent="0.25">
      <c r="A1372">
        <v>1370</v>
      </c>
      <c r="B1372">
        <f t="shared" si="42"/>
        <v>37</v>
      </c>
      <c r="C1372">
        <f t="shared" si="43"/>
        <v>2</v>
      </c>
      <c r="D1372" cm="1">
        <f t="array" ref="D1372">INDEX('Linha 06'!$A$4:$A$1000,B1372)</f>
        <v>20220021</v>
      </c>
      <c r="E1372" t="str" cm="1">
        <f t="array" ref="E1372">INDEX('Linha 06'!$B$4:$B$1000,B1372)</f>
        <v>Intermed. Aromat. Flores Exoticas Cx C/ 12un 250ml</v>
      </c>
      <c r="F1372" cm="1">
        <f t="array" ref="F1372">INDEX('Linha 06'!$C$3:$ZZ$3,C1372)</f>
        <v>20060004</v>
      </c>
      <c r="G1372" t="str" cm="1">
        <f t="array" ref="G1372">INDEX('Linha 06'!$C$2:$ZZ$2,C1372)</f>
        <v>Limp Perf Aquafast Magia Seducao Cx/12 X 1l</v>
      </c>
      <c r="H1372" s="5" cm="1">
        <f t="array" ref="H1372">INDEX('Linha 06'!$C$4:$ZZ$1000,B1372,C1372)</f>
        <v>0</v>
      </c>
    </row>
    <row r="1373" spans="1:8" x14ac:dyDescent="0.25">
      <c r="A1373">
        <v>1371</v>
      </c>
      <c r="B1373">
        <f t="shared" si="42"/>
        <v>37</v>
      </c>
      <c r="C1373">
        <f t="shared" si="43"/>
        <v>3</v>
      </c>
      <c r="D1373" cm="1">
        <f t="array" ref="D1373">INDEX('Linha 06'!$A$4:$A$1000,B1373)</f>
        <v>20220021</v>
      </c>
      <c r="E1373" t="str" cm="1">
        <f t="array" ref="E1373">INDEX('Linha 06'!$B$4:$B$1000,B1373)</f>
        <v>Intermed. Aromat. Flores Exoticas Cx C/ 12un 250ml</v>
      </c>
      <c r="F1373" cm="1">
        <f t="array" ref="F1373">INDEX('Linha 06'!$C$3:$ZZ$3,C1373)</f>
        <v>20060010</v>
      </c>
      <c r="G1373" t="str" cm="1">
        <f t="array" ref="G1373">INDEX('Linha 06'!$C$2:$ZZ$2,C1373)</f>
        <v>Limp Perf Aquafast Magia Da Infancia Cx/12 X 500ml</v>
      </c>
      <c r="H1373" s="5" cm="1">
        <f t="array" ref="H1373">INDEX('Linha 06'!$C$4:$ZZ$1000,B1373,C1373)</f>
        <v>0</v>
      </c>
    </row>
    <row r="1374" spans="1:8" x14ac:dyDescent="0.25">
      <c r="A1374">
        <v>1372</v>
      </c>
      <c r="B1374">
        <f t="shared" si="42"/>
        <v>37</v>
      </c>
      <c r="C1374">
        <f t="shared" si="43"/>
        <v>4</v>
      </c>
      <c r="D1374" cm="1">
        <f t="array" ref="D1374">INDEX('Linha 06'!$A$4:$A$1000,B1374)</f>
        <v>20220021</v>
      </c>
      <c r="E1374" t="str" cm="1">
        <f t="array" ref="E1374">INDEX('Linha 06'!$B$4:$B$1000,B1374)</f>
        <v>Intermed. Aromat. Flores Exoticas Cx C/ 12un 250ml</v>
      </c>
      <c r="F1374" cm="1">
        <f t="array" ref="F1374">INDEX('Linha 06'!$C$3:$ZZ$3,C1374)</f>
        <v>20060011</v>
      </c>
      <c r="G1374" t="str" cm="1">
        <f t="array" ref="G1374">INDEX('Linha 06'!$C$2:$ZZ$2,C1374)</f>
        <v>Limp Perf Aquafast Frescor Da Manha Cx/12 X 500ml</v>
      </c>
      <c r="H1374" s="5" cm="1">
        <f t="array" ref="H1374">INDEX('Linha 06'!$C$4:$ZZ$1000,B1374,C1374)</f>
        <v>0</v>
      </c>
    </row>
    <row r="1375" spans="1:8" x14ac:dyDescent="0.25">
      <c r="A1375">
        <v>1373</v>
      </c>
      <c r="B1375">
        <f t="shared" si="42"/>
        <v>37</v>
      </c>
      <c r="C1375">
        <f t="shared" si="43"/>
        <v>5</v>
      </c>
      <c r="D1375" cm="1">
        <f t="array" ref="D1375">INDEX('Linha 06'!$A$4:$A$1000,B1375)</f>
        <v>20220021</v>
      </c>
      <c r="E1375" t="str" cm="1">
        <f t="array" ref="E1375">INDEX('Linha 06'!$B$4:$B$1000,B1375)</f>
        <v>Intermed. Aromat. Flores Exoticas Cx C/ 12un 250ml</v>
      </c>
      <c r="F1375" cm="1">
        <f t="array" ref="F1375">INDEX('Linha 06'!$C$3:$ZZ$3,C1375)</f>
        <v>20060012</v>
      </c>
      <c r="G1375" t="str" cm="1">
        <f t="array" ref="G1375">INDEX('Linha 06'!$C$2:$ZZ$2,C1375)</f>
        <v>Limp Perf Aquafast Magia Da Infancia Cx/12 X 1l</v>
      </c>
      <c r="H1375" s="5" cm="1">
        <f t="array" ref="H1375">INDEX('Linha 06'!$C$4:$ZZ$1000,B1375,C1375)</f>
        <v>0</v>
      </c>
    </row>
    <row r="1376" spans="1:8" x14ac:dyDescent="0.25">
      <c r="A1376">
        <v>1374</v>
      </c>
      <c r="B1376">
        <f t="shared" si="42"/>
        <v>37</v>
      </c>
      <c r="C1376">
        <f t="shared" si="43"/>
        <v>6</v>
      </c>
      <c r="D1376" cm="1">
        <f t="array" ref="D1376">INDEX('Linha 06'!$A$4:$A$1000,B1376)</f>
        <v>20220021</v>
      </c>
      <c r="E1376" t="str" cm="1">
        <f t="array" ref="E1376">INDEX('Linha 06'!$B$4:$B$1000,B1376)</f>
        <v>Intermed. Aromat. Flores Exoticas Cx C/ 12un 250ml</v>
      </c>
      <c r="F1376" cm="1">
        <f t="array" ref="F1376">INDEX('Linha 06'!$C$3:$ZZ$3,C1376)</f>
        <v>20060013</v>
      </c>
      <c r="G1376" t="str" cm="1">
        <f t="array" ref="G1376">INDEX('Linha 06'!$C$2:$ZZ$2,C1376)</f>
        <v>Limp Perf Aquafast Frescor Da Manha Cx/12 X 1l</v>
      </c>
      <c r="H1376" s="5" cm="1">
        <f t="array" ref="H1376">INDEX('Linha 06'!$C$4:$ZZ$1000,B1376,C1376)</f>
        <v>0</v>
      </c>
    </row>
    <row r="1377" spans="1:8" x14ac:dyDescent="0.25">
      <c r="A1377">
        <v>1375</v>
      </c>
      <c r="B1377">
        <f t="shared" si="42"/>
        <v>37</v>
      </c>
      <c r="C1377">
        <f t="shared" si="43"/>
        <v>7</v>
      </c>
      <c r="D1377" cm="1">
        <f t="array" ref="D1377">INDEX('Linha 06'!$A$4:$A$1000,B1377)</f>
        <v>20220021</v>
      </c>
      <c r="E1377" t="str" cm="1">
        <f t="array" ref="E1377">INDEX('Linha 06'!$B$4:$B$1000,B1377)</f>
        <v>Intermed. Aromat. Flores Exoticas Cx C/ 12un 250ml</v>
      </c>
      <c r="F1377" cm="1">
        <f t="array" ref="F1377">INDEX('Linha 06'!$C$3:$ZZ$3,C1377)</f>
        <v>20060015</v>
      </c>
      <c r="G1377" t="str" cm="1">
        <f t="array" ref="G1377">INDEX('Linha 06'!$C$2:$ZZ$2,C1377)</f>
        <v>Limp Perf Aquafast Doce Romance Cx/12 X 500ml</v>
      </c>
      <c r="H1377" s="5" cm="1">
        <f t="array" ref="H1377">INDEX('Linha 06'!$C$4:$ZZ$1000,B1377,C1377)</f>
        <v>0</v>
      </c>
    </row>
    <row r="1378" spans="1:8" x14ac:dyDescent="0.25">
      <c r="A1378">
        <v>1376</v>
      </c>
      <c r="B1378">
        <f t="shared" si="42"/>
        <v>37</v>
      </c>
      <c r="C1378">
        <f t="shared" si="43"/>
        <v>8</v>
      </c>
      <c r="D1378" cm="1">
        <f t="array" ref="D1378">INDEX('Linha 06'!$A$4:$A$1000,B1378)</f>
        <v>20220021</v>
      </c>
      <c r="E1378" t="str" cm="1">
        <f t="array" ref="E1378">INDEX('Linha 06'!$B$4:$B$1000,B1378)</f>
        <v>Intermed. Aromat. Flores Exoticas Cx C/ 12un 250ml</v>
      </c>
      <c r="F1378" cm="1">
        <f t="array" ref="F1378">INDEX('Linha 06'!$C$3:$ZZ$3,C1378)</f>
        <v>20060016</v>
      </c>
      <c r="G1378" t="str" cm="1">
        <f t="array" ref="G1378">INDEX('Linha 06'!$C$2:$ZZ$2,C1378)</f>
        <v>Limp Perf Aquafast Doce Romance Cx/12 X 1l</v>
      </c>
      <c r="H1378" s="5" cm="1">
        <f t="array" ref="H1378">INDEX('Linha 06'!$C$4:$ZZ$1000,B1378,C1378)</f>
        <v>0</v>
      </c>
    </row>
    <row r="1379" spans="1:8" x14ac:dyDescent="0.25">
      <c r="A1379">
        <v>1377</v>
      </c>
      <c r="B1379">
        <f t="shared" si="42"/>
        <v>37</v>
      </c>
      <c r="C1379">
        <f t="shared" si="43"/>
        <v>9</v>
      </c>
      <c r="D1379" cm="1">
        <f t="array" ref="D1379">INDEX('Linha 06'!$A$4:$A$1000,B1379)</f>
        <v>20220021</v>
      </c>
      <c r="E1379" t="str" cm="1">
        <f t="array" ref="E1379">INDEX('Linha 06'!$B$4:$B$1000,B1379)</f>
        <v>Intermed. Aromat. Flores Exoticas Cx C/ 12un 250ml</v>
      </c>
      <c r="F1379" cm="1">
        <f t="array" ref="F1379">INDEX('Linha 06'!$C$3:$ZZ$3,C1379)</f>
        <v>20060027</v>
      </c>
      <c r="G1379" t="str" cm="1">
        <f t="array" ref="G1379">INDEX('Linha 06'!$C$2:$ZZ$2,C1379)</f>
        <v>Limp Perf Aquafast Essencia Natural Cx/12 X 1l</v>
      </c>
      <c r="H1379" s="5" cm="1">
        <f t="array" ref="H1379">INDEX('Linha 06'!$C$4:$ZZ$1000,B1379,C1379)</f>
        <v>0</v>
      </c>
    </row>
    <row r="1380" spans="1:8" x14ac:dyDescent="0.25">
      <c r="A1380">
        <v>1378</v>
      </c>
      <c r="B1380">
        <f t="shared" si="42"/>
        <v>37</v>
      </c>
      <c r="C1380">
        <f t="shared" si="43"/>
        <v>10</v>
      </c>
      <c r="D1380" cm="1">
        <f t="array" ref="D1380">INDEX('Linha 06'!$A$4:$A$1000,B1380)</f>
        <v>20220021</v>
      </c>
      <c r="E1380" t="str" cm="1">
        <f t="array" ref="E1380">INDEX('Linha 06'!$B$4:$B$1000,B1380)</f>
        <v>Intermed. Aromat. Flores Exoticas Cx C/ 12un 250ml</v>
      </c>
      <c r="F1380" cm="1">
        <f t="array" ref="F1380">INDEX('Linha 06'!$C$3:$ZZ$3,C1380)</f>
        <v>20070001</v>
      </c>
      <c r="G1380" t="str" cm="1">
        <f t="array" ref="G1380">INDEX('Linha 06'!$C$2:$ZZ$2,C1380)</f>
        <v>Limpa Vidros Aquafast Pulverizador Cx/12 X 500ml</v>
      </c>
      <c r="H1380" s="5" cm="1">
        <f t="array" ref="H1380">INDEX('Linha 06'!$C$4:$ZZ$1000,B1380,C1380)</f>
        <v>0</v>
      </c>
    </row>
    <row r="1381" spans="1:8" x14ac:dyDescent="0.25">
      <c r="A1381">
        <v>1379</v>
      </c>
      <c r="B1381">
        <f t="shared" si="42"/>
        <v>37</v>
      </c>
      <c r="C1381">
        <f t="shared" si="43"/>
        <v>11</v>
      </c>
      <c r="D1381" cm="1">
        <f t="array" ref="D1381">INDEX('Linha 06'!$A$4:$A$1000,B1381)</f>
        <v>20220021</v>
      </c>
      <c r="E1381" t="str" cm="1">
        <f t="array" ref="E1381">INDEX('Linha 06'!$B$4:$B$1000,B1381)</f>
        <v>Intermed. Aromat. Flores Exoticas Cx C/ 12un 250ml</v>
      </c>
      <c r="F1381" cm="1">
        <f t="array" ref="F1381">INDEX('Linha 06'!$C$3:$ZZ$3,C1381)</f>
        <v>20070002</v>
      </c>
      <c r="G1381" t="str" cm="1">
        <f t="array" ref="G1381">INDEX('Linha 06'!$C$2:$ZZ$2,C1381)</f>
        <v>Limpa Vidros Aquafast Recarga Cx/12 X 500ml</v>
      </c>
      <c r="H1381" s="5" cm="1">
        <f t="array" ref="H1381">INDEX('Linha 06'!$C$4:$ZZ$1000,B1381,C1381)</f>
        <v>0</v>
      </c>
    </row>
    <row r="1382" spans="1:8" x14ac:dyDescent="0.25">
      <c r="A1382">
        <v>1380</v>
      </c>
      <c r="B1382">
        <f t="shared" si="42"/>
        <v>37</v>
      </c>
      <c r="C1382">
        <f t="shared" si="43"/>
        <v>12</v>
      </c>
      <c r="D1382" cm="1">
        <f t="array" ref="D1382">INDEX('Linha 06'!$A$4:$A$1000,B1382)</f>
        <v>20220021</v>
      </c>
      <c r="E1382" t="str" cm="1">
        <f t="array" ref="E1382">INDEX('Linha 06'!$B$4:$B$1000,B1382)</f>
        <v>Intermed. Aromat. Flores Exoticas Cx C/ 12un 250ml</v>
      </c>
      <c r="F1382" cm="1">
        <f t="array" ref="F1382">INDEX('Linha 06'!$C$3:$ZZ$3,C1382)</f>
        <v>20070006</v>
      </c>
      <c r="G1382" t="str" cm="1">
        <f t="array" ref="G1382">INDEX('Linha 06'!$C$2:$ZZ$2,C1382)</f>
        <v>Limpa Vidros Ito Pulverizador Cx/12 X 500ml</v>
      </c>
      <c r="H1382" s="5" cm="1">
        <f t="array" ref="H1382">INDEX('Linha 06'!$C$4:$ZZ$1000,B1382,C1382)</f>
        <v>0</v>
      </c>
    </row>
    <row r="1383" spans="1:8" x14ac:dyDescent="0.25">
      <c r="A1383">
        <v>1381</v>
      </c>
      <c r="B1383">
        <f t="shared" si="42"/>
        <v>37</v>
      </c>
      <c r="C1383">
        <f t="shared" si="43"/>
        <v>13</v>
      </c>
      <c r="D1383" cm="1">
        <f t="array" ref="D1383">INDEX('Linha 06'!$A$4:$A$1000,B1383)</f>
        <v>20220021</v>
      </c>
      <c r="E1383" t="str" cm="1">
        <f t="array" ref="E1383">INDEX('Linha 06'!$B$4:$B$1000,B1383)</f>
        <v>Intermed. Aromat. Flores Exoticas Cx C/ 12un 250ml</v>
      </c>
      <c r="F1383" cm="1">
        <f t="array" ref="F1383">INDEX('Linha 06'!$C$3:$ZZ$3,C1383)</f>
        <v>20070007</v>
      </c>
      <c r="G1383" t="str" cm="1">
        <f t="array" ref="G1383">INDEX('Linha 06'!$C$2:$ZZ$2,C1383)</f>
        <v>Limpa Vidros Ito Recarga Cx/12 X 500ml</v>
      </c>
      <c r="H1383" s="5" cm="1">
        <f t="array" ref="H1383">INDEX('Linha 06'!$C$4:$ZZ$1000,B1383,C1383)</f>
        <v>0</v>
      </c>
    </row>
    <row r="1384" spans="1:8" x14ac:dyDescent="0.25">
      <c r="A1384">
        <v>1382</v>
      </c>
      <c r="B1384">
        <f t="shared" si="42"/>
        <v>37</v>
      </c>
      <c r="C1384">
        <f t="shared" si="43"/>
        <v>14</v>
      </c>
      <c r="D1384" cm="1">
        <f t="array" ref="D1384">INDEX('Linha 06'!$A$4:$A$1000,B1384)</f>
        <v>20220021</v>
      </c>
      <c r="E1384" t="str" cm="1">
        <f t="array" ref="E1384">INDEX('Linha 06'!$B$4:$B$1000,B1384)</f>
        <v>Intermed. Aromat. Flores Exoticas Cx C/ 12un 250ml</v>
      </c>
      <c r="F1384" cm="1">
        <f t="array" ref="F1384">INDEX('Linha 06'!$C$3:$ZZ$3,C1384)</f>
        <v>20070008</v>
      </c>
      <c r="G1384" t="str" cm="1">
        <f t="array" ref="G1384">INDEX('Linha 06'!$C$2:$ZZ$2,C1384)</f>
        <v>Limpa Vidros Aquafast Squeeze Cx/12 X 500ml</v>
      </c>
      <c r="H1384" s="5" cm="1">
        <f t="array" ref="H1384">INDEX('Linha 06'!$C$4:$ZZ$1000,B1384,C1384)</f>
        <v>0</v>
      </c>
    </row>
    <row r="1385" spans="1:8" x14ac:dyDescent="0.25">
      <c r="A1385">
        <v>1383</v>
      </c>
      <c r="B1385">
        <f t="shared" si="42"/>
        <v>37</v>
      </c>
      <c r="C1385">
        <f t="shared" si="43"/>
        <v>15</v>
      </c>
      <c r="D1385" cm="1">
        <f t="array" ref="D1385">INDEX('Linha 06'!$A$4:$A$1000,B1385)</f>
        <v>20220021</v>
      </c>
      <c r="E1385" t="str" cm="1">
        <f t="array" ref="E1385">INDEX('Linha 06'!$B$4:$B$1000,B1385)</f>
        <v>Intermed. Aromat. Flores Exoticas Cx C/ 12un 250ml</v>
      </c>
      <c r="F1385" cm="1">
        <f t="array" ref="F1385">INDEX('Linha 06'!$C$3:$ZZ$3,C1385)</f>
        <v>20090001</v>
      </c>
      <c r="G1385" t="str" cm="1">
        <f t="array" ref="G1385">INDEX('Linha 06'!$C$2:$ZZ$2,C1385)</f>
        <v>Desengordurante Aquafast Pulverizador Cx/12 X 500ml</v>
      </c>
      <c r="H1385" s="5" cm="1">
        <f t="array" ref="H1385">INDEX('Linha 06'!$C$4:$ZZ$1000,B1385,C1385)</f>
        <v>0</v>
      </c>
    </row>
    <row r="1386" spans="1:8" x14ac:dyDescent="0.25">
      <c r="A1386">
        <v>1384</v>
      </c>
      <c r="B1386">
        <f t="shared" si="42"/>
        <v>37</v>
      </c>
      <c r="C1386">
        <f t="shared" si="43"/>
        <v>16</v>
      </c>
      <c r="D1386" cm="1">
        <f t="array" ref="D1386">INDEX('Linha 06'!$A$4:$A$1000,B1386)</f>
        <v>20220021</v>
      </c>
      <c r="E1386" t="str" cm="1">
        <f t="array" ref="E1386">INDEX('Linha 06'!$B$4:$B$1000,B1386)</f>
        <v>Intermed. Aromat. Flores Exoticas Cx C/ 12un 250ml</v>
      </c>
      <c r="F1386" cm="1">
        <f t="array" ref="F1386">INDEX('Linha 06'!$C$3:$ZZ$3,C1386)</f>
        <v>20090002</v>
      </c>
      <c r="G1386" t="str" cm="1">
        <f t="array" ref="G1386">INDEX('Linha 06'!$C$2:$ZZ$2,C1386)</f>
        <v>Desengordurante Aquafast Recarga Cx/12 X 500ml</v>
      </c>
      <c r="H1386" s="5" cm="1">
        <f t="array" ref="H1386">INDEX('Linha 06'!$C$4:$ZZ$1000,B1386,C1386)</f>
        <v>0</v>
      </c>
    </row>
    <row r="1387" spans="1:8" x14ac:dyDescent="0.25">
      <c r="A1387">
        <v>1385</v>
      </c>
      <c r="B1387">
        <f t="shared" si="42"/>
        <v>37</v>
      </c>
      <c r="C1387">
        <f t="shared" si="43"/>
        <v>17</v>
      </c>
      <c r="D1387" cm="1">
        <f t="array" ref="D1387">INDEX('Linha 06'!$A$4:$A$1000,B1387)</f>
        <v>20220021</v>
      </c>
      <c r="E1387" t="str" cm="1">
        <f t="array" ref="E1387">INDEX('Linha 06'!$B$4:$B$1000,B1387)</f>
        <v>Intermed. Aromat. Flores Exoticas Cx C/ 12un 250ml</v>
      </c>
      <c r="F1387" cm="1">
        <f t="array" ref="F1387">INDEX('Linha 06'!$C$3:$ZZ$3,C1387)</f>
        <v>20090004</v>
      </c>
      <c r="G1387" t="str" cm="1">
        <f t="array" ref="G1387">INDEX('Linha 06'!$C$2:$ZZ$2,C1387)</f>
        <v>Desengordurante Aquafast Squeeze Cx C/12 X 500ml</v>
      </c>
      <c r="H1387" s="5" cm="1">
        <f t="array" ref="H1387">INDEX('Linha 06'!$C$4:$ZZ$1000,B1387,C1387)</f>
        <v>0</v>
      </c>
    </row>
    <row r="1388" spans="1:8" x14ac:dyDescent="0.25">
      <c r="A1388">
        <v>1386</v>
      </c>
      <c r="B1388">
        <f t="shared" si="42"/>
        <v>37</v>
      </c>
      <c r="C1388">
        <f t="shared" si="43"/>
        <v>18</v>
      </c>
      <c r="D1388" cm="1">
        <f t="array" ref="D1388">INDEX('Linha 06'!$A$4:$A$1000,B1388)</f>
        <v>20220021</v>
      </c>
      <c r="E1388" t="str" cm="1">
        <f t="array" ref="E1388">INDEX('Linha 06'!$B$4:$B$1000,B1388)</f>
        <v>Intermed. Aromat. Flores Exoticas Cx C/ 12un 250ml</v>
      </c>
      <c r="F1388" cm="1">
        <f t="array" ref="F1388">INDEX('Linha 06'!$C$3:$ZZ$3,C1388)</f>
        <v>20090005</v>
      </c>
      <c r="G1388" t="str" cm="1">
        <f t="array" ref="G1388">INDEX('Linha 06'!$C$2:$ZZ$2,C1388)</f>
        <v>Desengordurante Aquafast Squeeze Cx C/12 X 1l</v>
      </c>
      <c r="H1388" s="5" cm="1">
        <f t="array" ref="H1388">INDEX('Linha 06'!$C$4:$ZZ$1000,B1388,C1388)</f>
        <v>0</v>
      </c>
    </row>
    <row r="1389" spans="1:8" x14ac:dyDescent="0.25">
      <c r="A1389">
        <v>1387</v>
      </c>
      <c r="B1389">
        <f t="shared" si="42"/>
        <v>37</v>
      </c>
      <c r="C1389">
        <f t="shared" si="43"/>
        <v>19</v>
      </c>
      <c r="D1389" cm="1">
        <f t="array" ref="D1389">INDEX('Linha 06'!$A$4:$A$1000,B1389)</f>
        <v>20220021</v>
      </c>
      <c r="E1389" t="str" cm="1">
        <f t="array" ref="E1389">INDEX('Linha 06'!$B$4:$B$1000,B1389)</f>
        <v>Intermed. Aromat. Flores Exoticas Cx C/ 12un 250ml</v>
      </c>
      <c r="F1389" cm="1">
        <f t="array" ref="F1389">INDEX('Linha 06'!$C$3:$ZZ$3,C1389)</f>
        <v>20090010</v>
      </c>
      <c r="G1389" t="str" cm="1">
        <f t="array" ref="G1389">INDEX('Linha 06'!$C$2:$ZZ$2,C1389)</f>
        <v>Intermed Pack Desengord Squeeze Cx C/18 X 500ml</v>
      </c>
      <c r="H1389" s="5" cm="1">
        <f t="array" ref="H1389">INDEX('Linha 06'!$C$4:$ZZ$1000,B1389,C1389)</f>
        <v>0</v>
      </c>
    </row>
    <row r="1390" spans="1:8" x14ac:dyDescent="0.25">
      <c r="A1390">
        <v>1388</v>
      </c>
      <c r="B1390">
        <f t="shared" si="42"/>
        <v>37</v>
      </c>
      <c r="C1390">
        <f t="shared" si="43"/>
        <v>20</v>
      </c>
      <c r="D1390" cm="1">
        <f t="array" ref="D1390">INDEX('Linha 06'!$A$4:$A$1000,B1390)</f>
        <v>20220021</v>
      </c>
      <c r="E1390" t="str" cm="1">
        <f t="array" ref="E1390">INDEX('Linha 06'!$B$4:$B$1000,B1390)</f>
        <v>Intermed. Aromat. Flores Exoticas Cx C/ 12un 250ml</v>
      </c>
      <c r="F1390" cm="1">
        <f t="array" ref="F1390">INDEX('Linha 06'!$C$3:$ZZ$3,C1390)</f>
        <v>20110002</v>
      </c>
      <c r="G1390" t="str" cm="1">
        <f t="array" ref="G1390">INDEX('Linha 06'!$C$2:$ZZ$2,C1390)</f>
        <v>Multi Uso Aquafast Squeeze Original Cx/12 X 500ml</v>
      </c>
      <c r="H1390" s="5" cm="1">
        <f t="array" ref="H1390">INDEX('Linha 06'!$C$4:$ZZ$1000,B1390,C1390)</f>
        <v>0</v>
      </c>
    </row>
    <row r="1391" spans="1:8" x14ac:dyDescent="0.25">
      <c r="A1391">
        <v>1389</v>
      </c>
      <c r="B1391">
        <f t="shared" si="42"/>
        <v>37</v>
      </c>
      <c r="C1391">
        <f t="shared" si="43"/>
        <v>21</v>
      </c>
      <c r="D1391" cm="1">
        <f t="array" ref="D1391">INDEX('Linha 06'!$A$4:$A$1000,B1391)</f>
        <v>20220021</v>
      </c>
      <c r="E1391" t="str" cm="1">
        <f t="array" ref="E1391">INDEX('Linha 06'!$B$4:$B$1000,B1391)</f>
        <v>Intermed. Aromat. Flores Exoticas Cx C/ 12un 250ml</v>
      </c>
      <c r="F1391" cm="1">
        <f t="array" ref="F1391">INDEX('Linha 06'!$C$3:$ZZ$3,C1391)</f>
        <v>20110004</v>
      </c>
      <c r="G1391" t="str" cm="1">
        <f t="array" ref="G1391">INDEX('Linha 06'!$C$2:$ZZ$2,C1391)</f>
        <v>Multi Uso Aquafast Squeeze Lavanda Cx/12 X 500ml</v>
      </c>
      <c r="H1391" s="5" cm="1">
        <f t="array" ref="H1391">INDEX('Linha 06'!$C$4:$ZZ$1000,B1391,C1391)</f>
        <v>0</v>
      </c>
    </row>
    <row r="1392" spans="1:8" x14ac:dyDescent="0.25">
      <c r="A1392">
        <v>1390</v>
      </c>
      <c r="B1392">
        <f t="shared" si="42"/>
        <v>37</v>
      </c>
      <c r="C1392">
        <f t="shared" si="43"/>
        <v>22</v>
      </c>
      <c r="D1392" cm="1">
        <f t="array" ref="D1392">INDEX('Linha 06'!$A$4:$A$1000,B1392)</f>
        <v>20220021</v>
      </c>
      <c r="E1392" t="str" cm="1">
        <f t="array" ref="E1392">INDEX('Linha 06'!$B$4:$B$1000,B1392)</f>
        <v>Intermed. Aromat. Flores Exoticas Cx C/ 12un 250ml</v>
      </c>
      <c r="F1392" cm="1">
        <f t="array" ref="F1392">INDEX('Linha 06'!$C$3:$ZZ$3,C1392)</f>
        <v>20110007</v>
      </c>
      <c r="G1392" t="str" cm="1">
        <f t="array" ref="G1392">INDEX('Linha 06'!$C$2:$ZZ$2,C1392)</f>
        <v>Multi Uso Aquafast Squeeze Seducao Cx/12 X 500ml</v>
      </c>
      <c r="H1392" s="5" cm="1">
        <f t="array" ref="H1392">INDEX('Linha 06'!$C$4:$ZZ$1000,B1392,C1392)</f>
        <v>0</v>
      </c>
    </row>
    <row r="1393" spans="1:8" x14ac:dyDescent="0.25">
      <c r="A1393">
        <v>1391</v>
      </c>
      <c r="B1393">
        <f t="shared" si="42"/>
        <v>37</v>
      </c>
      <c r="C1393">
        <f t="shared" si="43"/>
        <v>23</v>
      </c>
      <c r="D1393" cm="1">
        <f t="array" ref="D1393">INDEX('Linha 06'!$A$4:$A$1000,B1393)</f>
        <v>20220021</v>
      </c>
      <c r="E1393" t="str" cm="1">
        <f t="array" ref="E1393">INDEX('Linha 06'!$B$4:$B$1000,B1393)</f>
        <v>Intermed. Aromat. Flores Exoticas Cx C/ 12un 250ml</v>
      </c>
      <c r="F1393" cm="1">
        <f t="array" ref="F1393">INDEX('Linha 06'!$C$3:$ZZ$3,C1393)</f>
        <v>20110008</v>
      </c>
      <c r="G1393" t="str" cm="1">
        <f t="array" ref="G1393">INDEX('Linha 06'!$C$2:$ZZ$2,C1393)</f>
        <v>Multi Uso Aquafast Squeeze Original Cx/12 X 1l</v>
      </c>
      <c r="H1393" s="5" cm="1">
        <f t="array" ref="H1393">INDEX('Linha 06'!$C$4:$ZZ$1000,B1393,C1393)</f>
        <v>0</v>
      </c>
    </row>
    <row r="1394" spans="1:8" x14ac:dyDescent="0.25">
      <c r="A1394">
        <v>1392</v>
      </c>
      <c r="B1394">
        <f t="shared" si="42"/>
        <v>37</v>
      </c>
      <c r="C1394">
        <f t="shared" si="43"/>
        <v>24</v>
      </c>
      <c r="D1394" cm="1">
        <f t="array" ref="D1394">INDEX('Linha 06'!$A$4:$A$1000,B1394)</f>
        <v>20220021</v>
      </c>
      <c r="E1394" t="str" cm="1">
        <f t="array" ref="E1394">INDEX('Linha 06'!$B$4:$B$1000,B1394)</f>
        <v>Intermed. Aromat. Flores Exoticas Cx C/ 12un 250ml</v>
      </c>
      <c r="F1394" cm="1">
        <f t="array" ref="F1394">INDEX('Linha 06'!$C$3:$ZZ$3,C1394)</f>
        <v>20110010</v>
      </c>
      <c r="G1394" t="str" cm="1">
        <f t="array" ref="G1394">INDEX('Linha 06'!$C$2:$ZZ$2,C1394)</f>
        <v>Multi Uso Aquafast Squeeze Seducao Cx/12 1l</v>
      </c>
      <c r="H1394" s="5" cm="1">
        <f t="array" ref="H1394">INDEX('Linha 06'!$C$4:$ZZ$1000,B1394,C1394)</f>
        <v>0</v>
      </c>
    </row>
    <row r="1395" spans="1:8" x14ac:dyDescent="0.25">
      <c r="A1395">
        <v>1393</v>
      </c>
      <c r="B1395">
        <f t="shared" si="42"/>
        <v>37</v>
      </c>
      <c r="C1395">
        <f t="shared" si="43"/>
        <v>25</v>
      </c>
      <c r="D1395" cm="1">
        <f t="array" ref="D1395">INDEX('Linha 06'!$A$4:$A$1000,B1395)</f>
        <v>20220021</v>
      </c>
      <c r="E1395" t="str" cm="1">
        <f t="array" ref="E1395">INDEX('Linha 06'!$B$4:$B$1000,B1395)</f>
        <v>Intermed. Aromat. Flores Exoticas Cx C/ 12un 250ml</v>
      </c>
      <c r="F1395" cm="1">
        <f t="array" ref="F1395">INDEX('Linha 06'!$C$3:$ZZ$3,C1395)</f>
        <v>20110013</v>
      </c>
      <c r="G1395" t="str" cm="1">
        <f t="array" ref="G1395">INDEX('Linha 06'!$C$2:$ZZ$2,C1395)</f>
        <v>Multi Uso Aquafast Squeeze Lavanda Cx/12 X 1l</v>
      </c>
      <c r="H1395" s="5" cm="1">
        <f t="array" ref="H1395">INDEX('Linha 06'!$C$4:$ZZ$1000,B1395,C1395)</f>
        <v>0</v>
      </c>
    </row>
    <row r="1396" spans="1:8" x14ac:dyDescent="0.25">
      <c r="A1396">
        <v>1394</v>
      </c>
      <c r="B1396">
        <f t="shared" si="42"/>
        <v>37</v>
      </c>
      <c r="C1396">
        <f t="shared" si="43"/>
        <v>26</v>
      </c>
      <c r="D1396" cm="1">
        <f t="array" ref="D1396">INDEX('Linha 06'!$A$4:$A$1000,B1396)</f>
        <v>20220021</v>
      </c>
      <c r="E1396" t="str" cm="1">
        <f t="array" ref="E1396">INDEX('Linha 06'!$B$4:$B$1000,B1396)</f>
        <v>Intermed. Aromat. Flores Exoticas Cx C/ 12un 250ml</v>
      </c>
      <c r="F1396" cm="1">
        <f t="array" ref="F1396">INDEX('Linha 06'!$C$3:$ZZ$3,C1396)</f>
        <v>20110022</v>
      </c>
      <c r="G1396" t="str" cm="1">
        <f t="array" ref="G1396">INDEX('Linha 06'!$C$2:$ZZ$2,C1396)</f>
        <v>Intermed Pack Multi Uso Lavand C/Alcool Cx/18 X 500ml</v>
      </c>
      <c r="H1396" s="5" cm="1">
        <f t="array" ref="H1396">INDEX('Linha 06'!$C$4:$ZZ$1000,B1396,C1396)</f>
        <v>0</v>
      </c>
    </row>
    <row r="1397" spans="1:8" x14ac:dyDescent="0.25">
      <c r="A1397">
        <v>1395</v>
      </c>
      <c r="B1397">
        <f t="shared" si="42"/>
        <v>37</v>
      </c>
      <c r="C1397">
        <f t="shared" si="43"/>
        <v>27</v>
      </c>
      <c r="D1397" cm="1">
        <f t="array" ref="D1397">INDEX('Linha 06'!$A$4:$A$1000,B1397)</f>
        <v>20220021</v>
      </c>
      <c r="E1397" t="str" cm="1">
        <f t="array" ref="E1397">INDEX('Linha 06'!$B$4:$B$1000,B1397)</f>
        <v>Intermed. Aromat. Flores Exoticas Cx C/ 12un 250ml</v>
      </c>
      <c r="F1397" cm="1">
        <f t="array" ref="F1397">INDEX('Linha 06'!$C$3:$ZZ$3,C1397)</f>
        <v>20110023</v>
      </c>
      <c r="G1397" t="str" cm="1">
        <f t="array" ref="G1397">INDEX('Linha 06'!$C$2:$ZZ$2,C1397)</f>
        <v>Multi Uso Aquafast Squeeze Cha Branco  Cx/12 X 500ml</v>
      </c>
      <c r="H1397" s="5" cm="1">
        <f t="array" ref="H1397">INDEX('Linha 06'!$C$4:$ZZ$1000,B1397,C1397)</f>
        <v>0</v>
      </c>
    </row>
    <row r="1398" spans="1:8" x14ac:dyDescent="0.25">
      <c r="A1398">
        <v>1396</v>
      </c>
      <c r="B1398">
        <f t="shared" si="42"/>
        <v>37</v>
      </c>
      <c r="C1398">
        <f t="shared" si="43"/>
        <v>28</v>
      </c>
      <c r="D1398" cm="1">
        <f t="array" ref="D1398">INDEX('Linha 06'!$A$4:$A$1000,B1398)</f>
        <v>20220021</v>
      </c>
      <c r="E1398" t="str" cm="1">
        <f t="array" ref="E1398">INDEX('Linha 06'!$B$4:$B$1000,B1398)</f>
        <v>Intermed. Aromat. Flores Exoticas Cx C/ 12un 250ml</v>
      </c>
      <c r="F1398" cm="1">
        <f t="array" ref="F1398">INDEX('Linha 06'!$C$3:$ZZ$3,C1398)</f>
        <v>20110024</v>
      </c>
      <c r="G1398" t="str" cm="1">
        <f t="array" ref="G1398">INDEX('Linha 06'!$C$2:$ZZ$2,C1398)</f>
        <v>Multi Uso Aquafast Squeeze Cha Branco Cx12 X 1l</v>
      </c>
      <c r="H1398" s="5" cm="1">
        <f t="array" ref="H1398">INDEX('Linha 06'!$C$4:$ZZ$1000,B1398,C1398)</f>
        <v>0</v>
      </c>
    </row>
    <row r="1399" spans="1:8" x14ac:dyDescent="0.25">
      <c r="A1399">
        <v>1397</v>
      </c>
      <c r="B1399">
        <f t="shared" si="42"/>
        <v>37</v>
      </c>
      <c r="C1399">
        <f t="shared" si="43"/>
        <v>29</v>
      </c>
      <c r="D1399" cm="1">
        <f t="array" ref="D1399">INDEX('Linha 06'!$A$4:$A$1000,B1399)</f>
        <v>20220021</v>
      </c>
      <c r="E1399" t="str" cm="1">
        <f t="array" ref="E1399">INDEX('Linha 06'!$B$4:$B$1000,B1399)</f>
        <v>Intermed. Aromat. Flores Exoticas Cx C/ 12un 250ml</v>
      </c>
      <c r="F1399" cm="1">
        <f t="array" ref="F1399">INDEX('Linha 06'!$C$3:$ZZ$3,C1399)</f>
        <v>20110025</v>
      </c>
      <c r="G1399" t="str" cm="1">
        <f t="array" ref="G1399">INDEX('Linha 06'!$C$2:$ZZ$2,C1399)</f>
        <v>Multi Uso Aquafast Pulverizador Original Cx/12 X 1l</v>
      </c>
      <c r="H1399" s="5" cm="1">
        <f t="array" ref="H1399">INDEX('Linha 06'!$C$4:$ZZ$1000,B1399,C1399)</f>
        <v>0</v>
      </c>
    </row>
    <row r="1400" spans="1:8" x14ac:dyDescent="0.25">
      <c r="A1400">
        <v>1398</v>
      </c>
      <c r="B1400">
        <f t="shared" si="42"/>
        <v>37</v>
      </c>
      <c r="C1400">
        <f t="shared" si="43"/>
        <v>30</v>
      </c>
      <c r="D1400" cm="1">
        <f t="array" ref="D1400">INDEX('Linha 06'!$A$4:$A$1000,B1400)</f>
        <v>20220021</v>
      </c>
      <c r="E1400" t="str" cm="1">
        <f t="array" ref="E1400">INDEX('Linha 06'!$B$4:$B$1000,B1400)</f>
        <v>Intermed. Aromat. Flores Exoticas Cx C/ 12un 250ml</v>
      </c>
      <c r="F1400" cm="1">
        <f t="array" ref="F1400">INDEX('Linha 06'!$C$3:$ZZ$3,C1400)</f>
        <v>20110026</v>
      </c>
      <c r="G1400" t="str" cm="1">
        <f t="array" ref="G1400">INDEX('Linha 06'!$C$2:$ZZ$2,C1400)</f>
        <v>Multi Uso Aquafast Pulverizador Poder O2 Cx/12 X 1l</v>
      </c>
      <c r="H1400" s="5" cm="1">
        <f t="array" ref="H1400">INDEX('Linha 06'!$C$4:$ZZ$1000,B1400,C1400)</f>
        <v>0</v>
      </c>
    </row>
    <row r="1401" spans="1:8" x14ac:dyDescent="0.25">
      <c r="A1401">
        <v>1399</v>
      </c>
      <c r="B1401">
        <f t="shared" si="42"/>
        <v>37</v>
      </c>
      <c r="C1401">
        <f t="shared" si="43"/>
        <v>31</v>
      </c>
      <c r="D1401" cm="1">
        <f t="array" ref="D1401">INDEX('Linha 06'!$A$4:$A$1000,B1401)</f>
        <v>20220021</v>
      </c>
      <c r="E1401" t="str" cm="1">
        <f t="array" ref="E1401">INDEX('Linha 06'!$B$4:$B$1000,B1401)</f>
        <v>Intermed. Aromat. Flores Exoticas Cx C/ 12un 250ml</v>
      </c>
      <c r="F1401" cm="1">
        <f t="array" ref="F1401">INDEX('Linha 06'!$C$3:$ZZ$3,C1401)</f>
        <v>20110027</v>
      </c>
      <c r="G1401" t="str" cm="1">
        <f t="array" ref="G1401">INDEX('Linha 06'!$C$2:$ZZ$2,C1401)</f>
        <v>Multi Uso Aquafast Pulverizador Poder O2 Cx/12 X 500ml</v>
      </c>
      <c r="H1401" s="5" cm="1">
        <f t="array" ref="H1401">INDEX('Linha 06'!$C$4:$ZZ$1000,B1401,C1401)</f>
        <v>0</v>
      </c>
    </row>
    <row r="1402" spans="1:8" x14ac:dyDescent="0.25">
      <c r="A1402">
        <v>1400</v>
      </c>
      <c r="B1402">
        <f t="shared" si="42"/>
        <v>37</v>
      </c>
      <c r="C1402">
        <f t="shared" si="43"/>
        <v>32</v>
      </c>
      <c r="D1402" cm="1">
        <f t="array" ref="D1402">INDEX('Linha 06'!$A$4:$A$1000,B1402)</f>
        <v>20220021</v>
      </c>
      <c r="E1402" t="str" cm="1">
        <f t="array" ref="E1402">INDEX('Linha 06'!$B$4:$B$1000,B1402)</f>
        <v>Intermed. Aromat. Flores Exoticas Cx C/ 12un 250ml</v>
      </c>
      <c r="F1402" cm="1">
        <f t="array" ref="F1402">INDEX('Linha 06'!$C$3:$ZZ$3,C1402)</f>
        <v>20200073</v>
      </c>
      <c r="G1402" t="str" cm="1">
        <f t="array" ref="G1402">INDEX('Linha 06'!$C$2:$ZZ$2,C1402)</f>
        <v>Lava Roupas Aquafast Lavagem Rapida Total Clean Cx/9 X 1,5l</v>
      </c>
      <c r="H1402" s="5" cm="1">
        <f t="array" ref="H1402">INDEX('Linha 06'!$C$4:$ZZ$1000,B1402,C1402)</f>
        <v>0</v>
      </c>
    </row>
    <row r="1403" spans="1:8" x14ac:dyDescent="0.25">
      <c r="A1403">
        <v>1401</v>
      </c>
      <c r="B1403">
        <f t="shared" si="42"/>
        <v>37</v>
      </c>
      <c r="C1403">
        <f t="shared" si="43"/>
        <v>33</v>
      </c>
      <c r="D1403" cm="1">
        <f t="array" ref="D1403">INDEX('Linha 06'!$A$4:$A$1000,B1403)</f>
        <v>20220021</v>
      </c>
      <c r="E1403" t="str" cm="1">
        <f t="array" ref="E1403">INDEX('Linha 06'!$B$4:$B$1000,B1403)</f>
        <v>Intermed. Aromat. Flores Exoticas Cx C/ 12un 250ml</v>
      </c>
      <c r="F1403" cm="1">
        <f t="array" ref="F1403">INDEX('Linha 06'!$C$3:$ZZ$3,C1403)</f>
        <v>20200075</v>
      </c>
      <c r="G1403" t="str" cm="1">
        <f t="array" ref="G1403">INDEX('Linha 06'!$C$2:$ZZ$2,C1403)</f>
        <v>Lava Roupas Aquafast Lavagem Rapida Fresh Clean Cx/9 X 1,5l</v>
      </c>
      <c r="H1403" s="5" cm="1">
        <f t="array" ref="H1403">INDEX('Linha 06'!$C$4:$ZZ$1000,B1403,C1403)</f>
        <v>0</v>
      </c>
    </row>
    <row r="1404" spans="1:8" x14ac:dyDescent="0.25">
      <c r="A1404">
        <v>1402</v>
      </c>
      <c r="B1404">
        <f t="shared" si="42"/>
        <v>37</v>
      </c>
      <c r="C1404">
        <f t="shared" si="43"/>
        <v>34</v>
      </c>
      <c r="D1404" cm="1">
        <f t="array" ref="D1404">INDEX('Linha 06'!$A$4:$A$1000,B1404)</f>
        <v>20220021</v>
      </c>
      <c r="E1404" t="str" cm="1">
        <f t="array" ref="E1404">INDEX('Linha 06'!$B$4:$B$1000,B1404)</f>
        <v>Intermed. Aromat. Flores Exoticas Cx C/ 12un 250ml</v>
      </c>
      <c r="F1404" cm="1">
        <f t="array" ref="F1404">INDEX('Linha 06'!$C$3:$ZZ$3,C1404)</f>
        <v>20220018</v>
      </c>
      <c r="G1404" t="str" cm="1">
        <f t="array" ref="G1404">INDEX('Linha 06'!$C$2:$ZZ$2,C1404)</f>
        <v>Intermed. Aromat. Amoras E Baunilha Cx C/ 12un 250ml</v>
      </c>
      <c r="H1404" s="5" cm="1">
        <f t="array" ref="H1404">INDEX('Linha 06'!$C$4:$ZZ$1000,B1404,C1404)</f>
        <v>0</v>
      </c>
    </row>
    <row r="1405" spans="1:8" x14ac:dyDescent="0.25">
      <c r="A1405">
        <v>1403</v>
      </c>
      <c r="B1405">
        <f t="shared" si="42"/>
        <v>37</v>
      </c>
      <c r="C1405">
        <f t="shared" si="43"/>
        <v>35</v>
      </c>
      <c r="D1405" cm="1">
        <f t="array" ref="D1405">INDEX('Linha 06'!$A$4:$A$1000,B1405)</f>
        <v>20220021</v>
      </c>
      <c r="E1405" t="str" cm="1">
        <f t="array" ref="E1405">INDEX('Linha 06'!$B$4:$B$1000,B1405)</f>
        <v>Intermed. Aromat. Flores Exoticas Cx C/ 12un 250ml</v>
      </c>
      <c r="F1405" cm="1">
        <f t="array" ref="F1405">INDEX('Linha 06'!$C$3:$ZZ$3,C1405)</f>
        <v>20220019</v>
      </c>
      <c r="G1405" t="str" cm="1">
        <f t="array" ref="G1405">INDEX('Linha 06'!$C$2:$ZZ$2,C1405)</f>
        <v>Intermed. Aromat. Figo E Cedro Cx C/ 12un 250ml</v>
      </c>
      <c r="H1405" s="5" cm="1">
        <f t="array" ref="H1405">INDEX('Linha 06'!$C$4:$ZZ$1000,B1405,C1405)</f>
        <v>0</v>
      </c>
    </row>
    <row r="1406" spans="1:8" x14ac:dyDescent="0.25">
      <c r="A1406">
        <v>1404</v>
      </c>
      <c r="B1406">
        <f t="shared" si="42"/>
        <v>37</v>
      </c>
      <c r="C1406">
        <f t="shared" si="43"/>
        <v>36</v>
      </c>
      <c r="D1406" cm="1">
        <f t="array" ref="D1406">INDEX('Linha 06'!$A$4:$A$1000,B1406)</f>
        <v>20220021</v>
      </c>
      <c r="E1406" t="str" cm="1">
        <f t="array" ref="E1406">INDEX('Linha 06'!$B$4:$B$1000,B1406)</f>
        <v>Intermed. Aromat. Flores Exoticas Cx C/ 12un 250ml</v>
      </c>
      <c r="F1406" cm="1">
        <f t="array" ref="F1406">INDEX('Linha 06'!$C$3:$ZZ$3,C1406)</f>
        <v>20220020</v>
      </c>
      <c r="G1406" t="str" cm="1">
        <f t="array" ref="G1406">INDEX('Linha 06'!$C$2:$ZZ$2,C1406)</f>
        <v>Intermed. Aromat. Rosas E Magnolias Cx C/ 12un 250ml</v>
      </c>
      <c r="H1406" s="5" cm="1">
        <f t="array" ref="H1406">INDEX('Linha 06'!$C$4:$ZZ$1000,B1406,C1406)</f>
        <v>0</v>
      </c>
    </row>
    <row r="1407" spans="1:8" x14ac:dyDescent="0.25">
      <c r="A1407">
        <v>1405</v>
      </c>
      <c r="B1407">
        <f t="shared" si="42"/>
        <v>37</v>
      </c>
      <c r="C1407">
        <f t="shared" si="43"/>
        <v>37</v>
      </c>
      <c r="D1407" cm="1">
        <f t="array" ref="D1407">INDEX('Linha 06'!$A$4:$A$1000,B1407)</f>
        <v>20220021</v>
      </c>
      <c r="E1407" t="str" cm="1">
        <f t="array" ref="E1407">INDEX('Linha 06'!$B$4:$B$1000,B1407)</f>
        <v>Intermed. Aromat. Flores Exoticas Cx C/ 12un 250ml</v>
      </c>
      <c r="F1407" cm="1">
        <f t="array" ref="F1407">INDEX('Linha 06'!$C$3:$ZZ$3,C1407)</f>
        <v>20220021</v>
      </c>
      <c r="G1407" t="str" cm="1">
        <f t="array" ref="G1407">INDEX('Linha 06'!$C$2:$ZZ$2,C1407)</f>
        <v>Intermed. Aromat. Flores Exoticas Cx C/ 12un 250ml</v>
      </c>
      <c r="H1407" s="5" cm="1">
        <f t="array" ref="H1407">INDEX('Linha 06'!$C$4:$ZZ$1000,B1407,C1407)</f>
        <v>0</v>
      </c>
    </row>
    <row r="1408" spans="1:8" x14ac:dyDescent="0.25">
      <c r="A1408">
        <v>1406</v>
      </c>
      <c r="B1408">
        <f t="shared" si="42"/>
        <v>37</v>
      </c>
      <c r="C1408">
        <f t="shared" si="43"/>
        <v>38</v>
      </c>
      <c r="D1408" cm="1">
        <f t="array" ref="D1408">INDEX('Linha 06'!$A$4:$A$1000,B1408)</f>
        <v>20220021</v>
      </c>
      <c r="E1408" t="str" cm="1">
        <f t="array" ref="E1408">INDEX('Linha 06'!$B$4:$B$1000,B1408)</f>
        <v>Intermed. Aromat. Flores Exoticas Cx C/ 12un 250ml</v>
      </c>
      <c r="F1408" cm="1">
        <f t="array" ref="F1408">INDEX('Linha 06'!$C$3:$ZZ$3,C1408)</f>
        <v>20220022</v>
      </c>
      <c r="G1408" t="str" cm="1">
        <f t="array" ref="G1408">INDEX('Linha 06'!$C$2:$ZZ$2,C1408)</f>
        <v>Intermed. Aromat. Cha Verde E Grapef Cx C/ 12un 250ml</v>
      </c>
      <c r="H1408" s="5" cm="1">
        <f t="array" ref="H1408">INDEX('Linha 06'!$C$4:$ZZ$1000,B1408,C1408)</f>
        <v>0</v>
      </c>
    </row>
    <row r="1409" spans="1:8" x14ac:dyDescent="0.25">
      <c r="A1409">
        <v>1407</v>
      </c>
      <c r="B1409">
        <f t="shared" si="42"/>
        <v>38</v>
      </c>
      <c r="C1409">
        <f t="shared" si="43"/>
        <v>1</v>
      </c>
      <c r="D1409" cm="1">
        <f t="array" ref="D1409">INDEX('Linha 06'!$A$4:$A$1000,B1409)</f>
        <v>20220022</v>
      </c>
      <c r="E1409" t="str" cm="1">
        <f t="array" ref="E1409">INDEX('Linha 06'!$B$4:$B$1000,B1409)</f>
        <v>Intermed. Aromat. Cha Verde E Grapef Cx C/ 12un 250ml</v>
      </c>
      <c r="F1409" cm="1">
        <f t="array" ref="F1409">INDEX('Linha 06'!$C$3:$ZZ$3,C1409)</f>
        <v>20060001</v>
      </c>
      <c r="G1409" t="str" cm="1">
        <f t="array" ref="G1409">INDEX('Linha 06'!$C$2:$ZZ$2,C1409)</f>
        <v>Limp Perf Aquafast Magia Seducao Cx/12 X 500ml</v>
      </c>
      <c r="H1409" s="5" cm="1">
        <f t="array" ref="H1409">INDEX('Linha 06'!$C$4:$ZZ$1000,B1409,C1409)</f>
        <v>0</v>
      </c>
    </row>
    <row r="1410" spans="1:8" x14ac:dyDescent="0.25">
      <c r="A1410">
        <v>1408</v>
      </c>
      <c r="B1410">
        <f t="shared" si="42"/>
        <v>38</v>
      </c>
      <c r="C1410">
        <f t="shared" si="43"/>
        <v>2</v>
      </c>
      <c r="D1410" cm="1">
        <f t="array" ref="D1410">INDEX('Linha 06'!$A$4:$A$1000,B1410)</f>
        <v>20220022</v>
      </c>
      <c r="E1410" t="str" cm="1">
        <f t="array" ref="E1410">INDEX('Linha 06'!$B$4:$B$1000,B1410)</f>
        <v>Intermed. Aromat. Cha Verde E Grapef Cx C/ 12un 250ml</v>
      </c>
      <c r="F1410" cm="1">
        <f t="array" ref="F1410">INDEX('Linha 06'!$C$3:$ZZ$3,C1410)</f>
        <v>20060004</v>
      </c>
      <c r="G1410" t="str" cm="1">
        <f t="array" ref="G1410">INDEX('Linha 06'!$C$2:$ZZ$2,C1410)</f>
        <v>Limp Perf Aquafast Magia Seducao Cx/12 X 1l</v>
      </c>
      <c r="H1410" s="5" cm="1">
        <f t="array" ref="H1410">INDEX('Linha 06'!$C$4:$ZZ$1000,B1410,C1410)</f>
        <v>0</v>
      </c>
    </row>
    <row r="1411" spans="1:8" x14ac:dyDescent="0.25">
      <c r="A1411">
        <v>1409</v>
      </c>
      <c r="B1411">
        <f t="shared" si="42"/>
        <v>38</v>
      </c>
      <c r="C1411">
        <f t="shared" si="43"/>
        <v>3</v>
      </c>
      <c r="D1411" cm="1">
        <f t="array" ref="D1411">INDEX('Linha 06'!$A$4:$A$1000,B1411)</f>
        <v>20220022</v>
      </c>
      <c r="E1411" t="str" cm="1">
        <f t="array" ref="E1411">INDEX('Linha 06'!$B$4:$B$1000,B1411)</f>
        <v>Intermed. Aromat. Cha Verde E Grapef Cx C/ 12un 250ml</v>
      </c>
      <c r="F1411" cm="1">
        <f t="array" ref="F1411">INDEX('Linha 06'!$C$3:$ZZ$3,C1411)</f>
        <v>20060010</v>
      </c>
      <c r="G1411" t="str" cm="1">
        <f t="array" ref="G1411">INDEX('Linha 06'!$C$2:$ZZ$2,C1411)</f>
        <v>Limp Perf Aquafast Magia Da Infancia Cx/12 X 500ml</v>
      </c>
      <c r="H1411" s="5" cm="1">
        <f t="array" ref="H1411">INDEX('Linha 06'!$C$4:$ZZ$1000,B1411,C1411)</f>
        <v>0</v>
      </c>
    </row>
    <row r="1412" spans="1:8" x14ac:dyDescent="0.25">
      <c r="A1412">
        <v>1410</v>
      </c>
      <c r="B1412">
        <f t="shared" ref="B1412:B1446" si="44">INT((A1412-1)/$B$1)+1</f>
        <v>38</v>
      </c>
      <c r="C1412">
        <f t="shared" ref="C1412:C1446" si="45">MOD(A1412-1,$B$1)+1</f>
        <v>4</v>
      </c>
      <c r="D1412" cm="1">
        <f t="array" ref="D1412">INDEX('Linha 06'!$A$4:$A$1000,B1412)</f>
        <v>20220022</v>
      </c>
      <c r="E1412" t="str" cm="1">
        <f t="array" ref="E1412">INDEX('Linha 06'!$B$4:$B$1000,B1412)</f>
        <v>Intermed. Aromat. Cha Verde E Grapef Cx C/ 12un 250ml</v>
      </c>
      <c r="F1412" cm="1">
        <f t="array" ref="F1412">INDEX('Linha 06'!$C$3:$ZZ$3,C1412)</f>
        <v>20060011</v>
      </c>
      <c r="G1412" t="str" cm="1">
        <f t="array" ref="G1412">INDEX('Linha 06'!$C$2:$ZZ$2,C1412)</f>
        <v>Limp Perf Aquafast Frescor Da Manha Cx/12 X 500ml</v>
      </c>
      <c r="H1412" s="5" cm="1">
        <f t="array" ref="H1412">INDEX('Linha 06'!$C$4:$ZZ$1000,B1412,C1412)</f>
        <v>0</v>
      </c>
    </row>
    <row r="1413" spans="1:8" x14ac:dyDescent="0.25">
      <c r="A1413">
        <v>1411</v>
      </c>
      <c r="B1413">
        <f t="shared" si="44"/>
        <v>38</v>
      </c>
      <c r="C1413">
        <f t="shared" si="45"/>
        <v>5</v>
      </c>
      <c r="D1413" cm="1">
        <f t="array" ref="D1413">INDEX('Linha 06'!$A$4:$A$1000,B1413)</f>
        <v>20220022</v>
      </c>
      <c r="E1413" t="str" cm="1">
        <f t="array" ref="E1413">INDEX('Linha 06'!$B$4:$B$1000,B1413)</f>
        <v>Intermed. Aromat. Cha Verde E Grapef Cx C/ 12un 250ml</v>
      </c>
      <c r="F1413" cm="1">
        <f t="array" ref="F1413">INDEX('Linha 06'!$C$3:$ZZ$3,C1413)</f>
        <v>20060012</v>
      </c>
      <c r="G1413" t="str" cm="1">
        <f t="array" ref="G1413">INDEX('Linha 06'!$C$2:$ZZ$2,C1413)</f>
        <v>Limp Perf Aquafast Magia Da Infancia Cx/12 X 1l</v>
      </c>
      <c r="H1413" s="5" cm="1">
        <f t="array" ref="H1413">INDEX('Linha 06'!$C$4:$ZZ$1000,B1413,C1413)</f>
        <v>0</v>
      </c>
    </row>
    <row r="1414" spans="1:8" x14ac:dyDescent="0.25">
      <c r="A1414">
        <v>1412</v>
      </c>
      <c r="B1414">
        <f t="shared" si="44"/>
        <v>38</v>
      </c>
      <c r="C1414">
        <f t="shared" si="45"/>
        <v>6</v>
      </c>
      <c r="D1414" cm="1">
        <f t="array" ref="D1414">INDEX('Linha 06'!$A$4:$A$1000,B1414)</f>
        <v>20220022</v>
      </c>
      <c r="E1414" t="str" cm="1">
        <f t="array" ref="E1414">INDEX('Linha 06'!$B$4:$B$1000,B1414)</f>
        <v>Intermed. Aromat. Cha Verde E Grapef Cx C/ 12un 250ml</v>
      </c>
      <c r="F1414" cm="1">
        <f t="array" ref="F1414">INDEX('Linha 06'!$C$3:$ZZ$3,C1414)</f>
        <v>20060013</v>
      </c>
      <c r="G1414" t="str" cm="1">
        <f t="array" ref="G1414">INDEX('Linha 06'!$C$2:$ZZ$2,C1414)</f>
        <v>Limp Perf Aquafast Frescor Da Manha Cx/12 X 1l</v>
      </c>
      <c r="H1414" s="5" cm="1">
        <f t="array" ref="H1414">INDEX('Linha 06'!$C$4:$ZZ$1000,B1414,C1414)</f>
        <v>0</v>
      </c>
    </row>
    <row r="1415" spans="1:8" x14ac:dyDescent="0.25">
      <c r="A1415">
        <v>1413</v>
      </c>
      <c r="B1415">
        <f t="shared" si="44"/>
        <v>38</v>
      </c>
      <c r="C1415">
        <f t="shared" si="45"/>
        <v>7</v>
      </c>
      <c r="D1415" cm="1">
        <f t="array" ref="D1415">INDEX('Linha 06'!$A$4:$A$1000,B1415)</f>
        <v>20220022</v>
      </c>
      <c r="E1415" t="str" cm="1">
        <f t="array" ref="E1415">INDEX('Linha 06'!$B$4:$B$1000,B1415)</f>
        <v>Intermed. Aromat. Cha Verde E Grapef Cx C/ 12un 250ml</v>
      </c>
      <c r="F1415" cm="1">
        <f t="array" ref="F1415">INDEX('Linha 06'!$C$3:$ZZ$3,C1415)</f>
        <v>20060015</v>
      </c>
      <c r="G1415" t="str" cm="1">
        <f t="array" ref="G1415">INDEX('Linha 06'!$C$2:$ZZ$2,C1415)</f>
        <v>Limp Perf Aquafast Doce Romance Cx/12 X 500ml</v>
      </c>
      <c r="H1415" s="5" cm="1">
        <f t="array" ref="H1415">INDEX('Linha 06'!$C$4:$ZZ$1000,B1415,C1415)</f>
        <v>0</v>
      </c>
    </row>
    <row r="1416" spans="1:8" x14ac:dyDescent="0.25">
      <c r="A1416">
        <v>1414</v>
      </c>
      <c r="B1416">
        <f t="shared" si="44"/>
        <v>38</v>
      </c>
      <c r="C1416">
        <f t="shared" si="45"/>
        <v>8</v>
      </c>
      <c r="D1416" cm="1">
        <f t="array" ref="D1416">INDEX('Linha 06'!$A$4:$A$1000,B1416)</f>
        <v>20220022</v>
      </c>
      <c r="E1416" t="str" cm="1">
        <f t="array" ref="E1416">INDEX('Linha 06'!$B$4:$B$1000,B1416)</f>
        <v>Intermed. Aromat. Cha Verde E Grapef Cx C/ 12un 250ml</v>
      </c>
      <c r="F1416" cm="1">
        <f t="array" ref="F1416">INDEX('Linha 06'!$C$3:$ZZ$3,C1416)</f>
        <v>20060016</v>
      </c>
      <c r="G1416" t="str" cm="1">
        <f t="array" ref="G1416">INDEX('Linha 06'!$C$2:$ZZ$2,C1416)</f>
        <v>Limp Perf Aquafast Doce Romance Cx/12 X 1l</v>
      </c>
      <c r="H1416" s="5" cm="1">
        <f t="array" ref="H1416">INDEX('Linha 06'!$C$4:$ZZ$1000,B1416,C1416)</f>
        <v>0</v>
      </c>
    </row>
    <row r="1417" spans="1:8" x14ac:dyDescent="0.25">
      <c r="A1417">
        <v>1415</v>
      </c>
      <c r="B1417">
        <f t="shared" si="44"/>
        <v>38</v>
      </c>
      <c r="C1417">
        <f t="shared" si="45"/>
        <v>9</v>
      </c>
      <c r="D1417" cm="1">
        <f t="array" ref="D1417">INDEX('Linha 06'!$A$4:$A$1000,B1417)</f>
        <v>20220022</v>
      </c>
      <c r="E1417" t="str" cm="1">
        <f t="array" ref="E1417">INDEX('Linha 06'!$B$4:$B$1000,B1417)</f>
        <v>Intermed. Aromat. Cha Verde E Grapef Cx C/ 12un 250ml</v>
      </c>
      <c r="F1417" cm="1">
        <f t="array" ref="F1417">INDEX('Linha 06'!$C$3:$ZZ$3,C1417)</f>
        <v>20060027</v>
      </c>
      <c r="G1417" t="str" cm="1">
        <f t="array" ref="G1417">INDEX('Linha 06'!$C$2:$ZZ$2,C1417)</f>
        <v>Limp Perf Aquafast Essencia Natural Cx/12 X 1l</v>
      </c>
      <c r="H1417" s="5" cm="1">
        <f t="array" ref="H1417">INDEX('Linha 06'!$C$4:$ZZ$1000,B1417,C1417)</f>
        <v>0</v>
      </c>
    </row>
    <row r="1418" spans="1:8" x14ac:dyDescent="0.25">
      <c r="A1418">
        <v>1416</v>
      </c>
      <c r="B1418">
        <f t="shared" si="44"/>
        <v>38</v>
      </c>
      <c r="C1418">
        <f t="shared" si="45"/>
        <v>10</v>
      </c>
      <c r="D1418" cm="1">
        <f t="array" ref="D1418">INDEX('Linha 06'!$A$4:$A$1000,B1418)</f>
        <v>20220022</v>
      </c>
      <c r="E1418" t="str" cm="1">
        <f t="array" ref="E1418">INDEX('Linha 06'!$B$4:$B$1000,B1418)</f>
        <v>Intermed. Aromat. Cha Verde E Grapef Cx C/ 12un 250ml</v>
      </c>
      <c r="F1418" cm="1">
        <f t="array" ref="F1418">INDEX('Linha 06'!$C$3:$ZZ$3,C1418)</f>
        <v>20070001</v>
      </c>
      <c r="G1418" t="str" cm="1">
        <f t="array" ref="G1418">INDEX('Linha 06'!$C$2:$ZZ$2,C1418)</f>
        <v>Limpa Vidros Aquafast Pulverizador Cx/12 X 500ml</v>
      </c>
      <c r="H1418" s="5" cm="1">
        <f t="array" ref="H1418">INDEX('Linha 06'!$C$4:$ZZ$1000,B1418,C1418)</f>
        <v>0</v>
      </c>
    </row>
    <row r="1419" spans="1:8" x14ac:dyDescent="0.25">
      <c r="A1419">
        <v>1417</v>
      </c>
      <c r="B1419">
        <f t="shared" si="44"/>
        <v>38</v>
      </c>
      <c r="C1419">
        <f t="shared" si="45"/>
        <v>11</v>
      </c>
      <c r="D1419" cm="1">
        <f t="array" ref="D1419">INDEX('Linha 06'!$A$4:$A$1000,B1419)</f>
        <v>20220022</v>
      </c>
      <c r="E1419" t="str" cm="1">
        <f t="array" ref="E1419">INDEX('Linha 06'!$B$4:$B$1000,B1419)</f>
        <v>Intermed. Aromat. Cha Verde E Grapef Cx C/ 12un 250ml</v>
      </c>
      <c r="F1419" cm="1">
        <f t="array" ref="F1419">INDEX('Linha 06'!$C$3:$ZZ$3,C1419)</f>
        <v>20070002</v>
      </c>
      <c r="G1419" t="str" cm="1">
        <f t="array" ref="G1419">INDEX('Linha 06'!$C$2:$ZZ$2,C1419)</f>
        <v>Limpa Vidros Aquafast Recarga Cx/12 X 500ml</v>
      </c>
      <c r="H1419" s="5" cm="1">
        <f t="array" ref="H1419">INDEX('Linha 06'!$C$4:$ZZ$1000,B1419,C1419)</f>
        <v>0</v>
      </c>
    </row>
    <row r="1420" spans="1:8" x14ac:dyDescent="0.25">
      <c r="A1420">
        <v>1418</v>
      </c>
      <c r="B1420">
        <f t="shared" si="44"/>
        <v>38</v>
      </c>
      <c r="C1420">
        <f t="shared" si="45"/>
        <v>12</v>
      </c>
      <c r="D1420" cm="1">
        <f t="array" ref="D1420">INDEX('Linha 06'!$A$4:$A$1000,B1420)</f>
        <v>20220022</v>
      </c>
      <c r="E1420" t="str" cm="1">
        <f t="array" ref="E1420">INDEX('Linha 06'!$B$4:$B$1000,B1420)</f>
        <v>Intermed. Aromat. Cha Verde E Grapef Cx C/ 12un 250ml</v>
      </c>
      <c r="F1420" cm="1">
        <f t="array" ref="F1420">INDEX('Linha 06'!$C$3:$ZZ$3,C1420)</f>
        <v>20070006</v>
      </c>
      <c r="G1420" t="str" cm="1">
        <f t="array" ref="G1420">INDEX('Linha 06'!$C$2:$ZZ$2,C1420)</f>
        <v>Limpa Vidros Ito Pulverizador Cx/12 X 500ml</v>
      </c>
      <c r="H1420" s="5" cm="1">
        <f t="array" ref="H1420">INDEX('Linha 06'!$C$4:$ZZ$1000,B1420,C1420)</f>
        <v>0</v>
      </c>
    </row>
    <row r="1421" spans="1:8" x14ac:dyDescent="0.25">
      <c r="A1421">
        <v>1419</v>
      </c>
      <c r="B1421">
        <f t="shared" si="44"/>
        <v>38</v>
      </c>
      <c r="C1421">
        <f t="shared" si="45"/>
        <v>13</v>
      </c>
      <c r="D1421" cm="1">
        <f t="array" ref="D1421">INDEX('Linha 06'!$A$4:$A$1000,B1421)</f>
        <v>20220022</v>
      </c>
      <c r="E1421" t="str" cm="1">
        <f t="array" ref="E1421">INDEX('Linha 06'!$B$4:$B$1000,B1421)</f>
        <v>Intermed. Aromat. Cha Verde E Grapef Cx C/ 12un 250ml</v>
      </c>
      <c r="F1421" cm="1">
        <f t="array" ref="F1421">INDEX('Linha 06'!$C$3:$ZZ$3,C1421)</f>
        <v>20070007</v>
      </c>
      <c r="G1421" t="str" cm="1">
        <f t="array" ref="G1421">INDEX('Linha 06'!$C$2:$ZZ$2,C1421)</f>
        <v>Limpa Vidros Ito Recarga Cx/12 X 500ml</v>
      </c>
      <c r="H1421" s="5" cm="1">
        <f t="array" ref="H1421">INDEX('Linha 06'!$C$4:$ZZ$1000,B1421,C1421)</f>
        <v>0</v>
      </c>
    </row>
    <row r="1422" spans="1:8" x14ac:dyDescent="0.25">
      <c r="A1422">
        <v>1420</v>
      </c>
      <c r="B1422">
        <f t="shared" si="44"/>
        <v>38</v>
      </c>
      <c r="C1422">
        <f t="shared" si="45"/>
        <v>14</v>
      </c>
      <c r="D1422" cm="1">
        <f t="array" ref="D1422">INDEX('Linha 06'!$A$4:$A$1000,B1422)</f>
        <v>20220022</v>
      </c>
      <c r="E1422" t="str" cm="1">
        <f t="array" ref="E1422">INDEX('Linha 06'!$B$4:$B$1000,B1422)</f>
        <v>Intermed. Aromat. Cha Verde E Grapef Cx C/ 12un 250ml</v>
      </c>
      <c r="F1422" cm="1">
        <f t="array" ref="F1422">INDEX('Linha 06'!$C$3:$ZZ$3,C1422)</f>
        <v>20070008</v>
      </c>
      <c r="G1422" t="str" cm="1">
        <f t="array" ref="G1422">INDEX('Linha 06'!$C$2:$ZZ$2,C1422)</f>
        <v>Limpa Vidros Aquafast Squeeze Cx/12 X 500ml</v>
      </c>
      <c r="H1422" s="5" cm="1">
        <f t="array" ref="H1422">INDEX('Linha 06'!$C$4:$ZZ$1000,B1422,C1422)</f>
        <v>0</v>
      </c>
    </row>
    <row r="1423" spans="1:8" x14ac:dyDescent="0.25">
      <c r="A1423">
        <v>1421</v>
      </c>
      <c r="B1423">
        <f t="shared" si="44"/>
        <v>38</v>
      </c>
      <c r="C1423">
        <f t="shared" si="45"/>
        <v>15</v>
      </c>
      <c r="D1423" cm="1">
        <f t="array" ref="D1423">INDEX('Linha 06'!$A$4:$A$1000,B1423)</f>
        <v>20220022</v>
      </c>
      <c r="E1423" t="str" cm="1">
        <f t="array" ref="E1423">INDEX('Linha 06'!$B$4:$B$1000,B1423)</f>
        <v>Intermed. Aromat. Cha Verde E Grapef Cx C/ 12un 250ml</v>
      </c>
      <c r="F1423" cm="1">
        <f t="array" ref="F1423">INDEX('Linha 06'!$C$3:$ZZ$3,C1423)</f>
        <v>20090001</v>
      </c>
      <c r="G1423" t="str" cm="1">
        <f t="array" ref="G1423">INDEX('Linha 06'!$C$2:$ZZ$2,C1423)</f>
        <v>Desengordurante Aquafast Pulverizador Cx/12 X 500ml</v>
      </c>
      <c r="H1423" s="5" cm="1">
        <f t="array" ref="H1423">INDEX('Linha 06'!$C$4:$ZZ$1000,B1423,C1423)</f>
        <v>0</v>
      </c>
    </row>
    <row r="1424" spans="1:8" x14ac:dyDescent="0.25">
      <c r="A1424">
        <v>1422</v>
      </c>
      <c r="B1424">
        <f t="shared" si="44"/>
        <v>38</v>
      </c>
      <c r="C1424">
        <f t="shared" si="45"/>
        <v>16</v>
      </c>
      <c r="D1424" cm="1">
        <f t="array" ref="D1424">INDEX('Linha 06'!$A$4:$A$1000,B1424)</f>
        <v>20220022</v>
      </c>
      <c r="E1424" t="str" cm="1">
        <f t="array" ref="E1424">INDEX('Linha 06'!$B$4:$B$1000,B1424)</f>
        <v>Intermed. Aromat. Cha Verde E Grapef Cx C/ 12un 250ml</v>
      </c>
      <c r="F1424" cm="1">
        <f t="array" ref="F1424">INDEX('Linha 06'!$C$3:$ZZ$3,C1424)</f>
        <v>20090002</v>
      </c>
      <c r="G1424" t="str" cm="1">
        <f t="array" ref="G1424">INDEX('Linha 06'!$C$2:$ZZ$2,C1424)</f>
        <v>Desengordurante Aquafast Recarga Cx/12 X 500ml</v>
      </c>
      <c r="H1424" s="5" cm="1">
        <f t="array" ref="H1424">INDEX('Linha 06'!$C$4:$ZZ$1000,B1424,C1424)</f>
        <v>0</v>
      </c>
    </row>
    <row r="1425" spans="1:8" x14ac:dyDescent="0.25">
      <c r="A1425">
        <v>1423</v>
      </c>
      <c r="B1425">
        <f t="shared" si="44"/>
        <v>38</v>
      </c>
      <c r="C1425">
        <f t="shared" si="45"/>
        <v>17</v>
      </c>
      <c r="D1425" cm="1">
        <f t="array" ref="D1425">INDEX('Linha 06'!$A$4:$A$1000,B1425)</f>
        <v>20220022</v>
      </c>
      <c r="E1425" t="str" cm="1">
        <f t="array" ref="E1425">INDEX('Linha 06'!$B$4:$B$1000,B1425)</f>
        <v>Intermed. Aromat. Cha Verde E Grapef Cx C/ 12un 250ml</v>
      </c>
      <c r="F1425" cm="1">
        <f t="array" ref="F1425">INDEX('Linha 06'!$C$3:$ZZ$3,C1425)</f>
        <v>20090004</v>
      </c>
      <c r="G1425" t="str" cm="1">
        <f t="array" ref="G1425">INDEX('Linha 06'!$C$2:$ZZ$2,C1425)</f>
        <v>Desengordurante Aquafast Squeeze Cx C/12 X 500ml</v>
      </c>
      <c r="H1425" s="5" cm="1">
        <f t="array" ref="H1425">INDEX('Linha 06'!$C$4:$ZZ$1000,B1425,C1425)</f>
        <v>0</v>
      </c>
    </row>
    <row r="1426" spans="1:8" x14ac:dyDescent="0.25">
      <c r="A1426">
        <v>1424</v>
      </c>
      <c r="B1426">
        <f t="shared" si="44"/>
        <v>38</v>
      </c>
      <c r="C1426">
        <f t="shared" si="45"/>
        <v>18</v>
      </c>
      <c r="D1426" cm="1">
        <f t="array" ref="D1426">INDEX('Linha 06'!$A$4:$A$1000,B1426)</f>
        <v>20220022</v>
      </c>
      <c r="E1426" t="str" cm="1">
        <f t="array" ref="E1426">INDEX('Linha 06'!$B$4:$B$1000,B1426)</f>
        <v>Intermed. Aromat. Cha Verde E Grapef Cx C/ 12un 250ml</v>
      </c>
      <c r="F1426" cm="1">
        <f t="array" ref="F1426">INDEX('Linha 06'!$C$3:$ZZ$3,C1426)</f>
        <v>20090005</v>
      </c>
      <c r="G1426" t="str" cm="1">
        <f t="array" ref="G1426">INDEX('Linha 06'!$C$2:$ZZ$2,C1426)</f>
        <v>Desengordurante Aquafast Squeeze Cx C/12 X 1l</v>
      </c>
      <c r="H1426" s="5" cm="1">
        <f t="array" ref="H1426">INDEX('Linha 06'!$C$4:$ZZ$1000,B1426,C1426)</f>
        <v>0</v>
      </c>
    </row>
    <row r="1427" spans="1:8" x14ac:dyDescent="0.25">
      <c r="A1427">
        <v>1425</v>
      </c>
      <c r="B1427">
        <f t="shared" si="44"/>
        <v>38</v>
      </c>
      <c r="C1427">
        <f t="shared" si="45"/>
        <v>19</v>
      </c>
      <c r="D1427" cm="1">
        <f t="array" ref="D1427">INDEX('Linha 06'!$A$4:$A$1000,B1427)</f>
        <v>20220022</v>
      </c>
      <c r="E1427" t="str" cm="1">
        <f t="array" ref="E1427">INDEX('Linha 06'!$B$4:$B$1000,B1427)</f>
        <v>Intermed. Aromat. Cha Verde E Grapef Cx C/ 12un 250ml</v>
      </c>
      <c r="F1427" cm="1">
        <f t="array" ref="F1427">INDEX('Linha 06'!$C$3:$ZZ$3,C1427)</f>
        <v>20090010</v>
      </c>
      <c r="G1427" t="str" cm="1">
        <f t="array" ref="G1427">INDEX('Linha 06'!$C$2:$ZZ$2,C1427)</f>
        <v>Intermed Pack Desengord Squeeze Cx C/18 X 500ml</v>
      </c>
      <c r="H1427" s="5" cm="1">
        <f t="array" ref="H1427">INDEX('Linha 06'!$C$4:$ZZ$1000,B1427,C1427)</f>
        <v>0</v>
      </c>
    </row>
    <row r="1428" spans="1:8" x14ac:dyDescent="0.25">
      <c r="A1428">
        <v>1426</v>
      </c>
      <c r="B1428">
        <f t="shared" si="44"/>
        <v>38</v>
      </c>
      <c r="C1428">
        <f t="shared" si="45"/>
        <v>20</v>
      </c>
      <c r="D1428" cm="1">
        <f t="array" ref="D1428">INDEX('Linha 06'!$A$4:$A$1000,B1428)</f>
        <v>20220022</v>
      </c>
      <c r="E1428" t="str" cm="1">
        <f t="array" ref="E1428">INDEX('Linha 06'!$B$4:$B$1000,B1428)</f>
        <v>Intermed. Aromat. Cha Verde E Grapef Cx C/ 12un 250ml</v>
      </c>
      <c r="F1428" cm="1">
        <f t="array" ref="F1428">INDEX('Linha 06'!$C$3:$ZZ$3,C1428)</f>
        <v>20110002</v>
      </c>
      <c r="G1428" t="str" cm="1">
        <f t="array" ref="G1428">INDEX('Linha 06'!$C$2:$ZZ$2,C1428)</f>
        <v>Multi Uso Aquafast Squeeze Original Cx/12 X 500ml</v>
      </c>
      <c r="H1428" s="5" cm="1">
        <f t="array" ref="H1428">INDEX('Linha 06'!$C$4:$ZZ$1000,B1428,C1428)</f>
        <v>0</v>
      </c>
    </row>
    <row r="1429" spans="1:8" x14ac:dyDescent="0.25">
      <c r="A1429">
        <v>1427</v>
      </c>
      <c r="B1429">
        <f t="shared" si="44"/>
        <v>38</v>
      </c>
      <c r="C1429">
        <f t="shared" si="45"/>
        <v>21</v>
      </c>
      <c r="D1429" cm="1">
        <f t="array" ref="D1429">INDEX('Linha 06'!$A$4:$A$1000,B1429)</f>
        <v>20220022</v>
      </c>
      <c r="E1429" t="str" cm="1">
        <f t="array" ref="E1429">INDEX('Linha 06'!$B$4:$B$1000,B1429)</f>
        <v>Intermed. Aromat. Cha Verde E Grapef Cx C/ 12un 250ml</v>
      </c>
      <c r="F1429" cm="1">
        <f t="array" ref="F1429">INDEX('Linha 06'!$C$3:$ZZ$3,C1429)</f>
        <v>20110004</v>
      </c>
      <c r="G1429" t="str" cm="1">
        <f t="array" ref="G1429">INDEX('Linha 06'!$C$2:$ZZ$2,C1429)</f>
        <v>Multi Uso Aquafast Squeeze Lavanda Cx/12 X 500ml</v>
      </c>
      <c r="H1429" s="5" cm="1">
        <f t="array" ref="H1429">INDEX('Linha 06'!$C$4:$ZZ$1000,B1429,C1429)</f>
        <v>0</v>
      </c>
    </row>
    <row r="1430" spans="1:8" x14ac:dyDescent="0.25">
      <c r="A1430">
        <v>1428</v>
      </c>
      <c r="B1430">
        <f t="shared" si="44"/>
        <v>38</v>
      </c>
      <c r="C1430">
        <f t="shared" si="45"/>
        <v>22</v>
      </c>
      <c r="D1430" cm="1">
        <f t="array" ref="D1430">INDEX('Linha 06'!$A$4:$A$1000,B1430)</f>
        <v>20220022</v>
      </c>
      <c r="E1430" t="str" cm="1">
        <f t="array" ref="E1430">INDEX('Linha 06'!$B$4:$B$1000,B1430)</f>
        <v>Intermed. Aromat. Cha Verde E Grapef Cx C/ 12un 250ml</v>
      </c>
      <c r="F1430" cm="1">
        <f t="array" ref="F1430">INDEX('Linha 06'!$C$3:$ZZ$3,C1430)</f>
        <v>20110007</v>
      </c>
      <c r="G1430" t="str" cm="1">
        <f t="array" ref="G1430">INDEX('Linha 06'!$C$2:$ZZ$2,C1430)</f>
        <v>Multi Uso Aquafast Squeeze Seducao Cx/12 X 500ml</v>
      </c>
      <c r="H1430" s="5" cm="1">
        <f t="array" ref="H1430">INDEX('Linha 06'!$C$4:$ZZ$1000,B1430,C1430)</f>
        <v>0</v>
      </c>
    </row>
    <row r="1431" spans="1:8" x14ac:dyDescent="0.25">
      <c r="A1431">
        <v>1429</v>
      </c>
      <c r="B1431">
        <f t="shared" si="44"/>
        <v>38</v>
      </c>
      <c r="C1431">
        <f t="shared" si="45"/>
        <v>23</v>
      </c>
      <c r="D1431" cm="1">
        <f t="array" ref="D1431">INDEX('Linha 06'!$A$4:$A$1000,B1431)</f>
        <v>20220022</v>
      </c>
      <c r="E1431" t="str" cm="1">
        <f t="array" ref="E1431">INDEX('Linha 06'!$B$4:$B$1000,B1431)</f>
        <v>Intermed. Aromat. Cha Verde E Grapef Cx C/ 12un 250ml</v>
      </c>
      <c r="F1431" cm="1">
        <f t="array" ref="F1431">INDEX('Linha 06'!$C$3:$ZZ$3,C1431)</f>
        <v>20110008</v>
      </c>
      <c r="G1431" t="str" cm="1">
        <f t="array" ref="G1431">INDEX('Linha 06'!$C$2:$ZZ$2,C1431)</f>
        <v>Multi Uso Aquafast Squeeze Original Cx/12 X 1l</v>
      </c>
      <c r="H1431" s="5" cm="1">
        <f t="array" ref="H1431">INDEX('Linha 06'!$C$4:$ZZ$1000,B1431,C1431)</f>
        <v>0</v>
      </c>
    </row>
    <row r="1432" spans="1:8" x14ac:dyDescent="0.25">
      <c r="A1432">
        <v>1430</v>
      </c>
      <c r="B1432">
        <f t="shared" si="44"/>
        <v>38</v>
      </c>
      <c r="C1432">
        <f t="shared" si="45"/>
        <v>24</v>
      </c>
      <c r="D1432" cm="1">
        <f t="array" ref="D1432">INDEX('Linha 06'!$A$4:$A$1000,B1432)</f>
        <v>20220022</v>
      </c>
      <c r="E1432" t="str" cm="1">
        <f t="array" ref="E1432">INDEX('Linha 06'!$B$4:$B$1000,B1432)</f>
        <v>Intermed. Aromat. Cha Verde E Grapef Cx C/ 12un 250ml</v>
      </c>
      <c r="F1432" cm="1">
        <f t="array" ref="F1432">INDEX('Linha 06'!$C$3:$ZZ$3,C1432)</f>
        <v>20110010</v>
      </c>
      <c r="G1432" t="str" cm="1">
        <f t="array" ref="G1432">INDEX('Linha 06'!$C$2:$ZZ$2,C1432)</f>
        <v>Multi Uso Aquafast Squeeze Seducao Cx/12 1l</v>
      </c>
      <c r="H1432" s="5" cm="1">
        <f t="array" ref="H1432">INDEX('Linha 06'!$C$4:$ZZ$1000,B1432,C1432)</f>
        <v>0</v>
      </c>
    </row>
    <row r="1433" spans="1:8" x14ac:dyDescent="0.25">
      <c r="A1433">
        <v>1431</v>
      </c>
      <c r="B1433">
        <f t="shared" si="44"/>
        <v>38</v>
      </c>
      <c r="C1433">
        <f t="shared" si="45"/>
        <v>25</v>
      </c>
      <c r="D1433" cm="1">
        <f t="array" ref="D1433">INDEX('Linha 06'!$A$4:$A$1000,B1433)</f>
        <v>20220022</v>
      </c>
      <c r="E1433" t="str" cm="1">
        <f t="array" ref="E1433">INDEX('Linha 06'!$B$4:$B$1000,B1433)</f>
        <v>Intermed. Aromat. Cha Verde E Grapef Cx C/ 12un 250ml</v>
      </c>
      <c r="F1433" cm="1">
        <f t="array" ref="F1433">INDEX('Linha 06'!$C$3:$ZZ$3,C1433)</f>
        <v>20110013</v>
      </c>
      <c r="G1433" t="str" cm="1">
        <f t="array" ref="G1433">INDEX('Linha 06'!$C$2:$ZZ$2,C1433)</f>
        <v>Multi Uso Aquafast Squeeze Lavanda Cx/12 X 1l</v>
      </c>
      <c r="H1433" s="5" cm="1">
        <f t="array" ref="H1433">INDEX('Linha 06'!$C$4:$ZZ$1000,B1433,C1433)</f>
        <v>0</v>
      </c>
    </row>
    <row r="1434" spans="1:8" x14ac:dyDescent="0.25">
      <c r="A1434">
        <v>1432</v>
      </c>
      <c r="B1434">
        <f t="shared" si="44"/>
        <v>38</v>
      </c>
      <c r="C1434">
        <f t="shared" si="45"/>
        <v>26</v>
      </c>
      <c r="D1434" cm="1">
        <f t="array" ref="D1434">INDEX('Linha 06'!$A$4:$A$1000,B1434)</f>
        <v>20220022</v>
      </c>
      <c r="E1434" t="str" cm="1">
        <f t="array" ref="E1434">INDEX('Linha 06'!$B$4:$B$1000,B1434)</f>
        <v>Intermed. Aromat. Cha Verde E Grapef Cx C/ 12un 250ml</v>
      </c>
      <c r="F1434" cm="1">
        <f t="array" ref="F1434">INDEX('Linha 06'!$C$3:$ZZ$3,C1434)</f>
        <v>20110022</v>
      </c>
      <c r="G1434" t="str" cm="1">
        <f t="array" ref="G1434">INDEX('Linha 06'!$C$2:$ZZ$2,C1434)</f>
        <v>Intermed Pack Multi Uso Lavand C/Alcool Cx/18 X 500ml</v>
      </c>
      <c r="H1434" s="5" cm="1">
        <f t="array" ref="H1434">INDEX('Linha 06'!$C$4:$ZZ$1000,B1434,C1434)</f>
        <v>0</v>
      </c>
    </row>
    <row r="1435" spans="1:8" x14ac:dyDescent="0.25">
      <c r="A1435">
        <v>1433</v>
      </c>
      <c r="B1435">
        <f t="shared" si="44"/>
        <v>38</v>
      </c>
      <c r="C1435">
        <f t="shared" si="45"/>
        <v>27</v>
      </c>
      <c r="D1435" cm="1">
        <f t="array" ref="D1435">INDEX('Linha 06'!$A$4:$A$1000,B1435)</f>
        <v>20220022</v>
      </c>
      <c r="E1435" t="str" cm="1">
        <f t="array" ref="E1435">INDEX('Linha 06'!$B$4:$B$1000,B1435)</f>
        <v>Intermed. Aromat. Cha Verde E Grapef Cx C/ 12un 250ml</v>
      </c>
      <c r="F1435" cm="1">
        <f t="array" ref="F1435">INDEX('Linha 06'!$C$3:$ZZ$3,C1435)</f>
        <v>20110023</v>
      </c>
      <c r="G1435" t="str" cm="1">
        <f t="array" ref="G1435">INDEX('Linha 06'!$C$2:$ZZ$2,C1435)</f>
        <v>Multi Uso Aquafast Squeeze Cha Branco  Cx/12 X 500ml</v>
      </c>
      <c r="H1435" s="5" cm="1">
        <f t="array" ref="H1435">INDEX('Linha 06'!$C$4:$ZZ$1000,B1435,C1435)</f>
        <v>0</v>
      </c>
    </row>
    <row r="1436" spans="1:8" x14ac:dyDescent="0.25">
      <c r="A1436">
        <v>1434</v>
      </c>
      <c r="B1436">
        <f t="shared" si="44"/>
        <v>38</v>
      </c>
      <c r="C1436">
        <f t="shared" si="45"/>
        <v>28</v>
      </c>
      <c r="D1436" cm="1">
        <f t="array" ref="D1436">INDEX('Linha 06'!$A$4:$A$1000,B1436)</f>
        <v>20220022</v>
      </c>
      <c r="E1436" t="str" cm="1">
        <f t="array" ref="E1436">INDEX('Linha 06'!$B$4:$B$1000,B1436)</f>
        <v>Intermed. Aromat. Cha Verde E Grapef Cx C/ 12un 250ml</v>
      </c>
      <c r="F1436" cm="1">
        <f t="array" ref="F1436">INDEX('Linha 06'!$C$3:$ZZ$3,C1436)</f>
        <v>20110024</v>
      </c>
      <c r="G1436" t="str" cm="1">
        <f t="array" ref="G1436">INDEX('Linha 06'!$C$2:$ZZ$2,C1436)</f>
        <v>Multi Uso Aquafast Squeeze Cha Branco Cx12 X 1l</v>
      </c>
      <c r="H1436" s="5" cm="1">
        <f t="array" ref="H1436">INDEX('Linha 06'!$C$4:$ZZ$1000,B1436,C1436)</f>
        <v>0</v>
      </c>
    </row>
    <row r="1437" spans="1:8" x14ac:dyDescent="0.25">
      <c r="A1437">
        <v>1435</v>
      </c>
      <c r="B1437">
        <f t="shared" si="44"/>
        <v>38</v>
      </c>
      <c r="C1437">
        <f t="shared" si="45"/>
        <v>29</v>
      </c>
      <c r="D1437" cm="1">
        <f t="array" ref="D1437">INDEX('Linha 06'!$A$4:$A$1000,B1437)</f>
        <v>20220022</v>
      </c>
      <c r="E1437" t="str" cm="1">
        <f t="array" ref="E1437">INDEX('Linha 06'!$B$4:$B$1000,B1437)</f>
        <v>Intermed. Aromat. Cha Verde E Grapef Cx C/ 12un 250ml</v>
      </c>
      <c r="F1437" cm="1">
        <f t="array" ref="F1437">INDEX('Linha 06'!$C$3:$ZZ$3,C1437)</f>
        <v>20110025</v>
      </c>
      <c r="G1437" t="str" cm="1">
        <f t="array" ref="G1437">INDEX('Linha 06'!$C$2:$ZZ$2,C1437)</f>
        <v>Multi Uso Aquafast Pulverizador Original Cx/12 X 1l</v>
      </c>
      <c r="H1437" s="5" cm="1">
        <f t="array" ref="H1437">INDEX('Linha 06'!$C$4:$ZZ$1000,B1437,C1437)</f>
        <v>0</v>
      </c>
    </row>
    <row r="1438" spans="1:8" x14ac:dyDescent="0.25">
      <c r="A1438">
        <v>1436</v>
      </c>
      <c r="B1438">
        <f t="shared" si="44"/>
        <v>38</v>
      </c>
      <c r="C1438">
        <f t="shared" si="45"/>
        <v>30</v>
      </c>
      <c r="D1438" cm="1">
        <f t="array" ref="D1438">INDEX('Linha 06'!$A$4:$A$1000,B1438)</f>
        <v>20220022</v>
      </c>
      <c r="E1438" t="str" cm="1">
        <f t="array" ref="E1438">INDEX('Linha 06'!$B$4:$B$1000,B1438)</f>
        <v>Intermed. Aromat. Cha Verde E Grapef Cx C/ 12un 250ml</v>
      </c>
      <c r="F1438" cm="1">
        <f t="array" ref="F1438">INDEX('Linha 06'!$C$3:$ZZ$3,C1438)</f>
        <v>20110026</v>
      </c>
      <c r="G1438" t="str" cm="1">
        <f t="array" ref="G1438">INDEX('Linha 06'!$C$2:$ZZ$2,C1438)</f>
        <v>Multi Uso Aquafast Pulverizador Poder O2 Cx/12 X 1l</v>
      </c>
      <c r="H1438" s="5" cm="1">
        <f t="array" ref="H1438">INDEX('Linha 06'!$C$4:$ZZ$1000,B1438,C1438)</f>
        <v>0</v>
      </c>
    </row>
    <row r="1439" spans="1:8" x14ac:dyDescent="0.25">
      <c r="A1439">
        <v>1437</v>
      </c>
      <c r="B1439">
        <f t="shared" si="44"/>
        <v>38</v>
      </c>
      <c r="C1439">
        <f t="shared" si="45"/>
        <v>31</v>
      </c>
      <c r="D1439" cm="1">
        <f t="array" ref="D1439">INDEX('Linha 06'!$A$4:$A$1000,B1439)</f>
        <v>20220022</v>
      </c>
      <c r="E1439" t="str" cm="1">
        <f t="array" ref="E1439">INDEX('Linha 06'!$B$4:$B$1000,B1439)</f>
        <v>Intermed. Aromat. Cha Verde E Grapef Cx C/ 12un 250ml</v>
      </c>
      <c r="F1439" cm="1">
        <f t="array" ref="F1439">INDEX('Linha 06'!$C$3:$ZZ$3,C1439)</f>
        <v>20110027</v>
      </c>
      <c r="G1439" t="str" cm="1">
        <f t="array" ref="G1439">INDEX('Linha 06'!$C$2:$ZZ$2,C1439)</f>
        <v>Multi Uso Aquafast Pulverizador Poder O2 Cx/12 X 500ml</v>
      </c>
      <c r="H1439" s="5" cm="1">
        <f t="array" ref="H1439">INDEX('Linha 06'!$C$4:$ZZ$1000,B1439,C1439)</f>
        <v>0</v>
      </c>
    </row>
    <row r="1440" spans="1:8" x14ac:dyDescent="0.25">
      <c r="A1440">
        <v>1438</v>
      </c>
      <c r="B1440">
        <f t="shared" si="44"/>
        <v>38</v>
      </c>
      <c r="C1440">
        <f t="shared" si="45"/>
        <v>32</v>
      </c>
      <c r="D1440" cm="1">
        <f t="array" ref="D1440">INDEX('Linha 06'!$A$4:$A$1000,B1440)</f>
        <v>20220022</v>
      </c>
      <c r="E1440" t="str" cm="1">
        <f t="array" ref="E1440">INDEX('Linha 06'!$B$4:$B$1000,B1440)</f>
        <v>Intermed. Aromat. Cha Verde E Grapef Cx C/ 12un 250ml</v>
      </c>
      <c r="F1440" cm="1">
        <f t="array" ref="F1440">INDEX('Linha 06'!$C$3:$ZZ$3,C1440)</f>
        <v>20200073</v>
      </c>
      <c r="G1440" t="str" cm="1">
        <f t="array" ref="G1440">INDEX('Linha 06'!$C$2:$ZZ$2,C1440)</f>
        <v>Lava Roupas Aquafast Lavagem Rapida Total Clean Cx/9 X 1,5l</v>
      </c>
      <c r="H1440" s="5" cm="1">
        <f t="array" ref="H1440">INDEX('Linha 06'!$C$4:$ZZ$1000,B1440,C1440)</f>
        <v>0</v>
      </c>
    </row>
    <row r="1441" spans="1:8" x14ac:dyDescent="0.25">
      <c r="A1441">
        <v>1439</v>
      </c>
      <c r="B1441">
        <f t="shared" si="44"/>
        <v>38</v>
      </c>
      <c r="C1441">
        <f t="shared" si="45"/>
        <v>33</v>
      </c>
      <c r="D1441" cm="1">
        <f t="array" ref="D1441">INDEX('Linha 06'!$A$4:$A$1000,B1441)</f>
        <v>20220022</v>
      </c>
      <c r="E1441" t="str" cm="1">
        <f t="array" ref="E1441">INDEX('Linha 06'!$B$4:$B$1000,B1441)</f>
        <v>Intermed. Aromat. Cha Verde E Grapef Cx C/ 12un 250ml</v>
      </c>
      <c r="F1441" cm="1">
        <f t="array" ref="F1441">INDEX('Linha 06'!$C$3:$ZZ$3,C1441)</f>
        <v>20200075</v>
      </c>
      <c r="G1441" t="str" cm="1">
        <f t="array" ref="G1441">INDEX('Linha 06'!$C$2:$ZZ$2,C1441)</f>
        <v>Lava Roupas Aquafast Lavagem Rapida Fresh Clean Cx/9 X 1,5l</v>
      </c>
      <c r="H1441" s="5" cm="1">
        <f t="array" ref="H1441">INDEX('Linha 06'!$C$4:$ZZ$1000,B1441,C1441)</f>
        <v>0</v>
      </c>
    </row>
    <row r="1442" spans="1:8" x14ac:dyDescent="0.25">
      <c r="A1442">
        <v>1440</v>
      </c>
      <c r="B1442">
        <f t="shared" si="44"/>
        <v>38</v>
      </c>
      <c r="C1442">
        <f t="shared" si="45"/>
        <v>34</v>
      </c>
      <c r="D1442" cm="1">
        <f t="array" ref="D1442">INDEX('Linha 06'!$A$4:$A$1000,B1442)</f>
        <v>20220022</v>
      </c>
      <c r="E1442" t="str" cm="1">
        <f t="array" ref="E1442">INDEX('Linha 06'!$B$4:$B$1000,B1442)</f>
        <v>Intermed. Aromat. Cha Verde E Grapef Cx C/ 12un 250ml</v>
      </c>
      <c r="F1442" cm="1">
        <f t="array" ref="F1442">INDEX('Linha 06'!$C$3:$ZZ$3,C1442)</f>
        <v>20220018</v>
      </c>
      <c r="G1442" t="str" cm="1">
        <f t="array" ref="G1442">INDEX('Linha 06'!$C$2:$ZZ$2,C1442)</f>
        <v>Intermed. Aromat. Amoras E Baunilha Cx C/ 12un 250ml</v>
      </c>
      <c r="H1442" s="5" cm="1">
        <f t="array" ref="H1442">INDEX('Linha 06'!$C$4:$ZZ$1000,B1442,C1442)</f>
        <v>0</v>
      </c>
    </row>
    <row r="1443" spans="1:8" x14ac:dyDescent="0.25">
      <c r="A1443">
        <v>1441</v>
      </c>
      <c r="B1443">
        <f t="shared" si="44"/>
        <v>38</v>
      </c>
      <c r="C1443">
        <f t="shared" si="45"/>
        <v>35</v>
      </c>
      <c r="D1443" cm="1">
        <f t="array" ref="D1443">INDEX('Linha 06'!$A$4:$A$1000,B1443)</f>
        <v>20220022</v>
      </c>
      <c r="E1443" t="str" cm="1">
        <f t="array" ref="E1443">INDEX('Linha 06'!$B$4:$B$1000,B1443)</f>
        <v>Intermed. Aromat. Cha Verde E Grapef Cx C/ 12un 250ml</v>
      </c>
      <c r="F1443" cm="1">
        <f t="array" ref="F1443">INDEX('Linha 06'!$C$3:$ZZ$3,C1443)</f>
        <v>20220019</v>
      </c>
      <c r="G1443" t="str" cm="1">
        <f t="array" ref="G1443">INDEX('Linha 06'!$C$2:$ZZ$2,C1443)</f>
        <v>Intermed. Aromat. Figo E Cedro Cx C/ 12un 250ml</v>
      </c>
      <c r="H1443" s="5" cm="1">
        <f t="array" ref="H1443">INDEX('Linha 06'!$C$4:$ZZ$1000,B1443,C1443)</f>
        <v>0</v>
      </c>
    </row>
    <row r="1444" spans="1:8" x14ac:dyDescent="0.25">
      <c r="A1444">
        <v>1442</v>
      </c>
      <c r="B1444">
        <f t="shared" si="44"/>
        <v>38</v>
      </c>
      <c r="C1444">
        <f t="shared" si="45"/>
        <v>36</v>
      </c>
      <c r="D1444" cm="1">
        <f t="array" ref="D1444">INDEX('Linha 06'!$A$4:$A$1000,B1444)</f>
        <v>20220022</v>
      </c>
      <c r="E1444" t="str" cm="1">
        <f t="array" ref="E1444">INDEX('Linha 06'!$B$4:$B$1000,B1444)</f>
        <v>Intermed. Aromat. Cha Verde E Grapef Cx C/ 12un 250ml</v>
      </c>
      <c r="F1444" cm="1">
        <f t="array" ref="F1444">INDEX('Linha 06'!$C$3:$ZZ$3,C1444)</f>
        <v>20220020</v>
      </c>
      <c r="G1444" t="str" cm="1">
        <f t="array" ref="G1444">INDEX('Linha 06'!$C$2:$ZZ$2,C1444)</f>
        <v>Intermed. Aromat. Rosas E Magnolias Cx C/ 12un 250ml</v>
      </c>
      <c r="H1444" s="5" cm="1">
        <f t="array" ref="H1444">INDEX('Linha 06'!$C$4:$ZZ$1000,B1444,C1444)</f>
        <v>0</v>
      </c>
    </row>
    <row r="1445" spans="1:8" x14ac:dyDescent="0.25">
      <c r="A1445">
        <v>1443</v>
      </c>
      <c r="B1445">
        <f t="shared" si="44"/>
        <v>38</v>
      </c>
      <c r="C1445">
        <f t="shared" si="45"/>
        <v>37</v>
      </c>
      <c r="D1445" cm="1">
        <f t="array" ref="D1445">INDEX('Linha 06'!$A$4:$A$1000,B1445)</f>
        <v>20220022</v>
      </c>
      <c r="E1445" t="str" cm="1">
        <f t="array" ref="E1445">INDEX('Linha 06'!$B$4:$B$1000,B1445)</f>
        <v>Intermed. Aromat. Cha Verde E Grapef Cx C/ 12un 250ml</v>
      </c>
      <c r="F1445" cm="1">
        <f t="array" ref="F1445">INDEX('Linha 06'!$C$3:$ZZ$3,C1445)</f>
        <v>20220021</v>
      </c>
      <c r="G1445" t="str" cm="1">
        <f t="array" ref="G1445">INDEX('Linha 06'!$C$2:$ZZ$2,C1445)</f>
        <v>Intermed. Aromat. Flores Exoticas Cx C/ 12un 250ml</v>
      </c>
      <c r="H1445" s="5" cm="1">
        <f t="array" ref="H1445">INDEX('Linha 06'!$C$4:$ZZ$1000,B1445,C1445)</f>
        <v>0</v>
      </c>
    </row>
    <row r="1446" spans="1:8" x14ac:dyDescent="0.25">
      <c r="A1446">
        <v>1444</v>
      </c>
      <c r="B1446">
        <f t="shared" si="44"/>
        <v>38</v>
      </c>
      <c r="C1446">
        <f t="shared" si="45"/>
        <v>38</v>
      </c>
      <c r="D1446" cm="1">
        <f t="array" ref="D1446">INDEX('Linha 06'!$A$4:$A$1000,B1446)</f>
        <v>20220022</v>
      </c>
      <c r="E1446" t="str" cm="1">
        <f t="array" ref="E1446">INDEX('Linha 06'!$B$4:$B$1000,B1446)</f>
        <v>Intermed. Aromat. Cha Verde E Grapef Cx C/ 12un 250ml</v>
      </c>
      <c r="F1446" cm="1">
        <f t="array" ref="F1446">INDEX('Linha 06'!$C$3:$ZZ$3,C1446)</f>
        <v>20220022</v>
      </c>
      <c r="G1446" t="str" cm="1">
        <f t="array" ref="G1446">INDEX('Linha 06'!$C$2:$ZZ$2,C1446)</f>
        <v>Intermed. Aromat. Cha Verde E Grapef Cx C/ 12un 250ml</v>
      </c>
      <c r="H1446" s="5" cm="1">
        <f t="array" ref="H1446">INDEX('Linha 06'!$C$4:$ZZ$1000,B1446,C1446)</f>
        <v>0</v>
      </c>
    </row>
    <row r="1447" spans="1:8" x14ac:dyDescent="0.25">
      <c r="H1447" s="5"/>
    </row>
    <row r="1448" spans="1:8" x14ac:dyDescent="0.25">
      <c r="H1448" s="5"/>
    </row>
    <row r="1449" spans="1:8" x14ac:dyDescent="0.25">
      <c r="H1449" s="5"/>
    </row>
    <row r="1450" spans="1:8" x14ac:dyDescent="0.25">
      <c r="H1450" s="5"/>
    </row>
    <row r="1451" spans="1:8" x14ac:dyDescent="0.25">
      <c r="H1451" s="5"/>
    </row>
    <row r="1452" spans="1:8" x14ac:dyDescent="0.25">
      <c r="H1452" s="5"/>
    </row>
    <row r="1453" spans="1:8" x14ac:dyDescent="0.25">
      <c r="H1453" s="5"/>
    </row>
    <row r="1454" spans="1:8" x14ac:dyDescent="0.25">
      <c r="H1454" s="5"/>
    </row>
    <row r="1455" spans="1:8" x14ac:dyDescent="0.25">
      <c r="H1455" s="5"/>
    </row>
    <row r="1456" spans="1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  <row r="1684" spans="8:8" x14ac:dyDescent="0.25">
      <c r="H1684" s="5"/>
    </row>
    <row r="1685" spans="8:8" x14ac:dyDescent="0.25">
      <c r="H1685" s="5"/>
    </row>
    <row r="1686" spans="8:8" x14ac:dyDescent="0.25">
      <c r="H1686" s="5"/>
    </row>
    <row r="1687" spans="8:8" x14ac:dyDescent="0.25">
      <c r="H1687" s="5"/>
    </row>
    <row r="1688" spans="8:8" x14ac:dyDescent="0.25">
      <c r="H1688" s="5"/>
    </row>
    <row r="1689" spans="8:8" x14ac:dyDescent="0.25">
      <c r="H1689" s="5"/>
    </row>
    <row r="1690" spans="8:8" x14ac:dyDescent="0.25">
      <c r="H1690" s="5"/>
    </row>
    <row r="1691" spans="8:8" x14ac:dyDescent="0.25">
      <c r="H1691" s="5"/>
    </row>
    <row r="1692" spans="8:8" x14ac:dyDescent="0.25">
      <c r="H1692" s="5"/>
    </row>
    <row r="1693" spans="8:8" x14ac:dyDescent="0.25">
      <c r="H1693" s="5"/>
    </row>
    <row r="1694" spans="8:8" x14ac:dyDescent="0.25">
      <c r="H1694" s="5"/>
    </row>
    <row r="1695" spans="8:8" x14ac:dyDescent="0.25">
      <c r="H1695" s="5"/>
    </row>
    <row r="1696" spans="8:8" x14ac:dyDescent="0.25">
      <c r="H1696" s="5"/>
    </row>
    <row r="1697" spans="8:8" x14ac:dyDescent="0.25">
      <c r="H1697" s="5"/>
    </row>
    <row r="1698" spans="8:8" x14ac:dyDescent="0.25">
      <c r="H1698" s="5"/>
    </row>
    <row r="1699" spans="8:8" x14ac:dyDescent="0.25">
      <c r="H1699" s="5"/>
    </row>
    <row r="1700" spans="8:8" x14ac:dyDescent="0.25">
      <c r="H1700" s="5"/>
    </row>
    <row r="1701" spans="8:8" x14ac:dyDescent="0.25">
      <c r="H1701" s="5"/>
    </row>
    <row r="1702" spans="8:8" x14ac:dyDescent="0.25">
      <c r="H1702" s="5"/>
    </row>
    <row r="1703" spans="8:8" x14ac:dyDescent="0.25">
      <c r="H1703" s="5"/>
    </row>
    <row r="1704" spans="8:8" x14ac:dyDescent="0.25">
      <c r="H1704" s="5"/>
    </row>
    <row r="1705" spans="8:8" x14ac:dyDescent="0.25">
      <c r="H1705" s="5"/>
    </row>
    <row r="1706" spans="8:8" x14ac:dyDescent="0.25">
      <c r="H1706" s="5"/>
    </row>
    <row r="1707" spans="8:8" x14ac:dyDescent="0.25">
      <c r="H1707" s="5"/>
    </row>
    <row r="1708" spans="8:8" x14ac:dyDescent="0.25">
      <c r="H1708" s="5"/>
    </row>
    <row r="1709" spans="8:8" x14ac:dyDescent="0.25">
      <c r="H1709" s="5"/>
    </row>
    <row r="1710" spans="8:8" x14ac:dyDescent="0.25">
      <c r="H1710" s="5"/>
    </row>
    <row r="1711" spans="8:8" x14ac:dyDescent="0.25">
      <c r="H1711" s="5"/>
    </row>
    <row r="1712" spans="8:8" x14ac:dyDescent="0.25">
      <c r="H1712" s="5"/>
    </row>
    <row r="1713" spans="8:8" x14ac:dyDescent="0.25">
      <c r="H1713" s="5"/>
    </row>
    <row r="1714" spans="8:8" x14ac:dyDescent="0.25">
      <c r="H1714" s="5"/>
    </row>
    <row r="1715" spans="8:8" x14ac:dyDescent="0.25">
      <c r="H1715" s="5"/>
    </row>
    <row r="1716" spans="8:8" x14ac:dyDescent="0.25">
      <c r="H1716" s="5"/>
    </row>
    <row r="1717" spans="8:8" x14ac:dyDescent="0.25">
      <c r="H1717" s="5"/>
    </row>
    <row r="1718" spans="8:8" x14ac:dyDescent="0.25">
      <c r="H1718" s="5"/>
    </row>
    <row r="1719" spans="8:8" x14ac:dyDescent="0.25">
      <c r="H1719" s="5"/>
    </row>
    <row r="1720" spans="8:8" x14ac:dyDescent="0.25">
      <c r="H1720" s="5"/>
    </row>
    <row r="1721" spans="8:8" x14ac:dyDescent="0.25">
      <c r="H1721" s="5"/>
    </row>
    <row r="1722" spans="8:8" x14ac:dyDescent="0.25">
      <c r="H1722" s="5"/>
    </row>
    <row r="1723" spans="8:8" x14ac:dyDescent="0.25">
      <c r="H1723" s="5"/>
    </row>
    <row r="1724" spans="8:8" x14ac:dyDescent="0.25">
      <c r="H1724" s="5"/>
    </row>
    <row r="1725" spans="8:8" x14ac:dyDescent="0.25">
      <c r="H1725" s="5"/>
    </row>
    <row r="1726" spans="8:8" x14ac:dyDescent="0.25">
      <c r="H1726" s="5"/>
    </row>
    <row r="1727" spans="8:8" x14ac:dyDescent="0.25">
      <c r="H1727" s="5"/>
    </row>
    <row r="1728" spans="8:8" x14ac:dyDescent="0.25">
      <c r="H1728" s="5"/>
    </row>
    <row r="1729" spans="8:8" x14ac:dyDescent="0.25">
      <c r="H1729" s="5"/>
    </row>
    <row r="1730" spans="8:8" x14ac:dyDescent="0.25">
      <c r="H1730" s="5"/>
    </row>
    <row r="1731" spans="8:8" x14ac:dyDescent="0.25">
      <c r="H1731" s="5"/>
    </row>
    <row r="1732" spans="8:8" x14ac:dyDescent="0.25">
      <c r="H1732" s="5"/>
    </row>
    <row r="1733" spans="8:8" x14ac:dyDescent="0.25">
      <c r="H1733" s="5"/>
    </row>
    <row r="1734" spans="8:8" x14ac:dyDescent="0.25">
      <c r="H1734" s="5"/>
    </row>
    <row r="1735" spans="8:8" x14ac:dyDescent="0.25">
      <c r="H1735" s="5"/>
    </row>
    <row r="1736" spans="8:8" x14ac:dyDescent="0.25">
      <c r="H1736" s="5"/>
    </row>
    <row r="1737" spans="8:8" x14ac:dyDescent="0.25">
      <c r="H1737" s="5"/>
    </row>
    <row r="1738" spans="8:8" x14ac:dyDescent="0.25">
      <c r="H1738" s="5"/>
    </row>
    <row r="1739" spans="8:8" x14ac:dyDescent="0.25">
      <c r="H1739" s="5"/>
    </row>
    <row r="1740" spans="8:8" x14ac:dyDescent="0.25">
      <c r="H1740" s="5"/>
    </row>
    <row r="1741" spans="8:8" x14ac:dyDescent="0.25">
      <c r="H1741" s="5"/>
    </row>
    <row r="1742" spans="8:8" x14ac:dyDescent="0.25">
      <c r="H1742" s="5"/>
    </row>
    <row r="1743" spans="8:8" x14ac:dyDescent="0.25">
      <c r="H1743" s="5"/>
    </row>
    <row r="1744" spans="8:8" x14ac:dyDescent="0.25">
      <c r="H1744" s="5"/>
    </row>
    <row r="1745" spans="8:8" x14ac:dyDescent="0.25">
      <c r="H1745" s="5"/>
    </row>
    <row r="1746" spans="8:8" x14ac:dyDescent="0.25">
      <c r="H1746" s="5"/>
    </row>
    <row r="1747" spans="8:8" x14ac:dyDescent="0.25">
      <c r="H1747" s="5"/>
    </row>
    <row r="1748" spans="8:8" x14ac:dyDescent="0.25">
      <c r="H1748" s="5"/>
    </row>
    <row r="1749" spans="8:8" x14ac:dyDescent="0.25">
      <c r="H1749" s="5"/>
    </row>
    <row r="1750" spans="8:8" x14ac:dyDescent="0.25">
      <c r="H1750" s="5"/>
    </row>
    <row r="1751" spans="8:8" x14ac:dyDescent="0.25">
      <c r="H1751" s="5"/>
    </row>
    <row r="1752" spans="8:8" x14ac:dyDescent="0.25">
      <c r="H1752" s="5"/>
    </row>
    <row r="1753" spans="8:8" x14ac:dyDescent="0.25">
      <c r="H1753" s="5"/>
    </row>
    <row r="1754" spans="8:8" x14ac:dyDescent="0.25">
      <c r="H1754" s="5"/>
    </row>
    <row r="1755" spans="8:8" x14ac:dyDescent="0.25">
      <c r="H1755" s="5"/>
    </row>
    <row r="1756" spans="8:8" x14ac:dyDescent="0.25">
      <c r="H1756" s="5"/>
    </row>
    <row r="1757" spans="8:8" x14ac:dyDescent="0.25">
      <c r="H1757" s="5"/>
    </row>
    <row r="1758" spans="8:8" x14ac:dyDescent="0.25">
      <c r="H1758" s="5"/>
    </row>
    <row r="1759" spans="8:8" x14ac:dyDescent="0.25">
      <c r="H1759" s="5"/>
    </row>
    <row r="1760" spans="8:8" x14ac:dyDescent="0.25">
      <c r="H1760" s="5"/>
    </row>
    <row r="1761" spans="8:8" x14ac:dyDescent="0.25">
      <c r="H1761" s="5"/>
    </row>
    <row r="1762" spans="8:8" x14ac:dyDescent="0.25">
      <c r="H1762" s="5"/>
    </row>
    <row r="1763" spans="8:8" x14ac:dyDescent="0.25">
      <c r="H1763" s="5"/>
    </row>
    <row r="1764" spans="8:8" x14ac:dyDescent="0.25">
      <c r="H1764" s="5"/>
    </row>
    <row r="1765" spans="8:8" x14ac:dyDescent="0.25">
      <c r="H1765" s="5"/>
    </row>
    <row r="1766" spans="8:8" x14ac:dyDescent="0.25">
      <c r="H1766" s="5"/>
    </row>
    <row r="1767" spans="8:8" x14ac:dyDescent="0.25">
      <c r="H1767" s="5"/>
    </row>
    <row r="1768" spans="8:8" x14ac:dyDescent="0.25">
      <c r="H1768" s="5"/>
    </row>
    <row r="1769" spans="8:8" x14ac:dyDescent="0.25">
      <c r="H1769" s="5"/>
    </row>
    <row r="1770" spans="8:8" x14ac:dyDescent="0.25">
      <c r="H1770" s="5"/>
    </row>
    <row r="1771" spans="8:8" x14ac:dyDescent="0.25">
      <c r="H1771" s="5"/>
    </row>
    <row r="1772" spans="8:8" x14ac:dyDescent="0.25">
      <c r="H1772" s="5"/>
    </row>
    <row r="1773" spans="8:8" x14ac:dyDescent="0.25">
      <c r="H1773" s="5"/>
    </row>
    <row r="1774" spans="8:8" x14ac:dyDescent="0.25">
      <c r="H1774" s="5"/>
    </row>
    <row r="1775" spans="8:8" x14ac:dyDescent="0.25">
      <c r="H1775" s="5"/>
    </row>
    <row r="1776" spans="8:8" x14ac:dyDescent="0.25">
      <c r="H1776" s="5"/>
    </row>
    <row r="1777" spans="8:8" x14ac:dyDescent="0.25">
      <c r="H1777" s="5"/>
    </row>
    <row r="1778" spans="8:8" x14ac:dyDescent="0.25">
      <c r="H1778" s="5"/>
    </row>
    <row r="1779" spans="8:8" x14ac:dyDescent="0.25">
      <c r="H1779" s="5"/>
    </row>
    <row r="1780" spans="8:8" x14ac:dyDescent="0.25">
      <c r="H1780" s="5"/>
    </row>
    <row r="1781" spans="8:8" x14ac:dyDescent="0.25">
      <c r="H1781" s="5"/>
    </row>
    <row r="1782" spans="8:8" x14ac:dyDescent="0.25">
      <c r="H1782" s="5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F6D3-C057-429B-8157-271B9A5AEEF5}">
  <dimension ref="A1:V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23" sqref="V23"/>
    </sheetView>
  </sheetViews>
  <sheetFormatPr defaultRowHeight="15" x14ac:dyDescent="0.25"/>
  <cols>
    <col min="1" max="1" width="10.28515625" customWidth="1"/>
    <col min="2" max="2" width="57.5703125" bestFit="1" customWidth="1"/>
  </cols>
  <sheetData>
    <row r="1" spans="1:22" ht="48" x14ac:dyDescent="0.25">
      <c r="A1" t="s">
        <v>222</v>
      </c>
      <c r="B1" t="s">
        <v>223</v>
      </c>
      <c r="C1" s="25" t="s">
        <v>224</v>
      </c>
      <c r="D1" s="25" t="s">
        <v>225</v>
      </c>
      <c r="E1" s="25" t="s">
        <v>226</v>
      </c>
      <c r="F1" s="25" t="s">
        <v>227</v>
      </c>
      <c r="G1" s="25" t="s">
        <v>228</v>
      </c>
      <c r="H1" s="25" t="s">
        <v>229</v>
      </c>
      <c r="I1" s="25" t="s">
        <v>230</v>
      </c>
      <c r="J1" s="25" t="s">
        <v>231</v>
      </c>
      <c r="K1" s="25" t="s">
        <v>232</v>
      </c>
      <c r="L1" s="25" t="s">
        <v>233</v>
      </c>
      <c r="M1" s="25" t="s">
        <v>234</v>
      </c>
      <c r="N1" s="25" t="s">
        <v>235</v>
      </c>
      <c r="O1" s="25" t="s">
        <v>236</v>
      </c>
      <c r="P1" s="25" t="s">
        <v>237</v>
      </c>
      <c r="Q1" s="25" t="s">
        <v>238</v>
      </c>
      <c r="R1" s="25" t="s">
        <v>239</v>
      </c>
      <c r="S1" s="25" t="s">
        <v>240</v>
      </c>
      <c r="T1" s="25" t="s">
        <v>241</v>
      </c>
      <c r="U1" s="25" t="s">
        <v>242</v>
      </c>
      <c r="V1" s="25" t="s">
        <v>243</v>
      </c>
    </row>
    <row r="2" spans="1:22" ht="302.25" x14ac:dyDescent="0.25">
      <c r="C2" s="25" t="s">
        <v>104</v>
      </c>
      <c r="D2" s="25" t="s">
        <v>105</v>
      </c>
      <c r="E2" s="25" t="s">
        <v>106</v>
      </c>
      <c r="F2" s="25" t="s">
        <v>107</v>
      </c>
      <c r="G2" s="25" t="s">
        <v>108</v>
      </c>
      <c r="H2" s="25" t="s">
        <v>109</v>
      </c>
      <c r="I2" s="25" t="s">
        <v>110</v>
      </c>
      <c r="J2" s="25" t="s">
        <v>111</v>
      </c>
      <c r="K2" s="25" t="s">
        <v>164</v>
      </c>
      <c r="L2" s="25" t="s">
        <v>112</v>
      </c>
      <c r="M2" s="25" t="s">
        <v>113</v>
      </c>
      <c r="N2" s="25" t="s">
        <v>115</v>
      </c>
      <c r="O2" s="25" t="s">
        <v>117</v>
      </c>
      <c r="P2" s="25" t="s">
        <v>118</v>
      </c>
      <c r="Q2" s="25" t="s">
        <v>165</v>
      </c>
      <c r="R2" s="25" t="s">
        <v>166</v>
      </c>
      <c r="S2" s="25" t="s">
        <v>167</v>
      </c>
      <c r="T2" s="25" t="s">
        <v>168</v>
      </c>
      <c r="U2" s="25" t="s">
        <v>169</v>
      </c>
      <c r="V2" s="25" t="s">
        <v>170</v>
      </c>
    </row>
    <row r="3" spans="1:22" ht="47.25" x14ac:dyDescent="0.25">
      <c r="C3" s="26">
        <v>20150001</v>
      </c>
      <c r="D3" s="26">
        <v>20150005</v>
      </c>
      <c r="E3" s="26">
        <v>20150007</v>
      </c>
      <c r="F3" s="26">
        <v>20150008</v>
      </c>
      <c r="G3" s="26">
        <v>20150011</v>
      </c>
      <c r="H3" s="26">
        <v>20150013</v>
      </c>
      <c r="I3" s="26">
        <v>20150014</v>
      </c>
      <c r="J3" s="26">
        <v>20150021</v>
      </c>
      <c r="K3" s="26">
        <v>20150022</v>
      </c>
      <c r="L3" s="26">
        <v>20150023</v>
      </c>
      <c r="M3" s="26">
        <v>20150024</v>
      </c>
      <c r="N3" s="26">
        <v>20150035</v>
      </c>
      <c r="O3" s="26">
        <v>20150053</v>
      </c>
      <c r="P3" s="26">
        <v>20150055</v>
      </c>
      <c r="Q3" s="26">
        <v>20150057</v>
      </c>
      <c r="R3" s="26">
        <v>20150058</v>
      </c>
      <c r="S3" s="26">
        <v>20150059</v>
      </c>
      <c r="T3" s="26">
        <v>20150068</v>
      </c>
      <c r="U3" s="26">
        <v>20150069</v>
      </c>
      <c r="V3" s="26">
        <v>20150070</v>
      </c>
    </row>
    <row r="4" spans="1:22" x14ac:dyDescent="0.25">
      <c r="A4" s="2">
        <v>20150001</v>
      </c>
      <c r="B4" s="3" t="s">
        <v>104</v>
      </c>
      <c r="C4" s="5">
        <v>0</v>
      </c>
    </row>
    <row r="5" spans="1:22" x14ac:dyDescent="0.25">
      <c r="A5" s="2">
        <v>20150005</v>
      </c>
      <c r="B5" s="3" t="s">
        <v>105</v>
      </c>
      <c r="D5" s="5">
        <v>0</v>
      </c>
    </row>
    <row r="6" spans="1:22" x14ac:dyDescent="0.25">
      <c r="A6" s="2">
        <v>20150007</v>
      </c>
      <c r="B6" s="3" t="s">
        <v>106</v>
      </c>
      <c r="E6" s="5">
        <v>0</v>
      </c>
    </row>
    <row r="7" spans="1:22" x14ac:dyDescent="0.25">
      <c r="A7" s="2">
        <v>20150008</v>
      </c>
      <c r="B7" s="3" t="s">
        <v>107</v>
      </c>
      <c r="F7" s="5">
        <v>0</v>
      </c>
    </row>
    <row r="8" spans="1:22" x14ac:dyDescent="0.25">
      <c r="A8" s="2">
        <v>20150011</v>
      </c>
      <c r="B8" s="3" t="s">
        <v>108</v>
      </c>
      <c r="G8" s="5">
        <v>0</v>
      </c>
    </row>
    <row r="9" spans="1:22" x14ac:dyDescent="0.25">
      <c r="A9" s="2">
        <v>20150013</v>
      </c>
      <c r="B9" s="3" t="s">
        <v>109</v>
      </c>
      <c r="H9" s="5">
        <v>0</v>
      </c>
    </row>
    <row r="10" spans="1:22" x14ac:dyDescent="0.25">
      <c r="A10" s="2">
        <v>20150014</v>
      </c>
      <c r="B10" s="3" t="s">
        <v>110</v>
      </c>
      <c r="I10" s="5">
        <v>0</v>
      </c>
    </row>
    <row r="11" spans="1:22" x14ac:dyDescent="0.25">
      <c r="A11" s="2">
        <v>20150021</v>
      </c>
      <c r="B11" s="3" t="s">
        <v>111</v>
      </c>
      <c r="J11" s="5">
        <v>0</v>
      </c>
    </row>
    <row r="12" spans="1:22" x14ac:dyDescent="0.25">
      <c r="A12" s="2">
        <v>20150022</v>
      </c>
      <c r="B12" s="3" t="s">
        <v>164</v>
      </c>
      <c r="K12" s="5">
        <v>0</v>
      </c>
    </row>
    <row r="13" spans="1:22" x14ac:dyDescent="0.25">
      <c r="A13" s="2">
        <v>20150023</v>
      </c>
      <c r="B13" s="3" t="s">
        <v>112</v>
      </c>
      <c r="L13" s="5">
        <v>0</v>
      </c>
    </row>
    <row r="14" spans="1:22" x14ac:dyDescent="0.25">
      <c r="A14" s="2">
        <v>20150024</v>
      </c>
      <c r="B14" s="3" t="s">
        <v>113</v>
      </c>
      <c r="M14" s="5">
        <v>0</v>
      </c>
    </row>
    <row r="15" spans="1:22" x14ac:dyDescent="0.25">
      <c r="A15" s="2">
        <v>20150035</v>
      </c>
      <c r="B15" s="3" t="s">
        <v>115</v>
      </c>
      <c r="N15" s="5">
        <v>0</v>
      </c>
    </row>
    <row r="16" spans="1:22" x14ac:dyDescent="0.25">
      <c r="A16" s="2">
        <v>20150053</v>
      </c>
      <c r="B16" s="3" t="s">
        <v>117</v>
      </c>
      <c r="O16" s="5">
        <v>0</v>
      </c>
    </row>
    <row r="17" spans="1:22" x14ac:dyDescent="0.25">
      <c r="A17" s="2">
        <v>20150055</v>
      </c>
      <c r="B17" s="3" t="s">
        <v>118</v>
      </c>
      <c r="P17" s="5">
        <v>0</v>
      </c>
    </row>
    <row r="18" spans="1:22" x14ac:dyDescent="0.25">
      <c r="A18" s="2">
        <v>20150057</v>
      </c>
      <c r="B18" s="3" t="s">
        <v>165</v>
      </c>
      <c r="Q18" s="5">
        <v>0</v>
      </c>
    </row>
    <row r="19" spans="1:22" x14ac:dyDescent="0.25">
      <c r="A19" s="2">
        <v>20150058</v>
      </c>
      <c r="B19" s="3" t="s">
        <v>166</v>
      </c>
      <c r="R19" s="5">
        <v>0</v>
      </c>
    </row>
    <row r="20" spans="1:22" x14ac:dyDescent="0.25">
      <c r="A20" s="2">
        <v>20150059</v>
      </c>
      <c r="B20" s="3" t="s">
        <v>167</v>
      </c>
      <c r="S20" s="5">
        <v>0</v>
      </c>
    </row>
    <row r="21" spans="1:22" x14ac:dyDescent="0.25">
      <c r="A21" s="2">
        <v>20150068</v>
      </c>
      <c r="B21" s="3" t="s">
        <v>168</v>
      </c>
      <c r="T21" s="5">
        <v>0</v>
      </c>
    </row>
    <row r="22" spans="1:22" x14ac:dyDescent="0.25">
      <c r="A22" s="2">
        <v>20150069</v>
      </c>
      <c r="B22" s="3" t="s">
        <v>169</v>
      </c>
      <c r="U22" s="5">
        <v>0</v>
      </c>
    </row>
    <row r="23" spans="1:22" x14ac:dyDescent="0.25">
      <c r="A23" s="2">
        <v>20150070</v>
      </c>
      <c r="B23" s="3" t="s">
        <v>170</v>
      </c>
      <c r="V23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3202-C81D-4F78-80F0-180DE6FBF581}">
  <dimension ref="A1:H1782"/>
  <sheetViews>
    <sheetView workbookViewId="0">
      <selection activeCell="D3" sqref="D3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07'!B:B)-1</f>
        <v>20</v>
      </c>
      <c r="B1">
        <f>COUNTA('Linha 07'!2:2)</f>
        <v>20</v>
      </c>
      <c r="C1">
        <f>A1*B1</f>
        <v>400</v>
      </c>
    </row>
    <row r="3" spans="1:8" x14ac:dyDescent="0.25">
      <c r="A3" cm="1">
        <f t="array" ref="A3:A402">_xlfn.SEQUENCE($C$1)</f>
        <v>1</v>
      </c>
      <c r="B3">
        <f>INT((A3-1)/$B$1)+1</f>
        <v>1</v>
      </c>
      <c r="C3">
        <f>MOD(A3-1,$B$1)+1</f>
        <v>1</v>
      </c>
      <c r="D3" cm="1">
        <f t="array" ref="D3">INDEX('Linha 07'!$A$4:$A$1000,B3)</f>
        <v>20150001</v>
      </c>
      <c r="E3" t="str" cm="1">
        <f t="array" ref="E3">INDEX('Linha 07'!$B$4:$B$1000,B3)</f>
        <v>Amac. Conc. Aquafast Azul Harmonia Cx/12 X 500ml</v>
      </c>
      <c r="F3" cm="1">
        <f t="array" ref="F3">INDEX('Linha 07'!$C$3:$ZZ$3,C3)</f>
        <v>20150001</v>
      </c>
      <c r="G3" t="str" cm="1">
        <f t="array" ref="G3">INDEX('Linha 07'!$C$2:$ZZ$2,C3)</f>
        <v>Amac. Conc. Aquafast Azul Harmonia Cx/12 X 500ml</v>
      </c>
      <c r="H3" s="5" cm="1">
        <f t="array" ref="H3">INDEX('Linha 07'!$C$4:$ZZ$1000,B3,C3)</f>
        <v>0</v>
      </c>
    </row>
    <row r="4" spans="1:8" x14ac:dyDescent="0.25">
      <c r="A4">
        <v>2</v>
      </c>
      <c r="B4">
        <f t="shared" ref="B4:B67" si="0">INT((A4-1)/$B$1)+1</f>
        <v>1</v>
      </c>
      <c r="C4">
        <f t="shared" ref="C4:C67" si="1">MOD(A4-1,$B$1)+1</f>
        <v>2</v>
      </c>
      <c r="D4" cm="1">
        <f t="array" ref="D4">INDEX('Linha 07'!$A$4:$A$1000,B4)</f>
        <v>20150001</v>
      </c>
      <c r="E4" t="str" cm="1">
        <f t="array" ref="E4">INDEX('Linha 07'!$B$4:$B$1000,B4)</f>
        <v>Amac. Conc. Aquafast Azul Harmonia Cx/12 X 500ml</v>
      </c>
      <c r="F4" cm="1">
        <f t="array" ref="F4">INDEX('Linha 07'!$C$3:$ZZ$3,C4)</f>
        <v>20150005</v>
      </c>
      <c r="G4" t="str" cm="1">
        <f t="array" ref="G4">INDEX('Linha 07'!$C$2:$ZZ$2,C4)</f>
        <v>Amac. Conc. Aquafast Vermelho Seducao Cx/12 X 500ml</v>
      </c>
      <c r="H4" s="5" cm="1">
        <f t="array" ref="H4">INDEX('Linha 07'!$C$4:$ZZ$1000,B4,C4)</f>
        <v>0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07'!$A$4:$A$1000,B5)</f>
        <v>20150001</v>
      </c>
      <c r="E5" t="str" cm="1">
        <f t="array" ref="E5">INDEX('Linha 07'!$B$4:$B$1000,B5)</f>
        <v>Amac. Conc. Aquafast Azul Harmonia Cx/12 X 500ml</v>
      </c>
      <c r="F5" cm="1">
        <f t="array" ref="F5">INDEX('Linha 07'!$C$3:$ZZ$3,C5)</f>
        <v>20150007</v>
      </c>
      <c r="G5" t="str" cm="1">
        <f t="array" ref="G5">INDEX('Linha 07'!$C$2:$ZZ$2,C5)</f>
        <v>Amac. Conc. Aquafast Azul Harmonia Cx/ 12 X 1l</v>
      </c>
      <c r="H5" s="5" cm="1">
        <f t="array" ref="H5">INDEX('Linha 07'!$C$4:$ZZ$1000,B5,C5)</f>
        <v>0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07'!$A$4:$A$1000,B6)</f>
        <v>20150001</v>
      </c>
      <c r="E6" t="str" cm="1">
        <f t="array" ref="E6">INDEX('Linha 07'!$B$4:$B$1000,B6)</f>
        <v>Amac. Conc. Aquafast Azul Harmonia Cx/12 X 500ml</v>
      </c>
      <c r="F6" cm="1">
        <f t="array" ref="F6">INDEX('Linha 07'!$C$3:$ZZ$3,C6)</f>
        <v>20150008</v>
      </c>
      <c r="G6" t="str" cm="1">
        <f t="array" ref="G6">INDEX('Linha 07'!$C$2:$ZZ$2,C6)</f>
        <v>Amac. Conc. Aquafast Rosa Romance Cx/ 12 X 1l</v>
      </c>
      <c r="H6" s="5" cm="1">
        <f t="array" ref="H6">INDEX('Linha 07'!$C$4:$ZZ$1000,B6,C6)</f>
        <v>0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07'!$A$4:$A$1000,B7)</f>
        <v>20150001</v>
      </c>
      <c r="E7" t="str" cm="1">
        <f t="array" ref="E7">INDEX('Linha 07'!$B$4:$B$1000,B7)</f>
        <v>Amac. Conc. Aquafast Azul Harmonia Cx/12 X 500ml</v>
      </c>
      <c r="F7" cm="1">
        <f t="array" ref="F7">INDEX('Linha 07'!$C$3:$ZZ$3,C7)</f>
        <v>20150011</v>
      </c>
      <c r="G7" t="str" cm="1">
        <f t="array" ref="G7">INDEX('Linha 07'!$C$2:$ZZ$2,C7)</f>
        <v>Amac. Conc. Aquafast Vermelho Seducao Cx/ 12 X 1l</v>
      </c>
      <c r="H7" s="5" cm="1">
        <f t="array" ref="H7">INDEX('Linha 07'!$C$4:$ZZ$1000,B7,C7)</f>
        <v>0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07'!$A$4:$A$1000,B8)</f>
        <v>20150001</v>
      </c>
      <c r="E8" t="str" cm="1">
        <f t="array" ref="E8">INDEX('Linha 07'!$B$4:$B$1000,B8)</f>
        <v>Amac. Conc. Aquafast Azul Harmonia Cx/12 X 500ml</v>
      </c>
      <c r="F8" cm="1">
        <f t="array" ref="F8">INDEX('Linha 07'!$C$3:$ZZ$3,C8)</f>
        <v>20150013</v>
      </c>
      <c r="G8" t="str" cm="1">
        <f t="array" ref="G8">INDEX('Linha 07'!$C$2:$ZZ$2,C8)</f>
        <v>Amac. Conc. Aquafast Branco Ternura Cx/12 X 500ml</v>
      </c>
      <c r="H8" s="5" cm="1">
        <f t="array" ref="H8">INDEX('Linha 07'!$C$4:$ZZ$1000,B8,C8)</f>
        <v>0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07'!$A$4:$A$1000,B9)</f>
        <v>20150001</v>
      </c>
      <c r="E9" t="str" cm="1">
        <f t="array" ref="E9">INDEX('Linha 07'!$B$4:$B$1000,B9)</f>
        <v>Amac. Conc. Aquafast Azul Harmonia Cx/12 X 500ml</v>
      </c>
      <c r="F9" cm="1">
        <f t="array" ref="F9">INDEX('Linha 07'!$C$3:$ZZ$3,C9)</f>
        <v>20150014</v>
      </c>
      <c r="G9" t="str" cm="1">
        <f t="array" ref="G9">INDEX('Linha 07'!$C$2:$ZZ$2,C9)</f>
        <v>Amac. Conc. Aquafast Branco Ternura Cx/ 12 X 1l</v>
      </c>
      <c r="H9" s="5" cm="1">
        <f t="array" ref="H9">INDEX('Linha 07'!$C$4:$ZZ$1000,B9,C9)</f>
        <v>0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07'!$A$4:$A$1000,B10)</f>
        <v>20150001</v>
      </c>
      <c r="E10" t="str" cm="1">
        <f t="array" ref="E10">INDEX('Linha 07'!$B$4:$B$1000,B10)</f>
        <v>Amac. Conc. Aquafast Azul Harmonia Cx/12 X 500ml</v>
      </c>
      <c r="F10" cm="1">
        <f t="array" ref="F10">INDEX('Linha 07'!$C$3:$ZZ$3,C10)</f>
        <v>20150021</v>
      </c>
      <c r="G10" t="str" cm="1">
        <f t="array" ref="G10">INDEX('Linha 07'!$C$2:$ZZ$2,C10)</f>
        <v>Amac. Conc. Aquafast Azul Harmonia Cx/ 09 X 1,5l</v>
      </c>
      <c r="H10" s="5" cm="1">
        <f t="array" ref="H10">INDEX('Linha 07'!$C$4:$ZZ$1000,B10,C10)</f>
        <v>0</v>
      </c>
    </row>
    <row r="11" spans="1:8" x14ac:dyDescent="0.25">
      <c r="A11">
        <v>9</v>
      </c>
      <c r="B11">
        <f t="shared" si="0"/>
        <v>1</v>
      </c>
      <c r="C11">
        <f t="shared" si="1"/>
        <v>9</v>
      </c>
      <c r="D11" cm="1">
        <f t="array" ref="D11">INDEX('Linha 07'!$A$4:$A$1000,B11)</f>
        <v>20150001</v>
      </c>
      <c r="E11" t="str" cm="1">
        <f t="array" ref="E11">INDEX('Linha 07'!$B$4:$B$1000,B11)</f>
        <v>Amac. Conc. Aquafast Azul Harmonia Cx/12 X 500ml</v>
      </c>
      <c r="F11" cm="1">
        <f t="array" ref="F11">INDEX('Linha 07'!$C$3:$ZZ$3,C11)</f>
        <v>20150022</v>
      </c>
      <c r="G11" t="str" cm="1">
        <f t="array" ref="G11">INDEX('Linha 07'!$C$2:$ZZ$2,C11)</f>
        <v>Amac. Conc. Aquafast Rosa Romance Cx C/ 09 X 1,5l</v>
      </c>
      <c r="H11" s="5" cm="1">
        <f t="array" ref="H11">INDEX('Linha 07'!$C$4:$ZZ$1000,B11,C11)</f>
        <v>0</v>
      </c>
    </row>
    <row r="12" spans="1:8" x14ac:dyDescent="0.25">
      <c r="A12">
        <v>10</v>
      </c>
      <c r="B12">
        <f t="shared" si="0"/>
        <v>1</v>
      </c>
      <c r="C12">
        <f t="shared" si="1"/>
        <v>10</v>
      </c>
      <c r="D12" cm="1">
        <f t="array" ref="D12">INDEX('Linha 07'!$A$4:$A$1000,B12)</f>
        <v>20150001</v>
      </c>
      <c r="E12" t="str" cm="1">
        <f t="array" ref="E12">INDEX('Linha 07'!$B$4:$B$1000,B12)</f>
        <v>Amac. Conc. Aquafast Azul Harmonia Cx/12 X 500ml</v>
      </c>
      <c r="F12" cm="1">
        <f t="array" ref="F12">INDEX('Linha 07'!$C$3:$ZZ$3,C12)</f>
        <v>20150023</v>
      </c>
      <c r="G12" t="str" cm="1">
        <f t="array" ref="G12">INDEX('Linha 07'!$C$2:$ZZ$2,C12)</f>
        <v>Amac. Conc. Aquafast Branco Ternura Cx C/ 09 X 1,5l</v>
      </c>
      <c r="H12" s="5" cm="1">
        <f t="array" ref="H12">INDEX('Linha 07'!$C$4:$ZZ$1000,B12,C12)</f>
        <v>0</v>
      </c>
    </row>
    <row r="13" spans="1:8" x14ac:dyDescent="0.25">
      <c r="A13">
        <v>11</v>
      </c>
      <c r="B13">
        <f t="shared" si="0"/>
        <v>1</v>
      </c>
      <c r="C13">
        <f t="shared" si="1"/>
        <v>11</v>
      </c>
      <c r="D13" cm="1">
        <f t="array" ref="D13">INDEX('Linha 07'!$A$4:$A$1000,B13)</f>
        <v>20150001</v>
      </c>
      <c r="E13" t="str" cm="1">
        <f t="array" ref="E13">INDEX('Linha 07'!$B$4:$B$1000,B13)</f>
        <v>Amac. Conc. Aquafast Azul Harmonia Cx/12 X 500ml</v>
      </c>
      <c r="F13" cm="1">
        <f t="array" ref="F13">INDEX('Linha 07'!$C$3:$ZZ$3,C13)</f>
        <v>20150024</v>
      </c>
      <c r="G13" t="str" cm="1">
        <f t="array" ref="G13">INDEX('Linha 07'!$C$2:$ZZ$2,C13)</f>
        <v>Amac. Conc. Aquafast Vermelho Seduc Cx C/ 09 X 1,5l</v>
      </c>
      <c r="H13" s="5" cm="1">
        <f t="array" ref="H13">INDEX('Linha 07'!$C$4:$ZZ$1000,B13,C13)</f>
        <v>0</v>
      </c>
    </row>
    <row r="14" spans="1:8" x14ac:dyDescent="0.25">
      <c r="A14">
        <v>12</v>
      </c>
      <c r="B14">
        <f t="shared" si="0"/>
        <v>1</v>
      </c>
      <c r="C14">
        <f t="shared" si="1"/>
        <v>12</v>
      </c>
      <c r="D14" cm="1">
        <f t="array" ref="D14">INDEX('Linha 07'!$A$4:$A$1000,B14)</f>
        <v>20150001</v>
      </c>
      <c r="E14" t="str" cm="1">
        <f t="array" ref="E14">INDEX('Linha 07'!$B$4:$B$1000,B14)</f>
        <v>Amac. Conc. Aquafast Azul Harmonia Cx/12 X 500ml</v>
      </c>
      <c r="F14" cm="1">
        <f t="array" ref="F14">INDEX('Linha 07'!$C$3:$ZZ$3,C14)</f>
        <v>20150035</v>
      </c>
      <c r="G14" t="str" cm="1">
        <f t="array" ref="G14">INDEX('Linha 07'!$C$2:$ZZ$2,C14)</f>
        <v>Amac. Conc. Aquafast Lilas Misterio Cx/ 12 X 1l</v>
      </c>
      <c r="H14" s="5" cm="1">
        <f t="array" ref="H14">INDEX('Linha 07'!$C$4:$ZZ$1000,B14,C14)</f>
        <v>0</v>
      </c>
    </row>
    <row r="15" spans="1:8" x14ac:dyDescent="0.25">
      <c r="A15">
        <v>13</v>
      </c>
      <c r="B15">
        <f t="shared" si="0"/>
        <v>1</v>
      </c>
      <c r="C15">
        <f t="shared" si="1"/>
        <v>13</v>
      </c>
      <c r="D15" cm="1">
        <f t="array" ref="D15">INDEX('Linha 07'!$A$4:$A$1000,B15)</f>
        <v>20150001</v>
      </c>
      <c r="E15" t="str" cm="1">
        <f t="array" ref="E15">INDEX('Linha 07'!$B$4:$B$1000,B15)</f>
        <v>Amac. Conc. Aquafast Azul Harmonia Cx/12 X 500ml</v>
      </c>
      <c r="F15" cm="1">
        <f t="array" ref="F15">INDEX('Linha 07'!$C$3:$ZZ$3,C15)</f>
        <v>20150053</v>
      </c>
      <c r="G15" t="str" cm="1">
        <f t="array" ref="G15">INDEX('Linha 07'!$C$2:$ZZ$2,C15)</f>
        <v>Amac. Conc. Aquafast Lilas Misterio Cx C/ 09 X 1,5l</v>
      </c>
      <c r="H15" s="5" cm="1">
        <f t="array" ref="H15">INDEX('Linha 07'!$C$4:$ZZ$1000,B15,C15)</f>
        <v>0</v>
      </c>
    </row>
    <row r="16" spans="1:8" x14ac:dyDescent="0.25">
      <c r="A16">
        <v>14</v>
      </c>
      <c r="B16">
        <f t="shared" si="0"/>
        <v>1</v>
      </c>
      <c r="C16">
        <f t="shared" si="1"/>
        <v>14</v>
      </c>
      <c r="D16" cm="1">
        <f t="array" ref="D16">INDEX('Linha 07'!$A$4:$A$1000,B16)</f>
        <v>20150001</v>
      </c>
      <c r="E16" t="str" cm="1">
        <f t="array" ref="E16">INDEX('Linha 07'!$B$4:$B$1000,B16)</f>
        <v>Amac. Conc. Aquafast Azul Harmonia Cx/12 X 500ml</v>
      </c>
      <c r="F16" cm="1">
        <f t="array" ref="F16">INDEX('Linha 07'!$C$3:$ZZ$3,C16)</f>
        <v>20150055</v>
      </c>
      <c r="G16" t="str" cm="1">
        <f t="array" ref="G16">INDEX('Linha 07'!$C$2:$ZZ$2,C16)</f>
        <v>Intermed Pack Amac Conc Aquafast Branco Ternura Cx/12 X 1l</v>
      </c>
      <c r="H16" s="5" cm="1">
        <f t="array" ref="H16">INDEX('Linha 07'!$C$4:$ZZ$1000,B16,C16)</f>
        <v>0</v>
      </c>
    </row>
    <row r="17" spans="1:8" x14ac:dyDescent="0.25">
      <c r="A17">
        <v>15</v>
      </c>
      <c r="B17">
        <f t="shared" si="0"/>
        <v>1</v>
      </c>
      <c r="C17">
        <f t="shared" si="1"/>
        <v>15</v>
      </c>
      <c r="D17" cm="1">
        <f t="array" ref="D17">INDEX('Linha 07'!$A$4:$A$1000,B17)</f>
        <v>20150001</v>
      </c>
      <c r="E17" t="str" cm="1">
        <f t="array" ref="E17">INDEX('Linha 07'!$B$4:$B$1000,B17)</f>
        <v>Amac. Conc. Aquafast Azul Harmonia Cx/12 X 500ml</v>
      </c>
      <c r="F17" cm="1">
        <f t="array" ref="F17">INDEX('Linha 07'!$C$3:$ZZ$3,C17)</f>
        <v>20150057</v>
      </c>
      <c r="G17" t="str" cm="1">
        <f t="array" ref="G17">INDEX('Linha 07'!$C$2:$ZZ$2,C17)</f>
        <v>Intermed Pack Amac Conc Aquafast Azul Harmonia Cx/12 X 1l</v>
      </c>
      <c r="H17" s="5" cm="1">
        <f t="array" ref="H17">INDEX('Linha 07'!$C$4:$ZZ$1000,B17,C17)</f>
        <v>0</v>
      </c>
    </row>
    <row r="18" spans="1:8" x14ac:dyDescent="0.25">
      <c r="A18">
        <v>16</v>
      </c>
      <c r="B18">
        <f t="shared" si="0"/>
        <v>1</v>
      </c>
      <c r="C18">
        <f t="shared" si="1"/>
        <v>16</v>
      </c>
      <c r="D18" cm="1">
        <f t="array" ref="D18">INDEX('Linha 07'!$A$4:$A$1000,B18)</f>
        <v>20150001</v>
      </c>
      <c r="E18" t="str" cm="1">
        <f t="array" ref="E18">INDEX('Linha 07'!$B$4:$B$1000,B18)</f>
        <v>Amac. Conc. Aquafast Azul Harmonia Cx/12 X 500ml</v>
      </c>
      <c r="F18" cm="1">
        <f t="array" ref="F18">INDEX('Linha 07'!$C$3:$ZZ$3,C18)</f>
        <v>20150058</v>
      </c>
      <c r="G18" t="str" cm="1">
        <f t="array" ref="G18">INDEX('Linha 07'!$C$2:$ZZ$2,C18)</f>
        <v>Amac. Conc. Aquafast Br. Ternura Cx C/ 09 X 1,5l Promocional</v>
      </c>
      <c r="H18" s="5" cm="1">
        <f t="array" ref="H18">INDEX('Linha 07'!$C$4:$ZZ$1000,B18,C18)</f>
        <v>0</v>
      </c>
    </row>
    <row r="19" spans="1:8" x14ac:dyDescent="0.25">
      <c r="A19">
        <v>17</v>
      </c>
      <c r="B19">
        <f t="shared" si="0"/>
        <v>1</v>
      </c>
      <c r="C19">
        <f t="shared" si="1"/>
        <v>17</v>
      </c>
      <c r="D19" cm="1">
        <f t="array" ref="D19">INDEX('Linha 07'!$A$4:$A$1000,B19)</f>
        <v>20150001</v>
      </c>
      <c r="E19" t="str" cm="1">
        <f t="array" ref="E19">INDEX('Linha 07'!$B$4:$B$1000,B19)</f>
        <v>Amac. Conc. Aquafast Azul Harmonia Cx/12 X 500ml</v>
      </c>
      <c r="F19" cm="1">
        <f t="array" ref="F19">INDEX('Linha 07'!$C$3:$ZZ$3,C19)</f>
        <v>20150059</v>
      </c>
      <c r="G19" t="str" cm="1">
        <f t="array" ref="G19">INDEX('Linha 07'!$C$2:$ZZ$2,C19)</f>
        <v>Amac. Conc. Aquafast Az. Harmonia Cxc/ 09 X 1,5l Promocional</v>
      </c>
      <c r="H19" s="5" cm="1">
        <f t="array" ref="H19">INDEX('Linha 07'!$C$4:$ZZ$1000,B19,C19)</f>
        <v>0</v>
      </c>
    </row>
    <row r="20" spans="1:8" x14ac:dyDescent="0.25">
      <c r="A20">
        <v>18</v>
      </c>
      <c r="B20">
        <f t="shared" si="0"/>
        <v>1</v>
      </c>
      <c r="C20">
        <f t="shared" si="1"/>
        <v>18</v>
      </c>
      <c r="D20" cm="1">
        <f t="array" ref="D20">INDEX('Linha 07'!$A$4:$A$1000,B20)</f>
        <v>20150001</v>
      </c>
      <c r="E20" t="str" cm="1">
        <f t="array" ref="E20">INDEX('Linha 07'!$B$4:$B$1000,B20)</f>
        <v>Amac. Conc. Aquafast Azul Harmonia Cx/12 X 500ml</v>
      </c>
      <c r="F20" cm="1">
        <f t="array" ref="F20">INDEX('Linha 07'!$C$3:$ZZ$3,C20)</f>
        <v>20150068</v>
      </c>
      <c r="G20" t="str" cm="1">
        <f t="array" ref="G20">INDEX('Linha 07'!$C$2:$ZZ$2,C20)</f>
        <v>Amac. Conc. Aquafast Lilas Misterio Cx C/ 09 X 1,5l Promo</v>
      </c>
      <c r="H20" s="5" cm="1">
        <f t="array" ref="H20">INDEX('Linha 07'!$C$4:$ZZ$1000,B20,C20)</f>
        <v>0</v>
      </c>
    </row>
    <row r="21" spans="1:8" x14ac:dyDescent="0.25">
      <c r="A21">
        <v>19</v>
      </c>
      <c r="B21">
        <f t="shared" si="0"/>
        <v>1</v>
      </c>
      <c r="C21">
        <f t="shared" si="1"/>
        <v>19</v>
      </c>
      <c r="D21" cm="1">
        <f t="array" ref="D21">INDEX('Linha 07'!$A$4:$A$1000,B21)</f>
        <v>20150001</v>
      </c>
      <c r="E21" t="str" cm="1">
        <f t="array" ref="E21">INDEX('Linha 07'!$B$4:$B$1000,B21)</f>
        <v>Amac. Conc. Aquafast Azul Harmonia Cx/12 X 500ml</v>
      </c>
      <c r="F21" cm="1">
        <f t="array" ref="F21">INDEX('Linha 07'!$C$3:$ZZ$3,C21)</f>
        <v>20150069</v>
      </c>
      <c r="G21" t="str" cm="1">
        <f t="array" ref="G21">INDEX('Linha 07'!$C$2:$ZZ$2,C21)</f>
        <v>Amac. Conc. Aquafast Vermelho Seducao Cx C/ 09 X 1,5l Promo</v>
      </c>
      <c r="H21" s="5" cm="1">
        <f t="array" ref="H21">INDEX('Linha 07'!$C$4:$ZZ$1000,B21,C21)</f>
        <v>0</v>
      </c>
    </row>
    <row r="22" spans="1:8" x14ac:dyDescent="0.25">
      <c r="A22">
        <v>20</v>
      </c>
      <c r="B22">
        <f t="shared" si="0"/>
        <v>1</v>
      </c>
      <c r="C22">
        <f t="shared" si="1"/>
        <v>20</v>
      </c>
      <c r="D22" cm="1">
        <f t="array" ref="D22">INDEX('Linha 07'!$A$4:$A$1000,B22)</f>
        <v>20150001</v>
      </c>
      <c r="E22" t="str" cm="1">
        <f t="array" ref="E22">INDEX('Linha 07'!$B$4:$B$1000,B22)</f>
        <v>Amac. Conc. Aquafast Azul Harmonia Cx/12 X 500ml</v>
      </c>
      <c r="F22" cm="1">
        <f t="array" ref="F22">INDEX('Linha 07'!$C$3:$ZZ$3,C22)</f>
        <v>20150070</v>
      </c>
      <c r="G22" t="str" cm="1">
        <f t="array" ref="G22">INDEX('Linha 07'!$C$2:$ZZ$2,C22)</f>
        <v>Amac. Conc. Aquafast Rosa Romance Cx C/ 09 X 1,5l Promo</v>
      </c>
      <c r="H22" s="5" cm="1">
        <f t="array" ref="H22">INDEX('Linha 07'!$C$4:$ZZ$1000,B22,C22)</f>
        <v>0</v>
      </c>
    </row>
    <row r="23" spans="1:8" x14ac:dyDescent="0.25">
      <c r="A23">
        <v>21</v>
      </c>
      <c r="B23">
        <f t="shared" si="0"/>
        <v>2</v>
      </c>
      <c r="C23">
        <f t="shared" si="1"/>
        <v>1</v>
      </c>
      <c r="D23" cm="1">
        <f t="array" ref="D23">INDEX('Linha 07'!$A$4:$A$1000,B23)</f>
        <v>20150005</v>
      </c>
      <c r="E23" t="str" cm="1">
        <f t="array" ref="E23">INDEX('Linha 07'!$B$4:$B$1000,B23)</f>
        <v>Amac. Conc. Aquafast Vermelho Seducao Cx/12 X 500ml</v>
      </c>
      <c r="F23" cm="1">
        <f t="array" ref="F23">INDEX('Linha 07'!$C$3:$ZZ$3,C23)</f>
        <v>20150001</v>
      </c>
      <c r="G23" t="str" cm="1">
        <f t="array" ref="G23">INDEX('Linha 07'!$C$2:$ZZ$2,C23)</f>
        <v>Amac. Conc. Aquafast Azul Harmonia Cx/12 X 500ml</v>
      </c>
      <c r="H23" s="5" cm="1">
        <f t="array" ref="H23">INDEX('Linha 07'!$C$4:$ZZ$1000,B23,C23)</f>
        <v>0</v>
      </c>
    </row>
    <row r="24" spans="1:8" x14ac:dyDescent="0.25">
      <c r="A24">
        <v>22</v>
      </c>
      <c r="B24">
        <f t="shared" si="0"/>
        <v>2</v>
      </c>
      <c r="C24">
        <f t="shared" si="1"/>
        <v>2</v>
      </c>
      <c r="D24" cm="1">
        <f t="array" ref="D24">INDEX('Linha 07'!$A$4:$A$1000,B24)</f>
        <v>20150005</v>
      </c>
      <c r="E24" t="str" cm="1">
        <f t="array" ref="E24">INDEX('Linha 07'!$B$4:$B$1000,B24)</f>
        <v>Amac. Conc. Aquafast Vermelho Seducao Cx/12 X 500ml</v>
      </c>
      <c r="F24" cm="1">
        <f t="array" ref="F24">INDEX('Linha 07'!$C$3:$ZZ$3,C24)</f>
        <v>20150005</v>
      </c>
      <c r="G24" t="str" cm="1">
        <f t="array" ref="G24">INDEX('Linha 07'!$C$2:$ZZ$2,C24)</f>
        <v>Amac. Conc. Aquafast Vermelho Seducao Cx/12 X 500ml</v>
      </c>
      <c r="H24" s="5" cm="1">
        <f t="array" ref="H24">INDEX('Linha 07'!$C$4:$ZZ$1000,B24,C24)</f>
        <v>0</v>
      </c>
    </row>
    <row r="25" spans="1:8" x14ac:dyDescent="0.25">
      <c r="A25">
        <v>23</v>
      </c>
      <c r="B25">
        <f t="shared" si="0"/>
        <v>2</v>
      </c>
      <c r="C25">
        <f t="shared" si="1"/>
        <v>3</v>
      </c>
      <c r="D25" cm="1">
        <f t="array" ref="D25">INDEX('Linha 07'!$A$4:$A$1000,B25)</f>
        <v>20150005</v>
      </c>
      <c r="E25" t="str" cm="1">
        <f t="array" ref="E25">INDEX('Linha 07'!$B$4:$B$1000,B25)</f>
        <v>Amac. Conc. Aquafast Vermelho Seducao Cx/12 X 500ml</v>
      </c>
      <c r="F25" cm="1">
        <f t="array" ref="F25">INDEX('Linha 07'!$C$3:$ZZ$3,C25)</f>
        <v>20150007</v>
      </c>
      <c r="G25" t="str" cm="1">
        <f t="array" ref="G25">INDEX('Linha 07'!$C$2:$ZZ$2,C25)</f>
        <v>Amac. Conc. Aquafast Azul Harmonia Cx/ 12 X 1l</v>
      </c>
      <c r="H25" s="5" cm="1">
        <f t="array" ref="H25">INDEX('Linha 07'!$C$4:$ZZ$1000,B25,C25)</f>
        <v>0</v>
      </c>
    </row>
    <row r="26" spans="1:8" x14ac:dyDescent="0.25">
      <c r="A26">
        <v>24</v>
      </c>
      <c r="B26">
        <f t="shared" si="0"/>
        <v>2</v>
      </c>
      <c r="C26">
        <f t="shared" si="1"/>
        <v>4</v>
      </c>
      <c r="D26" cm="1">
        <f t="array" ref="D26">INDEX('Linha 07'!$A$4:$A$1000,B26)</f>
        <v>20150005</v>
      </c>
      <c r="E26" t="str" cm="1">
        <f t="array" ref="E26">INDEX('Linha 07'!$B$4:$B$1000,B26)</f>
        <v>Amac. Conc. Aquafast Vermelho Seducao Cx/12 X 500ml</v>
      </c>
      <c r="F26" cm="1">
        <f t="array" ref="F26">INDEX('Linha 07'!$C$3:$ZZ$3,C26)</f>
        <v>20150008</v>
      </c>
      <c r="G26" t="str" cm="1">
        <f t="array" ref="G26">INDEX('Linha 07'!$C$2:$ZZ$2,C26)</f>
        <v>Amac. Conc. Aquafast Rosa Romance Cx/ 12 X 1l</v>
      </c>
      <c r="H26" s="5" cm="1">
        <f t="array" ref="H26">INDEX('Linha 07'!$C$4:$ZZ$1000,B26,C26)</f>
        <v>0</v>
      </c>
    </row>
    <row r="27" spans="1:8" x14ac:dyDescent="0.25">
      <c r="A27">
        <v>25</v>
      </c>
      <c r="B27">
        <f t="shared" si="0"/>
        <v>2</v>
      </c>
      <c r="C27">
        <f t="shared" si="1"/>
        <v>5</v>
      </c>
      <c r="D27" cm="1">
        <f t="array" ref="D27">INDEX('Linha 07'!$A$4:$A$1000,B27)</f>
        <v>20150005</v>
      </c>
      <c r="E27" t="str" cm="1">
        <f t="array" ref="E27">INDEX('Linha 07'!$B$4:$B$1000,B27)</f>
        <v>Amac. Conc. Aquafast Vermelho Seducao Cx/12 X 500ml</v>
      </c>
      <c r="F27" cm="1">
        <f t="array" ref="F27">INDEX('Linha 07'!$C$3:$ZZ$3,C27)</f>
        <v>20150011</v>
      </c>
      <c r="G27" t="str" cm="1">
        <f t="array" ref="G27">INDEX('Linha 07'!$C$2:$ZZ$2,C27)</f>
        <v>Amac. Conc. Aquafast Vermelho Seducao Cx/ 12 X 1l</v>
      </c>
      <c r="H27" s="5" cm="1">
        <f t="array" ref="H27">INDEX('Linha 07'!$C$4:$ZZ$1000,B27,C27)</f>
        <v>0</v>
      </c>
    </row>
    <row r="28" spans="1:8" x14ac:dyDescent="0.25">
      <c r="A28">
        <v>26</v>
      </c>
      <c r="B28">
        <f t="shared" si="0"/>
        <v>2</v>
      </c>
      <c r="C28">
        <f t="shared" si="1"/>
        <v>6</v>
      </c>
      <c r="D28" cm="1">
        <f t="array" ref="D28">INDEX('Linha 07'!$A$4:$A$1000,B28)</f>
        <v>20150005</v>
      </c>
      <c r="E28" t="str" cm="1">
        <f t="array" ref="E28">INDEX('Linha 07'!$B$4:$B$1000,B28)</f>
        <v>Amac. Conc. Aquafast Vermelho Seducao Cx/12 X 500ml</v>
      </c>
      <c r="F28" cm="1">
        <f t="array" ref="F28">INDEX('Linha 07'!$C$3:$ZZ$3,C28)</f>
        <v>20150013</v>
      </c>
      <c r="G28" t="str" cm="1">
        <f t="array" ref="G28">INDEX('Linha 07'!$C$2:$ZZ$2,C28)</f>
        <v>Amac. Conc. Aquafast Branco Ternura Cx/12 X 500ml</v>
      </c>
      <c r="H28" s="5" cm="1">
        <f t="array" ref="H28">INDEX('Linha 07'!$C$4:$ZZ$1000,B28,C28)</f>
        <v>0</v>
      </c>
    </row>
    <row r="29" spans="1:8" x14ac:dyDescent="0.25">
      <c r="A29">
        <v>27</v>
      </c>
      <c r="B29">
        <f t="shared" si="0"/>
        <v>2</v>
      </c>
      <c r="C29">
        <f t="shared" si="1"/>
        <v>7</v>
      </c>
      <c r="D29" cm="1">
        <f t="array" ref="D29">INDEX('Linha 07'!$A$4:$A$1000,B29)</f>
        <v>20150005</v>
      </c>
      <c r="E29" t="str" cm="1">
        <f t="array" ref="E29">INDEX('Linha 07'!$B$4:$B$1000,B29)</f>
        <v>Amac. Conc. Aquafast Vermelho Seducao Cx/12 X 500ml</v>
      </c>
      <c r="F29" cm="1">
        <f t="array" ref="F29">INDEX('Linha 07'!$C$3:$ZZ$3,C29)</f>
        <v>20150014</v>
      </c>
      <c r="G29" t="str" cm="1">
        <f t="array" ref="G29">INDEX('Linha 07'!$C$2:$ZZ$2,C29)</f>
        <v>Amac. Conc. Aquafast Branco Ternura Cx/ 12 X 1l</v>
      </c>
      <c r="H29" s="5" cm="1">
        <f t="array" ref="H29">INDEX('Linha 07'!$C$4:$ZZ$1000,B29,C29)</f>
        <v>0</v>
      </c>
    </row>
    <row r="30" spans="1:8" x14ac:dyDescent="0.25">
      <c r="A30">
        <v>28</v>
      </c>
      <c r="B30">
        <f t="shared" si="0"/>
        <v>2</v>
      </c>
      <c r="C30">
        <f t="shared" si="1"/>
        <v>8</v>
      </c>
      <c r="D30" cm="1">
        <f t="array" ref="D30">INDEX('Linha 07'!$A$4:$A$1000,B30)</f>
        <v>20150005</v>
      </c>
      <c r="E30" t="str" cm="1">
        <f t="array" ref="E30">INDEX('Linha 07'!$B$4:$B$1000,B30)</f>
        <v>Amac. Conc. Aquafast Vermelho Seducao Cx/12 X 500ml</v>
      </c>
      <c r="F30" cm="1">
        <f t="array" ref="F30">INDEX('Linha 07'!$C$3:$ZZ$3,C30)</f>
        <v>20150021</v>
      </c>
      <c r="G30" t="str" cm="1">
        <f t="array" ref="G30">INDEX('Linha 07'!$C$2:$ZZ$2,C30)</f>
        <v>Amac. Conc. Aquafast Azul Harmonia Cx/ 09 X 1,5l</v>
      </c>
      <c r="H30" s="5" cm="1">
        <f t="array" ref="H30">INDEX('Linha 07'!$C$4:$ZZ$1000,B30,C30)</f>
        <v>0</v>
      </c>
    </row>
    <row r="31" spans="1:8" x14ac:dyDescent="0.25">
      <c r="A31">
        <v>29</v>
      </c>
      <c r="B31">
        <f t="shared" si="0"/>
        <v>2</v>
      </c>
      <c r="C31">
        <f t="shared" si="1"/>
        <v>9</v>
      </c>
      <c r="D31" cm="1">
        <f t="array" ref="D31">INDEX('Linha 07'!$A$4:$A$1000,B31)</f>
        <v>20150005</v>
      </c>
      <c r="E31" t="str" cm="1">
        <f t="array" ref="E31">INDEX('Linha 07'!$B$4:$B$1000,B31)</f>
        <v>Amac. Conc. Aquafast Vermelho Seducao Cx/12 X 500ml</v>
      </c>
      <c r="F31" cm="1">
        <f t="array" ref="F31">INDEX('Linha 07'!$C$3:$ZZ$3,C31)</f>
        <v>20150022</v>
      </c>
      <c r="G31" t="str" cm="1">
        <f t="array" ref="G31">INDEX('Linha 07'!$C$2:$ZZ$2,C31)</f>
        <v>Amac. Conc. Aquafast Rosa Romance Cx C/ 09 X 1,5l</v>
      </c>
      <c r="H31" s="5" cm="1">
        <f t="array" ref="H31">INDEX('Linha 07'!$C$4:$ZZ$1000,B31,C31)</f>
        <v>0</v>
      </c>
    </row>
    <row r="32" spans="1:8" x14ac:dyDescent="0.25">
      <c r="A32">
        <v>30</v>
      </c>
      <c r="B32">
        <f t="shared" si="0"/>
        <v>2</v>
      </c>
      <c r="C32">
        <f t="shared" si="1"/>
        <v>10</v>
      </c>
      <c r="D32" cm="1">
        <f t="array" ref="D32">INDEX('Linha 07'!$A$4:$A$1000,B32)</f>
        <v>20150005</v>
      </c>
      <c r="E32" t="str" cm="1">
        <f t="array" ref="E32">INDEX('Linha 07'!$B$4:$B$1000,B32)</f>
        <v>Amac. Conc. Aquafast Vermelho Seducao Cx/12 X 500ml</v>
      </c>
      <c r="F32" cm="1">
        <f t="array" ref="F32">INDEX('Linha 07'!$C$3:$ZZ$3,C32)</f>
        <v>20150023</v>
      </c>
      <c r="G32" t="str" cm="1">
        <f t="array" ref="G32">INDEX('Linha 07'!$C$2:$ZZ$2,C32)</f>
        <v>Amac. Conc. Aquafast Branco Ternura Cx C/ 09 X 1,5l</v>
      </c>
      <c r="H32" s="5" cm="1">
        <f t="array" ref="H32">INDEX('Linha 07'!$C$4:$ZZ$1000,B32,C32)</f>
        <v>0</v>
      </c>
    </row>
    <row r="33" spans="1:8" x14ac:dyDescent="0.25">
      <c r="A33">
        <v>31</v>
      </c>
      <c r="B33">
        <f t="shared" si="0"/>
        <v>2</v>
      </c>
      <c r="C33">
        <f t="shared" si="1"/>
        <v>11</v>
      </c>
      <c r="D33" cm="1">
        <f t="array" ref="D33">INDEX('Linha 07'!$A$4:$A$1000,B33)</f>
        <v>20150005</v>
      </c>
      <c r="E33" t="str" cm="1">
        <f t="array" ref="E33">INDEX('Linha 07'!$B$4:$B$1000,B33)</f>
        <v>Amac. Conc. Aquafast Vermelho Seducao Cx/12 X 500ml</v>
      </c>
      <c r="F33" cm="1">
        <f t="array" ref="F33">INDEX('Linha 07'!$C$3:$ZZ$3,C33)</f>
        <v>20150024</v>
      </c>
      <c r="G33" t="str" cm="1">
        <f t="array" ref="G33">INDEX('Linha 07'!$C$2:$ZZ$2,C33)</f>
        <v>Amac. Conc. Aquafast Vermelho Seduc Cx C/ 09 X 1,5l</v>
      </c>
      <c r="H33" s="5" cm="1">
        <f t="array" ref="H33">INDEX('Linha 07'!$C$4:$ZZ$1000,B33,C33)</f>
        <v>0</v>
      </c>
    </row>
    <row r="34" spans="1:8" x14ac:dyDescent="0.25">
      <c r="A34">
        <v>32</v>
      </c>
      <c r="B34">
        <f t="shared" si="0"/>
        <v>2</v>
      </c>
      <c r="C34">
        <f t="shared" si="1"/>
        <v>12</v>
      </c>
      <c r="D34" cm="1">
        <f t="array" ref="D34">INDEX('Linha 07'!$A$4:$A$1000,B34)</f>
        <v>20150005</v>
      </c>
      <c r="E34" t="str" cm="1">
        <f t="array" ref="E34">INDEX('Linha 07'!$B$4:$B$1000,B34)</f>
        <v>Amac. Conc. Aquafast Vermelho Seducao Cx/12 X 500ml</v>
      </c>
      <c r="F34" cm="1">
        <f t="array" ref="F34">INDEX('Linha 07'!$C$3:$ZZ$3,C34)</f>
        <v>20150035</v>
      </c>
      <c r="G34" t="str" cm="1">
        <f t="array" ref="G34">INDEX('Linha 07'!$C$2:$ZZ$2,C34)</f>
        <v>Amac. Conc. Aquafast Lilas Misterio Cx/ 12 X 1l</v>
      </c>
      <c r="H34" s="5" cm="1">
        <f t="array" ref="H34">INDEX('Linha 07'!$C$4:$ZZ$1000,B34,C34)</f>
        <v>0</v>
      </c>
    </row>
    <row r="35" spans="1:8" x14ac:dyDescent="0.25">
      <c r="A35">
        <v>33</v>
      </c>
      <c r="B35">
        <f t="shared" si="0"/>
        <v>2</v>
      </c>
      <c r="C35">
        <f t="shared" si="1"/>
        <v>13</v>
      </c>
      <c r="D35" cm="1">
        <f t="array" ref="D35">INDEX('Linha 07'!$A$4:$A$1000,B35)</f>
        <v>20150005</v>
      </c>
      <c r="E35" t="str" cm="1">
        <f t="array" ref="E35">INDEX('Linha 07'!$B$4:$B$1000,B35)</f>
        <v>Amac. Conc. Aquafast Vermelho Seducao Cx/12 X 500ml</v>
      </c>
      <c r="F35" cm="1">
        <f t="array" ref="F35">INDEX('Linha 07'!$C$3:$ZZ$3,C35)</f>
        <v>20150053</v>
      </c>
      <c r="G35" t="str" cm="1">
        <f t="array" ref="G35">INDEX('Linha 07'!$C$2:$ZZ$2,C35)</f>
        <v>Amac. Conc. Aquafast Lilas Misterio Cx C/ 09 X 1,5l</v>
      </c>
      <c r="H35" s="5" cm="1">
        <f t="array" ref="H35">INDEX('Linha 07'!$C$4:$ZZ$1000,B35,C35)</f>
        <v>0</v>
      </c>
    </row>
    <row r="36" spans="1:8" x14ac:dyDescent="0.25">
      <c r="A36">
        <v>34</v>
      </c>
      <c r="B36">
        <f t="shared" si="0"/>
        <v>2</v>
      </c>
      <c r="C36">
        <f t="shared" si="1"/>
        <v>14</v>
      </c>
      <c r="D36" cm="1">
        <f t="array" ref="D36">INDEX('Linha 07'!$A$4:$A$1000,B36)</f>
        <v>20150005</v>
      </c>
      <c r="E36" t="str" cm="1">
        <f t="array" ref="E36">INDEX('Linha 07'!$B$4:$B$1000,B36)</f>
        <v>Amac. Conc. Aquafast Vermelho Seducao Cx/12 X 500ml</v>
      </c>
      <c r="F36" cm="1">
        <f t="array" ref="F36">INDEX('Linha 07'!$C$3:$ZZ$3,C36)</f>
        <v>20150055</v>
      </c>
      <c r="G36" t="str" cm="1">
        <f t="array" ref="G36">INDEX('Linha 07'!$C$2:$ZZ$2,C36)</f>
        <v>Intermed Pack Amac Conc Aquafast Branco Ternura Cx/12 X 1l</v>
      </c>
      <c r="H36" s="5" cm="1">
        <f t="array" ref="H36">INDEX('Linha 07'!$C$4:$ZZ$1000,B36,C36)</f>
        <v>0</v>
      </c>
    </row>
    <row r="37" spans="1:8" x14ac:dyDescent="0.25">
      <c r="A37">
        <v>35</v>
      </c>
      <c r="B37">
        <f t="shared" si="0"/>
        <v>2</v>
      </c>
      <c r="C37">
        <f t="shared" si="1"/>
        <v>15</v>
      </c>
      <c r="D37" cm="1">
        <f t="array" ref="D37">INDEX('Linha 07'!$A$4:$A$1000,B37)</f>
        <v>20150005</v>
      </c>
      <c r="E37" t="str" cm="1">
        <f t="array" ref="E37">INDEX('Linha 07'!$B$4:$B$1000,B37)</f>
        <v>Amac. Conc. Aquafast Vermelho Seducao Cx/12 X 500ml</v>
      </c>
      <c r="F37" cm="1">
        <f t="array" ref="F37">INDEX('Linha 07'!$C$3:$ZZ$3,C37)</f>
        <v>20150057</v>
      </c>
      <c r="G37" t="str" cm="1">
        <f t="array" ref="G37">INDEX('Linha 07'!$C$2:$ZZ$2,C37)</f>
        <v>Intermed Pack Amac Conc Aquafast Azul Harmonia Cx/12 X 1l</v>
      </c>
      <c r="H37" s="5" cm="1">
        <f t="array" ref="H37">INDEX('Linha 07'!$C$4:$ZZ$1000,B37,C37)</f>
        <v>0</v>
      </c>
    </row>
    <row r="38" spans="1:8" x14ac:dyDescent="0.25">
      <c r="A38">
        <v>36</v>
      </c>
      <c r="B38">
        <f t="shared" si="0"/>
        <v>2</v>
      </c>
      <c r="C38">
        <f t="shared" si="1"/>
        <v>16</v>
      </c>
      <c r="D38" cm="1">
        <f t="array" ref="D38">INDEX('Linha 07'!$A$4:$A$1000,B38)</f>
        <v>20150005</v>
      </c>
      <c r="E38" t="str" cm="1">
        <f t="array" ref="E38">INDEX('Linha 07'!$B$4:$B$1000,B38)</f>
        <v>Amac. Conc. Aquafast Vermelho Seducao Cx/12 X 500ml</v>
      </c>
      <c r="F38" cm="1">
        <f t="array" ref="F38">INDEX('Linha 07'!$C$3:$ZZ$3,C38)</f>
        <v>20150058</v>
      </c>
      <c r="G38" t="str" cm="1">
        <f t="array" ref="G38">INDEX('Linha 07'!$C$2:$ZZ$2,C38)</f>
        <v>Amac. Conc. Aquafast Br. Ternura Cx C/ 09 X 1,5l Promocional</v>
      </c>
      <c r="H38" s="5" cm="1">
        <f t="array" ref="H38">INDEX('Linha 07'!$C$4:$ZZ$1000,B38,C38)</f>
        <v>0</v>
      </c>
    </row>
    <row r="39" spans="1:8" x14ac:dyDescent="0.25">
      <c r="A39">
        <v>37</v>
      </c>
      <c r="B39">
        <f t="shared" si="0"/>
        <v>2</v>
      </c>
      <c r="C39">
        <f t="shared" si="1"/>
        <v>17</v>
      </c>
      <c r="D39" cm="1">
        <f t="array" ref="D39">INDEX('Linha 07'!$A$4:$A$1000,B39)</f>
        <v>20150005</v>
      </c>
      <c r="E39" t="str" cm="1">
        <f t="array" ref="E39">INDEX('Linha 07'!$B$4:$B$1000,B39)</f>
        <v>Amac. Conc. Aquafast Vermelho Seducao Cx/12 X 500ml</v>
      </c>
      <c r="F39" cm="1">
        <f t="array" ref="F39">INDEX('Linha 07'!$C$3:$ZZ$3,C39)</f>
        <v>20150059</v>
      </c>
      <c r="G39" t="str" cm="1">
        <f t="array" ref="G39">INDEX('Linha 07'!$C$2:$ZZ$2,C39)</f>
        <v>Amac. Conc. Aquafast Az. Harmonia Cxc/ 09 X 1,5l Promocional</v>
      </c>
      <c r="H39" s="5" cm="1">
        <f t="array" ref="H39">INDEX('Linha 07'!$C$4:$ZZ$1000,B39,C39)</f>
        <v>0</v>
      </c>
    </row>
    <row r="40" spans="1:8" x14ac:dyDescent="0.25">
      <c r="A40">
        <v>38</v>
      </c>
      <c r="B40">
        <f t="shared" si="0"/>
        <v>2</v>
      </c>
      <c r="C40">
        <f t="shared" si="1"/>
        <v>18</v>
      </c>
      <c r="D40" cm="1">
        <f t="array" ref="D40">INDEX('Linha 07'!$A$4:$A$1000,B40)</f>
        <v>20150005</v>
      </c>
      <c r="E40" t="str" cm="1">
        <f t="array" ref="E40">INDEX('Linha 07'!$B$4:$B$1000,B40)</f>
        <v>Amac. Conc. Aquafast Vermelho Seducao Cx/12 X 500ml</v>
      </c>
      <c r="F40" cm="1">
        <f t="array" ref="F40">INDEX('Linha 07'!$C$3:$ZZ$3,C40)</f>
        <v>20150068</v>
      </c>
      <c r="G40" t="str" cm="1">
        <f t="array" ref="G40">INDEX('Linha 07'!$C$2:$ZZ$2,C40)</f>
        <v>Amac. Conc. Aquafast Lilas Misterio Cx C/ 09 X 1,5l Promo</v>
      </c>
      <c r="H40" s="5" cm="1">
        <f t="array" ref="H40">INDEX('Linha 07'!$C$4:$ZZ$1000,B40,C40)</f>
        <v>0</v>
      </c>
    </row>
    <row r="41" spans="1:8" x14ac:dyDescent="0.25">
      <c r="A41">
        <v>39</v>
      </c>
      <c r="B41">
        <f t="shared" si="0"/>
        <v>2</v>
      </c>
      <c r="C41">
        <f t="shared" si="1"/>
        <v>19</v>
      </c>
      <c r="D41" cm="1">
        <f t="array" ref="D41">INDEX('Linha 07'!$A$4:$A$1000,B41)</f>
        <v>20150005</v>
      </c>
      <c r="E41" t="str" cm="1">
        <f t="array" ref="E41">INDEX('Linha 07'!$B$4:$B$1000,B41)</f>
        <v>Amac. Conc. Aquafast Vermelho Seducao Cx/12 X 500ml</v>
      </c>
      <c r="F41" cm="1">
        <f t="array" ref="F41">INDEX('Linha 07'!$C$3:$ZZ$3,C41)</f>
        <v>20150069</v>
      </c>
      <c r="G41" t="str" cm="1">
        <f t="array" ref="G41">INDEX('Linha 07'!$C$2:$ZZ$2,C41)</f>
        <v>Amac. Conc. Aquafast Vermelho Seducao Cx C/ 09 X 1,5l Promo</v>
      </c>
      <c r="H41" s="5" cm="1">
        <f t="array" ref="H41">INDEX('Linha 07'!$C$4:$ZZ$1000,B41,C41)</f>
        <v>0</v>
      </c>
    </row>
    <row r="42" spans="1:8" x14ac:dyDescent="0.25">
      <c r="A42">
        <v>40</v>
      </c>
      <c r="B42">
        <f t="shared" si="0"/>
        <v>2</v>
      </c>
      <c r="C42">
        <f t="shared" si="1"/>
        <v>20</v>
      </c>
      <c r="D42" cm="1">
        <f t="array" ref="D42">INDEX('Linha 07'!$A$4:$A$1000,B42)</f>
        <v>20150005</v>
      </c>
      <c r="E42" t="str" cm="1">
        <f t="array" ref="E42">INDEX('Linha 07'!$B$4:$B$1000,B42)</f>
        <v>Amac. Conc. Aquafast Vermelho Seducao Cx/12 X 500ml</v>
      </c>
      <c r="F42" cm="1">
        <f t="array" ref="F42">INDEX('Linha 07'!$C$3:$ZZ$3,C42)</f>
        <v>20150070</v>
      </c>
      <c r="G42" t="str" cm="1">
        <f t="array" ref="G42">INDEX('Linha 07'!$C$2:$ZZ$2,C42)</f>
        <v>Amac. Conc. Aquafast Rosa Romance Cx C/ 09 X 1,5l Promo</v>
      </c>
      <c r="H42" s="5" cm="1">
        <f t="array" ref="H42">INDEX('Linha 07'!$C$4:$ZZ$1000,B42,C42)</f>
        <v>0</v>
      </c>
    </row>
    <row r="43" spans="1:8" x14ac:dyDescent="0.25">
      <c r="A43">
        <v>41</v>
      </c>
      <c r="B43">
        <f t="shared" si="0"/>
        <v>3</v>
      </c>
      <c r="C43">
        <f t="shared" si="1"/>
        <v>1</v>
      </c>
      <c r="D43" cm="1">
        <f t="array" ref="D43">INDEX('Linha 07'!$A$4:$A$1000,B43)</f>
        <v>20150007</v>
      </c>
      <c r="E43" t="str" cm="1">
        <f t="array" ref="E43">INDEX('Linha 07'!$B$4:$B$1000,B43)</f>
        <v>Amac. Conc. Aquafast Azul Harmonia Cx/ 12 X 1l</v>
      </c>
      <c r="F43" cm="1">
        <f t="array" ref="F43">INDEX('Linha 07'!$C$3:$ZZ$3,C43)</f>
        <v>20150001</v>
      </c>
      <c r="G43" t="str" cm="1">
        <f t="array" ref="G43">INDEX('Linha 07'!$C$2:$ZZ$2,C43)</f>
        <v>Amac. Conc. Aquafast Azul Harmonia Cx/12 X 500ml</v>
      </c>
      <c r="H43" s="5" cm="1">
        <f t="array" ref="H43">INDEX('Linha 07'!$C$4:$ZZ$1000,B43,C43)</f>
        <v>0</v>
      </c>
    </row>
    <row r="44" spans="1:8" x14ac:dyDescent="0.25">
      <c r="A44">
        <v>42</v>
      </c>
      <c r="B44">
        <f t="shared" si="0"/>
        <v>3</v>
      </c>
      <c r="C44">
        <f t="shared" si="1"/>
        <v>2</v>
      </c>
      <c r="D44" cm="1">
        <f t="array" ref="D44">INDEX('Linha 07'!$A$4:$A$1000,B44)</f>
        <v>20150007</v>
      </c>
      <c r="E44" t="str" cm="1">
        <f t="array" ref="E44">INDEX('Linha 07'!$B$4:$B$1000,B44)</f>
        <v>Amac. Conc. Aquafast Azul Harmonia Cx/ 12 X 1l</v>
      </c>
      <c r="F44" cm="1">
        <f t="array" ref="F44">INDEX('Linha 07'!$C$3:$ZZ$3,C44)</f>
        <v>20150005</v>
      </c>
      <c r="G44" t="str" cm="1">
        <f t="array" ref="G44">INDEX('Linha 07'!$C$2:$ZZ$2,C44)</f>
        <v>Amac. Conc. Aquafast Vermelho Seducao Cx/12 X 500ml</v>
      </c>
      <c r="H44" s="5" cm="1">
        <f t="array" ref="H44">INDEX('Linha 07'!$C$4:$ZZ$1000,B44,C44)</f>
        <v>0</v>
      </c>
    </row>
    <row r="45" spans="1:8" x14ac:dyDescent="0.25">
      <c r="A45">
        <v>43</v>
      </c>
      <c r="B45">
        <f t="shared" si="0"/>
        <v>3</v>
      </c>
      <c r="C45">
        <f t="shared" si="1"/>
        <v>3</v>
      </c>
      <c r="D45" cm="1">
        <f t="array" ref="D45">INDEX('Linha 07'!$A$4:$A$1000,B45)</f>
        <v>20150007</v>
      </c>
      <c r="E45" t="str" cm="1">
        <f t="array" ref="E45">INDEX('Linha 07'!$B$4:$B$1000,B45)</f>
        <v>Amac. Conc. Aquafast Azul Harmonia Cx/ 12 X 1l</v>
      </c>
      <c r="F45" cm="1">
        <f t="array" ref="F45">INDEX('Linha 07'!$C$3:$ZZ$3,C45)</f>
        <v>20150007</v>
      </c>
      <c r="G45" t="str" cm="1">
        <f t="array" ref="G45">INDEX('Linha 07'!$C$2:$ZZ$2,C45)</f>
        <v>Amac. Conc. Aquafast Azul Harmonia Cx/ 12 X 1l</v>
      </c>
      <c r="H45" s="5" cm="1">
        <f t="array" ref="H45">INDEX('Linha 07'!$C$4:$ZZ$1000,B45,C45)</f>
        <v>0</v>
      </c>
    </row>
    <row r="46" spans="1:8" x14ac:dyDescent="0.25">
      <c r="A46">
        <v>44</v>
      </c>
      <c r="B46">
        <f t="shared" si="0"/>
        <v>3</v>
      </c>
      <c r="C46">
        <f t="shared" si="1"/>
        <v>4</v>
      </c>
      <c r="D46" cm="1">
        <f t="array" ref="D46">INDEX('Linha 07'!$A$4:$A$1000,B46)</f>
        <v>20150007</v>
      </c>
      <c r="E46" t="str" cm="1">
        <f t="array" ref="E46">INDEX('Linha 07'!$B$4:$B$1000,B46)</f>
        <v>Amac. Conc. Aquafast Azul Harmonia Cx/ 12 X 1l</v>
      </c>
      <c r="F46" cm="1">
        <f t="array" ref="F46">INDEX('Linha 07'!$C$3:$ZZ$3,C46)</f>
        <v>20150008</v>
      </c>
      <c r="G46" t="str" cm="1">
        <f t="array" ref="G46">INDEX('Linha 07'!$C$2:$ZZ$2,C46)</f>
        <v>Amac. Conc. Aquafast Rosa Romance Cx/ 12 X 1l</v>
      </c>
      <c r="H46" s="5" cm="1">
        <f t="array" ref="H46">INDEX('Linha 07'!$C$4:$ZZ$1000,B46,C46)</f>
        <v>0</v>
      </c>
    </row>
    <row r="47" spans="1:8" x14ac:dyDescent="0.25">
      <c r="A47">
        <v>45</v>
      </c>
      <c r="B47">
        <f t="shared" si="0"/>
        <v>3</v>
      </c>
      <c r="C47">
        <f t="shared" si="1"/>
        <v>5</v>
      </c>
      <c r="D47" cm="1">
        <f t="array" ref="D47">INDEX('Linha 07'!$A$4:$A$1000,B47)</f>
        <v>20150007</v>
      </c>
      <c r="E47" t="str" cm="1">
        <f t="array" ref="E47">INDEX('Linha 07'!$B$4:$B$1000,B47)</f>
        <v>Amac. Conc. Aquafast Azul Harmonia Cx/ 12 X 1l</v>
      </c>
      <c r="F47" cm="1">
        <f t="array" ref="F47">INDEX('Linha 07'!$C$3:$ZZ$3,C47)</f>
        <v>20150011</v>
      </c>
      <c r="G47" t="str" cm="1">
        <f t="array" ref="G47">INDEX('Linha 07'!$C$2:$ZZ$2,C47)</f>
        <v>Amac. Conc. Aquafast Vermelho Seducao Cx/ 12 X 1l</v>
      </c>
      <c r="H47" s="5" cm="1">
        <f t="array" ref="H47">INDEX('Linha 07'!$C$4:$ZZ$1000,B47,C47)</f>
        <v>0</v>
      </c>
    </row>
    <row r="48" spans="1:8" x14ac:dyDescent="0.25">
      <c r="A48">
        <v>46</v>
      </c>
      <c r="B48">
        <f t="shared" si="0"/>
        <v>3</v>
      </c>
      <c r="C48">
        <f t="shared" si="1"/>
        <v>6</v>
      </c>
      <c r="D48" cm="1">
        <f t="array" ref="D48">INDEX('Linha 07'!$A$4:$A$1000,B48)</f>
        <v>20150007</v>
      </c>
      <c r="E48" t="str" cm="1">
        <f t="array" ref="E48">INDEX('Linha 07'!$B$4:$B$1000,B48)</f>
        <v>Amac. Conc. Aquafast Azul Harmonia Cx/ 12 X 1l</v>
      </c>
      <c r="F48" cm="1">
        <f t="array" ref="F48">INDEX('Linha 07'!$C$3:$ZZ$3,C48)</f>
        <v>20150013</v>
      </c>
      <c r="G48" t="str" cm="1">
        <f t="array" ref="G48">INDEX('Linha 07'!$C$2:$ZZ$2,C48)</f>
        <v>Amac. Conc. Aquafast Branco Ternura Cx/12 X 500ml</v>
      </c>
      <c r="H48" s="5" cm="1">
        <f t="array" ref="H48">INDEX('Linha 07'!$C$4:$ZZ$1000,B48,C48)</f>
        <v>0</v>
      </c>
    </row>
    <row r="49" spans="1:8" x14ac:dyDescent="0.25">
      <c r="A49">
        <v>47</v>
      </c>
      <c r="B49">
        <f t="shared" si="0"/>
        <v>3</v>
      </c>
      <c r="C49">
        <f t="shared" si="1"/>
        <v>7</v>
      </c>
      <c r="D49" cm="1">
        <f t="array" ref="D49">INDEX('Linha 07'!$A$4:$A$1000,B49)</f>
        <v>20150007</v>
      </c>
      <c r="E49" t="str" cm="1">
        <f t="array" ref="E49">INDEX('Linha 07'!$B$4:$B$1000,B49)</f>
        <v>Amac. Conc. Aquafast Azul Harmonia Cx/ 12 X 1l</v>
      </c>
      <c r="F49" cm="1">
        <f t="array" ref="F49">INDEX('Linha 07'!$C$3:$ZZ$3,C49)</f>
        <v>20150014</v>
      </c>
      <c r="G49" t="str" cm="1">
        <f t="array" ref="G49">INDEX('Linha 07'!$C$2:$ZZ$2,C49)</f>
        <v>Amac. Conc. Aquafast Branco Ternura Cx/ 12 X 1l</v>
      </c>
      <c r="H49" s="5" cm="1">
        <f t="array" ref="H49">INDEX('Linha 07'!$C$4:$ZZ$1000,B49,C49)</f>
        <v>0</v>
      </c>
    </row>
    <row r="50" spans="1:8" x14ac:dyDescent="0.25">
      <c r="A50">
        <v>48</v>
      </c>
      <c r="B50">
        <f t="shared" si="0"/>
        <v>3</v>
      </c>
      <c r="C50">
        <f t="shared" si="1"/>
        <v>8</v>
      </c>
      <c r="D50" cm="1">
        <f t="array" ref="D50">INDEX('Linha 07'!$A$4:$A$1000,B50)</f>
        <v>20150007</v>
      </c>
      <c r="E50" t="str" cm="1">
        <f t="array" ref="E50">INDEX('Linha 07'!$B$4:$B$1000,B50)</f>
        <v>Amac. Conc. Aquafast Azul Harmonia Cx/ 12 X 1l</v>
      </c>
      <c r="F50" cm="1">
        <f t="array" ref="F50">INDEX('Linha 07'!$C$3:$ZZ$3,C50)</f>
        <v>20150021</v>
      </c>
      <c r="G50" t="str" cm="1">
        <f t="array" ref="G50">INDEX('Linha 07'!$C$2:$ZZ$2,C50)</f>
        <v>Amac. Conc. Aquafast Azul Harmonia Cx/ 09 X 1,5l</v>
      </c>
      <c r="H50" s="5" cm="1">
        <f t="array" ref="H50">INDEX('Linha 07'!$C$4:$ZZ$1000,B50,C50)</f>
        <v>0</v>
      </c>
    </row>
    <row r="51" spans="1:8" x14ac:dyDescent="0.25">
      <c r="A51">
        <v>49</v>
      </c>
      <c r="B51">
        <f t="shared" si="0"/>
        <v>3</v>
      </c>
      <c r="C51">
        <f t="shared" si="1"/>
        <v>9</v>
      </c>
      <c r="D51" cm="1">
        <f t="array" ref="D51">INDEX('Linha 07'!$A$4:$A$1000,B51)</f>
        <v>20150007</v>
      </c>
      <c r="E51" t="str" cm="1">
        <f t="array" ref="E51">INDEX('Linha 07'!$B$4:$B$1000,B51)</f>
        <v>Amac. Conc. Aquafast Azul Harmonia Cx/ 12 X 1l</v>
      </c>
      <c r="F51" cm="1">
        <f t="array" ref="F51">INDEX('Linha 07'!$C$3:$ZZ$3,C51)</f>
        <v>20150022</v>
      </c>
      <c r="G51" t="str" cm="1">
        <f t="array" ref="G51">INDEX('Linha 07'!$C$2:$ZZ$2,C51)</f>
        <v>Amac. Conc. Aquafast Rosa Romance Cx C/ 09 X 1,5l</v>
      </c>
      <c r="H51" s="5" cm="1">
        <f t="array" ref="H51">INDEX('Linha 07'!$C$4:$ZZ$1000,B51,C51)</f>
        <v>0</v>
      </c>
    </row>
    <row r="52" spans="1:8" x14ac:dyDescent="0.25">
      <c r="A52">
        <v>50</v>
      </c>
      <c r="B52">
        <f t="shared" si="0"/>
        <v>3</v>
      </c>
      <c r="C52">
        <f t="shared" si="1"/>
        <v>10</v>
      </c>
      <c r="D52" cm="1">
        <f t="array" ref="D52">INDEX('Linha 07'!$A$4:$A$1000,B52)</f>
        <v>20150007</v>
      </c>
      <c r="E52" t="str" cm="1">
        <f t="array" ref="E52">INDEX('Linha 07'!$B$4:$B$1000,B52)</f>
        <v>Amac. Conc. Aquafast Azul Harmonia Cx/ 12 X 1l</v>
      </c>
      <c r="F52" cm="1">
        <f t="array" ref="F52">INDEX('Linha 07'!$C$3:$ZZ$3,C52)</f>
        <v>20150023</v>
      </c>
      <c r="G52" t="str" cm="1">
        <f t="array" ref="G52">INDEX('Linha 07'!$C$2:$ZZ$2,C52)</f>
        <v>Amac. Conc. Aquafast Branco Ternura Cx C/ 09 X 1,5l</v>
      </c>
      <c r="H52" s="5" cm="1">
        <f t="array" ref="H52">INDEX('Linha 07'!$C$4:$ZZ$1000,B52,C52)</f>
        <v>0</v>
      </c>
    </row>
    <row r="53" spans="1:8" x14ac:dyDescent="0.25">
      <c r="A53">
        <v>51</v>
      </c>
      <c r="B53">
        <f t="shared" si="0"/>
        <v>3</v>
      </c>
      <c r="C53">
        <f t="shared" si="1"/>
        <v>11</v>
      </c>
      <c r="D53" cm="1">
        <f t="array" ref="D53">INDEX('Linha 07'!$A$4:$A$1000,B53)</f>
        <v>20150007</v>
      </c>
      <c r="E53" t="str" cm="1">
        <f t="array" ref="E53">INDEX('Linha 07'!$B$4:$B$1000,B53)</f>
        <v>Amac. Conc. Aquafast Azul Harmonia Cx/ 12 X 1l</v>
      </c>
      <c r="F53" cm="1">
        <f t="array" ref="F53">INDEX('Linha 07'!$C$3:$ZZ$3,C53)</f>
        <v>20150024</v>
      </c>
      <c r="G53" t="str" cm="1">
        <f t="array" ref="G53">INDEX('Linha 07'!$C$2:$ZZ$2,C53)</f>
        <v>Amac. Conc. Aquafast Vermelho Seduc Cx C/ 09 X 1,5l</v>
      </c>
      <c r="H53" s="5" cm="1">
        <f t="array" ref="H53">INDEX('Linha 07'!$C$4:$ZZ$1000,B53,C53)</f>
        <v>0</v>
      </c>
    </row>
    <row r="54" spans="1:8" x14ac:dyDescent="0.25">
      <c r="A54">
        <v>52</v>
      </c>
      <c r="B54">
        <f t="shared" si="0"/>
        <v>3</v>
      </c>
      <c r="C54">
        <f t="shared" si="1"/>
        <v>12</v>
      </c>
      <c r="D54" cm="1">
        <f t="array" ref="D54">INDEX('Linha 07'!$A$4:$A$1000,B54)</f>
        <v>20150007</v>
      </c>
      <c r="E54" t="str" cm="1">
        <f t="array" ref="E54">INDEX('Linha 07'!$B$4:$B$1000,B54)</f>
        <v>Amac. Conc. Aquafast Azul Harmonia Cx/ 12 X 1l</v>
      </c>
      <c r="F54" cm="1">
        <f t="array" ref="F54">INDEX('Linha 07'!$C$3:$ZZ$3,C54)</f>
        <v>20150035</v>
      </c>
      <c r="G54" t="str" cm="1">
        <f t="array" ref="G54">INDEX('Linha 07'!$C$2:$ZZ$2,C54)</f>
        <v>Amac. Conc. Aquafast Lilas Misterio Cx/ 12 X 1l</v>
      </c>
      <c r="H54" s="5" cm="1">
        <f t="array" ref="H54">INDEX('Linha 07'!$C$4:$ZZ$1000,B54,C54)</f>
        <v>0</v>
      </c>
    </row>
    <row r="55" spans="1:8" x14ac:dyDescent="0.25">
      <c r="A55">
        <v>53</v>
      </c>
      <c r="B55">
        <f t="shared" si="0"/>
        <v>3</v>
      </c>
      <c r="C55">
        <f t="shared" si="1"/>
        <v>13</v>
      </c>
      <c r="D55" cm="1">
        <f t="array" ref="D55">INDEX('Linha 07'!$A$4:$A$1000,B55)</f>
        <v>20150007</v>
      </c>
      <c r="E55" t="str" cm="1">
        <f t="array" ref="E55">INDEX('Linha 07'!$B$4:$B$1000,B55)</f>
        <v>Amac. Conc. Aquafast Azul Harmonia Cx/ 12 X 1l</v>
      </c>
      <c r="F55" cm="1">
        <f t="array" ref="F55">INDEX('Linha 07'!$C$3:$ZZ$3,C55)</f>
        <v>20150053</v>
      </c>
      <c r="G55" t="str" cm="1">
        <f t="array" ref="G55">INDEX('Linha 07'!$C$2:$ZZ$2,C55)</f>
        <v>Amac. Conc. Aquafast Lilas Misterio Cx C/ 09 X 1,5l</v>
      </c>
      <c r="H55" s="5" cm="1">
        <f t="array" ref="H55">INDEX('Linha 07'!$C$4:$ZZ$1000,B55,C55)</f>
        <v>0</v>
      </c>
    </row>
    <row r="56" spans="1:8" x14ac:dyDescent="0.25">
      <c r="A56">
        <v>54</v>
      </c>
      <c r="B56">
        <f t="shared" si="0"/>
        <v>3</v>
      </c>
      <c r="C56">
        <f t="shared" si="1"/>
        <v>14</v>
      </c>
      <c r="D56" cm="1">
        <f t="array" ref="D56">INDEX('Linha 07'!$A$4:$A$1000,B56)</f>
        <v>20150007</v>
      </c>
      <c r="E56" t="str" cm="1">
        <f t="array" ref="E56">INDEX('Linha 07'!$B$4:$B$1000,B56)</f>
        <v>Amac. Conc. Aquafast Azul Harmonia Cx/ 12 X 1l</v>
      </c>
      <c r="F56" cm="1">
        <f t="array" ref="F56">INDEX('Linha 07'!$C$3:$ZZ$3,C56)</f>
        <v>20150055</v>
      </c>
      <c r="G56" t="str" cm="1">
        <f t="array" ref="G56">INDEX('Linha 07'!$C$2:$ZZ$2,C56)</f>
        <v>Intermed Pack Amac Conc Aquafast Branco Ternura Cx/12 X 1l</v>
      </c>
      <c r="H56" s="5" cm="1">
        <f t="array" ref="H56">INDEX('Linha 07'!$C$4:$ZZ$1000,B56,C56)</f>
        <v>0</v>
      </c>
    </row>
    <row r="57" spans="1:8" x14ac:dyDescent="0.25">
      <c r="A57">
        <v>55</v>
      </c>
      <c r="B57">
        <f t="shared" si="0"/>
        <v>3</v>
      </c>
      <c r="C57">
        <f t="shared" si="1"/>
        <v>15</v>
      </c>
      <c r="D57" cm="1">
        <f t="array" ref="D57">INDEX('Linha 07'!$A$4:$A$1000,B57)</f>
        <v>20150007</v>
      </c>
      <c r="E57" t="str" cm="1">
        <f t="array" ref="E57">INDEX('Linha 07'!$B$4:$B$1000,B57)</f>
        <v>Amac. Conc. Aquafast Azul Harmonia Cx/ 12 X 1l</v>
      </c>
      <c r="F57" cm="1">
        <f t="array" ref="F57">INDEX('Linha 07'!$C$3:$ZZ$3,C57)</f>
        <v>20150057</v>
      </c>
      <c r="G57" t="str" cm="1">
        <f t="array" ref="G57">INDEX('Linha 07'!$C$2:$ZZ$2,C57)</f>
        <v>Intermed Pack Amac Conc Aquafast Azul Harmonia Cx/12 X 1l</v>
      </c>
      <c r="H57" s="5" cm="1">
        <f t="array" ref="H57">INDEX('Linha 07'!$C$4:$ZZ$1000,B57,C57)</f>
        <v>0</v>
      </c>
    </row>
    <row r="58" spans="1:8" x14ac:dyDescent="0.25">
      <c r="A58">
        <v>56</v>
      </c>
      <c r="B58">
        <f t="shared" si="0"/>
        <v>3</v>
      </c>
      <c r="C58">
        <f t="shared" si="1"/>
        <v>16</v>
      </c>
      <c r="D58" cm="1">
        <f t="array" ref="D58">INDEX('Linha 07'!$A$4:$A$1000,B58)</f>
        <v>20150007</v>
      </c>
      <c r="E58" t="str" cm="1">
        <f t="array" ref="E58">INDEX('Linha 07'!$B$4:$B$1000,B58)</f>
        <v>Amac. Conc. Aquafast Azul Harmonia Cx/ 12 X 1l</v>
      </c>
      <c r="F58" cm="1">
        <f t="array" ref="F58">INDEX('Linha 07'!$C$3:$ZZ$3,C58)</f>
        <v>20150058</v>
      </c>
      <c r="G58" t="str" cm="1">
        <f t="array" ref="G58">INDEX('Linha 07'!$C$2:$ZZ$2,C58)</f>
        <v>Amac. Conc. Aquafast Br. Ternura Cx C/ 09 X 1,5l Promocional</v>
      </c>
      <c r="H58" s="5" cm="1">
        <f t="array" ref="H58">INDEX('Linha 07'!$C$4:$ZZ$1000,B58,C58)</f>
        <v>0</v>
      </c>
    </row>
    <row r="59" spans="1:8" x14ac:dyDescent="0.25">
      <c r="A59">
        <v>57</v>
      </c>
      <c r="B59">
        <f t="shared" si="0"/>
        <v>3</v>
      </c>
      <c r="C59">
        <f t="shared" si="1"/>
        <v>17</v>
      </c>
      <c r="D59" cm="1">
        <f t="array" ref="D59">INDEX('Linha 07'!$A$4:$A$1000,B59)</f>
        <v>20150007</v>
      </c>
      <c r="E59" t="str" cm="1">
        <f t="array" ref="E59">INDEX('Linha 07'!$B$4:$B$1000,B59)</f>
        <v>Amac. Conc. Aquafast Azul Harmonia Cx/ 12 X 1l</v>
      </c>
      <c r="F59" cm="1">
        <f t="array" ref="F59">INDEX('Linha 07'!$C$3:$ZZ$3,C59)</f>
        <v>20150059</v>
      </c>
      <c r="G59" t="str" cm="1">
        <f t="array" ref="G59">INDEX('Linha 07'!$C$2:$ZZ$2,C59)</f>
        <v>Amac. Conc. Aquafast Az. Harmonia Cxc/ 09 X 1,5l Promocional</v>
      </c>
      <c r="H59" s="5" cm="1">
        <f t="array" ref="H59">INDEX('Linha 07'!$C$4:$ZZ$1000,B59,C59)</f>
        <v>0</v>
      </c>
    </row>
    <row r="60" spans="1:8" x14ac:dyDescent="0.25">
      <c r="A60">
        <v>58</v>
      </c>
      <c r="B60">
        <f t="shared" si="0"/>
        <v>3</v>
      </c>
      <c r="C60">
        <f t="shared" si="1"/>
        <v>18</v>
      </c>
      <c r="D60" cm="1">
        <f t="array" ref="D60">INDEX('Linha 07'!$A$4:$A$1000,B60)</f>
        <v>20150007</v>
      </c>
      <c r="E60" t="str" cm="1">
        <f t="array" ref="E60">INDEX('Linha 07'!$B$4:$B$1000,B60)</f>
        <v>Amac. Conc. Aquafast Azul Harmonia Cx/ 12 X 1l</v>
      </c>
      <c r="F60" cm="1">
        <f t="array" ref="F60">INDEX('Linha 07'!$C$3:$ZZ$3,C60)</f>
        <v>20150068</v>
      </c>
      <c r="G60" t="str" cm="1">
        <f t="array" ref="G60">INDEX('Linha 07'!$C$2:$ZZ$2,C60)</f>
        <v>Amac. Conc. Aquafast Lilas Misterio Cx C/ 09 X 1,5l Promo</v>
      </c>
      <c r="H60" s="5" cm="1">
        <f t="array" ref="H60">INDEX('Linha 07'!$C$4:$ZZ$1000,B60,C60)</f>
        <v>0</v>
      </c>
    </row>
    <row r="61" spans="1:8" x14ac:dyDescent="0.25">
      <c r="A61">
        <v>59</v>
      </c>
      <c r="B61">
        <f t="shared" si="0"/>
        <v>3</v>
      </c>
      <c r="C61">
        <f t="shared" si="1"/>
        <v>19</v>
      </c>
      <c r="D61" cm="1">
        <f t="array" ref="D61">INDEX('Linha 07'!$A$4:$A$1000,B61)</f>
        <v>20150007</v>
      </c>
      <c r="E61" t="str" cm="1">
        <f t="array" ref="E61">INDEX('Linha 07'!$B$4:$B$1000,B61)</f>
        <v>Amac. Conc. Aquafast Azul Harmonia Cx/ 12 X 1l</v>
      </c>
      <c r="F61" cm="1">
        <f t="array" ref="F61">INDEX('Linha 07'!$C$3:$ZZ$3,C61)</f>
        <v>20150069</v>
      </c>
      <c r="G61" t="str" cm="1">
        <f t="array" ref="G61">INDEX('Linha 07'!$C$2:$ZZ$2,C61)</f>
        <v>Amac. Conc. Aquafast Vermelho Seducao Cx C/ 09 X 1,5l Promo</v>
      </c>
      <c r="H61" s="5" cm="1">
        <f t="array" ref="H61">INDEX('Linha 07'!$C$4:$ZZ$1000,B61,C61)</f>
        <v>0</v>
      </c>
    </row>
    <row r="62" spans="1:8" x14ac:dyDescent="0.25">
      <c r="A62">
        <v>60</v>
      </c>
      <c r="B62">
        <f t="shared" si="0"/>
        <v>3</v>
      </c>
      <c r="C62">
        <f t="shared" si="1"/>
        <v>20</v>
      </c>
      <c r="D62" cm="1">
        <f t="array" ref="D62">INDEX('Linha 07'!$A$4:$A$1000,B62)</f>
        <v>20150007</v>
      </c>
      <c r="E62" t="str" cm="1">
        <f t="array" ref="E62">INDEX('Linha 07'!$B$4:$B$1000,B62)</f>
        <v>Amac. Conc. Aquafast Azul Harmonia Cx/ 12 X 1l</v>
      </c>
      <c r="F62" cm="1">
        <f t="array" ref="F62">INDEX('Linha 07'!$C$3:$ZZ$3,C62)</f>
        <v>20150070</v>
      </c>
      <c r="G62" t="str" cm="1">
        <f t="array" ref="G62">INDEX('Linha 07'!$C$2:$ZZ$2,C62)</f>
        <v>Amac. Conc. Aquafast Rosa Romance Cx C/ 09 X 1,5l Promo</v>
      </c>
      <c r="H62" s="5" cm="1">
        <f t="array" ref="H62">INDEX('Linha 07'!$C$4:$ZZ$1000,B62,C62)</f>
        <v>0</v>
      </c>
    </row>
    <row r="63" spans="1:8" x14ac:dyDescent="0.25">
      <c r="A63">
        <v>61</v>
      </c>
      <c r="B63">
        <f t="shared" si="0"/>
        <v>4</v>
      </c>
      <c r="C63">
        <f t="shared" si="1"/>
        <v>1</v>
      </c>
      <c r="D63" cm="1">
        <f t="array" ref="D63">INDEX('Linha 07'!$A$4:$A$1000,B63)</f>
        <v>20150008</v>
      </c>
      <c r="E63" t="str" cm="1">
        <f t="array" ref="E63">INDEX('Linha 07'!$B$4:$B$1000,B63)</f>
        <v>Amac. Conc. Aquafast Rosa Romance Cx/ 12 X 1l</v>
      </c>
      <c r="F63" cm="1">
        <f t="array" ref="F63">INDEX('Linha 07'!$C$3:$ZZ$3,C63)</f>
        <v>20150001</v>
      </c>
      <c r="G63" t="str" cm="1">
        <f t="array" ref="G63">INDEX('Linha 07'!$C$2:$ZZ$2,C63)</f>
        <v>Amac. Conc. Aquafast Azul Harmonia Cx/12 X 500ml</v>
      </c>
      <c r="H63" s="5" cm="1">
        <f t="array" ref="H63">INDEX('Linha 07'!$C$4:$ZZ$1000,B63,C63)</f>
        <v>0</v>
      </c>
    </row>
    <row r="64" spans="1:8" x14ac:dyDescent="0.25">
      <c r="A64">
        <v>62</v>
      </c>
      <c r="B64">
        <f t="shared" si="0"/>
        <v>4</v>
      </c>
      <c r="C64">
        <f t="shared" si="1"/>
        <v>2</v>
      </c>
      <c r="D64" cm="1">
        <f t="array" ref="D64">INDEX('Linha 07'!$A$4:$A$1000,B64)</f>
        <v>20150008</v>
      </c>
      <c r="E64" t="str" cm="1">
        <f t="array" ref="E64">INDEX('Linha 07'!$B$4:$B$1000,B64)</f>
        <v>Amac. Conc. Aquafast Rosa Romance Cx/ 12 X 1l</v>
      </c>
      <c r="F64" cm="1">
        <f t="array" ref="F64">INDEX('Linha 07'!$C$3:$ZZ$3,C64)</f>
        <v>20150005</v>
      </c>
      <c r="G64" t="str" cm="1">
        <f t="array" ref="G64">INDEX('Linha 07'!$C$2:$ZZ$2,C64)</f>
        <v>Amac. Conc. Aquafast Vermelho Seducao Cx/12 X 500ml</v>
      </c>
      <c r="H64" s="5" cm="1">
        <f t="array" ref="H64">INDEX('Linha 07'!$C$4:$ZZ$1000,B64,C64)</f>
        <v>0</v>
      </c>
    </row>
    <row r="65" spans="1:8" x14ac:dyDescent="0.25">
      <c r="A65">
        <v>63</v>
      </c>
      <c r="B65">
        <f t="shared" si="0"/>
        <v>4</v>
      </c>
      <c r="C65">
        <f t="shared" si="1"/>
        <v>3</v>
      </c>
      <c r="D65" cm="1">
        <f t="array" ref="D65">INDEX('Linha 07'!$A$4:$A$1000,B65)</f>
        <v>20150008</v>
      </c>
      <c r="E65" t="str" cm="1">
        <f t="array" ref="E65">INDEX('Linha 07'!$B$4:$B$1000,B65)</f>
        <v>Amac. Conc. Aquafast Rosa Romance Cx/ 12 X 1l</v>
      </c>
      <c r="F65" cm="1">
        <f t="array" ref="F65">INDEX('Linha 07'!$C$3:$ZZ$3,C65)</f>
        <v>20150007</v>
      </c>
      <c r="G65" t="str" cm="1">
        <f t="array" ref="G65">INDEX('Linha 07'!$C$2:$ZZ$2,C65)</f>
        <v>Amac. Conc. Aquafast Azul Harmonia Cx/ 12 X 1l</v>
      </c>
      <c r="H65" s="5" cm="1">
        <f t="array" ref="H65">INDEX('Linha 07'!$C$4:$ZZ$1000,B65,C65)</f>
        <v>0</v>
      </c>
    </row>
    <row r="66" spans="1:8" x14ac:dyDescent="0.25">
      <c r="A66">
        <v>64</v>
      </c>
      <c r="B66">
        <f t="shared" si="0"/>
        <v>4</v>
      </c>
      <c r="C66">
        <f t="shared" si="1"/>
        <v>4</v>
      </c>
      <c r="D66" cm="1">
        <f t="array" ref="D66">INDEX('Linha 07'!$A$4:$A$1000,B66)</f>
        <v>20150008</v>
      </c>
      <c r="E66" t="str" cm="1">
        <f t="array" ref="E66">INDEX('Linha 07'!$B$4:$B$1000,B66)</f>
        <v>Amac. Conc. Aquafast Rosa Romance Cx/ 12 X 1l</v>
      </c>
      <c r="F66" cm="1">
        <f t="array" ref="F66">INDEX('Linha 07'!$C$3:$ZZ$3,C66)</f>
        <v>20150008</v>
      </c>
      <c r="G66" t="str" cm="1">
        <f t="array" ref="G66">INDEX('Linha 07'!$C$2:$ZZ$2,C66)</f>
        <v>Amac. Conc. Aquafast Rosa Romance Cx/ 12 X 1l</v>
      </c>
      <c r="H66" s="5" cm="1">
        <f t="array" ref="H66">INDEX('Linha 07'!$C$4:$ZZ$1000,B66,C66)</f>
        <v>0</v>
      </c>
    </row>
    <row r="67" spans="1:8" x14ac:dyDescent="0.25">
      <c r="A67">
        <v>65</v>
      </c>
      <c r="B67">
        <f t="shared" si="0"/>
        <v>4</v>
      </c>
      <c r="C67">
        <f t="shared" si="1"/>
        <v>5</v>
      </c>
      <c r="D67" cm="1">
        <f t="array" ref="D67">INDEX('Linha 07'!$A$4:$A$1000,B67)</f>
        <v>20150008</v>
      </c>
      <c r="E67" t="str" cm="1">
        <f t="array" ref="E67">INDEX('Linha 07'!$B$4:$B$1000,B67)</f>
        <v>Amac. Conc. Aquafast Rosa Romance Cx/ 12 X 1l</v>
      </c>
      <c r="F67" cm="1">
        <f t="array" ref="F67">INDEX('Linha 07'!$C$3:$ZZ$3,C67)</f>
        <v>20150011</v>
      </c>
      <c r="G67" t="str" cm="1">
        <f t="array" ref="G67">INDEX('Linha 07'!$C$2:$ZZ$2,C67)</f>
        <v>Amac. Conc. Aquafast Vermelho Seducao Cx/ 12 X 1l</v>
      </c>
      <c r="H67" s="5" cm="1">
        <f t="array" ref="H67">INDEX('Linha 07'!$C$4:$ZZ$1000,B67,C67)</f>
        <v>0</v>
      </c>
    </row>
    <row r="68" spans="1:8" x14ac:dyDescent="0.25">
      <c r="A68">
        <v>66</v>
      </c>
      <c r="B68">
        <f t="shared" ref="B68:B131" si="2">INT((A68-1)/$B$1)+1</f>
        <v>4</v>
      </c>
      <c r="C68">
        <f t="shared" ref="C68:C131" si="3">MOD(A68-1,$B$1)+1</f>
        <v>6</v>
      </c>
      <c r="D68" cm="1">
        <f t="array" ref="D68">INDEX('Linha 07'!$A$4:$A$1000,B68)</f>
        <v>20150008</v>
      </c>
      <c r="E68" t="str" cm="1">
        <f t="array" ref="E68">INDEX('Linha 07'!$B$4:$B$1000,B68)</f>
        <v>Amac. Conc. Aquafast Rosa Romance Cx/ 12 X 1l</v>
      </c>
      <c r="F68" cm="1">
        <f t="array" ref="F68">INDEX('Linha 07'!$C$3:$ZZ$3,C68)</f>
        <v>20150013</v>
      </c>
      <c r="G68" t="str" cm="1">
        <f t="array" ref="G68">INDEX('Linha 07'!$C$2:$ZZ$2,C68)</f>
        <v>Amac. Conc. Aquafast Branco Ternura Cx/12 X 500ml</v>
      </c>
      <c r="H68" s="5" cm="1">
        <f t="array" ref="H68">INDEX('Linha 07'!$C$4:$ZZ$1000,B68,C68)</f>
        <v>0</v>
      </c>
    </row>
    <row r="69" spans="1:8" x14ac:dyDescent="0.25">
      <c r="A69">
        <v>67</v>
      </c>
      <c r="B69">
        <f t="shared" si="2"/>
        <v>4</v>
      </c>
      <c r="C69">
        <f t="shared" si="3"/>
        <v>7</v>
      </c>
      <c r="D69" cm="1">
        <f t="array" ref="D69">INDEX('Linha 07'!$A$4:$A$1000,B69)</f>
        <v>20150008</v>
      </c>
      <c r="E69" t="str" cm="1">
        <f t="array" ref="E69">INDEX('Linha 07'!$B$4:$B$1000,B69)</f>
        <v>Amac. Conc. Aquafast Rosa Romance Cx/ 12 X 1l</v>
      </c>
      <c r="F69" cm="1">
        <f t="array" ref="F69">INDEX('Linha 07'!$C$3:$ZZ$3,C69)</f>
        <v>20150014</v>
      </c>
      <c r="G69" t="str" cm="1">
        <f t="array" ref="G69">INDEX('Linha 07'!$C$2:$ZZ$2,C69)</f>
        <v>Amac. Conc. Aquafast Branco Ternura Cx/ 12 X 1l</v>
      </c>
      <c r="H69" s="5" cm="1">
        <f t="array" ref="H69">INDEX('Linha 07'!$C$4:$ZZ$1000,B69,C69)</f>
        <v>0</v>
      </c>
    </row>
    <row r="70" spans="1:8" x14ac:dyDescent="0.25">
      <c r="A70">
        <v>68</v>
      </c>
      <c r="B70">
        <f t="shared" si="2"/>
        <v>4</v>
      </c>
      <c r="C70">
        <f t="shared" si="3"/>
        <v>8</v>
      </c>
      <c r="D70" cm="1">
        <f t="array" ref="D70">INDEX('Linha 07'!$A$4:$A$1000,B70)</f>
        <v>20150008</v>
      </c>
      <c r="E70" t="str" cm="1">
        <f t="array" ref="E70">INDEX('Linha 07'!$B$4:$B$1000,B70)</f>
        <v>Amac. Conc. Aquafast Rosa Romance Cx/ 12 X 1l</v>
      </c>
      <c r="F70" cm="1">
        <f t="array" ref="F70">INDEX('Linha 07'!$C$3:$ZZ$3,C70)</f>
        <v>20150021</v>
      </c>
      <c r="G70" t="str" cm="1">
        <f t="array" ref="G70">INDEX('Linha 07'!$C$2:$ZZ$2,C70)</f>
        <v>Amac. Conc. Aquafast Azul Harmonia Cx/ 09 X 1,5l</v>
      </c>
      <c r="H70" s="5" cm="1">
        <f t="array" ref="H70">INDEX('Linha 07'!$C$4:$ZZ$1000,B70,C70)</f>
        <v>0</v>
      </c>
    </row>
    <row r="71" spans="1:8" x14ac:dyDescent="0.25">
      <c r="A71">
        <v>69</v>
      </c>
      <c r="B71">
        <f t="shared" si="2"/>
        <v>4</v>
      </c>
      <c r="C71">
        <f t="shared" si="3"/>
        <v>9</v>
      </c>
      <c r="D71" cm="1">
        <f t="array" ref="D71">INDEX('Linha 07'!$A$4:$A$1000,B71)</f>
        <v>20150008</v>
      </c>
      <c r="E71" t="str" cm="1">
        <f t="array" ref="E71">INDEX('Linha 07'!$B$4:$B$1000,B71)</f>
        <v>Amac. Conc. Aquafast Rosa Romance Cx/ 12 X 1l</v>
      </c>
      <c r="F71" cm="1">
        <f t="array" ref="F71">INDEX('Linha 07'!$C$3:$ZZ$3,C71)</f>
        <v>20150022</v>
      </c>
      <c r="G71" t="str" cm="1">
        <f t="array" ref="G71">INDEX('Linha 07'!$C$2:$ZZ$2,C71)</f>
        <v>Amac. Conc. Aquafast Rosa Romance Cx C/ 09 X 1,5l</v>
      </c>
      <c r="H71" s="5" cm="1">
        <f t="array" ref="H71">INDEX('Linha 07'!$C$4:$ZZ$1000,B71,C71)</f>
        <v>0</v>
      </c>
    </row>
    <row r="72" spans="1:8" x14ac:dyDescent="0.25">
      <c r="A72">
        <v>70</v>
      </c>
      <c r="B72">
        <f t="shared" si="2"/>
        <v>4</v>
      </c>
      <c r="C72">
        <f t="shared" si="3"/>
        <v>10</v>
      </c>
      <c r="D72" cm="1">
        <f t="array" ref="D72">INDEX('Linha 07'!$A$4:$A$1000,B72)</f>
        <v>20150008</v>
      </c>
      <c r="E72" t="str" cm="1">
        <f t="array" ref="E72">INDEX('Linha 07'!$B$4:$B$1000,B72)</f>
        <v>Amac. Conc. Aquafast Rosa Romance Cx/ 12 X 1l</v>
      </c>
      <c r="F72" cm="1">
        <f t="array" ref="F72">INDEX('Linha 07'!$C$3:$ZZ$3,C72)</f>
        <v>20150023</v>
      </c>
      <c r="G72" t="str" cm="1">
        <f t="array" ref="G72">INDEX('Linha 07'!$C$2:$ZZ$2,C72)</f>
        <v>Amac. Conc. Aquafast Branco Ternura Cx C/ 09 X 1,5l</v>
      </c>
      <c r="H72" s="5" cm="1">
        <f t="array" ref="H72">INDEX('Linha 07'!$C$4:$ZZ$1000,B72,C72)</f>
        <v>0</v>
      </c>
    </row>
    <row r="73" spans="1:8" x14ac:dyDescent="0.25">
      <c r="A73">
        <v>71</v>
      </c>
      <c r="B73">
        <f t="shared" si="2"/>
        <v>4</v>
      </c>
      <c r="C73">
        <f t="shared" si="3"/>
        <v>11</v>
      </c>
      <c r="D73" cm="1">
        <f t="array" ref="D73">INDEX('Linha 07'!$A$4:$A$1000,B73)</f>
        <v>20150008</v>
      </c>
      <c r="E73" t="str" cm="1">
        <f t="array" ref="E73">INDEX('Linha 07'!$B$4:$B$1000,B73)</f>
        <v>Amac. Conc. Aquafast Rosa Romance Cx/ 12 X 1l</v>
      </c>
      <c r="F73" cm="1">
        <f t="array" ref="F73">INDEX('Linha 07'!$C$3:$ZZ$3,C73)</f>
        <v>20150024</v>
      </c>
      <c r="G73" t="str" cm="1">
        <f t="array" ref="G73">INDEX('Linha 07'!$C$2:$ZZ$2,C73)</f>
        <v>Amac. Conc. Aquafast Vermelho Seduc Cx C/ 09 X 1,5l</v>
      </c>
      <c r="H73" s="5" cm="1">
        <f t="array" ref="H73">INDEX('Linha 07'!$C$4:$ZZ$1000,B73,C73)</f>
        <v>0</v>
      </c>
    </row>
    <row r="74" spans="1:8" x14ac:dyDescent="0.25">
      <c r="A74">
        <v>72</v>
      </c>
      <c r="B74">
        <f t="shared" si="2"/>
        <v>4</v>
      </c>
      <c r="C74">
        <f t="shared" si="3"/>
        <v>12</v>
      </c>
      <c r="D74" cm="1">
        <f t="array" ref="D74">INDEX('Linha 07'!$A$4:$A$1000,B74)</f>
        <v>20150008</v>
      </c>
      <c r="E74" t="str" cm="1">
        <f t="array" ref="E74">INDEX('Linha 07'!$B$4:$B$1000,B74)</f>
        <v>Amac. Conc. Aquafast Rosa Romance Cx/ 12 X 1l</v>
      </c>
      <c r="F74" cm="1">
        <f t="array" ref="F74">INDEX('Linha 07'!$C$3:$ZZ$3,C74)</f>
        <v>20150035</v>
      </c>
      <c r="G74" t="str" cm="1">
        <f t="array" ref="G74">INDEX('Linha 07'!$C$2:$ZZ$2,C74)</f>
        <v>Amac. Conc. Aquafast Lilas Misterio Cx/ 12 X 1l</v>
      </c>
      <c r="H74" s="5" cm="1">
        <f t="array" ref="H74">INDEX('Linha 07'!$C$4:$ZZ$1000,B74,C74)</f>
        <v>0</v>
      </c>
    </row>
    <row r="75" spans="1:8" x14ac:dyDescent="0.25">
      <c r="A75">
        <v>73</v>
      </c>
      <c r="B75">
        <f t="shared" si="2"/>
        <v>4</v>
      </c>
      <c r="C75">
        <f t="shared" si="3"/>
        <v>13</v>
      </c>
      <c r="D75" cm="1">
        <f t="array" ref="D75">INDEX('Linha 07'!$A$4:$A$1000,B75)</f>
        <v>20150008</v>
      </c>
      <c r="E75" t="str" cm="1">
        <f t="array" ref="E75">INDEX('Linha 07'!$B$4:$B$1000,B75)</f>
        <v>Amac. Conc. Aquafast Rosa Romance Cx/ 12 X 1l</v>
      </c>
      <c r="F75" cm="1">
        <f t="array" ref="F75">INDEX('Linha 07'!$C$3:$ZZ$3,C75)</f>
        <v>20150053</v>
      </c>
      <c r="G75" t="str" cm="1">
        <f t="array" ref="G75">INDEX('Linha 07'!$C$2:$ZZ$2,C75)</f>
        <v>Amac. Conc. Aquafast Lilas Misterio Cx C/ 09 X 1,5l</v>
      </c>
      <c r="H75" s="5" cm="1">
        <f t="array" ref="H75">INDEX('Linha 07'!$C$4:$ZZ$1000,B75,C75)</f>
        <v>0</v>
      </c>
    </row>
    <row r="76" spans="1:8" x14ac:dyDescent="0.25">
      <c r="A76">
        <v>74</v>
      </c>
      <c r="B76">
        <f t="shared" si="2"/>
        <v>4</v>
      </c>
      <c r="C76">
        <f t="shared" si="3"/>
        <v>14</v>
      </c>
      <c r="D76" cm="1">
        <f t="array" ref="D76">INDEX('Linha 07'!$A$4:$A$1000,B76)</f>
        <v>20150008</v>
      </c>
      <c r="E76" t="str" cm="1">
        <f t="array" ref="E76">INDEX('Linha 07'!$B$4:$B$1000,B76)</f>
        <v>Amac. Conc. Aquafast Rosa Romance Cx/ 12 X 1l</v>
      </c>
      <c r="F76" cm="1">
        <f t="array" ref="F76">INDEX('Linha 07'!$C$3:$ZZ$3,C76)</f>
        <v>20150055</v>
      </c>
      <c r="G76" t="str" cm="1">
        <f t="array" ref="G76">INDEX('Linha 07'!$C$2:$ZZ$2,C76)</f>
        <v>Intermed Pack Amac Conc Aquafast Branco Ternura Cx/12 X 1l</v>
      </c>
      <c r="H76" s="5" cm="1">
        <f t="array" ref="H76">INDEX('Linha 07'!$C$4:$ZZ$1000,B76,C76)</f>
        <v>0</v>
      </c>
    </row>
    <row r="77" spans="1:8" x14ac:dyDescent="0.25">
      <c r="A77">
        <v>75</v>
      </c>
      <c r="B77">
        <f t="shared" si="2"/>
        <v>4</v>
      </c>
      <c r="C77">
        <f t="shared" si="3"/>
        <v>15</v>
      </c>
      <c r="D77" cm="1">
        <f t="array" ref="D77">INDEX('Linha 07'!$A$4:$A$1000,B77)</f>
        <v>20150008</v>
      </c>
      <c r="E77" t="str" cm="1">
        <f t="array" ref="E77">INDEX('Linha 07'!$B$4:$B$1000,B77)</f>
        <v>Amac. Conc. Aquafast Rosa Romance Cx/ 12 X 1l</v>
      </c>
      <c r="F77" cm="1">
        <f t="array" ref="F77">INDEX('Linha 07'!$C$3:$ZZ$3,C77)</f>
        <v>20150057</v>
      </c>
      <c r="G77" t="str" cm="1">
        <f t="array" ref="G77">INDEX('Linha 07'!$C$2:$ZZ$2,C77)</f>
        <v>Intermed Pack Amac Conc Aquafast Azul Harmonia Cx/12 X 1l</v>
      </c>
      <c r="H77" s="5" cm="1">
        <f t="array" ref="H77">INDEX('Linha 07'!$C$4:$ZZ$1000,B77,C77)</f>
        <v>0</v>
      </c>
    </row>
    <row r="78" spans="1:8" x14ac:dyDescent="0.25">
      <c r="A78">
        <v>76</v>
      </c>
      <c r="B78">
        <f t="shared" si="2"/>
        <v>4</v>
      </c>
      <c r="C78">
        <f t="shared" si="3"/>
        <v>16</v>
      </c>
      <c r="D78" cm="1">
        <f t="array" ref="D78">INDEX('Linha 07'!$A$4:$A$1000,B78)</f>
        <v>20150008</v>
      </c>
      <c r="E78" t="str" cm="1">
        <f t="array" ref="E78">INDEX('Linha 07'!$B$4:$B$1000,B78)</f>
        <v>Amac. Conc. Aquafast Rosa Romance Cx/ 12 X 1l</v>
      </c>
      <c r="F78" cm="1">
        <f t="array" ref="F78">INDEX('Linha 07'!$C$3:$ZZ$3,C78)</f>
        <v>20150058</v>
      </c>
      <c r="G78" t="str" cm="1">
        <f t="array" ref="G78">INDEX('Linha 07'!$C$2:$ZZ$2,C78)</f>
        <v>Amac. Conc. Aquafast Br. Ternura Cx C/ 09 X 1,5l Promocional</v>
      </c>
      <c r="H78" s="5" cm="1">
        <f t="array" ref="H78">INDEX('Linha 07'!$C$4:$ZZ$1000,B78,C78)</f>
        <v>0</v>
      </c>
    </row>
    <row r="79" spans="1:8" x14ac:dyDescent="0.25">
      <c r="A79">
        <v>77</v>
      </c>
      <c r="B79">
        <f t="shared" si="2"/>
        <v>4</v>
      </c>
      <c r="C79">
        <f t="shared" si="3"/>
        <v>17</v>
      </c>
      <c r="D79" cm="1">
        <f t="array" ref="D79">INDEX('Linha 07'!$A$4:$A$1000,B79)</f>
        <v>20150008</v>
      </c>
      <c r="E79" t="str" cm="1">
        <f t="array" ref="E79">INDEX('Linha 07'!$B$4:$B$1000,B79)</f>
        <v>Amac. Conc. Aquafast Rosa Romance Cx/ 12 X 1l</v>
      </c>
      <c r="F79" cm="1">
        <f t="array" ref="F79">INDEX('Linha 07'!$C$3:$ZZ$3,C79)</f>
        <v>20150059</v>
      </c>
      <c r="G79" t="str" cm="1">
        <f t="array" ref="G79">INDEX('Linha 07'!$C$2:$ZZ$2,C79)</f>
        <v>Amac. Conc. Aquafast Az. Harmonia Cxc/ 09 X 1,5l Promocional</v>
      </c>
      <c r="H79" s="5" cm="1">
        <f t="array" ref="H79">INDEX('Linha 07'!$C$4:$ZZ$1000,B79,C79)</f>
        <v>0</v>
      </c>
    </row>
    <row r="80" spans="1:8" x14ac:dyDescent="0.25">
      <c r="A80">
        <v>78</v>
      </c>
      <c r="B80">
        <f t="shared" si="2"/>
        <v>4</v>
      </c>
      <c r="C80">
        <f t="shared" si="3"/>
        <v>18</v>
      </c>
      <c r="D80" cm="1">
        <f t="array" ref="D80">INDEX('Linha 07'!$A$4:$A$1000,B80)</f>
        <v>20150008</v>
      </c>
      <c r="E80" t="str" cm="1">
        <f t="array" ref="E80">INDEX('Linha 07'!$B$4:$B$1000,B80)</f>
        <v>Amac. Conc. Aquafast Rosa Romance Cx/ 12 X 1l</v>
      </c>
      <c r="F80" cm="1">
        <f t="array" ref="F80">INDEX('Linha 07'!$C$3:$ZZ$3,C80)</f>
        <v>20150068</v>
      </c>
      <c r="G80" t="str" cm="1">
        <f t="array" ref="G80">INDEX('Linha 07'!$C$2:$ZZ$2,C80)</f>
        <v>Amac. Conc. Aquafast Lilas Misterio Cx C/ 09 X 1,5l Promo</v>
      </c>
      <c r="H80" s="5" cm="1">
        <f t="array" ref="H80">INDEX('Linha 07'!$C$4:$ZZ$1000,B80,C80)</f>
        <v>0</v>
      </c>
    </row>
    <row r="81" spans="1:8" x14ac:dyDescent="0.25">
      <c r="A81">
        <v>79</v>
      </c>
      <c r="B81">
        <f t="shared" si="2"/>
        <v>4</v>
      </c>
      <c r="C81">
        <f t="shared" si="3"/>
        <v>19</v>
      </c>
      <c r="D81" cm="1">
        <f t="array" ref="D81">INDEX('Linha 07'!$A$4:$A$1000,B81)</f>
        <v>20150008</v>
      </c>
      <c r="E81" t="str" cm="1">
        <f t="array" ref="E81">INDEX('Linha 07'!$B$4:$B$1000,B81)</f>
        <v>Amac. Conc. Aquafast Rosa Romance Cx/ 12 X 1l</v>
      </c>
      <c r="F81" cm="1">
        <f t="array" ref="F81">INDEX('Linha 07'!$C$3:$ZZ$3,C81)</f>
        <v>20150069</v>
      </c>
      <c r="G81" t="str" cm="1">
        <f t="array" ref="G81">INDEX('Linha 07'!$C$2:$ZZ$2,C81)</f>
        <v>Amac. Conc. Aquafast Vermelho Seducao Cx C/ 09 X 1,5l Promo</v>
      </c>
      <c r="H81" s="5" cm="1">
        <f t="array" ref="H81">INDEX('Linha 07'!$C$4:$ZZ$1000,B81,C81)</f>
        <v>0</v>
      </c>
    </row>
    <row r="82" spans="1:8" x14ac:dyDescent="0.25">
      <c r="A82">
        <v>80</v>
      </c>
      <c r="B82">
        <f t="shared" si="2"/>
        <v>4</v>
      </c>
      <c r="C82">
        <f t="shared" si="3"/>
        <v>20</v>
      </c>
      <c r="D82" cm="1">
        <f t="array" ref="D82">INDEX('Linha 07'!$A$4:$A$1000,B82)</f>
        <v>20150008</v>
      </c>
      <c r="E82" t="str" cm="1">
        <f t="array" ref="E82">INDEX('Linha 07'!$B$4:$B$1000,B82)</f>
        <v>Amac. Conc. Aquafast Rosa Romance Cx/ 12 X 1l</v>
      </c>
      <c r="F82" cm="1">
        <f t="array" ref="F82">INDEX('Linha 07'!$C$3:$ZZ$3,C82)</f>
        <v>20150070</v>
      </c>
      <c r="G82" t="str" cm="1">
        <f t="array" ref="G82">INDEX('Linha 07'!$C$2:$ZZ$2,C82)</f>
        <v>Amac. Conc. Aquafast Rosa Romance Cx C/ 09 X 1,5l Promo</v>
      </c>
      <c r="H82" s="5" cm="1">
        <f t="array" ref="H82">INDEX('Linha 07'!$C$4:$ZZ$1000,B82,C82)</f>
        <v>0</v>
      </c>
    </row>
    <row r="83" spans="1:8" x14ac:dyDescent="0.25">
      <c r="A83">
        <v>81</v>
      </c>
      <c r="B83">
        <f t="shared" si="2"/>
        <v>5</v>
      </c>
      <c r="C83">
        <f t="shared" si="3"/>
        <v>1</v>
      </c>
      <c r="D83" cm="1">
        <f t="array" ref="D83">INDEX('Linha 07'!$A$4:$A$1000,B83)</f>
        <v>20150011</v>
      </c>
      <c r="E83" t="str" cm="1">
        <f t="array" ref="E83">INDEX('Linha 07'!$B$4:$B$1000,B83)</f>
        <v>Amac. Conc. Aquafast Vermelho Seducao Cx/ 12 X 1l</v>
      </c>
      <c r="F83" cm="1">
        <f t="array" ref="F83">INDEX('Linha 07'!$C$3:$ZZ$3,C83)</f>
        <v>20150001</v>
      </c>
      <c r="G83" t="str" cm="1">
        <f t="array" ref="G83">INDEX('Linha 07'!$C$2:$ZZ$2,C83)</f>
        <v>Amac. Conc. Aquafast Azul Harmonia Cx/12 X 500ml</v>
      </c>
      <c r="H83" s="5" cm="1">
        <f t="array" ref="H83">INDEX('Linha 07'!$C$4:$ZZ$1000,B83,C83)</f>
        <v>0</v>
      </c>
    </row>
    <row r="84" spans="1:8" x14ac:dyDescent="0.25">
      <c r="A84">
        <v>82</v>
      </c>
      <c r="B84">
        <f t="shared" si="2"/>
        <v>5</v>
      </c>
      <c r="C84">
        <f t="shared" si="3"/>
        <v>2</v>
      </c>
      <c r="D84" cm="1">
        <f t="array" ref="D84">INDEX('Linha 07'!$A$4:$A$1000,B84)</f>
        <v>20150011</v>
      </c>
      <c r="E84" t="str" cm="1">
        <f t="array" ref="E84">INDEX('Linha 07'!$B$4:$B$1000,B84)</f>
        <v>Amac. Conc. Aquafast Vermelho Seducao Cx/ 12 X 1l</v>
      </c>
      <c r="F84" cm="1">
        <f t="array" ref="F84">INDEX('Linha 07'!$C$3:$ZZ$3,C84)</f>
        <v>20150005</v>
      </c>
      <c r="G84" t="str" cm="1">
        <f t="array" ref="G84">INDEX('Linha 07'!$C$2:$ZZ$2,C84)</f>
        <v>Amac. Conc. Aquafast Vermelho Seducao Cx/12 X 500ml</v>
      </c>
      <c r="H84" s="5" cm="1">
        <f t="array" ref="H84">INDEX('Linha 07'!$C$4:$ZZ$1000,B84,C84)</f>
        <v>0</v>
      </c>
    </row>
    <row r="85" spans="1:8" x14ac:dyDescent="0.25">
      <c r="A85">
        <v>83</v>
      </c>
      <c r="B85">
        <f t="shared" si="2"/>
        <v>5</v>
      </c>
      <c r="C85">
        <f t="shared" si="3"/>
        <v>3</v>
      </c>
      <c r="D85" cm="1">
        <f t="array" ref="D85">INDEX('Linha 07'!$A$4:$A$1000,B85)</f>
        <v>20150011</v>
      </c>
      <c r="E85" t="str" cm="1">
        <f t="array" ref="E85">INDEX('Linha 07'!$B$4:$B$1000,B85)</f>
        <v>Amac. Conc. Aquafast Vermelho Seducao Cx/ 12 X 1l</v>
      </c>
      <c r="F85" cm="1">
        <f t="array" ref="F85">INDEX('Linha 07'!$C$3:$ZZ$3,C85)</f>
        <v>20150007</v>
      </c>
      <c r="G85" t="str" cm="1">
        <f t="array" ref="G85">INDEX('Linha 07'!$C$2:$ZZ$2,C85)</f>
        <v>Amac. Conc. Aquafast Azul Harmonia Cx/ 12 X 1l</v>
      </c>
      <c r="H85" s="5" cm="1">
        <f t="array" ref="H85">INDEX('Linha 07'!$C$4:$ZZ$1000,B85,C85)</f>
        <v>0</v>
      </c>
    </row>
    <row r="86" spans="1:8" x14ac:dyDescent="0.25">
      <c r="A86">
        <v>84</v>
      </c>
      <c r="B86">
        <f t="shared" si="2"/>
        <v>5</v>
      </c>
      <c r="C86">
        <f t="shared" si="3"/>
        <v>4</v>
      </c>
      <c r="D86" cm="1">
        <f t="array" ref="D86">INDEX('Linha 07'!$A$4:$A$1000,B86)</f>
        <v>20150011</v>
      </c>
      <c r="E86" t="str" cm="1">
        <f t="array" ref="E86">INDEX('Linha 07'!$B$4:$B$1000,B86)</f>
        <v>Amac. Conc. Aquafast Vermelho Seducao Cx/ 12 X 1l</v>
      </c>
      <c r="F86" cm="1">
        <f t="array" ref="F86">INDEX('Linha 07'!$C$3:$ZZ$3,C86)</f>
        <v>20150008</v>
      </c>
      <c r="G86" t="str" cm="1">
        <f t="array" ref="G86">INDEX('Linha 07'!$C$2:$ZZ$2,C86)</f>
        <v>Amac. Conc. Aquafast Rosa Romance Cx/ 12 X 1l</v>
      </c>
      <c r="H86" s="5" cm="1">
        <f t="array" ref="H86">INDEX('Linha 07'!$C$4:$ZZ$1000,B86,C86)</f>
        <v>0</v>
      </c>
    </row>
    <row r="87" spans="1:8" x14ac:dyDescent="0.25">
      <c r="A87">
        <v>85</v>
      </c>
      <c r="B87">
        <f t="shared" si="2"/>
        <v>5</v>
      </c>
      <c r="C87">
        <f t="shared" si="3"/>
        <v>5</v>
      </c>
      <c r="D87" cm="1">
        <f t="array" ref="D87">INDEX('Linha 07'!$A$4:$A$1000,B87)</f>
        <v>20150011</v>
      </c>
      <c r="E87" t="str" cm="1">
        <f t="array" ref="E87">INDEX('Linha 07'!$B$4:$B$1000,B87)</f>
        <v>Amac. Conc. Aquafast Vermelho Seducao Cx/ 12 X 1l</v>
      </c>
      <c r="F87" cm="1">
        <f t="array" ref="F87">INDEX('Linha 07'!$C$3:$ZZ$3,C87)</f>
        <v>20150011</v>
      </c>
      <c r="G87" t="str" cm="1">
        <f t="array" ref="G87">INDEX('Linha 07'!$C$2:$ZZ$2,C87)</f>
        <v>Amac. Conc. Aquafast Vermelho Seducao Cx/ 12 X 1l</v>
      </c>
      <c r="H87" s="5" cm="1">
        <f t="array" ref="H87">INDEX('Linha 07'!$C$4:$ZZ$1000,B87,C87)</f>
        <v>0</v>
      </c>
    </row>
    <row r="88" spans="1:8" x14ac:dyDescent="0.25">
      <c r="A88">
        <v>86</v>
      </c>
      <c r="B88">
        <f t="shared" si="2"/>
        <v>5</v>
      </c>
      <c r="C88">
        <f t="shared" si="3"/>
        <v>6</v>
      </c>
      <c r="D88" cm="1">
        <f t="array" ref="D88">INDEX('Linha 07'!$A$4:$A$1000,B88)</f>
        <v>20150011</v>
      </c>
      <c r="E88" t="str" cm="1">
        <f t="array" ref="E88">INDEX('Linha 07'!$B$4:$B$1000,B88)</f>
        <v>Amac. Conc. Aquafast Vermelho Seducao Cx/ 12 X 1l</v>
      </c>
      <c r="F88" cm="1">
        <f t="array" ref="F88">INDEX('Linha 07'!$C$3:$ZZ$3,C88)</f>
        <v>20150013</v>
      </c>
      <c r="G88" t="str" cm="1">
        <f t="array" ref="G88">INDEX('Linha 07'!$C$2:$ZZ$2,C88)</f>
        <v>Amac. Conc. Aquafast Branco Ternura Cx/12 X 500ml</v>
      </c>
      <c r="H88" s="5" cm="1">
        <f t="array" ref="H88">INDEX('Linha 07'!$C$4:$ZZ$1000,B88,C88)</f>
        <v>0</v>
      </c>
    </row>
    <row r="89" spans="1:8" x14ac:dyDescent="0.25">
      <c r="A89">
        <v>87</v>
      </c>
      <c r="B89">
        <f t="shared" si="2"/>
        <v>5</v>
      </c>
      <c r="C89">
        <f t="shared" si="3"/>
        <v>7</v>
      </c>
      <c r="D89" cm="1">
        <f t="array" ref="D89">INDEX('Linha 07'!$A$4:$A$1000,B89)</f>
        <v>20150011</v>
      </c>
      <c r="E89" t="str" cm="1">
        <f t="array" ref="E89">INDEX('Linha 07'!$B$4:$B$1000,B89)</f>
        <v>Amac. Conc. Aquafast Vermelho Seducao Cx/ 12 X 1l</v>
      </c>
      <c r="F89" cm="1">
        <f t="array" ref="F89">INDEX('Linha 07'!$C$3:$ZZ$3,C89)</f>
        <v>20150014</v>
      </c>
      <c r="G89" t="str" cm="1">
        <f t="array" ref="G89">INDEX('Linha 07'!$C$2:$ZZ$2,C89)</f>
        <v>Amac. Conc. Aquafast Branco Ternura Cx/ 12 X 1l</v>
      </c>
      <c r="H89" s="5" cm="1">
        <f t="array" ref="H89">INDEX('Linha 07'!$C$4:$ZZ$1000,B89,C89)</f>
        <v>0</v>
      </c>
    </row>
    <row r="90" spans="1:8" x14ac:dyDescent="0.25">
      <c r="A90">
        <v>88</v>
      </c>
      <c r="B90">
        <f t="shared" si="2"/>
        <v>5</v>
      </c>
      <c r="C90">
        <f t="shared" si="3"/>
        <v>8</v>
      </c>
      <c r="D90" cm="1">
        <f t="array" ref="D90">INDEX('Linha 07'!$A$4:$A$1000,B90)</f>
        <v>20150011</v>
      </c>
      <c r="E90" t="str" cm="1">
        <f t="array" ref="E90">INDEX('Linha 07'!$B$4:$B$1000,B90)</f>
        <v>Amac. Conc. Aquafast Vermelho Seducao Cx/ 12 X 1l</v>
      </c>
      <c r="F90" cm="1">
        <f t="array" ref="F90">INDEX('Linha 07'!$C$3:$ZZ$3,C90)</f>
        <v>20150021</v>
      </c>
      <c r="G90" t="str" cm="1">
        <f t="array" ref="G90">INDEX('Linha 07'!$C$2:$ZZ$2,C90)</f>
        <v>Amac. Conc. Aquafast Azul Harmonia Cx/ 09 X 1,5l</v>
      </c>
      <c r="H90" s="5" cm="1">
        <f t="array" ref="H90">INDEX('Linha 07'!$C$4:$ZZ$1000,B90,C90)</f>
        <v>0</v>
      </c>
    </row>
    <row r="91" spans="1:8" x14ac:dyDescent="0.25">
      <c r="A91">
        <v>89</v>
      </c>
      <c r="B91">
        <f t="shared" si="2"/>
        <v>5</v>
      </c>
      <c r="C91">
        <f t="shared" si="3"/>
        <v>9</v>
      </c>
      <c r="D91" cm="1">
        <f t="array" ref="D91">INDEX('Linha 07'!$A$4:$A$1000,B91)</f>
        <v>20150011</v>
      </c>
      <c r="E91" t="str" cm="1">
        <f t="array" ref="E91">INDEX('Linha 07'!$B$4:$B$1000,B91)</f>
        <v>Amac. Conc. Aquafast Vermelho Seducao Cx/ 12 X 1l</v>
      </c>
      <c r="F91" cm="1">
        <f t="array" ref="F91">INDEX('Linha 07'!$C$3:$ZZ$3,C91)</f>
        <v>20150022</v>
      </c>
      <c r="G91" t="str" cm="1">
        <f t="array" ref="G91">INDEX('Linha 07'!$C$2:$ZZ$2,C91)</f>
        <v>Amac. Conc. Aquafast Rosa Romance Cx C/ 09 X 1,5l</v>
      </c>
      <c r="H91" s="5" cm="1">
        <f t="array" ref="H91">INDEX('Linha 07'!$C$4:$ZZ$1000,B91,C91)</f>
        <v>0</v>
      </c>
    </row>
    <row r="92" spans="1:8" x14ac:dyDescent="0.25">
      <c r="A92">
        <v>90</v>
      </c>
      <c r="B92">
        <f t="shared" si="2"/>
        <v>5</v>
      </c>
      <c r="C92">
        <f t="shared" si="3"/>
        <v>10</v>
      </c>
      <c r="D92" cm="1">
        <f t="array" ref="D92">INDEX('Linha 07'!$A$4:$A$1000,B92)</f>
        <v>20150011</v>
      </c>
      <c r="E92" t="str" cm="1">
        <f t="array" ref="E92">INDEX('Linha 07'!$B$4:$B$1000,B92)</f>
        <v>Amac. Conc. Aquafast Vermelho Seducao Cx/ 12 X 1l</v>
      </c>
      <c r="F92" cm="1">
        <f t="array" ref="F92">INDEX('Linha 07'!$C$3:$ZZ$3,C92)</f>
        <v>20150023</v>
      </c>
      <c r="G92" t="str" cm="1">
        <f t="array" ref="G92">INDEX('Linha 07'!$C$2:$ZZ$2,C92)</f>
        <v>Amac. Conc. Aquafast Branco Ternura Cx C/ 09 X 1,5l</v>
      </c>
      <c r="H92" s="5" cm="1">
        <f t="array" ref="H92">INDEX('Linha 07'!$C$4:$ZZ$1000,B92,C92)</f>
        <v>0</v>
      </c>
    </row>
    <row r="93" spans="1:8" x14ac:dyDescent="0.25">
      <c r="A93">
        <v>91</v>
      </c>
      <c r="B93">
        <f t="shared" si="2"/>
        <v>5</v>
      </c>
      <c r="C93">
        <f t="shared" si="3"/>
        <v>11</v>
      </c>
      <c r="D93" cm="1">
        <f t="array" ref="D93">INDEX('Linha 07'!$A$4:$A$1000,B93)</f>
        <v>20150011</v>
      </c>
      <c r="E93" t="str" cm="1">
        <f t="array" ref="E93">INDEX('Linha 07'!$B$4:$B$1000,B93)</f>
        <v>Amac. Conc. Aquafast Vermelho Seducao Cx/ 12 X 1l</v>
      </c>
      <c r="F93" cm="1">
        <f t="array" ref="F93">INDEX('Linha 07'!$C$3:$ZZ$3,C93)</f>
        <v>20150024</v>
      </c>
      <c r="G93" t="str" cm="1">
        <f t="array" ref="G93">INDEX('Linha 07'!$C$2:$ZZ$2,C93)</f>
        <v>Amac. Conc. Aquafast Vermelho Seduc Cx C/ 09 X 1,5l</v>
      </c>
      <c r="H93" s="5" cm="1">
        <f t="array" ref="H93">INDEX('Linha 07'!$C$4:$ZZ$1000,B93,C93)</f>
        <v>0</v>
      </c>
    </row>
    <row r="94" spans="1:8" x14ac:dyDescent="0.25">
      <c r="A94">
        <v>92</v>
      </c>
      <c r="B94">
        <f t="shared" si="2"/>
        <v>5</v>
      </c>
      <c r="C94">
        <f t="shared" si="3"/>
        <v>12</v>
      </c>
      <c r="D94" cm="1">
        <f t="array" ref="D94">INDEX('Linha 07'!$A$4:$A$1000,B94)</f>
        <v>20150011</v>
      </c>
      <c r="E94" t="str" cm="1">
        <f t="array" ref="E94">INDEX('Linha 07'!$B$4:$B$1000,B94)</f>
        <v>Amac. Conc. Aquafast Vermelho Seducao Cx/ 12 X 1l</v>
      </c>
      <c r="F94" cm="1">
        <f t="array" ref="F94">INDEX('Linha 07'!$C$3:$ZZ$3,C94)</f>
        <v>20150035</v>
      </c>
      <c r="G94" t="str" cm="1">
        <f t="array" ref="G94">INDEX('Linha 07'!$C$2:$ZZ$2,C94)</f>
        <v>Amac. Conc. Aquafast Lilas Misterio Cx/ 12 X 1l</v>
      </c>
      <c r="H94" s="5" cm="1">
        <f t="array" ref="H94">INDEX('Linha 07'!$C$4:$ZZ$1000,B94,C94)</f>
        <v>0</v>
      </c>
    </row>
    <row r="95" spans="1:8" x14ac:dyDescent="0.25">
      <c r="A95">
        <v>93</v>
      </c>
      <c r="B95">
        <f t="shared" si="2"/>
        <v>5</v>
      </c>
      <c r="C95">
        <f t="shared" si="3"/>
        <v>13</v>
      </c>
      <c r="D95" cm="1">
        <f t="array" ref="D95">INDEX('Linha 07'!$A$4:$A$1000,B95)</f>
        <v>20150011</v>
      </c>
      <c r="E95" t="str" cm="1">
        <f t="array" ref="E95">INDEX('Linha 07'!$B$4:$B$1000,B95)</f>
        <v>Amac. Conc. Aquafast Vermelho Seducao Cx/ 12 X 1l</v>
      </c>
      <c r="F95" cm="1">
        <f t="array" ref="F95">INDEX('Linha 07'!$C$3:$ZZ$3,C95)</f>
        <v>20150053</v>
      </c>
      <c r="G95" t="str" cm="1">
        <f t="array" ref="G95">INDEX('Linha 07'!$C$2:$ZZ$2,C95)</f>
        <v>Amac. Conc. Aquafast Lilas Misterio Cx C/ 09 X 1,5l</v>
      </c>
      <c r="H95" s="5" cm="1">
        <f t="array" ref="H95">INDEX('Linha 07'!$C$4:$ZZ$1000,B95,C95)</f>
        <v>0</v>
      </c>
    </row>
    <row r="96" spans="1:8" x14ac:dyDescent="0.25">
      <c r="A96">
        <v>94</v>
      </c>
      <c r="B96">
        <f t="shared" si="2"/>
        <v>5</v>
      </c>
      <c r="C96">
        <f t="shared" si="3"/>
        <v>14</v>
      </c>
      <c r="D96" cm="1">
        <f t="array" ref="D96">INDEX('Linha 07'!$A$4:$A$1000,B96)</f>
        <v>20150011</v>
      </c>
      <c r="E96" t="str" cm="1">
        <f t="array" ref="E96">INDEX('Linha 07'!$B$4:$B$1000,B96)</f>
        <v>Amac. Conc. Aquafast Vermelho Seducao Cx/ 12 X 1l</v>
      </c>
      <c r="F96" cm="1">
        <f t="array" ref="F96">INDEX('Linha 07'!$C$3:$ZZ$3,C96)</f>
        <v>20150055</v>
      </c>
      <c r="G96" t="str" cm="1">
        <f t="array" ref="G96">INDEX('Linha 07'!$C$2:$ZZ$2,C96)</f>
        <v>Intermed Pack Amac Conc Aquafast Branco Ternura Cx/12 X 1l</v>
      </c>
      <c r="H96" s="5" cm="1">
        <f t="array" ref="H96">INDEX('Linha 07'!$C$4:$ZZ$1000,B96,C96)</f>
        <v>0</v>
      </c>
    </row>
    <row r="97" spans="1:8" x14ac:dyDescent="0.25">
      <c r="A97">
        <v>95</v>
      </c>
      <c r="B97">
        <f t="shared" si="2"/>
        <v>5</v>
      </c>
      <c r="C97">
        <f t="shared" si="3"/>
        <v>15</v>
      </c>
      <c r="D97" cm="1">
        <f t="array" ref="D97">INDEX('Linha 07'!$A$4:$A$1000,B97)</f>
        <v>20150011</v>
      </c>
      <c r="E97" t="str" cm="1">
        <f t="array" ref="E97">INDEX('Linha 07'!$B$4:$B$1000,B97)</f>
        <v>Amac. Conc. Aquafast Vermelho Seducao Cx/ 12 X 1l</v>
      </c>
      <c r="F97" cm="1">
        <f t="array" ref="F97">INDEX('Linha 07'!$C$3:$ZZ$3,C97)</f>
        <v>20150057</v>
      </c>
      <c r="G97" t="str" cm="1">
        <f t="array" ref="G97">INDEX('Linha 07'!$C$2:$ZZ$2,C97)</f>
        <v>Intermed Pack Amac Conc Aquafast Azul Harmonia Cx/12 X 1l</v>
      </c>
      <c r="H97" s="5" cm="1">
        <f t="array" ref="H97">INDEX('Linha 07'!$C$4:$ZZ$1000,B97,C97)</f>
        <v>0</v>
      </c>
    </row>
    <row r="98" spans="1:8" x14ac:dyDescent="0.25">
      <c r="A98">
        <v>96</v>
      </c>
      <c r="B98">
        <f t="shared" si="2"/>
        <v>5</v>
      </c>
      <c r="C98">
        <f t="shared" si="3"/>
        <v>16</v>
      </c>
      <c r="D98" cm="1">
        <f t="array" ref="D98">INDEX('Linha 07'!$A$4:$A$1000,B98)</f>
        <v>20150011</v>
      </c>
      <c r="E98" t="str" cm="1">
        <f t="array" ref="E98">INDEX('Linha 07'!$B$4:$B$1000,B98)</f>
        <v>Amac. Conc. Aquafast Vermelho Seducao Cx/ 12 X 1l</v>
      </c>
      <c r="F98" cm="1">
        <f t="array" ref="F98">INDEX('Linha 07'!$C$3:$ZZ$3,C98)</f>
        <v>20150058</v>
      </c>
      <c r="G98" t="str" cm="1">
        <f t="array" ref="G98">INDEX('Linha 07'!$C$2:$ZZ$2,C98)</f>
        <v>Amac. Conc. Aquafast Br. Ternura Cx C/ 09 X 1,5l Promocional</v>
      </c>
      <c r="H98" s="5" cm="1">
        <f t="array" ref="H98">INDEX('Linha 07'!$C$4:$ZZ$1000,B98,C98)</f>
        <v>0</v>
      </c>
    </row>
    <row r="99" spans="1:8" x14ac:dyDescent="0.25">
      <c r="A99">
        <v>97</v>
      </c>
      <c r="B99">
        <f t="shared" si="2"/>
        <v>5</v>
      </c>
      <c r="C99">
        <f t="shared" si="3"/>
        <v>17</v>
      </c>
      <c r="D99" cm="1">
        <f t="array" ref="D99">INDEX('Linha 07'!$A$4:$A$1000,B99)</f>
        <v>20150011</v>
      </c>
      <c r="E99" t="str" cm="1">
        <f t="array" ref="E99">INDEX('Linha 07'!$B$4:$B$1000,B99)</f>
        <v>Amac. Conc. Aquafast Vermelho Seducao Cx/ 12 X 1l</v>
      </c>
      <c r="F99" cm="1">
        <f t="array" ref="F99">INDEX('Linha 07'!$C$3:$ZZ$3,C99)</f>
        <v>20150059</v>
      </c>
      <c r="G99" t="str" cm="1">
        <f t="array" ref="G99">INDEX('Linha 07'!$C$2:$ZZ$2,C99)</f>
        <v>Amac. Conc. Aquafast Az. Harmonia Cxc/ 09 X 1,5l Promocional</v>
      </c>
      <c r="H99" s="5" cm="1">
        <f t="array" ref="H99">INDEX('Linha 07'!$C$4:$ZZ$1000,B99,C99)</f>
        <v>0</v>
      </c>
    </row>
    <row r="100" spans="1:8" x14ac:dyDescent="0.25">
      <c r="A100">
        <v>98</v>
      </c>
      <c r="B100">
        <f t="shared" si="2"/>
        <v>5</v>
      </c>
      <c r="C100">
        <f t="shared" si="3"/>
        <v>18</v>
      </c>
      <c r="D100" cm="1">
        <f t="array" ref="D100">INDEX('Linha 07'!$A$4:$A$1000,B100)</f>
        <v>20150011</v>
      </c>
      <c r="E100" t="str" cm="1">
        <f t="array" ref="E100">INDEX('Linha 07'!$B$4:$B$1000,B100)</f>
        <v>Amac. Conc. Aquafast Vermelho Seducao Cx/ 12 X 1l</v>
      </c>
      <c r="F100" cm="1">
        <f t="array" ref="F100">INDEX('Linha 07'!$C$3:$ZZ$3,C100)</f>
        <v>20150068</v>
      </c>
      <c r="G100" t="str" cm="1">
        <f t="array" ref="G100">INDEX('Linha 07'!$C$2:$ZZ$2,C100)</f>
        <v>Amac. Conc. Aquafast Lilas Misterio Cx C/ 09 X 1,5l Promo</v>
      </c>
      <c r="H100" s="5" cm="1">
        <f t="array" ref="H100">INDEX('Linha 07'!$C$4:$ZZ$1000,B100,C100)</f>
        <v>0</v>
      </c>
    </row>
    <row r="101" spans="1:8" x14ac:dyDescent="0.25">
      <c r="A101">
        <v>99</v>
      </c>
      <c r="B101">
        <f t="shared" si="2"/>
        <v>5</v>
      </c>
      <c r="C101">
        <f t="shared" si="3"/>
        <v>19</v>
      </c>
      <c r="D101" cm="1">
        <f t="array" ref="D101">INDEX('Linha 07'!$A$4:$A$1000,B101)</f>
        <v>20150011</v>
      </c>
      <c r="E101" t="str" cm="1">
        <f t="array" ref="E101">INDEX('Linha 07'!$B$4:$B$1000,B101)</f>
        <v>Amac. Conc. Aquafast Vermelho Seducao Cx/ 12 X 1l</v>
      </c>
      <c r="F101" cm="1">
        <f t="array" ref="F101">INDEX('Linha 07'!$C$3:$ZZ$3,C101)</f>
        <v>20150069</v>
      </c>
      <c r="G101" t="str" cm="1">
        <f t="array" ref="G101">INDEX('Linha 07'!$C$2:$ZZ$2,C101)</f>
        <v>Amac. Conc. Aquafast Vermelho Seducao Cx C/ 09 X 1,5l Promo</v>
      </c>
      <c r="H101" s="5" cm="1">
        <f t="array" ref="H101">INDEX('Linha 07'!$C$4:$ZZ$1000,B101,C101)</f>
        <v>0</v>
      </c>
    </row>
    <row r="102" spans="1:8" x14ac:dyDescent="0.25">
      <c r="A102">
        <v>100</v>
      </c>
      <c r="B102">
        <f t="shared" si="2"/>
        <v>5</v>
      </c>
      <c r="C102">
        <f t="shared" si="3"/>
        <v>20</v>
      </c>
      <c r="D102" cm="1">
        <f t="array" ref="D102">INDEX('Linha 07'!$A$4:$A$1000,B102)</f>
        <v>20150011</v>
      </c>
      <c r="E102" t="str" cm="1">
        <f t="array" ref="E102">INDEX('Linha 07'!$B$4:$B$1000,B102)</f>
        <v>Amac. Conc. Aquafast Vermelho Seducao Cx/ 12 X 1l</v>
      </c>
      <c r="F102" cm="1">
        <f t="array" ref="F102">INDEX('Linha 07'!$C$3:$ZZ$3,C102)</f>
        <v>20150070</v>
      </c>
      <c r="G102" t="str" cm="1">
        <f t="array" ref="G102">INDEX('Linha 07'!$C$2:$ZZ$2,C102)</f>
        <v>Amac. Conc. Aquafast Rosa Romance Cx C/ 09 X 1,5l Promo</v>
      </c>
      <c r="H102" s="5" cm="1">
        <f t="array" ref="H102">INDEX('Linha 07'!$C$4:$ZZ$1000,B102,C102)</f>
        <v>0</v>
      </c>
    </row>
    <row r="103" spans="1:8" x14ac:dyDescent="0.25">
      <c r="A103">
        <v>101</v>
      </c>
      <c r="B103">
        <f t="shared" si="2"/>
        <v>6</v>
      </c>
      <c r="C103">
        <f t="shared" si="3"/>
        <v>1</v>
      </c>
      <c r="D103" cm="1">
        <f t="array" ref="D103">INDEX('Linha 07'!$A$4:$A$1000,B103)</f>
        <v>20150013</v>
      </c>
      <c r="E103" t="str" cm="1">
        <f t="array" ref="E103">INDEX('Linha 07'!$B$4:$B$1000,B103)</f>
        <v>Amac. Conc. Aquafast Branco Ternura Cx/12 X 500ml</v>
      </c>
      <c r="F103" cm="1">
        <f t="array" ref="F103">INDEX('Linha 07'!$C$3:$ZZ$3,C103)</f>
        <v>20150001</v>
      </c>
      <c r="G103" t="str" cm="1">
        <f t="array" ref="G103">INDEX('Linha 07'!$C$2:$ZZ$2,C103)</f>
        <v>Amac. Conc. Aquafast Azul Harmonia Cx/12 X 500ml</v>
      </c>
      <c r="H103" s="5" cm="1">
        <f t="array" ref="H103">INDEX('Linha 07'!$C$4:$ZZ$1000,B103,C103)</f>
        <v>0</v>
      </c>
    </row>
    <row r="104" spans="1:8" x14ac:dyDescent="0.25">
      <c r="A104">
        <v>102</v>
      </c>
      <c r="B104">
        <f t="shared" si="2"/>
        <v>6</v>
      </c>
      <c r="C104">
        <f t="shared" si="3"/>
        <v>2</v>
      </c>
      <c r="D104" cm="1">
        <f t="array" ref="D104">INDEX('Linha 07'!$A$4:$A$1000,B104)</f>
        <v>20150013</v>
      </c>
      <c r="E104" t="str" cm="1">
        <f t="array" ref="E104">INDEX('Linha 07'!$B$4:$B$1000,B104)</f>
        <v>Amac. Conc. Aquafast Branco Ternura Cx/12 X 500ml</v>
      </c>
      <c r="F104" cm="1">
        <f t="array" ref="F104">INDEX('Linha 07'!$C$3:$ZZ$3,C104)</f>
        <v>20150005</v>
      </c>
      <c r="G104" t="str" cm="1">
        <f t="array" ref="G104">INDEX('Linha 07'!$C$2:$ZZ$2,C104)</f>
        <v>Amac. Conc. Aquafast Vermelho Seducao Cx/12 X 500ml</v>
      </c>
      <c r="H104" s="5" cm="1">
        <f t="array" ref="H104">INDEX('Linha 07'!$C$4:$ZZ$1000,B104,C104)</f>
        <v>0</v>
      </c>
    </row>
    <row r="105" spans="1:8" x14ac:dyDescent="0.25">
      <c r="A105">
        <v>103</v>
      </c>
      <c r="B105">
        <f t="shared" si="2"/>
        <v>6</v>
      </c>
      <c r="C105">
        <f t="shared" si="3"/>
        <v>3</v>
      </c>
      <c r="D105" cm="1">
        <f t="array" ref="D105">INDEX('Linha 07'!$A$4:$A$1000,B105)</f>
        <v>20150013</v>
      </c>
      <c r="E105" t="str" cm="1">
        <f t="array" ref="E105">INDEX('Linha 07'!$B$4:$B$1000,B105)</f>
        <v>Amac. Conc. Aquafast Branco Ternura Cx/12 X 500ml</v>
      </c>
      <c r="F105" cm="1">
        <f t="array" ref="F105">INDEX('Linha 07'!$C$3:$ZZ$3,C105)</f>
        <v>20150007</v>
      </c>
      <c r="G105" t="str" cm="1">
        <f t="array" ref="G105">INDEX('Linha 07'!$C$2:$ZZ$2,C105)</f>
        <v>Amac. Conc. Aquafast Azul Harmonia Cx/ 12 X 1l</v>
      </c>
      <c r="H105" s="5" cm="1">
        <f t="array" ref="H105">INDEX('Linha 07'!$C$4:$ZZ$1000,B105,C105)</f>
        <v>0</v>
      </c>
    </row>
    <row r="106" spans="1:8" x14ac:dyDescent="0.25">
      <c r="A106">
        <v>104</v>
      </c>
      <c r="B106">
        <f t="shared" si="2"/>
        <v>6</v>
      </c>
      <c r="C106">
        <f t="shared" si="3"/>
        <v>4</v>
      </c>
      <c r="D106" cm="1">
        <f t="array" ref="D106">INDEX('Linha 07'!$A$4:$A$1000,B106)</f>
        <v>20150013</v>
      </c>
      <c r="E106" t="str" cm="1">
        <f t="array" ref="E106">INDEX('Linha 07'!$B$4:$B$1000,B106)</f>
        <v>Amac. Conc. Aquafast Branco Ternura Cx/12 X 500ml</v>
      </c>
      <c r="F106" cm="1">
        <f t="array" ref="F106">INDEX('Linha 07'!$C$3:$ZZ$3,C106)</f>
        <v>20150008</v>
      </c>
      <c r="G106" t="str" cm="1">
        <f t="array" ref="G106">INDEX('Linha 07'!$C$2:$ZZ$2,C106)</f>
        <v>Amac. Conc. Aquafast Rosa Romance Cx/ 12 X 1l</v>
      </c>
      <c r="H106" s="5" cm="1">
        <f t="array" ref="H106">INDEX('Linha 07'!$C$4:$ZZ$1000,B106,C106)</f>
        <v>0</v>
      </c>
    </row>
    <row r="107" spans="1:8" x14ac:dyDescent="0.25">
      <c r="A107">
        <v>105</v>
      </c>
      <c r="B107">
        <f t="shared" si="2"/>
        <v>6</v>
      </c>
      <c r="C107">
        <f t="shared" si="3"/>
        <v>5</v>
      </c>
      <c r="D107" cm="1">
        <f t="array" ref="D107">INDEX('Linha 07'!$A$4:$A$1000,B107)</f>
        <v>20150013</v>
      </c>
      <c r="E107" t="str" cm="1">
        <f t="array" ref="E107">INDEX('Linha 07'!$B$4:$B$1000,B107)</f>
        <v>Amac. Conc. Aquafast Branco Ternura Cx/12 X 500ml</v>
      </c>
      <c r="F107" cm="1">
        <f t="array" ref="F107">INDEX('Linha 07'!$C$3:$ZZ$3,C107)</f>
        <v>20150011</v>
      </c>
      <c r="G107" t="str" cm="1">
        <f t="array" ref="G107">INDEX('Linha 07'!$C$2:$ZZ$2,C107)</f>
        <v>Amac. Conc. Aquafast Vermelho Seducao Cx/ 12 X 1l</v>
      </c>
      <c r="H107" s="5" cm="1">
        <f t="array" ref="H107">INDEX('Linha 07'!$C$4:$ZZ$1000,B107,C107)</f>
        <v>0</v>
      </c>
    </row>
    <row r="108" spans="1:8" x14ac:dyDescent="0.25">
      <c r="A108">
        <v>106</v>
      </c>
      <c r="B108">
        <f t="shared" si="2"/>
        <v>6</v>
      </c>
      <c r="C108">
        <f t="shared" si="3"/>
        <v>6</v>
      </c>
      <c r="D108" cm="1">
        <f t="array" ref="D108">INDEX('Linha 07'!$A$4:$A$1000,B108)</f>
        <v>20150013</v>
      </c>
      <c r="E108" t="str" cm="1">
        <f t="array" ref="E108">INDEX('Linha 07'!$B$4:$B$1000,B108)</f>
        <v>Amac. Conc. Aquafast Branco Ternura Cx/12 X 500ml</v>
      </c>
      <c r="F108" cm="1">
        <f t="array" ref="F108">INDEX('Linha 07'!$C$3:$ZZ$3,C108)</f>
        <v>20150013</v>
      </c>
      <c r="G108" t="str" cm="1">
        <f t="array" ref="G108">INDEX('Linha 07'!$C$2:$ZZ$2,C108)</f>
        <v>Amac. Conc. Aquafast Branco Ternura Cx/12 X 500ml</v>
      </c>
      <c r="H108" s="5" cm="1">
        <f t="array" ref="H108">INDEX('Linha 07'!$C$4:$ZZ$1000,B108,C108)</f>
        <v>0</v>
      </c>
    </row>
    <row r="109" spans="1:8" x14ac:dyDescent="0.25">
      <c r="A109">
        <v>107</v>
      </c>
      <c r="B109">
        <f t="shared" si="2"/>
        <v>6</v>
      </c>
      <c r="C109">
        <f t="shared" si="3"/>
        <v>7</v>
      </c>
      <c r="D109" cm="1">
        <f t="array" ref="D109">INDEX('Linha 07'!$A$4:$A$1000,B109)</f>
        <v>20150013</v>
      </c>
      <c r="E109" t="str" cm="1">
        <f t="array" ref="E109">INDEX('Linha 07'!$B$4:$B$1000,B109)</f>
        <v>Amac. Conc. Aquafast Branco Ternura Cx/12 X 500ml</v>
      </c>
      <c r="F109" cm="1">
        <f t="array" ref="F109">INDEX('Linha 07'!$C$3:$ZZ$3,C109)</f>
        <v>20150014</v>
      </c>
      <c r="G109" t="str" cm="1">
        <f t="array" ref="G109">INDEX('Linha 07'!$C$2:$ZZ$2,C109)</f>
        <v>Amac. Conc. Aquafast Branco Ternura Cx/ 12 X 1l</v>
      </c>
      <c r="H109" s="5" cm="1">
        <f t="array" ref="H109">INDEX('Linha 07'!$C$4:$ZZ$1000,B109,C109)</f>
        <v>0</v>
      </c>
    </row>
    <row r="110" spans="1:8" x14ac:dyDescent="0.25">
      <c r="A110">
        <v>108</v>
      </c>
      <c r="B110">
        <f t="shared" si="2"/>
        <v>6</v>
      </c>
      <c r="C110">
        <f t="shared" si="3"/>
        <v>8</v>
      </c>
      <c r="D110" cm="1">
        <f t="array" ref="D110">INDEX('Linha 07'!$A$4:$A$1000,B110)</f>
        <v>20150013</v>
      </c>
      <c r="E110" t="str" cm="1">
        <f t="array" ref="E110">INDEX('Linha 07'!$B$4:$B$1000,B110)</f>
        <v>Amac. Conc. Aquafast Branco Ternura Cx/12 X 500ml</v>
      </c>
      <c r="F110" cm="1">
        <f t="array" ref="F110">INDEX('Linha 07'!$C$3:$ZZ$3,C110)</f>
        <v>20150021</v>
      </c>
      <c r="G110" t="str" cm="1">
        <f t="array" ref="G110">INDEX('Linha 07'!$C$2:$ZZ$2,C110)</f>
        <v>Amac. Conc. Aquafast Azul Harmonia Cx/ 09 X 1,5l</v>
      </c>
      <c r="H110" s="5" cm="1">
        <f t="array" ref="H110">INDEX('Linha 07'!$C$4:$ZZ$1000,B110,C110)</f>
        <v>0</v>
      </c>
    </row>
    <row r="111" spans="1:8" x14ac:dyDescent="0.25">
      <c r="A111">
        <v>109</v>
      </c>
      <c r="B111">
        <f t="shared" si="2"/>
        <v>6</v>
      </c>
      <c r="C111">
        <f t="shared" si="3"/>
        <v>9</v>
      </c>
      <c r="D111" cm="1">
        <f t="array" ref="D111">INDEX('Linha 07'!$A$4:$A$1000,B111)</f>
        <v>20150013</v>
      </c>
      <c r="E111" t="str" cm="1">
        <f t="array" ref="E111">INDEX('Linha 07'!$B$4:$B$1000,B111)</f>
        <v>Amac. Conc. Aquafast Branco Ternura Cx/12 X 500ml</v>
      </c>
      <c r="F111" cm="1">
        <f t="array" ref="F111">INDEX('Linha 07'!$C$3:$ZZ$3,C111)</f>
        <v>20150022</v>
      </c>
      <c r="G111" t="str" cm="1">
        <f t="array" ref="G111">INDEX('Linha 07'!$C$2:$ZZ$2,C111)</f>
        <v>Amac. Conc. Aquafast Rosa Romance Cx C/ 09 X 1,5l</v>
      </c>
      <c r="H111" s="5" cm="1">
        <f t="array" ref="H111">INDEX('Linha 07'!$C$4:$ZZ$1000,B111,C111)</f>
        <v>0</v>
      </c>
    </row>
    <row r="112" spans="1:8" x14ac:dyDescent="0.25">
      <c r="A112">
        <v>110</v>
      </c>
      <c r="B112">
        <f t="shared" si="2"/>
        <v>6</v>
      </c>
      <c r="C112">
        <f t="shared" si="3"/>
        <v>10</v>
      </c>
      <c r="D112" cm="1">
        <f t="array" ref="D112">INDEX('Linha 07'!$A$4:$A$1000,B112)</f>
        <v>20150013</v>
      </c>
      <c r="E112" t="str" cm="1">
        <f t="array" ref="E112">INDEX('Linha 07'!$B$4:$B$1000,B112)</f>
        <v>Amac. Conc. Aquafast Branco Ternura Cx/12 X 500ml</v>
      </c>
      <c r="F112" cm="1">
        <f t="array" ref="F112">INDEX('Linha 07'!$C$3:$ZZ$3,C112)</f>
        <v>20150023</v>
      </c>
      <c r="G112" t="str" cm="1">
        <f t="array" ref="G112">INDEX('Linha 07'!$C$2:$ZZ$2,C112)</f>
        <v>Amac. Conc. Aquafast Branco Ternura Cx C/ 09 X 1,5l</v>
      </c>
      <c r="H112" s="5" cm="1">
        <f t="array" ref="H112">INDEX('Linha 07'!$C$4:$ZZ$1000,B112,C112)</f>
        <v>0</v>
      </c>
    </row>
    <row r="113" spans="1:8" x14ac:dyDescent="0.25">
      <c r="A113">
        <v>111</v>
      </c>
      <c r="B113">
        <f t="shared" si="2"/>
        <v>6</v>
      </c>
      <c r="C113">
        <f t="shared" si="3"/>
        <v>11</v>
      </c>
      <c r="D113" cm="1">
        <f t="array" ref="D113">INDEX('Linha 07'!$A$4:$A$1000,B113)</f>
        <v>20150013</v>
      </c>
      <c r="E113" t="str" cm="1">
        <f t="array" ref="E113">INDEX('Linha 07'!$B$4:$B$1000,B113)</f>
        <v>Amac. Conc. Aquafast Branco Ternura Cx/12 X 500ml</v>
      </c>
      <c r="F113" cm="1">
        <f t="array" ref="F113">INDEX('Linha 07'!$C$3:$ZZ$3,C113)</f>
        <v>20150024</v>
      </c>
      <c r="G113" t="str" cm="1">
        <f t="array" ref="G113">INDEX('Linha 07'!$C$2:$ZZ$2,C113)</f>
        <v>Amac. Conc. Aquafast Vermelho Seduc Cx C/ 09 X 1,5l</v>
      </c>
      <c r="H113" s="5" cm="1">
        <f t="array" ref="H113">INDEX('Linha 07'!$C$4:$ZZ$1000,B113,C113)</f>
        <v>0</v>
      </c>
    </row>
    <row r="114" spans="1:8" x14ac:dyDescent="0.25">
      <c r="A114">
        <v>112</v>
      </c>
      <c r="B114">
        <f t="shared" si="2"/>
        <v>6</v>
      </c>
      <c r="C114">
        <f t="shared" si="3"/>
        <v>12</v>
      </c>
      <c r="D114" cm="1">
        <f t="array" ref="D114">INDEX('Linha 07'!$A$4:$A$1000,B114)</f>
        <v>20150013</v>
      </c>
      <c r="E114" t="str" cm="1">
        <f t="array" ref="E114">INDEX('Linha 07'!$B$4:$B$1000,B114)</f>
        <v>Amac. Conc. Aquafast Branco Ternura Cx/12 X 500ml</v>
      </c>
      <c r="F114" cm="1">
        <f t="array" ref="F114">INDEX('Linha 07'!$C$3:$ZZ$3,C114)</f>
        <v>20150035</v>
      </c>
      <c r="G114" t="str" cm="1">
        <f t="array" ref="G114">INDEX('Linha 07'!$C$2:$ZZ$2,C114)</f>
        <v>Amac. Conc. Aquafast Lilas Misterio Cx/ 12 X 1l</v>
      </c>
      <c r="H114" s="5" cm="1">
        <f t="array" ref="H114">INDEX('Linha 07'!$C$4:$ZZ$1000,B114,C114)</f>
        <v>0</v>
      </c>
    </row>
    <row r="115" spans="1:8" x14ac:dyDescent="0.25">
      <c r="A115">
        <v>113</v>
      </c>
      <c r="B115">
        <f t="shared" si="2"/>
        <v>6</v>
      </c>
      <c r="C115">
        <f t="shared" si="3"/>
        <v>13</v>
      </c>
      <c r="D115" cm="1">
        <f t="array" ref="D115">INDEX('Linha 07'!$A$4:$A$1000,B115)</f>
        <v>20150013</v>
      </c>
      <c r="E115" t="str" cm="1">
        <f t="array" ref="E115">INDEX('Linha 07'!$B$4:$B$1000,B115)</f>
        <v>Amac. Conc. Aquafast Branco Ternura Cx/12 X 500ml</v>
      </c>
      <c r="F115" cm="1">
        <f t="array" ref="F115">INDEX('Linha 07'!$C$3:$ZZ$3,C115)</f>
        <v>20150053</v>
      </c>
      <c r="G115" t="str" cm="1">
        <f t="array" ref="G115">INDEX('Linha 07'!$C$2:$ZZ$2,C115)</f>
        <v>Amac. Conc. Aquafast Lilas Misterio Cx C/ 09 X 1,5l</v>
      </c>
      <c r="H115" s="5" cm="1">
        <f t="array" ref="H115">INDEX('Linha 07'!$C$4:$ZZ$1000,B115,C115)</f>
        <v>0</v>
      </c>
    </row>
    <row r="116" spans="1:8" x14ac:dyDescent="0.25">
      <c r="A116">
        <v>114</v>
      </c>
      <c r="B116">
        <f t="shared" si="2"/>
        <v>6</v>
      </c>
      <c r="C116">
        <f t="shared" si="3"/>
        <v>14</v>
      </c>
      <c r="D116" cm="1">
        <f t="array" ref="D116">INDEX('Linha 07'!$A$4:$A$1000,B116)</f>
        <v>20150013</v>
      </c>
      <c r="E116" t="str" cm="1">
        <f t="array" ref="E116">INDEX('Linha 07'!$B$4:$B$1000,B116)</f>
        <v>Amac. Conc. Aquafast Branco Ternura Cx/12 X 500ml</v>
      </c>
      <c r="F116" cm="1">
        <f t="array" ref="F116">INDEX('Linha 07'!$C$3:$ZZ$3,C116)</f>
        <v>20150055</v>
      </c>
      <c r="G116" t="str" cm="1">
        <f t="array" ref="G116">INDEX('Linha 07'!$C$2:$ZZ$2,C116)</f>
        <v>Intermed Pack Amac Conc Aquafast Branco Ternura Cx/12 X 1l</v>
      </c>
      <c r="H116" s="5" cm="1">
        <f t="array" ref="H116">INDEX('Linha 07'!$C$4:$ZZ$1000,B116,C116)</f>
        <v>0</v>
      </c>
    </row>
    <row r="117" spans="1:8" x14ac:dyDescent="0.25">
      <c r="A117">
        <v>115</v>
      </c>
      <c r="B117">
        <f t="shared" si="2"/>
        <v>6</v>
      </c>
      <c r="C117">
        <f t="shared" si="3"/>
        <v>15</v>
      </c>
      <c r="D117" cm="1">
        <f t="array" ref="D117">INDEX('Linha 07'!$A$4:$A$1000,B117)</f>
        <v>20150013</v>
      </c>
      <c r="E117" t="str" cm="1">
        <f t="array" ref="E117">INDEX('Linha 07'!$B$4:$B$1000,B117)</f>
        <v>Amac. Conc. Aquafast Branco Ternura Cx/12 X 500ml</v>
      </c>
      <c r="F117" cm="1">
        <f t="array" ref="F117">INDEX('Linha 07'!$C$3:$ZZ$3,C117)</f>
        <v>20150057</v>
      </c>
      <c r="G117" t="str" cm="1">
        <f t="array" ref="G117">INDEX('Linha 07'!$C$2:$ZZ$2,C117)</f>
        <v>Intermed Pack Amac Conc Aquafast Azul Harmonia Cx/12 X 1l</v>
      </c>
      <c r="H117" s="5" cm="1">
        <f t="array" ref="H117">INDEX('Linha 07'!$C$4:$ZZ$1000,B117,C117)</f>
        <v>0</v>
      </c>
    </row>
    <row r="118" spans="1:8" x14ac:dyDescent="0.25">
      <c r="A118">
        <v>116</v>
      </c>
      <c r="B118">
        <f t="shared" si="2"/>
        <v>6</v>
      </c>
      <c r="C118">
        <f t="shared" si="3"/>
        <v>16</v>
      </c>
      <c r="D118" cm="1">
        <f t="array" ref="D118">INDEX('Linha 07'!$A$4:$A$1000,B118)</f>
        <v>20150013</v>
      </c>
      <c r="E118" t="str" cm="1">
        <f t="array" ref="E118">INDEX('Linha 07'!$B$4:$B$1000,B118)</f>
        <v>Amac. Conc. Aquafast Branco Ternura Cx/12 X 500ml</v>
      </c>
      <c r="F118" cm="1">
        <f t="array" ref="F118">INDEX('Linha 07'!$C$3:$ZZ$3,C118)</f>
        <v>20150058</v>
      </c>
      <c r="G118" t="str" cm="1">
        <f t="array" ref="G118">INDEX('Linha 07'!$C$2:$ZZ$2,C118)</f>
        <v>Amac. Conc. Aquafast Br. Ternura Cx C/ 09 X 1,5l Promocional</v>
      </c>
      <c r="H118" s="5" cm="1">
        <f t="array" ref="H118">INDEX('Linha 07'!$C$4:$ZZ$1000,B118,C118)</f>
        <v>0</v>
      </c>
    </row>
    <row r="119" spans="1:8" x14ac:dyDescent="0.25">
      <c r="A119">
        <v>117</v>
      </c>
      <c r="B119">
        <f t="shared" si="2"/>
        <v>6</v>
      </c>
      <c r="C119">
        <f t="shared" si="3"/>
        <v>17</v>
      </c>
      <c r="D119" cm="1">
        <f t="array" ref="D119">INDEX('Linha 07'!$A$4:$A$1000,B119)</f>
        <v>20150013</v>
      </c>
      <c r="E119" t="str" cm="1">
        <f t="array" ref="E119">INDEX('Linha 07'!$B$4:$B$1000,B119)</f>
        <v>Amac. Conc. Aquafast Branco Ternura Cx/12 X 500ml</v>
      </c>
      <c r="F119" cm="1">
        <f t="array" ref="F119">INDEX('Linha 07'!$C$3:$ZZ$3,C119)</f>
        <v>20150059</v>
      </c>
      <c r="G119" t="str" cm="1">
        <f t="array" ref="G119">INDEX('Linha 07'!$C$2:$ZZ$2,C119)</f>
        <v>Amac. Conc. Aquafast Az. Harmonia Cxc/ 09 X 1,5l Promocional</v>
      </c>
      <c r="H119" s="5" cm="1">
        <f t="array" ref="H119">INDEX('Linha 07'!$C$4:$ZZ$1000,B119,C119)</f>
        <v>0</v>
      </c>
    </row>
    <row r="120" spans="1:8" x14ac:dyDescent="0.25">
      <c r="A120">
        <v>118</v>
      </c>
      <c r="B120">
        <f t="shared" si="2"/>
        <v>6</v>
      </c>
      <c r="C120">
        <f t="shared" si="3"/>
        <v>18</v>
      </c>
      <c r="D120" cm="1">
        <f t="array" ref="D120">INDEX('Linha 07'!$A$4:$A$1000,B120)</f>
        <v>20150013</v>
      </c>
      <c r="E120" t="str" cm="1">
        <f t="array" ref="E120">INDEX('Linha 07'!$B$4:$B$1000,B120)</f>
        <v>Amac. Conc. Aquafast Branco Ternura Cx/12 X 500ml</v>
      </c>
      <c r="F120" cm="1">
        <f t="array" ref="F120">INDEX('Linha 07'!$C$3:$ZZ$3,C120)</f>
        <v>20150068</v>
      </c>
      <c r="G120" t="str" cm="1">
        <f t="array" ref="G120">INDEX('Linha 07'!$C$2:$ZZ$2,C120)</f>
        <v>Amac. Conc. Aquafast Lilas Misterio Cx C/ 09 X 1,5l Promo</v>
      </c>
      <c r="H120" s="5" cm="1">
        <f t="array" ref="H120">INDEX('Linha 07'!$C$4:$ZZ$1000,B120,C120)</f>
        <v>0</v>
      </c>
    </row>
    <row r="121" spans="1:8" x14ac:dyDescent="0.25">
      <c r="A121">
        <v>119</v>
      </c>
      <c r="B121">
        <f t="shared" si="2"/>
        <v>6</v>
      </c>
      <c r="C121">
        <f t="shared" si="3"/>
        <v>19</v>
      </c>
      <c r="D121" cm="1">
        <f t="array" ref="D121">INDEX('Linha 07'!$A$4:$A$1000,B121)</f>
        <v>20150013</v>
      </c>
      <c r="E121" t="str" cm="1">
        <f t="array" ref="E121">INDEX('Linha 07'!$B$4:$B$1000,B121)</f>
        <v>Amac. Conc. Aquafast Branco Ternura Cx/12 X 500ml</v>
      </c>
      <c r="F121" cm="1">
        <f t="array" ref="F121">INDEX('Linha 07'!$C$3:$ZZ$3,C121)</f>
        <v>20150069</v>
      </c>
      <c r="G121" t="str" cm="1">
        <f t="array" ref="G121">INDEX('Linha 07'!$C$2:$ZZ$2,C121)</f>
        <v>Amac. Conc. Aquafast Vermelho Seducao Cx C/ 09 X 1,5l Promo</v>
      </c>
      <c r="H121" s="5" cm="1">
        <f t="array" ref="H121">INDEX('Linha 07'!$C$4:$ZZ$1000,B121,C121)</f>
        <v>0</v>
      </c>
    </row>
    <row r="122" spans="1:8" x14ac:dyDescent="0.25">
      <c r="A122">
        <v>120</v>
      </c>
      <c r="B122">
        <f t="shared" si="2"/>
        <v>6</v>
      </c>
      <c r="C122">
        <f t="shared" si="3"/>
        <v>20</v>
      </c>
      <c r="D122" cm="1">
        <f t="array" ref="D122">INDEX('Linha 07'!$A$4:$A$1000,B122)</f>
        <v>20150013</v>
      </c>
      <c r="E122" t="str" cm="1">
        <f t="array" ref="E122">INDEX('Linha 07'!$B$4:$B$1000,B122)</f>
        <v>Amac. Conc. Aquafast Branco Ternura Cx/12 X 500ml</v>
      </c>
      <c r="F122" cm="1">
        <f t="array" ref="F122">INDEX('Linha 07'!$C$3:$ZZ$3,C122)</f>
        <v>20150070</v>
      </c>
      <c r="G122" t="str" cm="1">
        <f t="array" ref="G122">INDEX('Linha 07'!$C$2:$ZZ$2,C122)</f>
        <v>Amac. Conc. Aquafast Rosa Romance Cx C/ 09 X 1,5l Promo</v>
      </c>
      <c r="H122" s="5" cm="1">
        <f t="array" ref="H122">INDEX('Linha 07'!$C$4:$ZZ$1000,B122,C122)</f>
        <v>0</v>
      </c>
    </row>
    <row r="123" spans="1:8" x14ac:dyDescent="0.25">
      <c r="A123">
        <v>121</v>
      </c>
      <c r="B123">
        <f t="shared" si="2"/>
        <v>7</v>
      </c>
      <c r="C123">
        <f t="shared" si="3"/>
        <v>1</v>
      </c>
      <c r="D123" cm="1">
        <f t="array" ref="D123">INDEX('Linha 07'!$A$4:$A$1000,B123)</f>
        <v>20150014</v>
      </c>
      <c r="E123" t="str" cm="1">
        <f t="array" ref="E123">INDEX('Linha 07'!$B$4:$B$1000,B123)</f>
        <v>Amac. Conc. Aquafast Branco Ternura Cx/ 12 X 1l</v>
      </c>
      <c r="F123" cm="1">
        <f t="array" ref="F123">INDEX('Linha 07'!$C$3:$ZZ$3,C123)</f>
        <v>20150001</v>
      </c>
      <c r="G123" t="str" cm="1">
        <f t="array" ref="G123">INDEX('Linha 07'!$C$2:$ZZ$2,C123)</f>
        <v>Amac. Conc. Aquafast Azul Harmonia Cx/12 X 500ml</v>
      </c>
      <c r="H123" s="5" cm="1">
        <f t="array" ref="H123">INDEX('Linha 07'!$C$4:$ZZ$1000,B123,C123)</f>
        <v>0</v>
      </c>
    </row>
    <row r="124" spans="1:8" x14ac:dyDescent="0.25">
      <c r="A124">
        <v>122</v>
      </c>
      <c r="B124">
        <f t="shared" si="2"/>
        <v>7</v>
      </c>
      <c r="C124">
        <f t="shared" si="3"/>
        <v>2</v>
      </c>
      <c r="D124" cm="1">
        <f t="array" ref="D124">INDEX('Linha 07'!$A$4:$A$1000,B124)</f>
        <v>20150014</v>
      </c>
      <c r="E124" t="str" cm="1">
        <f t="array" ref="E124">INDEX('Linha 07'!$B$4:$B$1000,B124)</f>
        <v>Amac. Conc. Aquafast Branco Ternura Cx/ 12 X 1l</v>
      </c>
      <c r="F124" cm="1">
        <f t="array" ref="F124">INDEX('Linha 07'!$C$3:$ZZ$3,C124)</f>
        <v>20150005</v>
      </c>
      <c r="G124" t="str" cm="1">
        <f t="array" ref="G124">INDEX('Linha 07'!$C$2:$ZZ$2,C124)</f>
        <v>Amac. Conc. Aquafast Vermelho Seducao Cx/12 X 500ml</v>
      </c>
      <c r="H124" s="5" cm="1">
        <f t="array" ref="H124">INDEX('Linha 07'!$C$4:$ZZ$1000,B124,C124)</f>
        <v>0</v>
      </c>
    </row>
    <row r="125" spans="1:8" x14ac:dyDescent="0.25">
      <c r="A125">
        <v>123</v>
      </c>
      <c r="B125">
        <f t="shared" si="2"/>
        <v>7</v>
      </c>
      <c r="C125">
        <f t="shared" si="3"/>
        <v>3</v>
      </c>
      <c r="D125" cm="1">
        <f t="array" ref="D125">INDEX('Linha 07'!$A$4:$A$1000,B125)</f>
        <v>20150014</v>
      </c>
      <c r="E125" t="str" cm="1">
        <f t="array" ref="E125">INDEX('Linha 07'!$B$4:$B$1000,B125)</f>
        <v>Amac. Conc. Aquafast Branco Ternura Cx/ 12 X 1l</v>
      </c>
      <c r="F125" cm="1">
        <f t="array" ref="F125">INDEX('Linha 07'!$C$3:$ZZ$3,C125)</f>
        <v>20150007</v>
      </c>
      <c r="G125" t="str" cm="1">
        <f t="array" ref="G125">INDEX('Linha 07'!$C$2:$ZZ$2,C125)</f>
        <v>Amac. Conc. Aquafast Azul Harmonia Cx/ 12 X 1l</v>
      </c>
      <c r="H125" s="5" cm="1">
        <f t="array" ref="H125">INDEX('Linha 07'!$C$4:$ZZ$1000,B125,C125)</f>
        <v>0</v>
      </c>
    </row>
    <row r="126" spans="1:8" x14ac:dyDescent="0.25">
      <c r="A126">
        <v>124</v>
      </c>
      <c r="B126">
        <f t="shared" si="2"/>
        <v>7</v>
      </c>
      <c r="C126">
        <f t="shared" si="3"/>
        <v>4</v>
      </c>
      <c r="D126" cm="1">
        <f t="array" ref="D126">INDEX('Linha 07'!$A$4:$A$1000,B126)</f>
        <v>20150014</v>
      </c>
      <c r="E126" t="str" cm="1">
        <f t="array" ref="E126">INDEX('Linha 07'!$B$4:$B$1000,B126)</f>
        <v>Amac. Conc. Aquafast Branco Ternura Cx/ 12 X 1l</v>
      </c>
      <c r="F126" cm="1">
        <f t="array" ref="F126">INDEX('Linha 07'!$C$3:$ZZ$3,C126)</f>
        <v>20150008</v>
      </c>
      <c r="G126" t="str" cm="1">
        <f t="array" ref="G126">INDEX('Linha 07'!$C$2:$ZZ$2,C126)</f>
        <v>Amac. Conc. Aquafast Rosa Romance Cx/ 12 X 1l</v>
      </c>
      <c r="H126" s="5" cm="1">
        <f t="array" ref="H126">INDEX('Linha 07'!$C$4:$ZZ$1000,B126,C126)</f>
        <v>0</v>
      </c>
    </row>
    <row r="127" spans="1:8" x14ac:dyDescent="0.25">
      <c r="A127">
        <v>125</v>
      </c>
      <c r="B127">
        <f t="shared" si="2"/>
        <v>7</v>
      </c>
      <c r="C127">
        <f t="shared" si="3"/>
        <v>5</v>
      </c>
      <c r="D127" cm="1">
        <f t="array" ref="D127">INDEX('Linha 07'!$A$4:$A$1000,B127)</f>
        <v>20150014</v>
      </c>
      <c r="E127" t="str" cm="1">
        <f t="array" ref="E127">INDEX('Linha 07'!$B$4:$B$1000,B127)</f>
        <v>Amac. Conc. Aquafast Branco Ternura Cx/ 12 X 1l</v>
      </c>
      <c r="F127" cm="1">
        <f t="array" ref="F127">INDEX('Linha 07'!$C$3:$ZZ$3,C127)</f>
        <v>20150011</v>
      </c>
      <c r="G127" t="str" cm="1">
        <f t="array" ref="G127">INDEX('Linha 07'!$C$2:$ZZ$2,C127)</f>
        <v>Amac. Conc. Aquafast Vermelho Seducao Cx/ 12 X 1l</v>
      </c>
      <c r="H127" s="5" cm="1">
        <f t="array" ref="H127">INDEX('Linha 07'!$C$4:$ZZ$1000,B127,C127)</f>
        <v>0</v>
      </c>
    </row>
    <row r="128" spans="1:8" x14ac:dyDescent="0.25">
      <c r="A128">
        <v>126</v>
      </c>
      <c r="B128">
        <f t="shared" si="2"/>
        <v>7</v>
      </c>
      <c r="C128">
        <f t="shared" si="3"/>
        <v>6</v>
      </c>
      <c r="D128" cm="1">
        <f t="array" ref="D128">INDEX('Linha 07'!$A$4:$A$1000,B128)</f>
        <v>20150014</v>
      </c>
      <c r="E128" t="str" cm="1">
        <f t="array" ref="E128">INDEX('Linha 07'!$B$4:$B$1000,B128)</f>
        <v>Amac. Conc. Aquafast Branco Ternura Cx/ 12 X 1l</v>
      </c>
      <c r="F128" cm="1">
        <f t="array" ref="F128">INDEX('Linha 07'!$C$3:$ZZ$3,C128)</f>
        <v>20150013</v>
      </c>
      <c r="G128" t="str" cm="1">
        <f t="array" ref="G128">INDEX('Linha 07'!$C$2:$ZZ$2,C128)</f>
        <v>Amac. Conc. Aquafast Branco Ternura Cx/12 X 500ml</v>
      </c>
      <c r="H128" s="5" cm="1">
        <f t="array" ref="H128">INDEX('Linha 07'!$C$4:$ZZ$1000,B128,C128)</f>
        <v>0</v>
      </c>
    </row>
    <row r="129" spans="1:8" x14ac:dyDescent="0.25">
      <c r="A129">
        <v>127</v>
      </c>
      <c r="B129">
        <f t="shared" si="2"/>
        <v>7</v>
      </c>
      <c r="C129">
        <f t="shared" si="3"/>
        <v>7</v>
      </c>
      <c r="D129" cm="1">
        <f t="array" ref="D129">INDEX('Linha 07'!$A$4:$A$1000,B129)</f>
        <v>20150014</v>
      </c>
      <c r="E129" t="str" cm="1">
        <f t="array" ref="E129">INDEX('Linha 07'!$B$4:$B$1000,B129)</f>
        <v>Amac. Conc. Aquafast Branco Ternura Cx/ 12 X 1l</v>
      </c>
      <c r="F129" cm="1">
        <f t="array" ref="F129">INDEX('Linha 07'!$C$3:$ZZ$3,C129)</f>
        <v>20150014</v>
      </c>
      <c r="G129" t="str" cm="1">
        <f t="array" ref="G129">INDEX('Linha 07'!$C$2:$ZZ$2,C129)</f>
        <v>Amac. Conc. Aquafast Branco Ternura Cx/ 12 X 1l</v>
      </c>
      <c r="H129" s="5" cm="1">
        <f t="array" ref="H129">INDEX('Linha 07'!$C$4:$ZZ$1000,B129,C129)</f>
        <v>0</v>
      </c>
    </row>
    <row r="130" spans="1:8" x14ac:dyDescent="0.25">
      <c r="A130">
        <v>128</v>
      </c>
      <c r="B130">
        <f t="shared" si="2"/>
        <v>7</v>
      </c>
      <c r="C130">
        <f t="shared" si="3"/>
        <v>8</v>
      </c>
      <c r="D130" cm="1">
        <f t="array" ref="D130">INDEX('Linha 07'!$A$4:$A$1000,B130)</f>
        <v>20150014</v>
      </c>
      <c r="E130" t="str" cm="1">
        <f t="array" ref="E130">INDEX('Linha 07'!$B$4:$B$1000,B130)</f>
        <v>Amac. Conc. Aquafast Branco Ternura Cx/ 12 X 1l</v>
      </c>
      <c r="F130" cm="1">
        <f t="array" ref="F130">INDEX('Linha 07'!$C$3:$ZZ$3,C130)</f>
        <v>20150021</v>
      </c>
      <c r="G130" t="str" cm="1">
        <f t="array" ref="G130">INDEX('Linha 07'!$C$2:$ZZ$2,C130)</f>
        <v>Amac. Conc. Aquafast Azul Harmonia Cx/ 09 X 1,5l</v>
      </c>
      <c r="H130" s="5" cm="1">
        <f t="array" ref="H130">INDEX('Linha 07'!$C$4:$ZZ$1000,B130,C130)</f>
        <v>0</v>
      </c>
    </row>
    <row r="131" spans="1:8" x14ac:dyDescent="0.25">
      <c r="A131">
        <v>129</v>
      </c>
      <c r="B131">
        <f t="shared" si="2"/>
        <v>7</v>
      </c>
      <c r="C131">
        <f t="shared" si="3"/>
        <v>9</v>
      </c>
      <c r="D131" cm="1">
        <f t="array" ref="D131">INDEX('Linha 07'!$A$4:$A$1000,B131)</f>
        <v>20150014</v>
      </c>
      <c r="E131" t="str" cm="1">
        <f t="array" ref="E131">INDEX('Linha 07'!$B$4:$B$1000,B131)</f>
        <v>Amac. Conc. Aquafast Branco Ternura Cx/ 12 X 1l</v>
      </c>
      <c r="F131" cm="1">
        <f t="array" ref="F131">INDEX('Linha 07'!$C$3:$ZZ$3,C131)</f>
        <v>20150022</v>
      </c>
      <c r="G131" t="str" cm="1">
        <f t="array" ref="G131">INDEX('Linha 07'!$C$2:$ZZ$2,C131)</f>
        <v>Amac. Conc. Aquafast Rosa Romance Cx C/ 09 X 1,5l</v>
      </c>
      <c r="H131" s="5" cm="1">
        <f t="array" ref="H131">INDEX('Linha 07'!$C$4:$ZZ$1000,B131,C131)</f>
        <v>0</v>
      </c>
    </row>
    <row r="132" spans="1:8" x14ac:dyDescent="0.25">
      <c r="A132">
        <v>130</v>
      </c>
      <c r="B132">
        <f t="shared" ref="B132:B195" si="4">INT((A132-1)/$B$1)+1</f>
        <v>7</v>
      </c>
      <c r="C132">
        <f t="shared" ref="C132:C195" si="5">MOD(A132-1,$B$1)+1</f>
        <v>10</v>
      </c>
      <c r="D132" cm="1">
        <f t="array" ref="D132">INDEX('Linha 07'!$A$4:$A$1000,B132)</f>
        <v>20150014</v>
      </c>
      <c r="E132" t="str" cm="1">
        <f t="array" ref="E132">INDEX('Linha 07'!$B$4:$B$1000,B132)</f>
        <v>Amac. Conc. Aquafast Branco Ternura Cx/ 12 X 1l</v>
      </c>
      <c r="F132" cm="1">
        <f t="array" ref="F132">INDEX('Linha 07'!$C$3:$ZZ$3,C132)</f>
        <v>20150023</v>
      </c>
      <c r="G132" t="str" cm="1">
        <f t="array" ref="G132">INDEX('Linha 07'!$C$2:$ZZ$2,C132)</f>
        <v>Amac. Conc. Aquafast Branco Ternura Cx C/ 09 X 1,5l</v>
      </c>
      <c r="H132" s="5" cm="1">
        <f t="array" ref="H132">INDEX('Linha 07'!$C$4:$ZZ$1000,B132,C132)</f>
        <v>0</v>
      </c>
    </row>
    <row r="133" spans="1:8" x14ac:dyDescent="0.25">
      <c r="A133">
        <v>131</v>
      </c>
      <c r="B133">
        <f t="shared" si="4"/>
        <v>7</v>
      </c>
      <c r="C133">
        <f t="shared" si="5"/>
        <v>11</v>
      </c>
      <c r="D133" cm="1">
        <f t="array" ref="D133">INDEX('Linha 07'!$A$4:$A$1000,B133)</f>
        <v>20150014</v>
      </c>
      <c r="E133" t="str" cm="1">
        <f t="array" ref="E133">INDEX('Linha 07'!$B$4:$B$1000,B133)</f>
        <v>Amac. Conc. Aquafast Branco Ternura Cx/ 12 X 1l</v>
      </c>
      <c r="F133" cm="1">
        <f t="array" ref="F133">INDEX('Linha 07'!$C$3:$ZZ$3,C133)</f>
        <v>20150024</v>
      </c>
      <c r="G133" t="str" cm="1">
        <f t="array" ref="G133">INDEX('Linha 07'!$C$2:$ZZ$2,C133)</f>
        <v>Amac. Conc. Aquafast Vermelho Seduc Cx C/ 09 X 1,5l</v>
      </c>
      <c r="H133" s="5" cm="1">
        <f t="array" ref="H133">INDEX('Linha 07'!$C$4:$ZZ$1000,B133,C133)</f>
        <v>0</v>
      </c>
    </row>
    <row r="134" spans="1:8" x14ac:dyDescent="0.25">
      <c r="A134">
        <v>132</v>
      </c>
      <c r="B134">
        <f t="shared" si="4"/>
        <v>7</v>
      </c>
      <c r="C134">
        <f t="shared" si="5"/>
        <v>12</v>
      </c>
      <c r="D134" cm="1">
        <f t="array" ref="D134">INDEX('Linha 07'!$A$4:$A$1000,B134)</f>
        <v>20150014</v>
      </c>
      <c r="E134" t="str" cm="1">
        <f t="array" ref="E134">INDEX('Linha 07'!$B$4:$B$1000,B134)</f>
        <v>Amac. Conc. Aquafast Branco Ternura Cx/ 12 X 1l</v>
      </c>
      <c r="F134" cm="1">
        <f t="array" ref="F134">INDEX('Linha 07'!$C$3:$ZZ$3,C134)</f>
        <v>20150035</v>
      </c>
      <c r="G134" t="str" cm="1">
        <f t="array" ref="G134">INDEX('Linha 07'!$C$2:$ZZ$2,C134)</f>
        <v>Amac. Conc. Aquafast Lilas Misterio Cx/ 12 X 1l</v>
      </c>
      <c r="H134" s="5" cm="1">
        <f t="array" ref="H134">INDEX('Linha 07'!$C$4:$ZZ$1000,B134,C134)</f>
        <v>0</v>
      </c>
    </row>
    <row r="135" spans="1:8" x14ac:dyDescent="0.25">
      <c r="A135">
        <v>133</v>
      </c>
      <c r="B135">
        <f t="shared" si="4"/>
        <v>7</v>
      </c>
      <c r="C135">
        <f t="shared" si="5"/>
        <v>13</v>
      </c>
      <c r="D135" cm="1">
        <f t="array" ref="D135">INDEX('Linha 07'!$A$4:$A$1000,B135)</f>
        <v>20150014</v>
      </c>
      <c r="E135" t="str" cm="1">
        <f t="array" ref="E135">INDEX('Linha 07'!$B$4:$B$1000,B135)</f>
        <v>Amac. Conc. Aquafast Branco Ternura Cx/ 12 X 1l</v>
      </c>
      <c r="F135" cm="1">
        <f t="array" ref="F135">INDEX('Linha 07'!$C$3:$ZZ$3,C135)</f>
        <v>20150053</v>
      </c>
      <c r="G135" t="str" cm="1">
        <f t="array" ref="G135">INDEX('Linha 07'!$C$2:$ZZ$2,C135)</f>
        <v>Amac. Conc. Aquafast Lilas Misterio Cx C/ 09 X 1,5l</v>
      </c>
      <c r="H135" s="5" cm="1">
        <f t="array" ref="H135">INDEX('Linha 07'!$C$4:$ZZ$1000,B135,C135)</f>
        <v>0</v>
      </c>
    </row>
    <row r="136" spans="1:8" x14ac:dyDescent="0.25">
      <c r="A136">
        <v>134</v>
      </c>
      <c r="B136">
        <f t="shared" si="4"/>
        <v>7</v>
      </c>
      <c r="C136">
        <f t="shared" si="5"/>
        <v>14</v>
      </c>
      <c r="D136" cm="1">
        <f t="array" ref="D136">INDEX('Linha 07'!$A$4:$A$1000,B136)</f>
        <v>20150014</v>
      </c>
      <c r="E136" t="str" cm="1">
        <f t="array" ref="E136">INDEX('Linha 07'!$B$4:$B$1000,B136)</f>
        <v>Amac. Conc. Aquafast Branco Ternura Cx/ 12 X 1l</v>
      </c>
      <c r="F136" cm="1">
        <f t="array" ref="F136">INDEX('Linha 07'!$C$3:$ZZ$3,C136)</f>
        <v>20150055</v>
      </c>
      <c r="G136" t="str" cm="1">
        <f t="array" ref="G136">INDEX('Linha 07'!$C$2:$ZZ$2,C136)</f>
        <v>Intermed Pack Amac Conc Aquafast Branco Ternura Cx/12 X 1l</v>
      </c>
      <c r="H136" s="5" cm="1">
        <f t="array" ref="H136">INDEX('Linha 07'!$C$4:$ZZ$1000,B136,C136)</f>
        <v>0</v>
      </c>
    </row>
    <row r="137" spans="1:8" x14ac:dyDescent="0.25">
      <c r="A137">
        <v>135</v>
      </c>
      <c r="B137">
        <f t="shared" si="4"/>
        <v>7</v>
      </c>
      <c r="C137">
        <f t="shared" si="5"/>
        <v>15</v>
      </c>
      <c r="D137" cm="1">
        <f t="array" ref="D137">INDEX('Linha 07'!$A$4:$A$1000,B137)</f>
        <v>20150014</v>
      </c>
      <c r="E137" t="str" cm="1">
        <f t="array" ref="E137">INDEX('Linha 07'!$B$4:$B$1000,B137)</f>
        <v>Amac. Conc. Aquafast Branco Ternura Cx/ 12 X 1l</v>
      </c>
      <c r="F137" cm="1">
        <f t="array" ref="F137">INDEX('Linha 07'!$C$3:$ZZ$3,C137)</f>
        <v>20150057</v>
      </c>
      <c r="G137" t="str" cm="1">
        <f t="array" ref="G137">INDEX('Linha 07'!$C$2:$ZZ$2,C137)</f>
        <v>Intermed Pack Amac Conc Aquafast Azul Harmonia Cx/12 X 1l</v>
      </c>
      <c r="H137" s="5" cm="1">
        <f t="array" ref="H137">INDEX('Linha 07'!$C$4:$ZZ$1000,B137,C137)</f>
        <v>0</v>
      </c>
    </row>
    <row r="138" spans="1:8" x14ac:dyDescent="0.25">
      <c r="A138">
        <v>136</v>
      </c>
      <c r="B138">
        <f t="shared" si="4"/>
        <v>7</v>
      </c>
      <c r="C138">
        <f t="shared" si="5"/>
        <v>16</v>
      </c>
      <c r="D138" cm="1">
        <f t="array" ref="D138">INDEX('Linha 07'!$A$4:$A$1000,B138)</f>
        <v>20150014</v>
      </c>
      <c r="E138" t="str" cm="1">
        <f t="array" ref="E138">INDEX('Linha 07'!$B$4:$B$1000,B138)</f>
        <v>Amac. Conc. Aquafast Branco Ternura Cx/ 12 X 1l</v>
      </c>
      <c r="F138" cm="1">
        <f t="array" ref="F138">INDEX('Linha 07'!$C$3:$ZZ$3,C138)</f>
        <v>20150058</v>
      </c>
      <c r="G138" t="str" cm="1">
        <f t="array" ref="G138">INDEX('Linha 07'!$C$2:$ZZ$2,C138)</f>
        <v>Amac. Conc. Aquafast Br. Ternura Cx C/ 09 X 1,5l Promocional</v>
      </c>
      <c r="H138" s="5" cm="1">
        <f t="array" ref="H138">INDEX('Linha 07'!$C$4:$ZZ$1000,B138,C138)</f>
        <v>0</v>
      </c>
    </row>
    <row r="139" spans="1:8" x14ac:dyDescent="0.25">
      <c r="A139">
        <v>137</v>
      </c>
      <c r="B139">
        <f t="shared" si="4"/>
        <v>7</v>
      </c>
      <c r="C139">
        <f t="shared" si="5"/>
        <v>17</v>
      </c>
      <c r="D139" cm="1">
        <f t="array" ref="D139">INDEX('Linha 07'!$A$4:$A$1000,B139)</f>
        <v>20150014</v>
      </c>
      <c r="E139" t="str" cm="1">
        <f t="array" ref="E139">INDEX('Linha 07'!$B$4:$B$1000,B139)</f>
        <v>Amac. Conc. Aquafast Branco Ternura Cx/ 12 X 1l</v>
      </c>
      <c r="F139" cm="1">
        <f t="array" ref="F139">INDEX('Linha 07'!$C$3:$ZZ$3,C139)</f>
        <v>20150059</v>
      </c>
      <c r="G139" t="str" cm="1">
        <f t="array" ref="G139">INDEX('Linha 07'!$C$2:$ZZ$2,C139)</f>
        <v>Amac. Conc. Aquafast Az. Harmonia Cxc/ 09 X 1,5l Promocional</v>
      </c>
      <c r="H139" s="5" cm="1">
        <f t="array" ref="H139">INDEX('Linha 07'!$C$4:$ZZ$1000,B139,C139)</f>
        <v>0</v>
      </c>
    </row>
    <row r="140" spans="1:8" x14ac:dyDescent="0.25">
      <c r="A140">
        <v>138</v>
      </c>
      <c r="B140">
        <f t="shared" si="4"/>
        <v>7</v>
      </c>
      <c r="C140">
        <f t="shared" si="5"/>
        <v>18</v>
      </c>
      <c r="D140" cm="1">
        <f t="array" ref="D140">INDEX('Linha 07'!$A$4:$A$1000,B140)</f>
        <v>20150014</v>
      </c>
      <c r="E140" t="str" cm="1">
        <f t="array" ref="E140">INDEX('Linha 07'!$B$4:$B$1000,B140)</f>
        <v>Amac. Conc. Aquafast Branco Ternura Cx/ 12 X 1l</v>
      </c>
      <c r="F140" cm="1">
        <f t="array" ref="F140">INDEX('Linha 07'!$C$3:$ZZ$3,C140)</f>
        <v>20150068</v>
      </c>
      <c r="G140" t="str" cm="1">
        <f t="array" ref="G140">INDEX('Linha 07'!$C$2:$ZZ$2,C140)</f>
        <v>Amac. Conc. Aquafast Lilas Misterio Cx C/ 09 X 1,5l Promo</v>
      </c>
      <c r="H140" s="5" cm="1">
        <f t="array" ref="H140">INDEX('Linha 07'!$C$4:$ZZ$1000,B140,C140)</f>
        <v>0</v>
      </c>
    </row>
    <row r="141" spans="1:8" x14ac:dyDescent="0.25">
      <c r="A141">
        <v>139</v>
      </c>
      <c r="B141">
        <f t="shared" si="4"/>
        <v>7</v>
      </c>
      <c r="C141">
        <f t="shared" si="5"/>
        <v>19</v>
      </c>
      <c r="D141" cm="1">
        <f t="array" ref="D141">INDEX('Linha 07'!$A$4:$A$1000,B141)</f>
        <v>20150014</v>
      </c>
      <c r="E141" t="str" cm="1">
        <f t="array" ref="E141">INDEX('Linha 07'!$B$4:$B$1000,B141)</f>
        <v>Amac. Conc. Aquafast Branco Ternura Cx/ 12 X 1l</v>
      </c>
      <c r="F141" cm="1">
        <f t="array" ref="F141">INDEX('Linha 07'!$C$3:$ZZ$3,C141)</f>
        <v>20150069</v>
      </c>
      <c r="G141" t="str" cm="1">
        <f t="array" ref="G141">INDEX('Linha 07'!$C$2:$ZZ$2,C141)</f>
        <v>Amac. Conc. Aquafast Vermelho Seducao Cx C/ 09 X 1,5l Promo</v>
      </c>
      <c r="H141" s="5" cm="1">
        <f t="array" ref="H141">INDEX('Linha 07'!$C$4:$ZZ$1000,B141,C141)</f>
        <v>0</v>
      </c>
    </row>
    <row r="142" spans="1:8" x14ac:dyDescent="0.25">
      <c r="A142">
        <v>140</v>
      </c>
      <c r="B142">
        <f t="shared" si="4"/>
        <v>7</v>
      </c>
      <c r="C142">
        <f t="shared" si="5"/>
        <v>20</v>
      </c>
      <c r="D142" cm="1">
        <f t="array" ref="D142">INDEX('Linha 07'!$A$4:$A$1000,B142)</f>
        <v>20150014</v>
      </c>
      <c r="E142" t="str" cm="1">
        <f t="array" ref="E142">INDEX('Linha 07'!$B$4:$B$1000,B142)</f>
        <v>Amac. Conc. Aquafast Branco Ternura Cx/ 12 X 1l</v>
      </c>
      <c r="F142" cm="1">
        <f t="array" ref="F142">INDEX('Linha 07'!$C$3:$ZZ$3,C142)</f>
        <v>20150070</v>
      </c>
      <c r="G142" t="str" cm="1">
        <f t="array" ref="G142">INDEX('Linha 07'!$C$2:$ZZ$2,C142)</f>
        <v>Amac. Conc. Aquafast Rosa Romance Cx C/ 09 X 1,5l Promo</v>
      </c>
      <c r="H142" s="5" cm="1">
        <f t="array" ref="H142">INDEX('Linha 07'!$C$4:$ZZ$1000,B142,C142)</f>
        <v>0</v>
      </c>
    </row>
    <row r="143" spans="1:8" x14ac:dyDescent="0.25">
      <c r="A143">
        <v>141</v>
      </c>
      <c r="B143">
        <f t="shared" si="4"/>
        <v>8</v>
      </c>
      <c r="C143">
        <f t="shared" si="5"/>
        <v>1</v>
      </c>
      <c r="D143" cm="1">
        <f t="array" ref="D143">INDEX('Linha 07'!$A$4:$A$1000,B143)</f>
        <v>20150021</v>
      </c>
      <c r="E143" t="str" cm="1">
        <f t="array" ref="E143">INDEX('Linha 07'!$B$4:$B$1000,B143)</f>
        <v>Amac. Conc. Aquafast Azul Harmonia Cx/ 09 X 1,5l</v>
      </c>
      <c r="F143" cm="1">
        <f t="array" ref="F143">INDEX('Linha 07'!$C$3:$ZZ$3,C143)</f>
        <v>20150001</v>
      </c>
      <c r="G143" t="str" cm="1">
        <f t="array" ref="G143">INDEX('Linha 07'!$C$2:$ZZ$2,C143)</f>
        <v>Amac. Conc. Aquafast Azul Harmonia Cx/12 X 500ml</v>
      </c>
      <c r="H143" s="5" cm="1">
        <f t="array" ref="H143">INDEX('Linha 07'!$C$4:$ZZ$1000,B143,C143)</f>
        <v>0</v>
      </c>
    </row>
    <row r="144" spans="1:8" x14ac:dyDescent="0.25">
      <c r="A144">
        <v>142</v>
      </c>
      <c r="B144">
        <f t="shared" si="4"/>
        <v>8</v>
      </c>
      <c r="C144">
        <f t="shared" si="5"/>
        <v>2</v>
      </c>
      <c r="D144" cm="1">
        <f t="array" ref="D144">INDEX('Linha 07'!$A$4:$A$1000,B144)</f>
        <v>20150021</v>
      </c>
      <c r="E144" t="str" cm="1">
        <f t="array" ref="E144">INDEX('Linha 07'!$B$4:$B$1000,B144)</f>
        <v>Amac. Conc. Aquafast Azul Harmonia Cx/ 09 X 1,5l</v>
      </c>
      <c r="F144" cm="1">
        <f t="array" ref="F144">INDEX('Linha 07'!$C$3:$ZZ$3,C144)</f>
        <v>20150005</v>
      </c>
      <c r="G144" t="str" cm="1">
        <f t="array" ref="G144">INDEX('Linha 07'!$C$2:$ZZ$2,C144)</f>
        <v>Amac. Conc. Aquafast Vermelho Seducao Cx/12 X 500ml</v>
      </c>
      <c r="H144" s="5" cm="1">
        <f t="array" ref="H144">INDEX('Linha 07'!$C$4:$ZZ$1000,B144,C144)</f>
        <v>0</v>
      </c>
    </row>
    <row r="145" spans="1:8" x14ac:dyDescent="0.25">
      <c r="A145">
        <v>143</v>
      </c>
      <c r="B145">
        <f t="shared" si="4"/>
        <v>8</v>
      </c>
      <c r="C145">
        <f t="shared" si="5"/>
        <v>3</v>
      </c>
      <c r="D145" cm="1">
        <f t="array" ref="D145">INDEX('Linha 07'!$A$4:$A$1000,B145)</f>
        <v>20150021</v>
      </c>
      <c r="E145" t="str" cm="1">
        <f t="array" ref="E145">INDEX('Linha 07'!$B$4:$B$1000,B145)</f>
        <v>Amac. Conc. Aquafast Azul Harmonia Cx/ 09 X 1,5l</v>
      </c>
      <c r="F145" cm="1">
        <f t="array" ref="F145">INDEX('Linha 07'!$C$3:$ZZ$3,C145)</f>
        <v>20150007</v>
      </c>
      <c r="G145" t="str" cm="1">
        <f t="array" ref="G145">INDEX('Linha 07'!$C$2:$ZZ$2,C145)</f>
        <v>Amac. Conc. Aquafast Azul Harmonia Cx/ 12 X 1l</v>
      </c>
      <c r="H145" s="5" cm="1">
        <f t="array" ref="H145">INDEX('Linha 07'!$C$4:$ZZ$1000,B145,C145)</f>
        <v>0</v>
      </c>
    </row>
    <row r="146" spans="1:8" x14ac:dyDescent="0.25">
      <c r="A146">
        <v>144</v>
      </c>
      <c r="B146">
        <f t="shared" si="4"/>
        <v>8</v>
      </c>
      <c r="C146">
        <f t="shared" si="5"/>
        <v>4</v>
      </c>
      <c r="D146" cm="1">
        <f t="array" ref="D146">INDEX('Linha 07'!$A$4:$A$1000,B146)</f>
        <v>20150021</v>
      </c>
      <c r="E146" t="str" cm="1">
        <f t="array" ref="E146">INDEX('Linha 07'!$B$4:$B$1000,B146)</f>
        <v>Amac. Conc. Aquafast Azul Harmonia Cx/ 09 X 1,5l</v>
      </c>
      <c r="F146" cm="1">
        <f t="array" ref="F146">INDEX('Linha 07'!$C$3:$ZZ$3,C146)</f>
        <v>20150008</v>
      </c>
      <c r="G146" t="str" cm="1">
        <f t="array" ref="G146">INDEX('Linha 07'!$C$2:$ZZ$2,C146)</f>
        <v>Amac. Conc. Aquafast Rosa Romance Cx/ 12 X 1l</v>
      </c>
      <c r="H146" s="5" cm="1">
        <f t="array" ref="H146">INDEX('Linha 07'!$C$4:$ZZ$1000,B146,C146)</f>
        <v>0</v>
      </c>
    </row>
    <row r="147" spans="1:8" x14ac:dyDescent="0.25">
      <c r="A147">
        <v>145</v>
      </c>
      <c r="B147">
        <f t="shared" si="4"/>
        <v>8</v>
      </c>
      <c r="C147">
        <f t="shared" si="5"/>
        <v>5</v>
      </c>
      <c r="D147" cm="1">
        <f t="array" ref="D147">INDEX('Linha 07'!$A$4:$A$1000,B147)</f>
        <v>20150021</v>
      </c>
      <c r="E147" t="str" cm="1">
        <f t="array" ref="E147">INDEX('Linha 07'!$B$4:$B$1000,B147)</f>
        <v>Amac. Conc. Aquafast Azul Harmonia Cx/ 09 X 1,5l</v>
      </c>
      <c r="F147" cm="1">
        <f t="array" ref="F147">INDEX('Linha 07'!$C$3:$ZZ$3,C147)</f>
        <v>20150011</v>
      </c>
      <c r="G147" t="str" cm="1">
        <f t="array" ref="G147">INDEX('Linha 07'!$C$2:$ZZ$2,C147)</f>
        <v>Amac. Conc. Aquafast Vermelho Seducao Cx/ 12 X 1l</v>
      </c>
      <c r="H147" s="5" cm="1">
        <f t="array" ref="H147">INDEX('Linha 07'!$C$4:$ZZ$1000,B147,C147)</f>
        <v>0</v>
      </c>
    </row>
    <row r="148" spans="1:8" x14ac:dyDescent="0.25">
      <c r="A148">
        <v>146</v>
      </c>
      <c r="B148">
        <f t="shared" si="4"/>
        <v>8</v>
      </c>
      <c r="C148">
        <f t="shared" si="5"/>
        <v>6</v>
      </c>
      <c r="D148" cm="1">
        <f t="array" ref="D148">INDEX('Linha 07'!$A$4:$A$1000,B148)</f>
        <v>20150021</v>
      </c>
      <c r="E148" t="str" cm="1">
        <f t="array" ref="E148">INDEX('Linha 07'!$B$4:$B$1000,B148)</f>
        <v>Amac. Conc. Aquafast Azul Harmonia Cx/ 09 X 1,5l</v>
      </c>
      <c r="F148" cm="1">
        <f t="array" ref="F148">INDEX('Linha 07'!$C$3:$ZZ$3,C148)</f>
        <v>20150013</v>
      </c>
      <c r="G148" t="str" cm="1">
        <f t="array" ref="G148">INDEX('Linha 07'!$C$2:$ZZ$2,C148)</f>
        <v>Amac. Conc. Aquafast Branco Ternura Cx/12 X 500ml</v>
      </c>
      <c r="H148" s="5" cm="1">
        <f t="array" ref="H148">INDEX('Linha 07'!$C$4:$ZZ$1000,B148,C148)</f>
        <v>0</v>
      </c>
    </row>
    <row r="149" spans="1:8" x14ac:dyDescent="0.25">
      <c r="A149">
        <v>147</v>
      </c>
      <c r="B149">
        <f t="shared" si="4"/>
        <v>8</v>
      </c>
      <c r="C149">
        <f t="shared" si="5"/>
        <v>7</v>
      </c>
      <c r="D149" cm="1">
        <f t="array" ref="D149">INDEX('Linha 07'!$A$4:$A$1000,B149)</f>
        <v>20150021</v>
      </c>
      <c r="E149" t="str" cm="1">
        <f t="array" ref="E149">INDEX('Linha 07'!$B$4:$B$1000,B149)</f>
        <v>Amac. Conc. Aquafast Azul Harmonia Cx/ 09 X 1,5l</v>
      </c>
      <c r="F149" cm="1">
        <f t="array" ref="F149">INDEX('Linha 07'!$C$3:$ZZ$3,C149)</f>
        <v>20150014</v>
      </c>
      <c r="G149" t="str" cm="1">
        <f t="array" ref="G149">INDEX('Linha 07'!$C$2:$ZZ$2,C149)</f>
        <v>Amac. Conc. Aquafast Branco Ternura Cx/ 12 X 1l</v>
      </c>
      <c r="H149" s="5" cm="1">
        <f t="array" ref="H149">INDEX('Linha 07'!$C$4:$ZZ$1000,B149,C149)</f>
        <v>0</v>
      </c>
    </row>
    <row r="150" spans="1:8" x14ac:dyDescent="0.25">
      <c r="A150">
        <v>148</v>
      </c>
      <c r="B150">
        <f t="shared" si="4"/>
        <v>8</v>
      </c>
      <c r="C150">
        <f t="shared" si="5"/>
        <v>8</v>
      </c>
      <c r="D150" cm="1">
        <f t="array" ref="D150">INDEX('Linha 07'!$A$4:$A$1000,B150)</f>
        <v>20150021</v>
      </c>
      <c r="E150" t="str" cm="1">
        <f t="array" ref="E150">INDEX('Linha 07'!$B$4:$B$1000,B150)</f>
        <v>Amac. Conc. Aquafast Azul Harmonia Cx/ 09 X 1,5l</v>
      </c>
      <c r="F150" cm="1">
        <f t="array" ref="F150">INDEX('Linha 07'!$C$3:$ZZ$3,C150)</f>
        <v>20150021</v>
      </c>
      <c r="G150" t="str" cm="1">
        <f t="array" ref="G150">INDEX('Linha 07'!$C$2:$ZZ$2,C150)</f>
        <v>Amac. Conc. Aquafast Azul Harmonia Cx/ 09 X 1,5l</v>
      </c>
      <c r="H150" s="5" cm="1">
        <f t="array" ref="H150">INDEX('Linha 07'!$C$4:$ZZ$1000,B150,C150)</f>
        <v>0</v>
      </c>
    </row>
    <row r="151" spans="1:8" x14ac:dyDescent="0.25">
      <c r="A151">
        <v>149</v>
      </c>
      <c r="B151">
        <f t="shared" si="4"/>
        <v>8</v>
      </c>
      <c r="C151">
        <f t="shared" si="5"/>
        <v>9</v>
      </c>
      <c r="D151" cm="1">
        <f t="array" ref="D151">INDEX('Linha 07'!$A$4:$A$1000,B151)</f>
        <v>20150021</v>
      </c>
      <c r="E151" t="str" cm="1">
        <f t="array" ref="E151">INDEX('Linha 07'!$B$4:$B$1000,B151)</f>
        <v>Amac. Conc. Aquafast Azul Harmonia Cx/ 09 X 1,5l</v>
      </c>
      <c r="F151" cm="1">
        <f t="array" ref="F151">INDEX('Linha 07'!$C$3:$ZZ$3,C151)</f>
        <v>20150022</v>
      </c>
      <c r="G151" t="str" cm="1">
        <f t="array" ref="G151">INDEX('Linha 07'!$C$2:$ZZ$2,C151)</f>
        <v>Amac. Conc. Aquafast Rosa Romance Cx C/ 09 X 1,5l</v>
      </c>
      <c r="H151" s="5" cm="1">
        <f t="array" ref="H151">INDEX('Linha 07'!$C$4:$ZZ$1000,B151,C151)</f>
        <v>0</v>
      </c>
    </row>
    <row r="152" spans="1:8" x14ac:dyDescent="0.25">
      <c r="A152">
        <v>150</v>
      </c>
      <c r="B152">
        <f t="shared" si="4"/>
        <v>8</v>
      </c>
      <c r="C152">
        <f t="shared" si="5"/>
        <v>10</v>
      </c>
      <c r="D152" cm="1">
        <f t="array" ref="D152">INDEX('Linha 07'!$A$4:$A$1000,B152)</f>
        <v>20150021</v>
      </c>
      <c r="E152" t="str" cm="1">
        <f t="array" ref="E152">INDEX('Linha 07'!$B$4:$B$1000,B152)</f>
        <v>Amac. Conc. Aquafast Azul Harmonia Cx/ 09 X 1,5l</v>
      </c>
      <c r="F152" cm="1">
        <f t="array" ref="F152">INDEX('Linha 07'!$C$3:$ZZ$3,C152)</f>
        <v>20150023</v>
      </c>
      <c r="G152" t="str" cm="1">
        <f t="array" ref="G152">INDEX('Linha 07'!$C$2:$ZZ$2,C152)</f>
        <v>Amac. Conc. Aquafast Branco Ternura Cx C/ 09 X 1,5l</v>
      </c>
      <c r="H152" s="5" cm="1">
        <f t="array" ref="H152">INDEX('Linha 07'!$C$4:$ZZ$1000,B152,C152)</f>
        <v>0</v>
      </c>
    </row>
    <row r="153" spans="1:8" x14ac:dyDescent="0.25">
      <c r="A153">
        <v>151</v>
      </c>
      <c r="B153">
        <f t="shared" si="4"/>
        <v>8</v>
      </c>
      <c r="C153">
        <f t="shared" si="5"/>
        <v>11</v>
      </c>
      <c r="D153" cm="1">
        <f t="array" ref="D153">INDEX('Linha 07'!$A$4:$A$1000,B153)</f>
        <v>20150021</v>
      </c>
      <c r="E153" t="str" cm="1">
        <f t="array" ref="E153">INDEX('Linha 07'!$B$4:$B$1000,B153)</f>
        <v>Amac. Conc. Aquafast Azul Harmonia Cx/ 09 X 1,5l</v>
      </c>
      <c r="F153" cm="1">
        <f t="array" ref="F153">INDEX('Linha 07'!$C$3:$ZZ$3,C153)</f>
        <v>20150024</v>
      </c>
      <c r="G153" t="str" cm="1">
        <f t="array" ref="G153">INDEX('Linha 07'!$C$2:$ZZ$2,C153)</f>
        <v>Amac. Conc. Aquafast Vermelho Seduc Cx C/ 09 X 1,5l</v>
      </c>
      <c r="H153" s="5" cm="1">
        <f t="array" ref="H153">INDEX('Linha 07'!$C$4:$ZZ$1000,B153,C153)</f>
        <v>0</v>
      </c>
    </row>
    <row r="154" spans="1:8" x14ac:dyDescent="0.25">
      <c r="A154">
        <v>152</v>
      </c>
      <c r="B154">
        <f t="shared" si="4"/>
        <v>8</v>
      </c>
      <c r="C154">
        <f t="shared" si="5"/>
        <v>12</v>
      </c>
      <c r="D154" cm="1">
        <f t="array" ref="D154">INDEX('Linha 07'!$A$4:$A$1000,B154)</f>
        <v>20150021</v>
      </c>
      <c r="E154" t="str" cm="1">
        <f t="array" ref="E154">INDEX('Linha 07'!$B$4:$B$1000,B154)</f>
        <v>Amac. Conc. Aquafast Azul Harmonia Cx/ 09 X 1,5l</v>
      </c>
      <c r="F154" cm="1">
        <f t="array" ref="F154">INDEX('Linha 07'!$C$3:$ZZ$3,C154)</f>
        <v>20150035</v>
      </c>
      <c r="G154" t="str" cm="1">
        <f t="array" ref="G154">INDEX('Linha 07'!$C$2:$ZZ$2,C154)</f>
        <v>Amac. Conc. Aquafast Lilas Misterio Cx/ 12 X 1l</v>
      </c>
      <c r="H154" s="5" cm="1">
        <f t="array" ref="H154">INDEX('Linha 07'!$C$4:$ZZ$1000,B154,C154)</f>
        <v>0</v>
      </c>
    </row>
    <row r="155" spans="1:8" x14ac:dyDescent="0.25">
      <c r="A155">
        <v>153</v>
      </c>
      <c r="B155">
        <f t="shared" si="4"/>
        <v>8</v>
      </c>
      <c r="C155">
        <f t="shared" si="5"/>
        <v>13</v>
      </c>
      <c r="D155" cm="1">
        <f t="array" ref="D155">INDEX('Linha 07'!$A$4:$A$1000,B155)</f>
        <v>20150021</v>
      </c>
      <c r="E155" t="str" cm="1">
        <f t="array" ref="E155">INDEX('Linha 07'!$B$4:$B$1000,B155)</f>
        <v>Amac. Conc. Aquafast Azul Harmonia Cx/ 09 X 1,5l</v>
      </c>
      <c r="F155" cm="1">
        <f t="array" ref="F155">INDEX('Linha 07'!$C$3:$ZZ$3,C155)</f>
        <v>20150053</v>
      </c>
      <c r="G155" t="str" cm="1">
        <f t="array" ref="G155">INDEX('Linha 07'!$C$2:$ZZ$2,C155)</f>
        <v>Amac. Conc. Aquafast Lilas Misterio Cx C/ 09 X 1,5l</v>
      </c>
      <c r="H155" s="5" cm="1">
        <f t="array" ref="H155">INDEX('Linha 07'!$C$4:$ZZ$1000,B155,C155)</f>
        <v>0</v>
      </c>
    </row>
    <row r="156" spans="1:8" x14ac:dyDescent="0.25">
      <c r="A156">
        <v>154</v>
      </c>
      <c r="B156">
        <f t="shared" si="4"/>
        <v>8</v>
      </c>
      <c r="C156">
        <f t="shared" si="5"/>
        <v>14</v>
      </c>
      <c r="D156" cm="1">
        <f t="array" ref="D156">INDEX('Linha 07'!$A$4:$A$1000,B156)</f>
        <v>20150021</v>
      </c>
      <c r="E156" t="str" cm="1">
        <f t="array" ref="E156">INDEX('Linha 07'!$B$4:$B$1000,B156)</f>
        <v>Amac. Conc. Aquafast Azul Harmonia Cx/ 09 X 1,5l</v>
      </c>
      <c r="F156" cm="1">
        <f t="array" ref="F156">INDEX('Linha 07'!$C$3:$ZZ$3,C156)</f>
        <v>20150055</v>
      </c>
      <c r="G156" t="str" cm="1">
        <f t="array" ref="G156">INDEX('Linha 07'!$C$2:$ZZ$2,C156)</f>
        <v>Intermed Pack Amac Conc Aquafast Branco Ternura Cx/12 X 1l</v>
      </c>
      <c r="H156" s="5" cm="1">
        <f t="array" ref="H156">INDEX('Linha 07'!$C$4:$ZZ$1000,B156,C156)</f>
        <v>0</v>
      </c>
    </row>
    <row r="157" spans="1:8" x14ac:dyDescent="0.25">
      <c r="A157">
        <v>155</v>
      </c>
      <c r="B157">
        <f t="shared" si="4"/>
        <v>8</v>
      </c>
      <c r="C157">
        <f t="shared" si="5"/>
        <v>15</v>
      </c>
      <c r="D157" cm="1">
        <f t="array" ref="D157">INDEX('Linha 07'!$A$4:$A$1000,B157)</f>
        <v>20150021</v>
      </c>
      <c r="E157" t="str" cm="1">
        <f t="array" ref="E157">INDEX('Linha 07'!$B$4:$B$1000,B157)</f>
        <v>Amac. Conc. Aquafast Azul Harmonia Cx/ 09 X 1,5l</v>
      </c>
      <c r="F157" cm="1">
        <f t="array" ref="F157">INDEX('Linha 07'!$C$3:$ZZ$3,C157)</f>
        <v>20150057</v>
      </c>
      <c r="G157" t="str" cm="1">
        <f t="array" ref="G157">INDEX('Linha 07'!$C$2:$ZZ$2,C157)</f>
        <v>Intermed Pack Amac Conc Aquafast Azul Harmonia Cx/12 X 1l</v>
      </c>
      <c r="H157" s="5" cm="1">
        <f t="array" ref="H157">INDEX('Linha 07'!$C$4:$ZZ$1000,B157,C157)</f>
        <v>0</v>
      </c>
    </row>
    <row r="158" spans="1:8" x14ac:dyDescent="0.25">
      <c r="A158">
        <v>156</v>
      </c>
      <c r="B158">
        <f t="shared" si="4"/>
        <v>8</v>
      </c>
      <c r="C158">
        <f t="shared" si="5"/>
        <v>16</v>
      </c>
      <c r="D158" cm="1">
        <f t="array" ref="D158">INDEX('Linha 07'!$A$4:$A$1000,B158)</f>
        <v>20150021</v>
      </c>
      <c r="E158" t="str" cm="1">
        <f t="array" ref="E158">INDEX('Linha 07'!$B$4:$B$1000,B158)</f>
        <v>Amac. Conc. Aquafast Azul Harmonia Cx/ 09 X 1,5l</v>
      </c>
      <c r="F158" cm="1">
        <f t="array" ref="F158">INDEX('Linha 07'!$C$3:$ZZ$3,C158)</f>
        <v>20150058</v>
      </c>
      <c r="G158" t="str" cm="1">
        <f t="array" ref="G158">INDEX('Linha 07'!$C$2:$ZZ$2,C158)</f>
        <v>Amac. Conc. Aquafast Br. Ternura Cx C/ 09 X 1,5l Promocional</v>
      </c>
      <c r="H158" s="5" cm="1">
        <f t="array" ref="H158">INDEX('Linha 07'!$C$4:$ZZ$1000,B158,C158)</f>
        <v>0</v>
      </c>
    </row>
    <row r="159" spans="1:8" x14ac:dyDescent="0.25">
      <c r="A159">
        <v>157</v>
      </c>
      <c r="B159">
        <f t="shared" si="4"/>
        <v>8</v>
      </c>
      <c r="C159">
        <f t="shared" si="5"/>
        <v>17</v>
      </c>
      <c r="D159" cm="1">
        <f t="array" ref="D159">INDEX('Linha 07'!$A$4:$A$1000,B159)</f>
        <v>20150021</v>
      </c>
      <c r="E159" t="str" cm="1">
        <f t="array" ref="E159">INDEX('Linha 07'!$B$4:$B$1000,B159)</f>
        <v>Amac. Conc. Aquafast Azul Harmonia Cx/ 09 X 1,5l</v>
      </c>
      <c r="F159" cm="1">
        <f t="array" ref="F159">INDEX('Linha 07'!$C$3:$ZZ$3,C159)</f>
        <v>20150059</v>
      </c>
      <c r="G159" t="str" cm="1">
        <f t="array" ref="G159">INDEX('Linha 07'!$C$2:$ZZ$2,C159)</f>
        <v>Amac. Conc. Aquafast Az. Harmonia Cxc/ 09 X 1,5l Promocional</v>
      </c>
      <c r="H159" s="5" cm="1">
        <f t="array" ref="H159">INDEX('Linha 07'!$C$4:$ZZ$1000,B159,C159)</f>
        <v>0</v>
      </c>
    </row>
    <row r="160" spans="1:8" x14ac:dyDescent="0.25">
      <c r="A160">
        <v>158</v>
      </c>
      <c r="B160">
        <f t="shared" si="4"/>
        <v>8</v>
      </c>
      <c r="C160">
        <f t="shared" si="5"/>
        <v>18</v>
      </c>
      <c r="D160" cm="1">
        <f t="array" ref="D160">INDEX('Linha 07'!$A$4:$A$1000,B160)</f>
        <v>20150021</v>
      </c>
      <c r="E160" t="str" cm="1">
        <f t="array" ref="E160">INDEX('Linha 07'!$B$4:$B$1000,B160)</f>
        <v>Amac. Conc. Aquafast Azul Harmonia Cx/ 09 X 1,5l</v>
      </c>
      <c r="F160" cm="1">
        <f t="array" ref="F160">INDEX('Linha 07'!$C$3:$ZZ$3,C160)</f>
        <v>20150068</v>
      </c>
      <c r="G160" t="str" cm="1">
        <f t="array" ref="G160">INDEX('Linha 07'!$C$2:$ZZ$2,C160)</f>
        <v>Amac. Conc. Aquafast Lilas Misterio Cx C/ 09 X 1,5l Promo</v>
      </c>
      <c r="H160" s="5" cm="1">
        <f t="array" ref="H160">INDEX('Linha 07'!$C$4:$ZZ$1000,B160,C160)</f>
        <v>0</v>
      </c>
    </row>
    <row r="161" spans="1:8" x14ac:dyDescent="0.25">
      <c r="A161">
        <v>159</v>
      </c>
      <c r="B161">
        <f t="shared" si="4"/>
        <v>8</v>
      </c>
      <c r="C161">
        <f t="shared" si="5"/>
        <v>19</v>
      </c>
      <c r="D161" cm="1">
        <f t="array" ref="D161">INDEX('Linha 07'!$A$4:$A$1000,B161)</f>
        <v>20150021</v>
      </c>
      <c r="E161" t="str" cm="1">
        <f t="array" ref="E161">INDEX('Linha 07'!$B$4:$B$1000,B161)</f>
        <v>Amac. Conc. Aquafast Azul Harmonia Cx/ 09 X 1,5l</v>
      </c>
      <c r="F161" cm="1">
        <f t="array" ref="F161">INDEX('Linha 07'!$C$3:$ZZ$3,C161)</f>
        <v>20150069</v>
      </c>
      <c r="G161" t="str" cm="1">
        <f t="array" ref="G161">INDEX('Linha 07'!$C$2:$ZZ$2,C161)</f>
        <v>Amac. Conc. Aquafast Vermelho Seducao Cx C/ 09 X 1,5l Promo</v>
      </c>
      <c r="H161" s="5" cm="1">
        <f t="array" ref="H161">INDEX('Linha 07'!$C$4:$ZZ$1000,B161,C161)</f>
        <v>0</v>
      </c>
    </row>
    <row r="162" spans="1:8" x14ac:dyDescent="0.25">
      <c r="A162">
        <v>160</v>
      </c>
      <c r="B162">
        <f t="shared" si="4"/>
        <v>8</v>
      </c>
      <c r="C162">
        <f t="shared" si="5"/>
        <v>20</v>
      </c>
      <c r="D162" cm="1">
        <f t="array" ref="D162">INDEX('Linha 07'!$A$4:$A$1000,B162)</f>
        <v>20150021</v>
      </c>
      <c r="E162" t="str" cm="1">
        <f t="array" ref="E162">INDEX('Linha 07'!$B$4:$B$1000,B162)</f>
        <v>Amac. Conc. Aquafast Azul Harmonia Cx/ 09 X 1,5l</v>
      </c>
      <c r="F162" cm="1">
        <f t="array" ref="F162">INDEX('Linha 07'!$C$3:$ZZ$3,C162)</f>
        <v>20150070</v>
      </c>
      <c r="G162" t="str" cm="1">
        <f t="array" ref="G162">INDEX('Linha 07'!$C$2:$ZZ$2,C162)</f>
        <v>Amac. Conc. Aquafast Rosa Romance Cx C/ 09 X 1,5l Promo</v>
      </c>
      <c r="H162" s="5" cm="1">
        <f t="array" ref="H162">INDEX('Linha 07'!$C$4:$ZZ$1000,B162,C162)</f>
        <v>0</v>
      </c>
    </row>
    <row r="163" spans="1:8" x14ac:dyDescent="0.25">
      <c r="A163">
        <v>161</v>
      </c>
      <c r="B163">
        <f t="shared" si="4"/>
        <v>9</v>
      </c>
      <c r="C163">
        <f t="shared" si="5"/>
        <v>1</v>
      </c>
      <c r="D163" cm="1">
        <f t="array" ref="D163">INDEX('Linha 07'!$A$4:$A$1000,B163)</f>
        <v>20150022</v>
      </c>
      <c r="E163" t="str" cm="1">
        <f t="array" ref="E163">INDEX('Linha 07'!$B$4:$B$1000,B163)</f>
        <v>Amac. Conc. Aquafast Rosa Romance Cx C/ 09 X 1,5l</v>
      </c>
      <c r="F163" cm="1">
        <f t="array" ref="F163">INDEX('Linha 07'!$C$3:$ZZ$3,C163)</f>
        <v>20150001</v>
      </c>
      <c r="G163" t="str" cm="1">
        <f t="array" ref="G163">INDEX('Linha 07'!$C$2:$ZZ$2,C163)</f>
        <v>Amac. Conc. Aquafast Azul Harmonia Cx/12 X 500ml</v>
      </c>
      <c r="H163" s="5" cm="1">
        <f t="array" ref="H163">INDEX('Linha 07'!$C$4:$ZZ$1000,B163,C163)</f>
        <v>0</v>
      </c>
    </row>
    <row r="164" spans="1:8" x14ac:dyDescent="0.25">
      <c r="A164">
        <v>162</v>
      </c>
      <c r="B164">
        <f t="shared" si="4"/>
        <v>9</v>
      </c>
      <c r="C164">
        <f t="shared" si="5"/>
        <v>2</v>
      </c>
      <c r="D164" cm="1">
        <f t="array" ref="D164">INDEX('Linha 07'!$A$4:$A$1000,B164)</f>
        <v>20150022</v>
      </c>
      <c r="E164" t="str" cm="1">
        <f t="array" ref="E164">INDEX('Linha 07'!$B$4:$B$1000,B164)</f>
        <v>Amac. Conc. Aquafast Rosa Romance Cx C/ 09 X 1,5l</v>
      </c>
      <c r="F164" cm="1">
        <f t="array" ref="F164">INDEX('Linha 07'!$C$3:$ZZ$3,C164)</f>
        <v>20150005</v>
      </c>
      <c r="G164" t="str" cm="1">
        <f t="array" ref="G164">INDEX('Linha 07'!$C$2:$ZZ$2,C164)</f>
        <v>Amac. Conc. Aquafast Vermelho Seducao Cx/12 X 500ml</v>
      </c>
      <c r="H164" s="5" cm="1">
        <f t="array" ref="H164">INDEX('Linha 07'!$C$4:$ZZ$1000,B164,C164)</f>
        <v>0</v>
      </c>
    </row>
    <row r="165" spans="1:8" x14ac:dyDescent="0.25">
      <c r="A165">
        <v>163</v>
      </c>
      <c r="B165">
        <f t="shared" si="4"/>
        <v>9</v>
      </c>
      <c r="C165">
        <f t="shared" si="5"/>
        <v>3</v>
      </c>
      <c r="D165" cm="1">
        <f t="array" ref="D165">INDEX('Linha 07'!$A$4:$A$1000,B165)</f>
        <v>20150022</v>
      </c>
      <c r="E165" t="str" cm="1">
        <f t="array" ref="E165">INDEX('Linha 07'!$B$4:$B$1000,B165)</f>
        <v>Amac. Conc. Aquafast Rosa Romance Cx C/ 09 X 1,5l</v>
      </c>
      <c r="F165" cm="1">
        <f t="array" ref="F165">INDEX('Linha 07'!$C$3:$ZZ$3,C165)</f>
        <v>20150007</v>
      </c>
      <c r="G165" t="str" cm="1">
        <f t="array" ref="G165">INDEX('Linha 07'!$C$2:$ZZ$2,C165)</f>
        <v>Amac. Conc. Aquafast Azul Harmonia Cx/ 12 X 1l</v>
      </c>
      <c r="H165" s="5" cm="1">
        <f t="array" ref="H165">INDEX('Linha 07'!$C$4:$ZZ$1000,B165,C165)</f>
        <v>0</v>
      </c>
    </row>
    <row r="166" spans="1:8" x14ac:dyDescent="0.25">
      <c r="A166">
        <v>164</v>
      </c>
      <c r="B166">
        <f t="shared" si="4"/>
        <v>9</v>
      </c>
      <c r="C166">
        <f t="shared" si="5"/>
        <v>4</v>
      </c>
      <c r="D166" cm="1">
        <f t="array" ref="D166">INDEX('Linha 07'!$A$4:$A$1000,B166)</f>
        <v>20150022</v>
      </c>
      <c r="E166" t="str" cm="1">
        <f t="array" ref="E166">INDEX('Linha 07'!$B$4:$B$1000,B166)</f>
        <v>Amac. Conc. Aquafast Rosa Romance Cx C/ 09 X 1,5l</v>
      </c>
      <c r="F166" cm="1">
        <f t="array" ref="F166">INDEX('Linha 07'!$C$3:$ZZ$3,C166)</f>
        <v>20150008</v>
      </c>
      <c r="G166" t="str" cm="1">
        <f t="array" ref="G166">INDEX('Linha 07'!$C$2:$ZZ$2,C166)</f>
        <v>Amac. Conc. Aquafast Rosa Romance Cx/ 12 X 1l</v>
      </c>
      <c r="H166" s="5" cm="1">
        <f t="array" ref="H166">INDEX('Linha 07'!$C$4:$ZZ$1000,B166,C166)</f>
        <v>0</v>
      </c>
    </row>
    <row r="167" spans="1:8" x14ac:dyDescent="0.25">
      <c r="A167">
        <v>165</v>
      </c>
      <c r="B167">
        <f t="shared" si="4"/>
        <v>9</v>
      </c>
      <c r="C167">
        <f t="shared" si="5"/>
        <v>5</v>
      </c>
      <c r="D167" cm="1">
        <f t="array" ref="D167">INDEX('Linha 07'!$A$4:$A$1000,B167)</f>
        <v>20150022</v>
      </c>
      <c r="E167" t="str" cm="1">
        <f t="array" ref="E167">INDEX('Linha 07'!$B$4:$B$1000,B167)</f>
        <v>Amac. Conc. Aquafast Rosa Romance Cx C/ 09 X 1,5l</v>
      </c>
      <c r="F167" cm="1">
        <f t="array" ref="F167">INDEX('Linha 07'!$C$3:$ZZ$3,C167)</f>
        <v>20150011</v>
      </c>
      <c r="G167" t="str" cm="1">
        <f t="array" ref="G167">INDEX('Linha 07'!$C$2:$ZZ$2,C167)</f>
        <v>Amac. Conc. Aquafast Vermelho Seducao Cx/ 12 X 1l</v>
      </c>
      <c r="H167" s="5" cm="1">
        <f t="array" ref="H167">INDEX('Linha 07'!$C$4:$ZZ$1000,B167,C167)</f>
        <v>0</v>
      </c>
    </row>
    <row r="168" spans="1:8" x14ac:dyDescent="0.25">
      <c r="A168">
        <v>166</v>
      </c>
      <c r="B168">
        <f t="shared" si="4"/>
        <v>9</v>
      </c>
      <c r="C168">
        <f t="shared" si="5"/>
        <v>6</v>
      </c>
      <c r="D168" cm="1">
        <f t="array" ref="D168">INDEX('Linha 07'!$A$4:$A$1000,B168)</f>
        <v>20150022</v>
      </c>
      <c r="E168" t="str" cm="1">
        <f t="array" ref="E168">INDEX('Linha 07'!$B$4:$B$1000,B168)</f>
        <v>Amac. Conc. Aquafast Rosa Romance Cx C/ 09 X 1,5l</v>
      </c>
      <c r="F168" cm="1">
        <f t="array" ref="F168">INDEX('Linha 07'!$C$3:$ZZ$3,C168)</f>
        <v>20150013</v>
      </c>
      <c r="G168" t="str" cm="1">
        <f t="array" ref="G168">INDEX('Linha 07'!$C$2:$ZZ$2,C168)</f>
        <v>Amac. Conc. Aquafast Branco Ternura Cx/12 X 500ml</v>
      </c>
      <c r="H168" s="5" cm="1">
        <f t="array" ref="H168">INDEX('Linha 07'!$C$4:$ZZ$1000,B168,C168)</f>
        <v>0</v>
      </c>
    </row>
    <row r="169" spans="1:8" x14ac:dyDescent="0.25">
      <c r="A169">
        <v>167</v>
      </c>
      <c r="B169">
        <f t="shared" si="4"/>
        <v>9</v>
      </c>
      <c r="C169">
        <f t="shared" si="5"/>
        <v>7</v>
      </c>
      <c r="D169" cm="1">
        <f t="array" ref="D169">INDEX('Linha 07'!$A$4:$A$1000,B169)</f>
        <v>20150022</v>
      </c>
      <c r="E169" t="str" cm="1">
        <f t="array" ref="E169">INDEX('Linha 07'!$B$4:$B$1000,B169)</f>
        <v>Amac. Conc. Aquafast Rosa Romance Cx C/ 09 X 1,5l</v>
      </c>
      <c r="F169" cm="1">
        <f t="array" ref="F169">INDEX('Linha 07'!$C$3:$ZZ$3,C169)</f>
        <v>20150014</v>
      </c>
      <c r="G169" t="str" cm="1">
        <f t="array" ref="G169">INDEX('Linha 07'!$C$2:$ZZ$2,C169)</f>
        <v>Amac. Conc. Aquafast Branco Ternura Cx/ 12 X 1l</v>
      </c>
      <c r="H169" s="5" cm="1">
        <f t="array" ref="H169">INDEX('Linha 07'!$C$4:$ZZ$1000,B169,C169)</f>
        <v>0</v>
      </c>
    </row>
    <row r="170" spans="1:8" x14ac:dyDescent="0.25">
      <c r="A170">
        <v>168</v>
      </c>
      <c r="B170">
        <f t="shared" si="4"/>
        <v>9</v>
      </c>
      <c r="C170">
        <f t="shared" si="5"/>
        <v>8</v>
      </c>
      <c r="D170" cm="1">
        <f t="array" ref="D170">INDEX('Linha 07'!$A$4:$A$1000,B170)</f>
        <v>20150022</v>
      </c>
      <c r="E170" t="str" cm="1">
        <f t="array" ref="E170">INDEX('Linha 07'!$B$4:$B$1000,B170)</f>
        <v>Amac. Conc. Aquafast Rosa Romance Cx C/ 09 X 1,5l</v>
      </c>
      <c r="F170" cm="1">
        <f t="array" ref="F170">INDEX('Linha 07'!$C$3:$ZZ$3,C170)</f>
        <v>20150021</v>
      </c>
      <c r="G170" t="str" cm="1">
        <f t="array" ref="G170">INDEX('Linha 07'!$C$2:$ZZ$2,C170)</f>
        <v>Amac. Conc. Aquafast Azul Harmonia Cx/ 09 X 1,5l</v>
      </c>
      <c r="H170" s="5" cm="1">
        <f t="array" ref="H170">INDEX('Linha 07'!$C$4:$ZZ$1000,B170,C170)</f>
        <v>0</v>
      </c>
    </row>
    <row r="171" spans="1:8" x14ac:dyDescent="0.25">
      <c r="A171">
        <v>169</v>
      </c>
      <c r="B171">
        <f t="shared" si="4"/>
        <v>9</v>
      </c>
      <c r="C171">
        <f t="shared" si="5"/>
        <v>9</v>
      </c>
      <c r="D171" cm="1">
        <f t="array" ref="D171">INDEX('Linha 07'!$A$4:$A$1000,B171)</f>
        <v>20150022</v>
      </c>
      <c r="E171" t="str" cm="1">
        <f t="array" ref="E171">INDEX('Linha 07'!$B$4:$B$1000,B171)</f>
        <v>Amac. Conc. Aquafast Rosa Romance Cx C/ 09 X 1,5l</v>
      </c>
      <c r="F171" cm="1">
        <f t="array" ref="F171">INDEX('Linha 07'!$C$3:$ZZ$3,C171)</f>
        <v>20150022</v>
      </c>
      <c r="G171" t="str" cm="1">
        <f t="array" ref="G171">INDEX('Linha 07'!$C$2:$ZZ$2,C171)</f>
        <v>Amac. Conc. Aquafast Rosa Romance Cx C/ 09 X 1,5l</v>
      </c>
      <c r="H171" s="5" cm="1">
        <f t="array" ref="H171">INDEX('Linha 07'!$C$4:$ZZ$1000,B171,C171)</f>
        <v>0</v>
      </c>
    </row>
    <row r="172" spans="1:8" x14ac:dyDescent="0.25">
      <c r="A172">
        <v>170</v>
      </c>
      <c r="B172">
        <f t="shared" si="4"/>
        <v>9</v>
      </c>
      <c r="C172">
        <f t="shared" si="5"/>
        <v>10</v>
      </c>
      <c r="D172" cm="1">
        <f t="array" ref="D172">INDEX('Linha 07'!$A$4:$A$1000,B172)</f>
        <v>20150022</v>
      </c>
      <c r="E172" t="str" cm="1">
        <f t="array" ref="E172">INDEX('Linha 07'!$B$4:$B$1000,B172)</f>
        <v>Amac. Conc. Aquafast Rosa Romance Cx C/ 09 X 1,5l</v>
      </c>
      <c r="F172" cm="1">
        <f t="array" ref="F172">INDEX('Linha 07'!$C$3:$ZZ$3,C172)</f>
        <v>20150023</v>
      </c>
      <c r="G172" t="str" cm="1">
        <f t="array" ref="G172">INDEX('Linha 07'!$C$2:$ZZ$2,C172)</f>
        <v>Amac. Conc. Aquafast Branco Ternura Cx C/ 09 X 1,5l</v>
      </c>
      <c r="H172" s="5" cm="1">
        <f t="array" ref="H172">INDEX('Linha 07'!$C$4:$ZZ$1000,B172,C172)</f>
        <v>0</v>
      </c>
    </row>
    <row r="173" spans="1:8" x14ac:dyDescent="0.25">
      <c r="A173">
        <v>171</v>
      </c>
      <c r="B173">
        <f t="shared" si="4"/>
        <v>9</v>
      </c>
      <c r="C173">
        <f t="shared" si="5"/>
        <v>11</v>
      </c>
      <c r="D173" cm="1">
        <f t="array" ref="D173">INDEX('Linha 07'!$A$4:$A$1000,B173)</f>
        <v>20150022</v>
      </c>
      <c r="E173" t="str" cm="1">
        <f t="array" ref="E173">INDEX('Linha 07'!$B$4:$B$1000,B173)</f>
        <v>Amac. Conc. Aquafast Rosa Romance Cx C/ 09 X 1,5l</v>
      </c>
      <c r="F173" cm="1">
        <f t="array" ref="F173">INDEX('Linha 07'!$C$3:$ZZ$3,C173)</f>
        <v>20150024</v>
      </c>
      <c r="G173" t="str" cm="1">
        <f t="array" ref="G173">INDEX('Linha 07'!$C$2:$ZZ$2,C173)</f>
        <v>Amac. Conc. Aquafast Vermelho Seduc Cx C/ 09 X 1,5l</v>
      </c>
      <c r="H173" s="5" cm="1">
        <f t="array" ref="H173">INDEX('Linha 07'!$C$4:$ZZ$1000,B173,C173)</f>
        <v>0</v>
      </c>
    </row>
    <row r="174" spans="1:8" x14ac:dyDescent="0.25">
      <c r="A174">
        <v>172</v>
      </c>
      <c r="B174">
        <f t="shared" si="4"/>
        <v>9</v>
      </c>
      <c r="C174">
        <f t="shared" si="5"/>
        <v>12</v>
      </c>
      <c r="D174" cm="1">
        <f t="array" ref="D174">INDEX('Linha 07'!$A$4:$A$1000,B174)</f>
        <v>20150022</v>
      </c>
      <c r="E174" t="str" cm="1">
        <f t="array" ref="E174">INDEX('Linha 07'!$B$4:$B$1000,B174)</f>
        <v>Amac. Conc. Aquafast Rosa Romance Cx C/ 09 X 1,5l</v>
      </c>
      <c r="F174" cm="1">
        <f t="array" ref="F174">INDEX('Linha 07'!$C$3:$ZZ$3,C174)</f>
        <v>20150035</v>
      </c>
      <c r="G174" t="str" cm="1">
        <f t="array" ref="G174">INDEX('Linha 07'!$C$2:$ZZ$2,C174)</f>
        <v>Amac. Conc. Aquafast Lilas Misterio Cx/ 12 X 1l</v>
      </c>
      <c r="H174" s="5" cm="1">
        <f t="array" ref="H174">INDEX('Linha 07'!$C$4:$ZZ$1000,B174,C174)</f>
        <v>0</v>
      </c>
    </row>
    <row r="175" spans="1:8" x14ac:dyDescent="0.25">
      <c r="A175">
        <v>173</v>
      </c>
      <c r="B175">
        <f t="shared" si="4"/>
        <v>9</v>
      </c>
      <c r="C175">
        <f t="shared" si="5"/>
        <v>13</v>
      </c>
      <c r="D175" cm="1">
        <f t="array" ref="D175">INDEX('Linha 07'!$A$4:$A$1000,B175)</f>
        <v>20150022</v>
      </c>
      <c r="E175" t="str" cm="1">
        <f t="array" ref="E175">INDEX('Linha 07'!$B$4:$B$1000,B175)</f>
        <v>Amac. Conc. Aquafast Rosa Romance Cx C/ 09 X 1,5l</v>
      </c>
      <c r="F175" cm="1">
        <f t="array" ref="F175">INDEX('Linha 07'!$C$3:$ZZ$3,C175)</f>
        <v>20150053</v>
      </c>
      <c r="G175" t="str" cm="1">
        <f t="array" ref="G175">INDEX('Linha 07'!$C$2:$ZZ$2,C175)</f>
        <v>Amac. Conc. Aquafast Lilas Misterio Cx C/ 09 X 1,5l</v>
      </c>
      <c r="H175" s="5" cm="1">
        <f t="array" ref="H175">INDEX('Linha 07'!$C$4:$ZZ$1000,B175,C175)</f>
        <v>0</v>
      </c>
    </row>
    <row r="176" spans="1:8" x14ac:dyDescent="0.25">
      <c r="A176">
        <v>174</v>
      </c>
      <c r="B176">
        <f t="shared" si="4"/>
        <v>9</v>
      </c>
      <c r="C176">
        <f t="shared" si="5"/>
        <v>14</v>
      </c>
      <c r="D176" cm="1">
        <f t="array" ref="D176">INDEX('Linha 07'!$A$4:$A$1000,B176)</f>
        <v>20150022</v>
      </c>
      <c r="E176" t="str" cm="1">
        <f t="array" ref="E176">INDEX('Linha 07'!$B$4:$B$1000,B176)</f>
        <v>Amac. Conc. Aquafast Rosa Romance Cx C/ 09 X 1,5l</v>
      </c>
      <c r="F176" cm="1">
        <f t="array" ref="F176">INDEX('Linha 07'!$C$3:$ZZ$3,C176)</f>
        <v>20150055</v>
      </c>
      <c r="G176" t="str" cm="1">
        <f t="array" ref="G176">INDEX('Linha 07'!$C$2:$ZZ$2,C176)</f>
        <v>Intermed Pack Amac Conc Aquafast Branco Ternura Cx/12 X 1l</v>
      </c>
      <c r="H176" s="5" cm="1">
        <f t="array" ref="H176">INDEX('Linha 07'!$C$4:$ZZ$1000,B176,C176)</f>
        <v>0</v>
      </c>
    </row>
    <row r="177" spans="1:8" x14ac:dyDescent="0.25">
      <c r="A177">
        <v>175</v>
      </c>
      <c r="B177">
        <f t="shared" si="4"/>
        <v>9</v>
      </c>
      <c r="C177">
        <f t="shared" si="5"/>
        <v>15</v>
      </c>
      <c r="D177" cm="1">
        <f t="array" ref="D177">INDEX('Linha 07'!$A$4:$A$1000,B177)</f>
        <v>20150022</v>
      </c>
      <c r="E177" t="str" cm="1">
        <f t="array" ref="E177">INDEX('Linha 07'!$B$4:$B$1000,B177)</f>
        <v>Amac. Conc. Aquafast Rosa Romance Cx C/ 09 X 1,5l</v>
      </c>
      <c r="F177" cm="1">
        <f t="array" ref="F177">INDEX('Linha 07'!$C$3:$ZZ$3,C177)</f>
        <v>20150057</v>
      </c>
      <c r="G177" t="str" cm="1">
        <f t="array" ref="G177">INDEX('Linha 07'!$C$2:$ZZ$2,C177)</f>
        <v>Intermed Pack Amac Conc Aquafast Azul Harmonia Cx/12 X 1l</v>
      </c>
      <c r="H177" s="5" cm="1">
        <f t="array" ref="H177">INDEX('Linha 07'!$C$4:$ZZ$1000,B177,C177)</f>
        <v>0</v>
      </c>
    </row>
    <row r="178" spans="1:8" x14ac:dyDescent="0.25">
      <c r="A178">
        <v>176</v>
      </c>
      <c r="B178">
        <f t="shared" si="4"/>
        <v>9</v>
      </c>
      <c r="C178">
        <f t="shared" si="5"/>
        <v>16</v>
      </c>
      <c r="D178" cm="1">
        <f t="array" ref="D178">INDEX('Linha 07'!$A$4:$A$1000,B178)</f>
        <v>20150022</v>
      </c>
      <c r="E178" t="str" cm="1">
        <f t="array" ref="E178">INDEX('Linha 07'!$B$4:$B$1000,B178)</f>
        <v>Amac. Conc. Aquafast Rosa Romance Cx C/ 09 X 1,5l</v>
      </c>
      <c r="F178" cm="1">
        <f t="array" ref="F178">INDEX('Linha 07'!$C$3:$ZZ$3,C178)</f>
        <v>20150058</v>
      </c>
      <c r="G178" t="str" cm="1">
        <f t="array" ref="G178">INDEX('Linha 07'!$C$2:$ZZ$2,C178)</f>
        <v>Amac. Conc. Aquafast Br. Ternura Cx C/ 09 X 1,5l Promocional</v>
      </c>
      <c r="H178" s="5" cm="1">
        <f t="array" ref="H178">INDEX('Linha 07'!$C$4:$ZZ$1000,B178,C178)</f>
        <v>0</v>
      </c>
    </row>
    <row r="179" spans="1:8" x14ac:dyDescent="0.25">
      <c r="A179">
        <v>177</v>
      </c>
      <c r="B179">
        <f t="shared" si="4"/>
        <v>9</v>
      </c>
      <c r="C179">
        <f t="shared" si="5"/>
        <v>17</v>
      </c>
      <c r="D179" cm="1">
        <f t="array" ref="D179">INDEX('Linha 07'!$A$4:$A$1000,B179)</f>
        <v>20150022</v>
      </c>
      <c r="E179" t="str" cm="1">
        <f t="array" ref="E179">INDEX('Linha 07'!$B$4:$B$1000,B179)</f>
        <v>Amac. Conc. Aquafast Rosa Romance Cx C/ 09 X 1,5l</v>
      </c>
      <c r="F179" cm="1">
        <f t="array" ref="F179">INDEX('Linha 07'!$C$3:$ZZ$3,C179)</f>
        <v>20150059</v>
      </c>
      <c r="G179" t="str" cm="1">
        <f t="array" ref="G179">INDEX('Linha 07'!$C$2:$ZZ$2,C179)</f>
        <v>Amac. Conc. Aquafast Az. Harmonia Cxc/ 09 X 1,5l Promocional</v>
      </c>
      <c r="H179" s="5" cm="1">
        <f t="array" ref="H179">INDEX('Linha 07'!$C$4:$ZZ$1000,B179,C179)</f>
        <v>0</v>
      </c>
    </row>
    <row r="180" spans="1:8" x14ac:dyDescent="0.25">
      <c r="A180">
        <v>178</v>
      </c>
      <c r="B180">
        <f t="shared" si="4"/>
        <v>9</v>
      </c>
      <c r="C180">
        <f t="shared" si="5"/>
        <v>18</v>
      </c>
      <c r="D180" cm="1">
        <f t="array" ref="D180">INDEX('Linha 07'!$A$4:$A$1000,B180)</f>
        <v>20150022</v>
      </c>
      <c r="E180" t="str" cm="1">
        <f t="array" ref="E180">INDEX('Linha 07'!$B$4:$B$1000,B180)</f>
        <v>Amac. Conc. Aquafast Rosa Romance Cx C/ 09 X 1,5l</v>
      </c>
      <c r="F180" cm="1">
        <f t="array" ref="F180">INDEX('Linha 07'!$C$3:$ZZ$3,C180)</f>
        <v>20150068</v>
      </c>
      <c r="G180" t="str" cm="1">
        <f t="array" ref="G180">INDEX('Linha 07'!$C$2:$ZZ$2,C180)</f>
        <v>Amac. Conc. Aquafast Lilas Misterio Cx C/ 09 X 1,5l Promo</v>
      </c>
      <c r="H180" s="5" cm="1">
        <f t="array" ref="H180">INDEX('Linha 07'!$C$4:$ZZ$1000,B180,C180)</f>
        <v>0</v>
      </c>
    </row>
    <row r="181" spans="1:8" x14ac:dyDescent="0.25">
      <c r="A181">
        <v>179</v>
      </c>
      <c r="B181">
        <f t="shared" si="4"/>
        <v>9</v>
      </c>
      <c r="C181">
        <f t="shared" si="5"/>
        <v>19</v>
      </c>
      <c r="D181" cm="1">
        <f t="array" ref="D181">INDEX('Linha 07'!$A$4:$A$1000,B181)</f>
        <v>20150022</v>
      </c>
      <c r="E181" t="str" cm="1">
        <f t="array" ref="E181">INDEX('Linha 07'!$B$4:$B$1000,B181)</f>
        <v>Amac. Conc. Aquafast Rosa Romance Cx C/ 09 X 1,5l</v>
      </c>
      <c r="F181" cm="1">
        <f t="array" ref="F181">INDEX('Linha 07'!$C$3:$ZZ$3,C181)</f>
        <v>20150069</v>
      </c>
      <c r="G181" t="str" cm="1">
        <f t="array" ref="G181">INDEX('Linha 07'!$C$2:$ZZ$2,C181)</f>
        <v>Amac. Conc. Aquafast Vermelho Seducao Cx C/ 09 X 1,5l Promo</v>
      </c>
      <c r="H181" s="5" cm="1">
        <f t="array" ref="H181">INDEX('Linha 07'!$C$4:$ZZ$1000,B181,C181)</f>
        <v>0</v>
      </c>
    </row>
    <row r="182" spans="1:8" x14ac:dyDescent="0.25">
      <c r="A182">
        <v>180</v>
      </c>
      <c r="B182">
        <f t="shared" si="4"/>
        <v>9</v>
      </c>
      <c r="C182">
        <f t="shared" si="5"/>
        <v>20</v>
      </c>
      <c r="D182" cm="1">
        <f t="array" ref="D182">INDEX('Linha 07'!$A$4:$A$1000,B182)</f>
        <v>20150022</v>
      </c>
      <c r="E182" t="str" cm="1">
        <f t="array" ref="E182">INDEX('Linha 07'!$B$4:$B$1000,B182)</f>
        <v>Amac. Conc. Aquafast Rosa Romance Cx C/ 09 X 1,5l</v>
      </c>
      <c r="F182" cm="1">
        <f t="array" ref="F182">INDEX('Linha 07'!$C$3:$ZZ$3,C182)</f>
        <v>20150070</v>
      </c>
      <c r="G182" t="str" cm="1">
        <f t="array" ref="G182">INDEX('Linha 07'!$C$2:$ZZ$2,C182)</f>
        <v>Amac. Conc. Aquafast Rosa Romance Cx C/ 09 X 1,5l Promo</v>
      </c>
      <c r="H182" s="5" cm="1">
        <f t="array" ref="H182">INDEX('Linha 07'!$C$4:$ZZ$1000,B182,C182)</f>
        <v>0</v>
      </c>
    </row>
    <row r="183" spans="1:8" x14ac:dyDescent="0.25">
      <c r="A183">
        <v>181</v>
      </c>
      <c r="B183">
        <f t="shared" si="4"/>
        <v>10</v>
      </c>
      <c r="C183">
        <f t="shared" si="5"/>
        <v>1</v>
      </c>
      <c r="D183" cm="1">
        <f t="array" ref="D183">INDEX('Linha 07'!$A$4:$A$1000,B183)</f>
        <v>20150023</v>
      </c>
      <c r="E183" t="str" cm="1">
        <f t="array" ref="E183">INDEX('Linha 07'!$B$4:$B$1000,B183)</f>
        <v>Amac. Conc. Aquafast Branco Ternura Cx C/ 09 X 1,5l</v>
      </c>
      <c r="F183" cm="1">
        <f t="array" ref="F183">INDEX('Linha 07'!$C$3:$ZZ$3,C183)</f>
        <v>20150001</v>
      </c>
      <c r="G183" t="str" cm="1">
        <f t="array" ref="G183">INDEX('Linha 07'!$C$2:$ZZ$2,C183)</f>
        <v>Amac. Conc. Aquafast Azul Harmonia Cx/12 X 500ml</v>
      </c>
      <c r="H183" s="5" cm="1">
        <f t="array" ref="H183">INDEX('Linha 07'!$C$4:$ZZ$1000,B183,C183)</f>
        <v>0</v>
      </c>
    </row>
    <row r="184" spans="1:8" x14ac:dyDescent="0.25">
      <c r="A184">
        <v>182</v>
      </c>
      <c r="B184">
        <f t="shared" si="4"/>
        <v>10</v>
      </c>
      <c r="C184">
        <f t="shared" si="5"/>
        <v>2</v>
      </c>
      <c r="D184" cm="1">
        <f t="array" ref="D184">INDEX('Linha 07'!$A$4:$A$1000,B184)</f>
        <v>20150023</v>
      </c>
      <c r="E184" t="str" cm="1">
        <f t="array" ref="E184">INDEX('Linha 07'!$B$4:$B$1000,B184)</f>
        <v>Amac. Conc. Aquafast Branco Ternura Cx C/ 09 X 1,5l</v>
      </c>
      <c r="F184" cm="1">
        <f t="array" ref="F184">INDEX('Linha 07'!$C$3:$ZZ$3,C184)</f>
        <v>20150005</v>
      </c>
      <c r="G184" t="str" cm="1">
        <f t="array" ref="G184">INDEX('Linha 07'!$C$2:$ZZ$2,C184)</f>
        <v>Amac. Conc. Aquafast Vermelho Seducao Cx/12 X 500ml</v>
      </c>
      <c r="H184" s="5" cm="1">
        <f t="array" ref="H184">INDEX('Linha 07'!$C$4:$ZZ$1000,B184,C184)</f>
        <v>0</v>
      </c>
    </row>
    <row r="185" spans="1:8" x14ac:dyDescent="0.25">
      <c r="A185">
        <v>183</v>
      </c>
      <c r="B185">
        <f t="shared" si="4"/>
        <v>10</v>
      </c>
      <c r="C185">
        <f t="shared" si="5"/>
        <v>3</v>
      </c>
      <c r="D185" cm="1">
        <f t="array" ref="D185">INDEX('Linha 07'!$A$4:$A$1000,B185)</f>
        <v>20150023</v>
      </c>
      <c r="E185" t="str" cm="1">
        <f t="array" ref="E185">INDEX('Linha 07'!$B$4:$B$1000,B185)</f>
        <v>Amac. Conc. Aquafast Branco Ternura Cx C/ 09 X 1,5l</v>
      </c>
      <c r="F185" cm="1">
        <f t="array" ref="F185">INDEX('Linha 07'!$C$3:$ZZ$3,C185)</f>
        <v>20150007</v>
      </c>
      <c r="G185" t="str" cm="1">
        <f t="array" ref="G185">INDEX('Linha 07'!$C$2:$ZZ$2,C185)</f>
        <v>Amac. Conc. Aquafast Azul Harmonia Cx/ 12 X 1l</v>
      </c>
      <c r="H185" s="5" cm="1">
        <f t="array" ref="H185">INDEX('Linha 07'!$C$4:$ZZ$1000,B185,C185)</f>
        <v>0</v>
      </c>
    </row>
    <row r="186" spans="1:8" x14ac:dyDescent="0.25">
      <c r="A186">
        <v>184</v>
      </c>
      <c r="B186">
        <f t="shared" si="4"/>
        <v>10</v>
      </c>
      <c r="C186">
        <f t="shared" si="5"/>
        <v>4</v>
      </c>
      <c r="D186" cm="1">
        <f t="array" ref="D186">INDEX('Linha 07'!$A$4:$A$1000,B186)</f>
        <v>20150023</v>
      </c>
      <c r="E186" t="str" cm="1">
        <f t="array" ref="E186">INDEX('Linha 07'!$B$4:$B$1000,B186)</f>
        <v>Amac. Conc. Aquafast Branco Ternura Cx C/ 09 X 1,5l</v>
      </c>
      <c r="F186" cm="1">
        <f t="array" ref="F186">INDEX('Linha 07'!$C$3:$ZZ$3,C186)</f>
        <v>20150008</v>
      </c>
      <c r="G186" t="str" cm="1">
        <f t="array" ref="G186">INDEX('Linha 07'!$C$2:$ZZ$2,C186)</f>
        <v>Amac. Conc. Aquafast Rosa Romance Cx/ 12 X 1l</v>
      </c>
      <c r="H186" s="5" cm="1">
        <f t="array" ref="H186">INDEX('Linha 07'!$C$4:$ZZ$1000,B186,C186)</f>
        <v>0</v>
      </c>
    </row>
    <row r="187" spans="1:8" x14ac:dyDescent="0.25">
      <c r="A187">
        <v>185</v>
      </c>
      <c r="B187">
        <f t="shared" si="4"/>
        <v>10</v>
      </c>
      <c r="C187">
        <f t="shared" si="5"/>
        <v>5</v>
      </c>
      <c r="D187" cm="1">
        <f t="array" ref="D187">INDEX('Linha 07'!$A$4:$A$1000,B187)</f>
        <v>20150023</v>
      </c>
      <c r="E187" t="str" cm="1">
        <f t="array" ref="E187">INDEX('Linha 07'!$B$4:$B$1000,B187)</f>
        <v>Amac. Conc. Aquafast Branco Ternura Cx C/ 09 X 1,5l</v>
      </c>
      <c r="F187" cm="1">
        <f t="array" ref="F187">INDEX('Linha 07'!$C$3:$ZZ$3,C187)</f>
        <v>20150011</v>
      </c>
      <c r="G187" t="str" cm="1">
        <f t="array" ref="G187">INDEX('Linha 07'!$C$2:$ZZ$2,C187)</f>
        <v>Amac. Conc. Aquafast Vermelho Seducao Cx/ 12 X 1l</v>
      </c>
      <c r="H187" s="5" cm="1">
        <f t="array" ref="H187">INDEX('Linha 07'!$C$4:$ZZ$1000,B187,C187)</f>
        <v>0</v>
      </c>
    </row>
    <row r="188" spans="1:8" x14ac:dyDescent="0.25">
      <c r="A188">
        <v>186</v>
      </c>
      <c r="B188">
        <f t="shared" si="4"/>
        <v>10</v>
      </c>
      <c r="C188">
        <f t="shared" si="5"/>
        <v>6</v>
      </c>
      <c r="D188" cm="1">
        <f t="array" ref="D188">INDEX('Linha 07'!$A$4:$A$1000,B188)</f>
        <v>20150023</v>
      </c>
      <c r="E188" t="str" cm="1">
        <f t="array" ref="E188">INDEX('Linha 07'!$B$4:$B$1000,B188)</f>
        <v>Amac. Conc. Aquafast Branco Ternura Cx C/ 09 X 1,5l</v>
      </c>
      <c r="F188" cm="1">
        <f t="array" ref="F188">INDEX('Linha 07'!$C$3:$ZZ$3,C188)</f>
        <v>20150013</v>
      </c>
      <c r="G188" t="str" cm="1">
        <f t="array" ref="G188">INDEX('Linha 07'!$C$2:$ZZ$2,C188)</f>
        <v>Amac. Conc. Aquafast Branco Ternura Cx/12 X 500ml</v>
      </c>
      <c r="H188" s="5" cm="1">
        <f t="array" ref="H188">INDEX('Linha 07'!$C$4:$ZZ$1000,B188,C188)</f>
        <v>0</v>
      </c>
    </row>
    <row r="189" spans="1:8" x14ac:dyDescent="0.25">
      <c r="A189">
        <v>187</v>
      </c>
      <c r="B189">
        <f t="shared" si="4"/>
        <v>10</v>
      </c>
      <c r="C189">
        <f t="shared" si="5"/>
        <v>7</v>
      </c>
      <c r="D189" cm="1">
        <f t="array" ref="D189">INDEX('Linha 07'!$A$4:$A$1000,B189)</f>
        <v>20150023</v>
      </c>
      <c r="E189" t="str" cm="1">
        <f t="array" ref="E189">INDEX('Linha 07'!$B$4:$B$1000,B189)</f>
        <v>Amac. Conc. Aquafast Branco Ternura Cx C/ 09 X 1,5l</v>
      </c>
      <c r="F189" cm="1">
        <f t="array" ref="F189">INDEX('Linha 07'!$C$3:$ZZ$3,C189)</f>
        <v>20150014</v>
      </c>
      <c r="G189" t="str" cm="1">
        <f t="array" ref="G189">INDEX('Linha 07'!$C$2:$ZZ$2,C189)</f>
        <v>Amac. Conc. Aquafast Branco Ternura Cx/ 12 X 1l</v>
      </c>
      <c r="H189" s="5" cm="1">
        <f t="array" ref="H189">INDEX('Linha 07'!$C$4:$ZZ$1000,B189,C189)</f>
        <v>0</v>
      </c>
    </row>
    <row r="190" spans="1:8" x14ac:dyDescent="0.25">
      <c r="A190">
        <v>188</v>
      </c>
      <c r="B190">
        <f t="shared" si="4"/>
        <v>10</v>
      </c>
      <c r="C190">
        <f t="shared" si="5"/>
        <v>8</v>
      </c>
      <c r="D190" cm="1">
        <f t="array" ref="D190">INDEX('Linha 07'!$A$4:$A$1000,B190)</f>
        <v>20150023</v>
      </c>
      <c r="E190" t="str" cm="1">
        <f t="array" ref="E190">INDEX('Linha 07'!$B$4:$B$1000,B190)</f>
        <v>Amac. Conc. Aquafast Branco Ternura Cx C/ 09 X 1,5l</v>
      </c>
      <c r="F190" cm="1">
        <f t="array" ref="F190">INDEX('Linha 07'!$C$3:$ZZ$3,C190)</f>
        <v>20150021</v>
      </c>
      <c r="G190" t="str" cm="1">
        <f t="array" ref="G190">INDEX('Linha 07'!$C$2:$ZZ$2,C190)</f>
        <v>Amac. Conc. Aquafast Azul Harmonia Cx/ 09 X 1,5l</v>
      </c>
      <c r="H190" s="5" cm="1">
        <f t="array" ref="H190">INDEX('Linha 07'!$C$4:$ZZ$1000,B190,C190)</f>
        <v>0</v>
      </c>
    </row>
    <row r="191" spans="1:8" x14ac:dyDescent="0.25">
      <c r="A191">
        <v>189</v>
      </c>
      <c r="B191">
        <f t="shared" si="4"/>
        <v>10</v>
      </c>
      <c r="C191">
        <f t="shared" si="5"/>
        <v>9</v>
      </c>
      <c r="D191" cm="1">
        <f t="array" ref="D191">INDEX('Linha 07'!$A$4:$A$1000,B191)</f>
        <v>20150023</v>
      </c>
      <c r="E191" t="str" cm="1">
        <f t="array" ref="E191">INDEX('Linha 07'!$B$4:$B$1000,B191)</f>
        <v>Amac. Conc. Aquafast Branco Ternura Cx C/ 09 X 1,5l</v>
      </c>
      <c r="F191" cm="1">
        <f t="array" ref="F191">INDEX('Linha 07'!$C$3:$ZZ$3,C191)</f>
        <v>20150022</v>
      </c>
      <c r="G191" t="str" cm="1">
        <f t="array" ref="G191">INDEX('Linha 07'!$C$2:$ZZ$2,C191)</f>
        <v>Amac. Conc. Aquafast Rosa Romance Cx C/ 09 X 1,5l</v>
      </c>
      <c r="H191" s="5" cm="1">
        <f t="array" ref="H191">INDEX('Linha 07'!$C$4:$ZZ$1000,B191,C191)</f>
        <v>0</v>
      </c>
    </row>
    <row r="192" spans="1:8" x14ac:dyDescent="0.25">
      <c r="A192">
        <v>190</v>
      </c>
      <c r="B192">
        <f t="shared" si="4"/>
        <v>10</v>
      </c>
      <c r="C192">
        <f t="shared" si="5"/>
        <v>10</v>
      </c>
      <c r="D192" cm="1">
        <f t="array" ref="D192">INDEX('Linha 07'!$A$4:$A$1000,B192)</f>
        <v>20150023</v>
      </c>
      <c r="E192" t="str" cm="1">
        <f t="array" ref="E192">INDEX('Linha 07'!$B$4:$B$1000,B192)</f>
        <v>Amac. Conc. Aquafast Branco Ternura Cx C/ 09 X 1,5l</v>
      </c>
      <c r="F192" cm="1">
        <f t="array" ref="F192">INDEX('Linha 07'!$C$3:$ZZ$3,C192)</f>
        <v>20150023</v>
      </c>
      <c r="G192" t="str" cm="1">
        <f t="array" ref="G192">INDEX('Linha 07'!$C$2:$ZZ$2,C192)</f>
        <v>Amac. Conc. Aquafast Branco Ternura Cx C/ 09 X 1,5l</v>
      </c>
      <c r="H192" s="5" cm="1">
        <f t="array" ref="H192">INDEX('Linha 07'!$C$4:$ZZ$1000,B192,C192)</f>
        <v>0</v>
      </c>
    </row>
    <row r="193" spans="1:8" x14ac:dyDescent="0.25">
      <c r="A193">
        <v>191</v>
      </c>
      <c r="B193">
        <f t="shared" si="4"/>
        <v>10</v>
      </c>
      <c r="C193">
        <f t="shared" si="5"/>
        <v>11</v>
      </c>
      <c r="D193" cm="1">
        <f t="array" ref="D193">INDEX('Linha 07'!$A$4:$A$1000,B193)</f>
        <v>20150023</v>
      </c>
      <c r="E193" t="str" cm="1">
        <f t="array" ref="E193">INDEX('Linha 07'!$B$4:$B$1000,B193)</f>
        <v>Amac. Conc. Aquafast Branco Ternura Cx C/ 09 X 1,5l</v>
      </c>
      <c r="F193" cm="1">
        <f t="array" ref="F193">INDEX('Linha 07'!$C$3:$ZZ$3,C193)</f>
        <v>20150024</v>
      </c>
      <c r="G193" t="str" cm="1">
        <f t="array" ref="G193">INDEX('Linha 07'!$C$2:$ZZ$2,C193)</f>
        <v>Amac. Conc. Aquafast Vermelho Seduc Cx C/ 09 X 1,5l</v>
      </c>
      <c r="H193" s="5" cm="1">
        <f t="array" ref="H193">INDEX('Linha 07'!$C$4:$ZZ$1000,B193,C193)</f>
        <v>0</v>
      </c>
    </row>
    <row r="194" spans="1:8" x14ac:dyDescent="0.25">
      <c r="A194">
        <v>192</v>
      </c>
      <c r="B194">
        <f t="shared" si="4"/>
        <v>10</v>
      </c>
      <c r="C194">
        <f t="shared" si="5"/>
        <v>12</v>
      </c>
      <c r="D194" cm="1">
        <f t="array" ref="D194">INDEX('Linha 07'!$A$4:$A$1000,B194)</f>
        <v>20150023</v>
      </c>
      <c r="E194" t="str" cm="1">
        <f t="array" ref="E194">INDEX('Linha 07'!$B$4:$B$1000,B194)</f>
        <v>Amac. Conc. Aquafast Branco Ternura Cx C/ 09 X 1,5l</v>
      </c>
      <c r="F194" cm="1">
        <f t="array" ref="F194">INDEX('Linha 07'!$C$3:$ZZ$3,C194)</f>
        <v>20150035</v>
      </c>
      <c r="G194" t="str" cm="1">
        <f t="array" ref="G194">INDEX('Linha 07'!$C$2:$ZZ$2,C194)</f>
        <v>Amac. Conc. Aquafast Lilas Misterio Cx/ 12 X 1l</v>
      </c>
      <c r="H194" s="5" cm="1">
        <f t="array" ref="H194">INDEX('Linha 07'!$C$4:$ZZ$1000,B194,C194)</f>
        <v>0</v>
      </c>
    </row>
    <row r="195" spans="1:8" x14ac:dyDescent="0.25">
      <c r="A195">
        <v>193</v>
      </c>
      <c r="B195">
        <f t="shared" si="4"/>
        <v>10</v>
      </c>
      <c r="C195">
        <f t="shared" si="5"/>
        <v>13</v>
      </c>
      <c r="D195" cm="1">
        <f t="array" ref="D195">INDEX('Linha 07'!$A$4:$A$1000,B195)</f>
        <v>20150023</v>
      </c>
      <c r="E195" t="str" cm="1">
        <f t="array" ref="E195">INDEX('Linha 07'!$B$4:$B$1000,B195)</f>
        <v>Amac. Conc. Aquafast Branco Ternura Cx C/ 09 X 1,5l</v>
      </c>
      <c r="F195" cm="1">
        <f t="array" ref="F195">INDEX('Linha 07'!$C$3:$ZZ$3,C195)</f>
        <v>20150053</v>
      </c>
      <c r="G195" t="str" cm="1">
        <f t="array" ref="G195">INDEX('Linha 07'!$C$2:$ZZ$2,C195)</f>
        <v>Amac. Conc. Aquafast Lilas Misterio Cx C/ 09 X 1,5l</v>
      </c>
      <c r="H195" s="5" cm="1">
        <f t="array" ref="H195">INDEX('Linha 07'!$C$4:$ZZ$1000,B195,C195)</f>
        <v>0</v>
      </c>
    </row>
    <row r="196" spans="1:8" x14ac:dyDescent="0.25">
      <c r="A196">
        <v>194</v>
      </c>
      <c r="B196">
        <f t="shared" ref="B196:B259" si="6">INT((A196-1)/$B$1)+1</f>
        <v>10</v>
      </c>
      <c r="C196">
        <f t="shared" ref="C196:C259" si="7">MOD(A196-1,$B$1)+1</f>
        <v>14</v>
      </c>
      <c r="D196" cm="1">
        <f t="array" ref="D196">INDEX('Linha 07'!$A$4:$A$1000,B196)</f>
        <v>20150023</v>
      </c>
      <c r="E196" t="str" cm="1">
        <f t="array" ref="E196">INDEX('Linha 07'!$B$4:$B$1000,B196)</f>
        <v>Amac. Conc. Aquafast Branco Ternura Cx C/ 09 X 1,5l</v>
      </c>
      <c r="F196" cm="1">
        <f t="array" ref="F196">INDEX('Linha 07'!$C$3:$ZZ$3,C196)</f>
        <v>20150055</v>
      </c>
      <c r="G196" t="str" cm="1">
        <f t="array" ref="G196">INDEX('Linha 07'!$C$2:$ZZ$2,C196)</f>
        <v>Intermed Pack Amac Conc Aquafast Branco Ternura Cx/12 X 1l</v>
      </c>
      <c r="H196" s="5" cm="1">
        <f t="array" ref="H196">INDEX('Linha 07'!$C$4:$ZZ$1000,B196,C196)</f>
        <v>0</v>
      </c>
    </row>
    <row r="197" spans="1:8" x14ac:dyDescent="0.25">
      <c r="A197">
        <v>195</v>
      </c>
      <c r="B197">
        <f t="shared" si="6"/>
        <v>10</v>
      </c>
      <c r="C197">
        <f t="shared" si="7"/>
        <v>15</v>
      </c>
      <c r="D197" cm="1">
        <f t="array" ref="D197">INDEX('Linha 07'!$A$4:$A$1000,B197)</f>
        <v>20150023</v>
      </c>
      <c r="E197" t="str" cm="1">
        <f t="array" ref="E197">INDEX('Linha 07'!$B$4:$B$1000,B197)</f>
        <v>Amac. Conc. Aquafast Branco Ternura Cx C/ 09 X 1,5l</v>
      </c>
      <c r="F197" cm="1">
        <f t="array" ref="F197">INDEX('Linha 07'!$C$3:$ZZ$3,C197)</f>
        <v>20150057</v>
      </c>
      <c r="G197" t="str" cm="1">
        <f t="array" ref="G197">INDEX('Linha 07'!$C$2:$ZZ$2,C197)</f>
        <v>Intermed Pack Amac Conc Aquafast Azul Harmonia Cx/12 X 1l</v>
      </c>
      <c r="H197" s="5" cm="1">
        <f t="array" ref="H197">INDEX('Linha 07'!$C$4:$ZZ$1000,B197,C197)</f>
        <v>0</v>
      </c>
    </row>
    <row r="198" spans="1:8" x14ac:dyDescent="0.25">
      <c r="A198">
        <v>196</v>
      </c>
      <c r="B198">
        <f t="shared" si="6"/>
        <v>10</v>
      </c>
      <c r="C198">
        <f t="shared" si="7"/>
        <v>16</v>
      </c>
      <c r="D198" cm="1">
        <f t="array" ref="D198">INDEX('Linha 07'!$A$4:$A$1000,B198)</f>
        <v>20150023</v>
      </c>
      <c r="E198" t="str" cm="1">
        <f t="array" ref="E198">INDEX('Linha 07'!$B$4:$B$1000,B198)</f>
        <v>Amac. Conc. Aquafast Branco Ternura Cx C/ 09 X 1,5l</v>
      </c>
      <c r="F198" cm="1">
        <f t="array" ref="F198">INDEX('Linha 07'!$C$3:$ZZ$3,C198)</f>
        <v>20150058</v>
      </c>
      <c r="G198" t="str" cm="1">
        <f t="array" ref="G198">INDEX('Linha 07'!$C$2:$ZZ$2,C198)</f>
        <v>Amac. Conc. Aquafast Br. Ternura Cx C/ 09 X 1,5l Promocional</v>
      </c>
      <c r="H198" s="5" cm="1">
        <f t="array" ref="H198">INDEX('Linha 07'!$C$4:$ZZ$1000,B198,C198)</f>
        <v>0</v>
      </c>
    </row>
    <row r="199" spans="1:8" x14ac:dyDescent="0.25">
      <c r="A199">
        <v>197</v>
      </c>
      <c r="B199">
        <f t="shared" si="6"/>
        <v>10</v>
      </c>
      <c r="C199">
        <f t="shared" si="7"/>
        <v>17</v>
      </c>
      <c r="D199" cm="1">
        <f t="array" ref="D199">INDEX('Linha 07'!$A$4:$A$1000,B199)</f>
        <v>20150023</v>
      </c>
      <c r="E199" t="str" cm="1">
        <f t="array" ref="E199">INDEX('Linha 07'!$B$4:$B$1000,B199)</f>
        <v>Amac. Conc. Aquafast Branco Ternura Cx C/ 09 X 1,5l</v>
      </c>
      <c r="F199" cm="1">
        <f t="array" ref="F199">INDEX('Linha 07'!$C$3:$ZZ$3,C199)</f>
        <v>20150059</v>
      </c>
      <c r="G199" t="str" cm="1">
        <f t="array" ref="G199">INDEX('Linha 07'!$C$2:$ZZ$2,C199)</f>
        <v>Amac. Conc. Aquafast Az. Harmonia Cxc/ 09 X 1,5l Promocional</v>
      </c>
      <c r="H199" s="5" cm="1">
        <f t="array" ref="H199">INDEX('Linha 07'!$C$4:$ZZ$1000,B199,C199)</f>
        <v>0</v>
      </c>
    </row>
    <row r="200" spans="1:8" x14ac:dyDescent="0.25">
      <c r="A200">
        <v>198</v>
      </c>
      <c r="B200">
        <f t="shared" si="6"/>
        <v>10</v>
      </c>
      <c r="C200">
        <f t="shared" si="7"/>
        <v>18</v>
      </c>
      <c r="D200" cm="1">
        <f t="array" ref="D200">INDEX('Linha 07'!$A$4:$A$1000,B200)</f>
        <v>20150023</v>
      </c>
      <c r="E200" t="str" cm="1">
        <f t="array" ref="E200">INDEX('Linha 07'!$B$4:$B$1000,B200)</f>
        <v>Amac. Conc. Aquafast Branco Ternura Cx C/ 09 X 1,5l</v>
      </c>
      <c r="F200" cm="1">
        <f t="array" ref="F200">INDEX('Linha 07'!$C$3:$ZZ$3,C200)</f>
        <v>20150068</v>
      </c>
      <c r="G200" t="str" cm="1">
        <f t="array" ref="G200">INDEX('Linha 07'!$C$2:$ZZ$2,C200)</f>
        <v>Amac. Conc. Aquafast Lilas Misterio Cx C/ 09 X 1,5l Promo</v>
      </c>
      <c r="H200" s="5" cm="1">
        <f t="array" ref="H200">INDEX('Linha 07'!$C$4:$ZZ$1000,B200,C200)</f>
        <v>0</v>
      </c>
    </row>
    <row r="201" spans="1:8" x14ac:dyDescent="0.25">
      <c r="A201">
        <v>199</v>
      </c>
      <c r="B201">
        <f t="shared" si="6"/>
        <v>10</v>
      </c>
      <c r="C201">
        <f t="shared" si="7"/>
        <v>19</v>
      </c>
      <c r="D201" cm="1">
        <f t="array" ref="D201">INDEX('Linha 07'!$A$4:$A$1000,B201)</f>
        <v>20150023</v>
      </c>
      <c r="E201" t="str" cm="1">
        <f t="array" ref="E201">INDEX('Linha 07'!$B$4:$B$1000,B201)</f>
        <v>Amac. Conc. Aquafast Branco Ternura Cx C/ 09 X 1,5l</v>
      </c>
      <c r="F201" cm="1">
        <f t="array" ref="F201">INDEX('Linha 07'!$C$3:$ZZ$3,C201)</f>
        <v>20150069</v>
      </c>
      <c r="G201" t="str" cm="1">
        <f t="array" ref="G201">INDEX('Linha 07'!$C$2:$ZZ$2,C201)</f>
        <v>Amac. Conc. Aquafast Vermelho Seducao Cx C/ 09 X 1,5l Promo</v>
      </c>
      <c r="H201" s="5" cm="1">
        <f t="array" ref="H201">INDEX('Linha 07'!$C$4:$ZZ$1000,B201,C201)</f>
        <v>0</v>
      </c>
    </row>
    <row r="202" spans="1:8" x14ac:dyDescent="0.25">
      <c r="A202">
        <v>200</v>
      </c>
      <c r="B202">
        <f t="shared" si="6"/>
        <v>10</v>
      </c>
      <c r="C202">
        <f t="shared" si="7"/>
        <v>20</v>
      </c>
      <c r="D202" cm="1">
        <f t="array" ref="D202">INDEX('Linha 07'!$A$4:$A$1000,B202)</f>
        <v>20150023</v>
      </c>
      <c r="E202" t="str" cm="1">
        <f t="array" ref="E202">INDEX('Linha 07'!$B$4:$B$1000,B202)</f>
        <v>Amac. Conc. Aquafast Branco Ternura Cx C/ 09 X 1,5l</v>
      </c>
      <c r="F202" cm="1">
        <f t="array" ref="F202">INDEX('Linha 07'!$C$3:$ZZ$3,C202)</f>
        <v>20150070</v>
      </c>
      <c r="G202" t="str" cm="1">
        <f t="array" ref="G202">INDEX('Linha 07'!$C$2:$ZZ$2,C202)</f>
        <v>Amac. Conc. Aquafast Rosa Romance Cx C/ 09 X 1,5l Promo</v>
      </c>
      <c r="H202" s="5" cm="1">
        <f t="array" ref="H202">INDEX('Linha 07'!$C$4:$ZZ$1000,B202,C202)</f>
        <v>0</v>
      </c>
    </row>
    <row r="203" spans="1:8" x14ac:dyDescent="0.25">
      <c r="A203">
        <v>201</v>
      </c>
      <c r="B203">
        <f t="shared" si="6"/>
        <v>11</v>
      </c>
      <c r="C203">
        <f t="shared" si="7"/>
        <v>1</v>
      </c>
      <c r="D203" cm="1">
        <f t="array" ref="D203">INDEX('Linha 07'!$A$4:$A$1000,B203)</f>
        <v>20150024</v>
      </c>
      <c r="E203" t="str" cm="1">
        <f t="array" ref="E203">INDEX('Linha 07'!$B$4:$B$1000,B203)</f>
        <v>Amac. Conc. Aquafast Vermelho Seduc Cx C/ 09 X 1,5l</v>
      </c>
      <c r="F203" cm="1">
        <f t="array" ref="F203">INDEX('Linha 07'!$C$3:$ZZ$3,C203)</f>
        <v>20150001</v>
      </c>
      <c r="G203" t="str" cm="1">
        <f t="array" ref="G203">INDEX('Linha 07'!$C$2:$ZZ$2,C203)</f>
        <v>Amac. Conc. Aquafast Azul Harmonia Cx/12 X 500ml</v>
      </c>
      <c r="H203" s="5" cm="1">
        <f t="array" ref="H203">INDEX('Linha 07'!$C$4:$ZZ$1000,B203,C203)</f>
        <v>0</v>
      </c>
    </row>
    <row r="204" spans="1:8" x14ac:dyDescent="0.25">
      <c r="A204">
        <v>202</v>
      </c>
      <c r="B204">
        <f t="shared" si="6"/>
        <v>11</v>
      </c>
      <c r="C204">
        <f t="shared" si="7"/>
        <v>2</v>
      </c>
      <c r="D204" cm="1">
        <f t="array" ref="D204">INDEX('Linha 07'!$A$4:$A$1000,B204)</f>
        <v>20150024</v>
      </c>
      <c r="E204" t="str" cm="1">
        <f t="array" ref="E204">INDEX('Linha 07'!$B$4:$B$1000,B204)</f>
        <v>Amac. Conc. Aquafast Vermelho Seduc Cx C/ 09 X 1,5l</v>
      </c>
      <c r="F204" cm="1">
        <f t="array" ref="F204">INDEX('Linha 07'!$C$3:$ZZ$3,C204)</f>
        <v>20150005</v>
      </c>
      <c r="G204" t="str" cm="1">
        <f t="array" ref="G204">INDEX('Linha 07'!$C$2:$ZZ$2,C204)</f>
        <v>Amac. Conc. Aquafast Vermelho Seducao Cx/12 X 500ml</v>
      </c>
      <c r="H204" s="5" cm="1">
        <f t="array" ref="H204">INDEX('Linha 07'!$C$4:$ZZ$1000,B204,C204)</f>
        <v>0</v>
      </c>
    </row>
    <row r="205" spans="1:8" x14ac:dyDescent="0.25">
      <c r="A205">
        <v>203</v>
      </c>
      <c r="B205">
        <f t="shared" si="6"/>
        <v>11</v>
      </c>
      <c r="C205">
        <f t="shared" si="7"/>
        <v>3</v>
      </c>
      <c r="D205" cm="1">
        <f t="array" ref="D205">INDEX('Linha 07'!$A$4:$A$1000,B205)</f>
        <v>20150024</v>
      </c>
      <c r="E205" t="str" cm="1">
        <f t="array" ref="E205">INDEX('Linha 07'!$B$4:$B$1000,B205)</f>
        <v>Amac. Conc. Aquafast Vermelho Seduc Cx C/ 09 X 1,5l</v>
      </c>
      <c r="F205" cm="1">
        <f t="array" ref="F205">INDEX('Linha 07'!$C$3:$ZZ$3,C205)</f>
        <v>20150007</v>
      </c>
      <c r="G205" t="str" cm="1">
        <f t="array" ref="G205">INDEX('Linha 07'!$C$2:$ZZ$2,C205)</f>
        <v>Amac. Conc. Aquafast Azul Harmonia Cx/ 12 X 1l</v>
      </c>
      <c r="H205" s="5" cm="1">
        <f t="array" ref="H205">INDEX('Linha 07'!$C$4:$ZZ$1000,B205,C205)</f>
        <v>0</v>
      </c>
    </row>
    <row r="206" spans="1:8" x14ac:dyDescent="0.25">
      <c r="A206">
        <v>204</v>
      </c>
      <c r="B206">
        <f t="shared" si="6"/>
        <v>11</v>
      </c>
      <c r="C206">
        <f t="shared" si="7"/>
        <v>4</v>
      </c>
      <c r="D206" cm="1">
        <f t="array" ref="D206">INDEX('Linha 07'!$A$4:$A$1000,B206)</f>
        <v>20150024</v>
      </c>
      <c r="E206" t="str" cm="1">
        <f t="array" ref="E206">INDEX('Linha 07'!$B$4:$B$1000,B206)</f>
        <v>Amac. Conc. Aquafast Vermelho Seduc Cx C/ 09 X 1,5l</v>
      </c>
      <c r="F206" cm="1">
        <f t="array" ref="F206">INDEX('Linha 07'!$C$3:$ZZ$3,C206)</f>
        <v>20150008</v>
      </c>
      <c r="G206" t="str" cm="1">
        <f t="array" ref="G206">INDEX('Linha 07'!$C$2:$ZZ$2,C206)</f>
        <v>Amac. Conc. Aquafast Rosa Romance Cx/ 12 X 1l</v>
      </c>
      <c r="H206" s="5" cm="1">
        <f t="array" ref="H206">INDEX('Linha 07'!$C$4:$ZZ$1000,B206,C206)</f>
        <v>0</v>
      </c>
    </row>
    <row r="207" spans="1:8" x14ac:dyDescent="0.25">
      <c r="A207">
        <v>205</v>
      </c>
      <c r="B207">
        <f t="shared" si="6"/>
        <v>11</v>
      </c>
      <c r="C207">
        <f t="shared" si="7"/>
        <v>5</v>
      </c>
      <c r="D207" cm="1">
        <f t="array" ref="D207">INDEX('Linha 07'!$A$4:$A$1000,B207)</f>
        <v>20150024</v>
      </c>
      <c r="E207" t="str" cm="1">
        <f t="array" ref="E207">INDEX('Linha 07'!$B$4:$B$1000,B207)</f>
        <v>Amac. Conc. Aquafast Vermelho Seduc Cx C/ 09 X 1,5l</v>
      </c>
      <c r="F207" cm="1">
        <f t="array" ref="F207">INDEX('Linha 07'!$C$3:$ZZ$3,C207)</f>
        <v>20150011</v>
      </c>
      <c r="G207" t="str" cm="1">
        <f t="array" ref="G207">INDEX('Linha 07'!$C$2:$ZZ$2,C207)</f>
        <v>Amac. Conc. Aquafast Vermelho Seducao Cx/ 12 X 1l</v>
      </c>
      <c r="H207" s="5" cm="1">
        <f t="array" ref="H207">INDEX('Linha 07'!$C$4:$ZZ$1000,B207,C207)</f>
        <v>0</v>
      </c>
    </row>
    <row r="208" spans="1:8" x14ac:dyDescent="0.25">
      <c r="A208">
        <v>206</v>
      </c>
      <c r="B208">
        <f t="shared" si="6"/>
        <v>11</v>
      </c>
      <c r="C208">
        <f t="shared" si="7"/>
        <v>6</v>
      </c>
      <c r="D208" cm="1">
        <f t="array" ref="D208">INDEX('Linha 07'!$A$4:$A$1000,B208)</f>
        <v>20150024</v>
      </c>
      <c r="E208" t="str" cm="1">
        <f t="array" ref="E208">INDEX('Linha 07'!$B$4:$B$1000,B208)</f>
        <v>Amac. Conc. Aquafast Vermelho Seduc Cx C/ 09 X 1,5l</v>
      </c>
      <c r="F208" cm="1">
        <f t="array" ref="F208">INDEX('Linha 07'!$C$3:$ZZ$3,C208)</f>
        <v>20150013</v>
      </c>
      <c r="G208" t="str" cm="1">
        <f t="array" ref="G208">INDEX('Linha 07'!$C$2:$ZZ$2,C208)</f>
        <v>Amac. Conc. Aquafast Branco Ternura Cx/12 X 500ml</v>
      </c>
      <c r="H208" s="5" cm="1">
        <f t="array" ref="H208">INDEX('Linha 07'!$C$4:$ZZ$1000,B208,C208)</f>
        <v>0</v>
      </c>
    </row>
    <row r="209" spans="1:8" x14ac:dyDescent="0.25">
      <c r="A209">
        <v>207</v>
      </c>
      <c r="B209">
        <f t="shared" si="6"/>
        <v>11</v>
      </c>
      <c r="C209">
        <f t="shared" si="7"/>
        <v>7</v>
      </c>
      <c r="D209" cm="1">
        <f t="array" ref="D209">INDEX('Linha 07'!$A$4:$A$1000,B209)</f>
        <v>20150024</v>
      </c>
      <c r="E209" t="str" cm="1">
        <f t="array" ref="E209">INDEX('Linha 07'!$B$4:$B$1000,B209)</f>
        <v>Amac. Conc. Aquafast Vermelho Seduc Cx C/ 09 X 1,5l</v>
      </c>
      <c r="F209" cm="1">
        <f t="array" ref="F209">INDEX('Linha 07'!$C$3:$ZZ$3,C209)</f>
        <v>20150014</v>
      </c>
      <c r="G209" t="str" cm="1">
        <f t="array" ref="G209">INDEX('Linha 07'!$C$2:$ZZ$2,C209)</f>
        <v>Amac. Conc. Aquafast Branco Ternura Cx/ 12 X 1l</v>
      </c>
      <c r="H209" s="5" cm="1">
        <f t="array" ref="H209">INDEX('Linha 07'!$C$4:$ZZ$1000,B209,C209)</f>
        <v>0</v>
      </c>
    </row>
    <row r="210" spans="1:8" x14ac:dyDescent="0.25">
      <c r="A210">
        <v>208</v>
      </c>
      <c r="B210">
        <f t="shared" si="6"/>
        <v>11</v>
      </c>
      <c r="C210">
        <f t="shared" si="7"/>
        <v>8</v>
      </c>
      <c r="D210" cm="1">
        <f t="array" ref="D210">INDEX('Linha 07'!$A$4:$A$1000,B210)</f>
        <v>20150024</v>
      </c>
      <c r="E210" t="str" cm="1">
        <f t="array" ref="E210">INDEX('Linha 07'!$B$4:$B$1000,B210)</f>
        <v>Amac. Conc. Aquafast Vermelho Seduc Cx C/ 09 X 1,5l</v>
      </c>
      <c r="F210" cm="1">
        <f t="array" ref="F210">INDEX('Linha 07'!$C$3:$ZZ$3,C210)</f>
        <v>20150021</v>
      </c>
      <c r="G210" t="str" cm="1">
        <f t="array" ref="G210">INDEX('Linha 07'!$C$2:$ZZ$2,C210)</f>
        <v>Amac. Conc. Aquafast Azul Harmonia Cx/ 09 X 1,5l</v>
      </c>
      <c r="H210" s="5" cm="1">
        <f t="array" ref="H210">INDEX('Linha 07'!$C$4:$ZZ$1000,B210,C210)</f>
        <v>0</v>
      </c>
    </row>
    <row r="211" spans="1:8" x14ac:dyDescent="0.25">
      <c r="A211">
        <v>209</v>
      </c>
      <c r="B211">
        <f t="shared" si="6"/>
        <v>11</v>
      </c>
      <c r="C211">
        <f t="shared" si="7"/>
        <v>9</v>
      </c>
      <c r="D211" cm="1">
        <f t="array" ref="D211">INDEX('Linha 07'!$A$4:$A$1000,B211)</f>
        <v>20150024</v>
      </c>
      <c r="E211" t="str" cm="1">
        <f t="array" ref="E211">INDEX('Linha 07'!$B$4:$B$1000,B211)</f>
        <v>Amac. Conc. Aquafast Vermelho Seduc Cx C/ 09 X 1,5l</v>
      </c>
      <c r="F211" cm="1">
        <f t="array" ref="F211">INDEX('Linha 07'!$C$3:$ZZ$3,C211)</f>
        <v>20150022</v>
      </c>
      <c r="G211" t="str" cm="1">
        <f t="array" ref="G211">INDEX('Linha 07'!$C$2:$ZZ$2,C211)</f>
        <v>Amac. Conc. Aquafast Rosa Romance Cx C/ 09 X 1,5l</v>
      </c>
      <c r="H211" s="5" cm="1">
        <f t="array" ref="H211">INDEX('Linha 07'!$C$4:$ZZ$1000,B211,C211)</f>
        <v>0</v>
      </c>
    </row>
    <row r="212" spans="1:8" x14ac:dyDescent="0.25">
      <c r="A212">
        <v>210</v>
      </c>
      <c r="B212">
        <f t="shared" si="6"/>
        <v>11</v>
      </c>
      <c r="C212">
        <f t="shared" si="7"/>
        <v>10</v>
      </c>
      <c r="D212" cm="1">
        <f t="array" ref="D212">INDEX('Linha 07'!$A$4:$A$1000,B212)</f>
        <v>20150024</v>
      </c>
      <c r="E212" t="str" cm="1">
        <f t="array" ref="E212">INDEX('Linha 07'!$B$4:$B$1000,B212)</f>
        <v>Amac. Conc. Aquafast Vermelho Seduc Cx C/ 09 X 1,5l</v>
      </c>
      <c r="F212" cm="1">
        <f t="array" ref="F212">INDEX('Linha 07'!$C$3:$ZZ$3,C212)</f>
        <v>20150023</v>
      </c>
      <c r="G212" t="str" cm="1">
        <f t="array" ref="G212">INDEX('Linha 07'!$C$2:$ZZ$2,C212)</f>
        <v>Amac. Conc. Aquafast Branco Ternura Cx C/ 09 X 1,5l</v>
      </c>
      <c r="H212" s="5" cm="1">
        <f t="array" ref="H212">INDEX('Linha 07'!$C$4:$ZZ$1000,B212,C212)</f>
        <v>0</v>
      </c>
    </row>
    <row r="213" spans="1:8" x14ac:dyDescent="0.25">
      <c r="A213">
        <v>211</v>
      </c>
      <c r="B213">
        <f t="shared" si="6"/>
        <v>11</v>
      </c>
      <c r="C213">
        <f t="shared" si="7"/>
        <v>11</v>
      </c>
      <c r="D213" cm="1">
        <f t="array" ref="D213">INDEX('Linha 07'!$A$4:$A$1000,B213)</f>
        <v>20150024</v>
      </c>
      <c r="E213" t="str" cm="1">
        <f t="array" ref="E213">INDEX('Linha 07'!$B$4:$B$1000,B213)</f>
        <v>Amac. Conc. Aquafast Vermelho Seduc Cx C/ 09 X 1,5l</v>
      </c>
      <c r="F213" cm="1">
        <f t="array" ref="F213">INDEX('Linha 07'!$C$3:$ZZ$3,C213)</f>
        <v>20150024</v>
      </c>
      <c r="G213" t="str" cm="1">
        <f t="array" ref="G213">INDEX('Linha 07'!$C$2:$ZZ$2,C213)</f>
        <v>Amac. Conc. Aquafast Vermelho Seduc Cx C/ 09 X 1,5l</v>
      </c>
      <c r="H213" s="5" cm="1">
        <f t="array" ref="H213">INDEX('Linha 07'!$C$4:$ZZ$1000,B213,C213)</f>
        <v>0</v>
      </c>
    </row>
    <row r="214" spans="1:8" x14ac:dyDescent="0.25">
      <c r="A214">
        <v>212</v>
      </c>
      <c r="B214">
        <f t="shared" si="6"/>
        <v>11</v>
      </c>
      <c r="C214">
        <f t="shared" si="7"/>
        <v>12</v>
      </c>
      <c r="D214" cm="1">
        <f t="array" ref="D214">INDEX('Linha 07'!$A$4:$A$1000,B214)</f>
        <v>20150024</v>
      </c>
      <c r="E214" t="str" cm="1">
        <f t="array" ref="E214">INDEX('Linha 07'!$B$4:$B$1000,B214)</f>
        <v>Amac. Conc. Aquafast Vermelho Seduc Cx C/ 09 X 1,5l</v>
      </c>
      <c r="F214" cm="1">
        <f t="array" ref="F214">INDEX('Linha 07'!$C$3:$ZZ$3,C214)</f>
        <v>20150035</v>
      </c>
      <c r="G214" t="str" cm="1">
        <f t="array" ref="G214">INDEX('Linha 07'!$C$2:$ZZ$2,C214)</f>
        <v>Amac. Conc. Aquafast Lilas Misterio Cx/ 12 X 1l</v>
      </c>
      <c r="H214" s="5" cm="1">
        <f t="array" ref="H214">INDEX('Linha 07'!$C$4:$ZZ$1000,B214,C214)</f>
        <v>0</v>
      </c>
    </row>
    <row r="215" spans="1:8" x14ac:dyDescent="0.25">
      <c r="A215">
        <v>213</v>
      </c>
      <c r="B215">
        <f t="shared" si="6"/>
        <v>11</v>
      </c>
      <c r="C215">
        <f t="shared" si="7"/>
        <v>13</v>
      </c>
      <c r="D215" cm="1">
        <f t="array" ref="D215">INDEX('Linha 07'!$A$4:$A$1000,B215)</f>
        <v>20150024</v>
      </c>
      <c r="E215" t="str" cm="1">
        <f t="array" ref="E215">INDEX('Linha 07'!$B$4:$B$1000,B215)</f>
        <v>Amac. Conc. Aquafast Vermelho Seduc Cx C/ 09 X 1,5l</v>
      </c>
      <c r="F215" cm="1">
        <f t="array" ref="F215">INDEX('Linha 07'!$C$3:$ZZ$3,C215)</f>
        <v>20150053</v>
      </c>
      <c r="G215" t="str" cm="1">
        <f t="array" ref="G215">INDEX('Linha 07'!$C$2:$ZZ$2,C215)</f>
        <v>Amac. Conc. Aquafast Lilas Misterio Cx C/ 09 X 1,5l</v>
      </c>
      <c r="H215" s="5" cm="1">
        <f t="array" ref="H215">INDEX('Linha 07'!$C$4:$ZZ$1000,B215,C215)</f>
        <v>0</v>
      </c>
    </row>
    <row r="216" spans="1:8" x14ac:dyDescent="0.25">
      <c r="A216">
        <v>214</v>
      </c>
      <c r="B216">
        <f t="shared" si="6"/>
        <v>11</v>
      </c>
      <c r="C216">
        <f t="shared" si="7"/>
        <v>14</v>
      </c>
      <c r="D216" cm="1">
        <f t="array" ref="D216">INDEX('Linha 07'!$A$4:$A$1000,B216)</f>
        <v>20150024</v>
      </c>
      <c r="E216" t="str" cm="1">
        <f t="array" ref="E216">INDEX('Linha 07'!$B$4:$B$1000,B216)</f>
        <v>Amac. Conc. Aquafast Vermelho Seduc Cx C/ 09 X 1,5l</v>
      </c>
      <c r="F216" cm="1">
        <f t="array" ref="F216">INDEX('Linha 07'!$C$3:$ZZ$3,C216)</f>
        <v>20150055</v>
      </c>
      <c r="G216" t="str" cm="1">
        <f t="array" ref="G216">INDEX('Linha 07'!$C$2:$ZZ$2,C216)</f>
        <v>Intermed Pack Amac Conc Aquafast Branco Ternura Cx/12 X 1l</v>
      </c>
      <c r="H216" s="5" cm="1">
        <f t="array" ref="H216">INDEX('Linha 07'!$C$4:$ZZ$1000,B216,C216)</f>
        <v>0</v>
      </c>
    </row>
    <row r="217" spans="1:8" x14ac:dyDescent="0.25">
      <c r="A217">
        <v>215</v>
      </c>
      <c r="B217">
        <f t="shared" si="6"/>
        <v>11</v>
      </c>
      <c r="C217">
        <f t="shared" si="7"/>
        <v>15</v>
      </c>
      <c r="D217" cm="1">
        <f t="array" ref="D217">INDEX('Linha 07'!$A$4:$A$1000,B217)</f>
        <v>20150024</v>
      </c>
      <c r="E217" t="str" cm="1">
        <f t="array" ref="E217">INDEX('Linha 07'!$B$4:$B$1000,B217)</f>
        <v>Amac. Conc. Aquafast Vermelho Seduc Cx C/ 09 X 1,5l</v>
      </c>
      <c r="F217" cm="1">
        <f t="array" ref="F217">INDEX('Linha 07'!$C$3:$ZZ$3,C217)</f>
        <v>20150057</v>
      </c>
      <c r="G217" t="str" cm="1">
        <f t="array" ref="G217">INDEX('Linha 07'!$C$2:$ZZ$2,C217)</f>
        <v>Intermed Pack Amac Conc Aquafast Azul Harmonia Cx/12 X 1l</v>
      </c>
      <c r="H217" s="5" cm="1">
        <f t="array" ref="H217">INDEX('Linha 07'!$C$4:$ZZ$1000,B217,C217)</f>
        <v>0</v>
      </c>
    </row>
    <row r="218" spans="1:8" x14ac:dyDescent="0.25">
      <c r="A218">
        <v>216</v>
      </c>
      <c r="B218">
        <f t="shared" si="6"/>
        <v>11</v>
      </c>
      <c r="C218">
        <f t="shared" si="7"/>
        <v>16</v>
      </c>
      <c r="D218" cm="1">
        <f t="array" ref="D218">INDEX('Linha 07'!$A$4:$A$1000,B218)</f>
        <v>20150024</v>
      </c>
      <c r="E218" t="str" cm="1">
        <f t="array" ref="E218">INDEX('Linha 07'!$B$4:$B$1000,B218)</f>
        <v>Amac. Conc. Aquafast Vermelho Seduc Cx C/ 09 X 1,5l</v>
      </c>
      <c r="F218" cm="1">
        <f t="array" ref="F218">INDEX('Linha 07'!$C$3:$ZZ$3,C218)</f>
        <v>20150058</v>
      </c>
      <c r="G218" t="str" cm="1">
        <f t="array" ref="G218">INDEX('Linha 07'!$C$2:$ZZ$2,C218)</f>
        <v>Amac. Conc. Aquafast Br. Ternura Cx C/ 09 X 1,5l Promocional</v>
      </c>
      <c r="H218" s="5" cm="1">
        <f t="array" ref="H218">INDEX('Linha 07'!$C$4:$ZZ$1000,B218,C218)</f>
        <v>0</v>
      </c>
    </row>
    <row r="219" spans="1:8" x14ac:dyDescent="0.25">
      <c r="A219">
        <v>217</v>
      </c>
      <c r="B219">
        <f t="shared" si="6"/>
        <v>11</v>
      </c>
      <c r="C219">
        <f t="shared" si="7"/>
        <v>17</v>
      </c>
      <c r="D219" cm="1">
        <f t="array" ref="D219">INDEX('Linha 07'!$A$4:$A$1000,B219)</f>
        <v>20150024</v>
      </c>
      <c r="E219" t="str" cm="1">
        <f t="array" ref="E219">INDEX('Linha 07'!$B$4:$B$1000,B219)</f>
        <v>Amac. Conc. Aquafast Vermelho Seduc Cx C/ 09 X 1,5l</v>
      </c>
      <c r="F219" cm="1">
        <f t="array" ref="F219">INDEX('Linha 07'!$C$3:$ZZ$3,C219)</f>
        <v>20150059</v>
      </c>
      <c r="G219" t="str" cm="1">
        <f t="array" ref="G219">INDEX('Linha 07'!$C$2:$ZZ$2,C219)</f>
        <v>Amac. Conc. Aquafast Az. Harmonia Cxc/ 09 X 1,5l Promocional</v>
      </c>
      <c r="H219" s="5" cm="1">
        <f t="array" ref="H219">INDEX('Linha 07'!$C$4:$ZZ$1000,B219,C219)</f>
        <v>0</v>
      </c>
    </row>
    <row r="220" spans="1:8" x14ac:dyDescent="0.25">
      <c r="A220">
        <v>218</v>
      </c>
      <c r="B220">
        <f t="shared" si="6"/>
        <v>11</v>
      </c>
      <c r="C220">
        <f t="shared" si="7"/>
        <v>18</v>
      </c>
      <c r="D220" cm="1">
        <f t="array" ref="D220">INDEX('Linha 07'!$A$4:$A$1000,B220)</f>
        <v>20150024</v>
      </c>
      <c r="E220" t="str" cm="1">
        <f t="array" ref="E220">INDEX('Linha 07'!$B$4:$B$1000,B220)</f>
        <v>Amac. Conc. Aquafast Vermelho Seduc Cx C/ 09 X 1,5l</v>
      </c>
      <c r="F220" cm="1">
        <f t="array" ref="F220">INDEX('Linha 07'!$C$3:$ZZ$3,C220)</f>
        <v>20150068</v>
      </c>
      <c r="G220" t="str" cm="1">
        <f t="array" ref="G220">INDEX('Linha 07'!$C$2:$ZZ$2,C220)</f>
        <v>Amac. Conc. Aquafast Lilas Misterio Cx C/ 09 X 1,5l Promo</v>
      </c>
      <c r="H220" s="5" cm="1">
        <f t="array" ref="H220">INDEX('Linha 07'!$C$4:$ZZ$1000,B220,C220)</f>
        <v>0</v>
      </c>
    </row>
    <row r="221" spans="1:8" x14ac:dyDescent="0.25">
      <c r="A221">
        <v>219</v>
      </c>
      <c r="B221">
        <f t="shared" si="6"/>
        <v>11</v>
      </c>
      <c r="C221">
        <f t="shared" si="7"/>
        <v>19</v>
      </c>
      <c r="D221" cm="1">
        <f t="array" ref="D221">INDEX('Linha 07'!$A$4:$A$1000,B221)</f>
        <v>20150024</v>
      </c>
      <c r="E221" t="str" cm="1">
        <f t="array" ref="E221">INDEX('Linha 07'!$B$4:$B$1000,B221)</f>
        <v>Amac. Conc. Aquafast Vermelho Seduc Cx C/ 09 X 1,5l</v>
      </c>
      <c r="F221" cm="1">
        <f t="array" ref="F221">INDEX('Linha 07'!$C$3:$ZZ$3,C221)</f>
        <v>20150069</v>
      </c>
      <c r="G221" t="str" cm="1">
        <f t="array" ref="G221">INDEX('Linha 07'!$C$2:$ZZ$2,C221)</f>
        <v>Amac. Conc. Aquafast Vermelho Seducao Cx C/ 09 X 1,5l Promo</v>
      </c>
      <c r="H221" s="5" cm="1">
        <f t="array" ref="H221">INDEX('Linha 07'!$C$4:$ZZ$1000,B221,C221)</f>
        <v>0</v>
      </c>
    </row>
    <row r="222" spans="1:8" x14ac:dyDescent="0.25">
      <c r="A222">
        <v>220</v>
      </c>
      <c r="B222">
        <f t="shared" si="6"/>
        <v>11</v>
      </c>
      <c r="C222">
        <f t="shared" si="7"/>
        <v>20</v>
      </c>
      <c r="D222" cm="1">
        <f t="array" ref="D222">INDEX('Linha 07'!$A$4:$A$1000,B222)</f>
        <v>20150024</v>
      </c>
      <c r="E222" t="str" cm="1">
        <f t="array" ref="E222">INDEX('Linha 07'!$B$4:$B$1000,B222)</f>
        <v>Amac. Conc. Aquafast Vermelho Seduc Cx C/ 09 X 1,5l</v>
      </c>
      <c r="F222" cm="1">
        <f t="array" ref="F222">INDEX('Linha 07'!$C$3:$ZZ$3,C222)</f>
        <v>20150070</v>
      </c>
      <c r="G222" t="str" cm="1">
        <f t="array" ref="G222">INDEX('Linha 07'!$C$2:$ZZ$2,C222)</f>
        <v>Amac. Conc. Aquafast Rosa Romance Cx C/ 09 X 1,5l Promo</v>
      </c>
      <c r="H222" s="5" cm="1">
        <f t="array" ref="H222">INDEX('Linha 07'!$C$4:$ZZ$1000,B222,C222)</f>
        <v>0</v>
      </c>
    </row>
    <row r="223" spans="1:8" x14ac:dyDescent="0.25">
      <c r="A223">
        <v>221</v>
      </c>
      <c r="B223">
        <f t="shared" si="6"/>
        <v>12</v>
      </c>
      <c r="C223">
        <f t="shared" si="7"/>
        <v>1</v>
      </c>
      <c r="D223" cm="1">
        <f t="array" ref="D223">INDEX('Linha 07'!$A$4:$A$1000,B223)</f>
        <v>20150035</v>
      </c>
      <c r="E223" t="str" cm="1">
        <f t="array" ref="E223">INDEX('Linha 07'!$B$4:$B$1000,B223)</f>
        <v>Amac. Conc. Aquafast Lilas Misterio Cx/ 12 X 1l</v>
      </c>
      <c r="F223" cm="1">
        <f t="array" ref="F223">INDEX('Linha 07'!$C$3:$ZZ$3,C223)</f>
        <v>20150001</v>
      </c>
      <c r="G223" t="str" cm="1">
        <f t="array" ref="G223">INDEX('Linha 07'!$C$2:$ZZ$2,C223)</f>
        <v>Amac. Conc. Aquafast Azul Harmonia Cx/12 X 500ml</v>
      </c>
      <c r="H223" s="5" cm="1">
        <f t="array" ref="H223">INDEX('Linha 07'!$C$4:$ZZ$1000,B223,C223)</f>
        <v>0</v>
      </c>
    </row>
    <row r="224" spans="1:8" x14ac:dyDescent="0.25">
      <c r="A224">
        <v>222</v>
      </c>
      <c r="B224">
        <f t="shared" si="6"/>
        <v>12</v>
      </c>
      <c r="C224">
        <f t="shared" si="7"/>
        <v>2</v>
      </c>
      <c r="D224" cm="1">
        <f t="array" ref="D224">INDEX('Linha 07'!$A$4:$A$1000,B224)</f>
        <v>20150035</v>
      </c>
      <c r="E224" t="str" cm="1">
        <f t="array" ref="E224">INDEX('Linha 07'!$B$4:$B$1000,B224)</f>
        <v>Amac. Conc. Aquafast Lilas Misterio Cx/ 12 X 1l</v>
      </c>
      <c r="F224" cm="1">
        <f t="array" ref="F224">INDEX('Linha 07'!$C$3:$ZZ$3,C224)</f>
        <v>20150005</v>
      </c>
      <c r="G224" t="str" cm="1">
        <f t="array" ref="G224">INDEX('Linha 07'!$C$2:$ZZ$2,C224)</f>
        <v>Amac. Conc. Aquafast Vermelho Seducao Cx/12 X 500ml</v>
      </c>
      <c r="H224" s="5" cm="1">
        <f t="array" ref="H224">INDEX('Linha 07'!$C$4:$ZZ$1000,B224,C224)</f>
        <v>0</v>
      </c>
    </row>
    <row r="225" spans="1:8" x14ac:dyDescent="0.25">
      <c r="A225">
        <v>223</v>
      </c>
      <c r="B225">
        <f t="shared" si="6"/>
        <v>12</v>
      </c>
      <c r="C225">
        <f t="shared" si="7"/>
        <v>3</v>
      </c>
      <c r="D225" cm="1">
        <f t="array" ref="D225">INDEX('Linha 07'!$A$4:$A$1000,B225)</f>
        <v>20150035</v>
      </c>
      <c r="E225" t="str" cm="1">
        <f t="array" ref="E225">INDEX('Linha 07'!$B$4:$B$1000,B225)</f>
        <v>Amac. Conc. Aquafast Lilas Misterio Cx/ 12 X 1l</v>
      </c>
      <c r="F225" cm="1">
        <f t="array" ref="F225">INDEX('Linha 07'!$C$3:$ZZ$3,C225)</f>
        <v>20150007</v>
      </c>
      <c r="G225" t="str" cm="1">
        <f t="array" ref="G225">INDEX('Linha 07'!$C$2:$ZZ$2,C225)</f>
        <v>Amac. Conc. Aquafast Azul Harmonia Cx/ 12 X 1l</v>
      </c>
      <c r="H225" s="5" cm="1">
        <f t="array" ref="H225">INDEX('Linha 07'!$C$4:$ZZ$1000,B225,C225)</f>
        <v>0</v>
      </c>
    </row>
    <row r="226" spans="1:8" x14ac:dyDescent="0.25">
      <c r="A226">
        <v>224</v>
      </c>
      <c r="B226">
        <f t="shared" si="6"/>
        <v>12</v>
      </c>
      <c r="C226">
        <f t="shared" si="7"/>
        <v>4</v>
      </c>
      <c r="D226" cm="1">
        <f t="array" ref="D226">INDEX('Linha 07'!$A$4:$A$1000,B226)</f>
        <v>20150035</v>
      </c>
      <c r="E226" t="str" cm="1">
        <f t="array" ref="E226">INDEX('Linha 07'!$B$4:$B$1000,B226)</f>
        <v>Amac. Conc. Aquafast Lilas Misterio Cx/ 12 X 1l</v>
      </c>
      <c r="F226" cm="1">
        <f t="array" ref="F226">INDEX('Linha 07'!$C$3:$ZZ$3,C226)</f>
        <v>20150008</v>
      </c>
      <c r="G226" t="str" cm="1">
        <f t="array" ref="G226">INDEX('Linha 07'!$C$2:$ZZ$2,C226)</f>
        <v>Amac. Conc. Aquafast Rosa Romance Cx/ 12 X 1l</v>
      </c>
      <c r="H226" s="5" cm="1">
        <f t="array" ref="H226">INDEX('Linha 07'!$C$4:$ZZ$1000,B226,C226)</f>
        <v>0</v>
      </c>
    </row>
    <row r="227" spans="1:8" x14ac:dyDescent="0.25">
      <c r="A227">
        <v>225</v>
      </c>
      <c r="B227">
        <f t="shared" si="6"/>
        <v>12</v>
      </c>
      <c r="C227">
        <f t="shared" si="7"/>
        <v>5</v>
      </c>
      <c r="D227" cm="1">
        <f t="array" ref="D227">INDEX('Linha 07'!$A$4:$A$1000,B227)</f>
        <v>20150035</v>
      </c>
      <c r="E227" t="str" cm="1">
        <f t="array" ref="E227">INDEX('Linha 07'!$B$4:$B$1000,B227)</f>
        <v>Amac. Conc. Aquafast Lilas Misterio Cx/ 12 X 1l</v>
      </c>
      <c r="F227" cm="1">
        <f t="array" ref="F227">INDEX('Linha 07'!$C$3:$ZZ$3,C227)</f>
        <v>20150011</v>
      </c>
      <c r="G227" t="str" cm="1">
        <f t="array" ref="G227">INDEX('Linha 07'!$C$2:$ZZ$2,C227)</f>
        <v>Amac. Conc. Aquafast Vermelho Seducao Cx/ 12 X 1l</v>
      </c>
      <c r="H227" s="5" cm="1">
        <f t="array" ref="H227">INDEX('Linha 07'!$C$4:$ZZ$1000,B227,C227)</f>
        <v>0</v>
      </c>
    </row>
    <row r="228" spans="1:8" x14ac:dyDescent="0.25">
      <c r="A228">
        <v>226</v>
      </c>
      <c r="B228">
        <f t="shared" si="6"/>
        <v>12</v>
      </c>
      <c r="C228">
        <f t="shared" si="7"/>
        <v>6</v>
      </c>
      <c r="D228" cm="1">
        <f t="array" ref="D228">INDEX('Linha 07'!$A$4:$A$1000,B228)</f>
        <v>20150035</v>
      </c>
      <c r="E228" t="str" cm="1">
        <f t="array" ref="E228">INDEX('Linha 07'!$B$4:$B$1000,B228)</f>
        <v>Amac. Conc. Aquafast Lilas Misterio Cx/ 12 X 1l</v>
      </c>
      <c r="F228" cm="1">
        <f t="array" ref="F228">INDEX('Linha 07'!$C$3:$ZZ$3,C228)</f>
        <v>20150013</v>
      </c>
      <c r="G228" t="str" cm="1">
        <f t="array" ref="G228">INDEX('Linha 07'!$C$2:$ZZ$2,C228)</f>
        <v>Amac. Conc. Aquafast Branco Ternura Cx/12 X 500ml</v>
      </c>
      <c r="H228" s="5" cm="1">
        <f t="array" ref="H228">INDEX('Linha 07'!$C$4:$ZZ$1000,B228,C228)</f>
        <v>0</v>
      </c>
    </row>
    <row r="229" spans="1:8" x14ac:dyDescent="0.25">
      <c r="A229">
        <v>227</v>
      </c>
      <c r="B229">
        <f t="shared" si="6"/>
        <v>12</v>
      </c>
      <c r="C229">
        <f t="shared" si="7"/>
        <v>7</v>
      </c>
      <c r="D229" cm="1">
        <f t="array" ref="D229">INDEX('Linha 07'!$A$4:$A$1000,B229)</f>
        <v>20150035</v>
      </c>
      <c r="E229" t="str" cm="1">
        <f t="array" ref="E229">INDEX('Linha 07'!$B$4:$B$1000,B229)</f>
        <v>Amac. Conc. Aquafast Lilas Misterio Cx/ 12 X 1l</v>
      </c>
      <c r="F229" cm="1">
        <f t="array" ref="F229">INDEX('Linha 07'!$C$3:$ZZ$3,C229)</f>
        <v>20150014</v>
      </c>
      <c r="G229" t="str" cm="1">
        <f t="array" ref="G229">INDEX('Linha 07'!$C$2:$ZZ$2,C229)</f>
        <v>Amac. Conc. Aquafast Branco Ternura Cx/ 12 X 1l</v>
      </c>
      <c r="H229" s="5" cm="1">
        <f t="array" ref="H229">INDEX('Linha 07'!$C$4:$ZZ$1000,B229,C229)</f>
        <v>0</v>
      </c>
    </row>
    <row r="230" spans="1:8" x14ac:dyDescent="0.25">
      <c r="A230">
        <v>228</v>
      </c>
      <c r="B230">
        <f t="shared" si="6"/>
        <v>12</v>
      </c>
      <c r="C230">
        <f t="shared" si="7"/>
        <v>8</v>
      </c>
      <c r="D230" cm="1">
        <f t="array" ref="D230">INDEX('Linha 07'!$A$4:$A$1000,B230)</f>
        <v>20150035</v>
      </c>
      <c r="E230" t="str" cm="1">
        <f t="array" ref="E230">INDEX('Linha 07'!$B$4:$B$1000,B230)</f>
        <v>Amac. Conc. Aquafast Lilas Misterio Cx/ 12 X 1l</v>
      </c>
      <c r="F230" cm="1">
        <f t="array" ref="F230">INDEX('Linha 07'!$C$3:$ZZ$3,C230)</f>
        <v>20150021</v>
      </c>
      <c r="G230" t="str" cm="1">
        <f t="array" ref="G230">INDEX('Linha 07'!$C$2:$ZZ$2,C230)</f>
        <v>Amac. Conc. Aquafast Azul Harmonia Cx/ 09 X 1,5l</v>
      </c>
      <c r="H230" s="5" cm="1">
        <f t="array" ref="H230">INDEX('Linha 07'!$C$4:$ZZ$1000,B230,C230)</f>
        <v>0</v>
      </c>
    </row>
    <row r="231" spans="1:8" x14ac:dyDescent="0.25">
      <c r="A231">
        <v>229</v>
      </c>
      <c r="B231">
        <f t="shared" si="6"/>
        <v>12</v>
      </c>
      <c r="C231">
        <f t="shared" si="7"/>
        <v>9</v>
      </c>
      <c r="D231" cm="1">
        <f t="array" ref="D231">INDEX('Linha 07'!$A$4:$A$1000,B231)</f>
        <v>20150035</v>
      </c>
      <c r="E231" t="str" cm="1">
        <f t="array" ref="E231">INDEX('Linha 07'!$B$4:$B$1000,B231)</f>
        <v>Amac. Conc. Aquafast Lilas Misterio Cx/ 12 X 1l</v>
      </c>
      <c r="F231" cm="1">
        <f t="array" ref="F231">INDEX('Linha 07'!$C$3:$ZZ$3,C231)</f>
        <v>20150022</v>
      </c>
      <c r="G231" t="str" cm="1">
        <f t="array" ref="G231">INDEX('Linha 07'!$C$2:$ZZ$2,C231)</f>
        <v>Amac. Conc. Aquafast Rosa Romance Cx C/ 09 X 1,5l</v>
      </c>
      <c r="H231" s="5" cm="1">
        <f t="array" ref="H231">INDEX('Linha 07'!$C$4:$ZZ$1000,B231,C231)</f>
        <v>0</v>
      </c>
    </row>
    <row r="232" spans="1:8" x14ac:dyDescent="0.25">
      <c r="A232">
        <v>230</v>
      </c>
      <c r="B232">
        <f t="shared" si="6"/>
        <v>12</v>
      </c>
      <c r="C232">
        <f t="shared" si="7"/>
        <v>10</v>
      </c>
      <c r="D232" cm="1">
        <f t="array" ref="D232">INDEX('Linha 07'!$A$4:$A$1000,B232)</f>
        <v>20150035</v>
      </c>
      <c r="E232" t="str" cm="1">
        <f t="array" ref="E232">INDEX('Linha 07'!$B$4:$B$1000,B232)</f>
        <v>Amac. Conc. Aquafast Lilas Misterio Cx/ 12 X 1l</v>
      </c>
      <c r="F232" cm="1">
        <f t="array" ref="F232">INDEX('Linha 07'!$C$3:$ZZ$3,C232)</f>
        <v>20150023</v>
      </c>
      <c r="G232" t="str" cm="1">
        <f t="array" ref="G232">INDEX('Linha 07'!$C$2:$ZZ$2,C232)</f>
        <v>Amac. Conc. Aquafast Branco Ternura Cx C/ 09 X 1,5l</v>
      </c>
      <c r="H232" s="5" cm="1">
        <f t="array" ref="H232">INDEX('Linha 07'!$C$4:$ZZ$1000,B232,C232)</f>
        <v>0</v>
      </c>
    </row>
    <row r="233" spans="1:8" x14ac:dyDescent="0.25">
      <c r="A233">
        <v>231</v>
      </c>
      <c r="B233">
        <f t="shared" si="6"/>
        <v>12</v>
      </c>
      <c r="C233">
        <f t="shared" si="7"/>
        <v>11</v>
      </c>
      <c r="D233" cm="1">
        <f t="array" ref="D233">INDEX('Linha 07'!$A$4:$A$1000,B233)</f>
        <v>20150035</v>
      </c>
      <c r="E233" t="str" cm="1">
        <f t="array" ref="E233">INDEX('Linha 07'!$B$4:$B$1000,B233)</f>
        <v>Amac. Conc. Aquafast Lilas Misterio Cx/ 12 X 1l</v>
      </c>
      <c r="F233" cm="1">
        <f t="array" ref="F233">INDEX('Linha 07'!$C$3:$ZZ$3,C233)</f>
        <v>20150024</v>
      </c>
      <c r="G233" t="str" cm="1">
        <f t="array" ref="G233">INDEX('Linha 07'!$C$2:$ZZ$2,C233)</f>
        <v>Amac. Conc. Aquafast Vermelho Seduc Cx C/ 09 X 1,5l</v>
      </c>
      <c r="H233" s="5" cm="1">
        <f t="array" ref="H233">INDEX('Linha 07'!$C$4:$ZZ$1000,B233,C233)</f>
        <v>0</v>
      </c>
    </row>
    <row r="234" spans="1:8" x14ac:dyDescent="0.25">
      <c r="A234">
        <v>232</v>
      </c>
      <c r="B234">
        <f t="shared" si="6"/>
        <v>12</v>
      </c>
      <c r="C234">
        <f t="shared" si="7"/>
        <v>12</v>
      </c>
      <c r="D234" cm="1">
        <f t="array" ref="D234">INDEX('Linha 07'!$A$4:$A$1000,B234)</f>
        <v>20150035</v>
      </c>
      <c r="E234" t="str" cm="1">
        <f t="array" ref="E234">INDEX('Linha 07'!$B$4:$B$1000,B234)</f>
        <v>Amac. Conc. Aquafast Lilas Misterio Cx/ 12 X 1l</v>
      </c>
      <c r="F234" cm="1">
        <f t="array" ref="F234">INDEX('Linha 07'!$C$3:$ZZ$3,C234)</f>
        <v>20150035</v>
      </c>
      <c r="G234" t="str" cm="1">
        <f t="array" ref="G234">INDEX('Linha 07'!$C$2:$ZZ$2,C234)</f>
        <v>Amac. Conc. Aquafast Lilas Misterio Cx/ 12 X 1l</v>
      </c>
      <c r="H234" s="5" cm="1">
        <f t="array" ref="H234">INDEX('Linha 07'!$C$4:$ZZ$1000,B234,C234)</f>
        <v>0</v>
      </c>
    </row>
    <row r="235" spans="1:8" x14ac:dyDescent="0.25">
      <c r="A235">
        <v>233</v>
      </c>
      <c r="B235">
        <f t="shared" si="6"/>
        <v>12</v>
      </c>
      <c r="C235">
        <f t="shared" si="7"/>
        <v>13</v>
      </c>
      <c r="D235" cm="1">
        <f t="array" ref="D235">INDEX('Linha 07'!$A$4:$A$1000,B235)</f>
        <v>20150035</v>
      </c>
      <c r="E235" t="str" cm="1">
        <f t="array" ref="E235">INDEX('Linha 07'!$B$4:$B$1000,B235)</f>
        <v>Amac. Conc. Aquafast Lilas Misterio Cx/ 12 X 1l</v>
      </c>
      <c r="F235" cm="1">
        <f t="array" ref="F235">INDEX('Linha 07'!$C$3:$ZZ$3,C235)</f>
        <v>20150053</v>
      </c>
      <c r="G235" t="str" cm="1">
        <f t="array" ref="G235">INDEX('Linha 07'!$C$2:$ZZ$2,C235)</f>
        <v>Amac. Conc. Aquafast Lilas Misterio Cx C/ 09 X 1,5l</v>
      </c>
      <c r="H235" s="5" cm="1">
        <f t="array" ref="H235">INDEX('Linha 07'!$C$4:$ZZ$1000,B235,C235)</f>
        <v>0</v>
      </c>
    </row>
    <row r="236" spans="1:8" x14ac:dyDescent="0.25">
      <c r="A236">
        <v>234</v>
      </c>
      <c r="B236">
        <f t="shared" si="6"/>
        <v>12</v>
      </c>
      <c r="C236">
        <f t="shared" si="7"/>
        <v>14</v>
      </c>
      <c r="D236" cm="1">
        <f t="array" ref="D236">INDEX('Linha 07'!$A$4:$A$1000,B236)</f>
        <v>20150035</v>
      </c>
      <c r="E236" t="str" cm="1">
        <f t="array" ref="E236">INDEX('Linha 07'!$B$4:$B$1000,B236)</f>
        <v>Amac. Conc. Aquafast Lilas Misterio Cx/ 12 X 1l</v>
      </c>
      <c r="F236" cm="1">
        <f t="array" ref="F236">INDEX('Linha 07'!$C$3:$ZZ$3,C236)</f>
        <v>20150055</v>
      </c>
      <c r="G236" t="str" cm="1">
        <f t="array" ref="G236">INDEX('Linha 07'!$C$2:$ZZ$2,C236)</f>
        <v>Intermed Pack Amac Conc Aquafast Branco Ternura Cx/12 X 1l</v>
      </c>
      <c r="H236" s="5" cm="1">
        <f t="array" ref="H236">INDEX('Linha 07'!$C$4:$ZZ$1000,B236,C236)</f>
        <v>0</v>
      </c>
    </row>
    <row r="237" spans="1:8" x14ac:dyDescent="0.25">
      <c r="A237">
        <v>235</v>
      </c>
      <c r="B237">
        <f t="shared" si="6"/>
        <v>12</v>
      </c>
      <c r="C237">
        <f t="shared" si="7"/>
        <v>15</v>
      </c>
      <c r="D237" cm="1">
        <f t="array" ref="D237">INDEX('Linha 07'!$A$4:$A$1000,B237)</f>
        <v>20150035</v>
      </c>
      <c r="E237" t="str" cm="1">
        <f t="array" ref="E237">INDEX('Linha 07'!$B$4:$B$1000,B237)</f>
        <v>Amac. Conc. Aquafast Lilas Misterio Cx/ 12 X 1l</v>
      </c>
      <c r="F237" cm="1">
        <f t="array" ref="F237">INDEX('Linha 07'!$C$3:$ZZ$3,C237)</f>
        <v>20150057</v>
      </c>
      <c r="G237" t="str" cm="1">
        <f t="array" ref="G237">INDEX('Linha 07'!$C$2:$ZZ$2,C237)</f>
        <v>Intermed Pack Amac Conc Aquafast Azul Harmonia Cx/12 X 1l</v>
      </c>
      <c r="H237" s="5" cm="1">
        <f t="array" ref="H237">INDEX('Linha 07'!$C$4:$ZZ$1000,B237,C237)</f>
        <v>0</v>
      </c>
    </row>
    <row r="238" spans="1:8" x14ac:dyDescent="0.25">
      <c r="A238">
        <v>236</v>
      </c>
      <c r="B238">
        <f t="shared" si="6"/>
        <v>12</v>
      </c>
      <c r="C238">
        <f t="shared" si="7"/>
        <v>16</v>
      </c>
      <c r="D238" cm="1">
        <f t="array" ref="D238">INDEX('Linha 07'!$A$4:$A$1000,B238)</f>
        <v>20150035</v>
      </c>
      <c r="E238" t="str" cm="1">
        <f t="array" ref="E238">INDEX('Linha 07'!$B$4:$B$1000,B238)</f>
        <v>Amac. Conc. Aquafast Lilas Misterio Cx/ 12 X 1l</v>
      </c>
      <c r="F238" cm="1">
        <f t="array" ref="F238">INDEX('Linha 07'!$C$3:$ZZ$3,C238)</f>
        <v>20150058</v>
      </c>
      <c r="G238" t="str" cm="1">
        <f t="array" ref="G238">INDEX('Linha 07'!$C$2:$ZZ$2,C238)</f>
        <v>Amac. Conc. Aquafast Br. Ternura Cx C/ 09 X 1,5l Promocional</v>
      </c>
      <c r="H238" s="5" cm="1">
        <f t="array" ref="H238">INDEX('Linha 07'!$C$4:$ZZ$1000,B238,C238)</f>
        <v>0</v>
      </c>
    </row>
    <row r="239" spans="1:8" x14ac:dyDescent="0.25">
      <c r="A239">
        <v>237</v>
      </c>
      <c r="B239">
        <f t="shared" si="6"/>
        <v>12</v>
      </c>
      <c r="C239">
        <f t="shared" si="7"/>
        <v>17</v>
      </c>
      <c r="D239" cm="1">
        <f t="array" ref="D239">INDEX('Linha 07'!$A$4:$A$1000,B239)</f>
        <v>20150035</v>
      </c>
      <c r="E239" t="str" cm="1">
        <f t="array" ref="E239">INDEX('Linha 07'!$B$4:$B$1000,B239)</f>
        <v>Amac. Conc. Aquafast Lilas Misterio Cx/ 12 X 1l</v>
      </c>
      <c r="F239" cm="1">
        <f t="array" ref="F239">INDEX('Linha 07'!$C$3:$ZZ$3,C239)</f>
        <v>20150059</v>
      </c>
      <c r="G239" t="str" cm="1">
        <f t="array" ref="G239">INDEX('Linha 07'!$C$2:$ZZ$2,C239)</f>
        <v>Amac. Conc. Aquafast Az. Harmonia Cxc/ 09 X 1,5l Promocional</v>
      </c>
      <c r="H239" s="5" cm="1">
        <f t="array" ref="H239">INDEX('Linha 07'!$C$4:$ZZ$1000,B239,C239)</f>
        <v>0</v>
      </c>
    </row>
    <row r="240" spans="1:8" x14ac:dyDescent="0.25">
      <c r="A240">
        <v>238</v>
      </c>
      <c r="B240">
        <f t="shared" si="6"/>
        <v>12</v>
      </c>
      <c r="C240">
        <f t="shared" si="7"/>
        <v>18</v>
      </c>
      <c r="D240" cm="1">
        <f t="array" ref="D240">INDEX('Linha 07'!$A$4:$A$1000,B240)</f>
        <v>20150035</v>
      </c>
      <c r="E240" t="str" cm="1">
        <f t="array" ref="E240">INDEX('Linha 07'!$B$4:$B$1000,B240)</f>
        <v>Amac. Conc. Aquafast Lilas Misterio Cx/ 12 X 1l</v>
      </c>
      <c r="F240" cm="1">
        <f t="array" ref="F240">INDEX('Linha 07'!$C$3:$ZZ$3,C240)</f>
        <v>20150068</v>
      </c>
      <c r="G240" t="str" cm="1">
        <f t="array" ref="G240">INDEX('Linha 07'!$C$2:$ZZ$2,C240)</f>
        <v>Amac. Conc. Aquafast Lilas Misterio Cx C/ 09 X 1,5l Promo</v>
      </c>
      <c r="H240" s="5" cm="1">
        <f t="array" ref="H240">INDEX('Linha 07'!$C$4:$ZZ$1000,B240,C240)</f>
        <v>0</v>
      </c>
    </row>
    <row r="241" spans="1:8" x14ac:dyDescent="0.25">
      <c r="A241">
        <v>239</v>
      </c>
      <c r="B241">
        <f t="shared" si="6"/>
        <v>12</v>
      </c>
      <c r="C241">
        <f t="shared" si="7"/>
        <v>19</v>
      </c>
      <c r="D241" cm="1">
        <f t="array" ref="D241">INDEX('Linha 07'!$A$4:$A$1000,B241)</f>
        <v>20150035</v>
      </c>
      <c r="E241" t="str" cm="1">
        <f t="array" ref="E241">INDEX('Linha 07'!$B$4:$B$1000,B241)</f>
        <v>Amac. Conc. Aquafast Lilas Misterio Cx/ 12 X 1l</v>
      </c>
      <c r="F241" cm="1">
        <f t="array" ref="F241">INDEX('Linha 07'!$C$3:$ZZ$3,C241)</f>
        <v>20150069</v>
      </c>
      <c r="G241" t="str" cm="1">
        <f t="array" ref="G241">INDEX('Linha 07'!$C$2:$ZZ$2,C241)</f>
        <v>Amac. Conc. Aquafast Vermelho Seducao Cx C/ 09 X 1,5l Promo</v>
      </c>
      <c r="H241" s="5" cm="1">
        <f t="array" ref="H241">INDEX('Linha 07'!$C$4:$ZZ$1000,B241,C241)</f>
        <v>0</v>
      </c>
    </row>
    <row r="242" spans="1:8" x14ac:dyDescent="0.25">
      <c r="A242">
        <v>240</v>
      </c>
      <c r="B242">
        <f t="shared" si="6"/>
        <v>12</v>
      </c>
      <c r="C242">
        <f t="shared" si="7"/>
        <v>20</v>
      </c>
      <c r="D242" cm="1">
        <f t="array" ref="D242">INDEX('Linha 07'!$A$4:$A$1000,B242)</f>
        <v>20150035</v>
      </c>
      <c r="E242" t="str" cm="1">
        <f t="array" ref="E242">INDEX('Linha 07'!$B$4:$B$1000,B242)</f>
        <v>Amac. Conc. Aquafast Lilas Misterio Cx/ 12 X 1l</v>
      </c>
      <c r="F242" cm="1">
        <f t="array" ref="F242">INDEX('Linha 07'!$C$3:$ZZ$3,C242)</f>
        <v>20150070</v>
      </c>
      <c r="G242" t="str" cm="1">
        <f t="array" ref="G242">INDEX('Linha 07'!$C$2:$ZZ$2,C242)</f>
        <v>Amac. Conc. Aquafast Rosa Romance Cx C/ 09 X 1,5l Promo</v>
      </c>
      <c r="H242" s="5" cm="1">
        <f t="array" ref="H242">INDEX('Linha 07'!$C$4:$ZZ$1000,B242,C242)</f>
        <v>0</v>
      </c>
    </row>
    <row r="243" spans="1:8" x14ac:dyDescent="0.25">
      <c r="A243">
        <v>241</v>
      </c>
      <c r="B243">
        <f t="shared" si="6"/>
        <v>13</v>
      </c>
      <c r="C243">
        <f t="shared" si="7"/>
        <v>1</v>
      </c>
      <c r="D243" cm="1">
        <f t="array" ref="D243">INDEX('Linha 07'!$A$4:$A$1000,B243)</f>
        <v>20150053</v>
      </c>
      <c r="E243" t="str" cm="1">
        <f t="array" ref="E243">INDEX('Linha 07'!$B$4:$B$1000,B243)</f>
        <v>Amac. Conc. Aquafast Lilas Misterio Cx C/ 09 X 1,5l</v>
      </c>
      <c r="F243" cm="1">
        <f t="array" ref="F243">INDEX('Linha 07'!$C$3:$ZZ$3,C243)</f>
        <v>20150001</v>
      </c>
      <c r="G243" t="str" cm="1">
        <f t="array" ref="G243">INDEX('Linha 07'!$C$2:$ZZ$2,C243)</f>
        <v>Amac. Conc. Aquafast Azul Harmonia Cx/12 X 500ml</v>
      </c>
      <c r="H243" s="5" cm="1">
        <f t="array" ref="H243">INDEX('Linha 07'!$C$4:$ZZ$1000,B243,C243)</f>
        <v>0</v>
      </c>
    </row>
    <row r="244" spans="1:8" x14ac:dyDescent="0.25">
      <c r="A244">
        <v>242</v>
      </c>
      <c r="B244">
        <f t="shared" si="6"/>
        <v>13</v>
      </c>
      <c r="C244">
        <f t="shared" si="7"/>
        <v>2</v>
      </c>
      <c r="D244" cm="1">
        <f t="array" ref="D244">INDEX('Linha 07'!$A$4:$A$1000,B244)</f>
        <v>20150053</v>
      </c>
      <c r="E244" t="str" cm="1">
        <f t="array" ref="E244">INDEX('Linha 07'!$B$4:$B$1000,B244)</f>
        <v>Amac. Conc. Aquafast Lilas Misterio Cx C/ 09 X 1,5l</v>
      </c>
      <c r="F244" cm="1">
        <f t="array" ref="F244">INDEX('Linha 07'!$C$3:$ZZ$3,C244)</f>
        <v>20150005</v>
      </c>
      <c r="G244" t="str" cm="1">
        <f t="array" ref="G244">INDEX('Linha 07'!$C$2:$ZZ$2,C244)</f>
        <v>Amac. Conc. Aquafast Vermelho Seducao Cx/12 X 500ml</v>
      </c>
      <c r="H244" s="5" cm="1">
        <f t="array" ref="H244">INDEX('Linha 07'!$C$4:$ZZ$1000,B244,C244)</f>
        <v>0</v>
      </c>
    </row>
    <row r="245" spans="1:8" x14ac:dyDescent="0.25">
      <c r="A245">
        <v>243</v>
      </c>
      <c r="B245">
        <f t="shared" si="6"/>
        <v>13</v>
      </c>
      <c r="C245">
        <f t="shared" si="7"/>
        <v>3</v>
      </c>
      <c r="D245" cm="1">
        <f t="array" ref="D245">INDEX('Linha 07'!$A$4:$A$1000,B245)</f>
        <v>20150053</v>
      </c>
      <c r="E245" t="str" cm="1">
        <f t="array" ref="E245">INDEX('Linha 07'!$B$4:$B$1000,B245)</f>
        <v>Amac. Conc. Aquafast Lilas Misterio Cx C/ 09 X 1,5l</v>
      </c>
      <c r="F245" cm="1">
        <f t="array" ref="F245">INDEX('Linha 07'!$C$3:$ZZ$3,C245)</f>
        <v>20150007</v>
      </c>
      <c r="G245" t="str" cm="1">
        <f t="array" ref="G245">INDEX('Linha 07'!$C$2:$ZZ$2,C245)</f>
        <v>Amac. Conc. Aquafast Azul Harmonia Cx/ 12 X 1l</v>
      </c>
      <c r="H245" s="5" cm="1">
        <f t="array" ref="H245">INDEX('Linha 07'!$C$4:$ZZ$1000,B245,C245)</f>
        <v>0</v>
      </c>
    </row>
    <row r="246" spans="1:8" x14ac:dyDescent="0.25">
      <c r="A246">
        <v>244</v>
      </c>
      <c r="B246">
        <f t="shared" si="6"/>
        <v>13</v>
      </c>
      <c r="C246">
        <f t="shared" si="7"/>
        <v>4</v>
      </c>
      <c r="D246" cm="1">
        <f t="array" ref="D246">INDEX('Linha 07'!$A$4:$A$1000,B246)</f>
        <v>20150053</v>
      </c>
      <c r="E246" t="str" cm="1">
        <f t="array" ref="E246">INDEX('Linha 07'!$B$4:$B$1000,B246)</f>
        <v>Amac. Conc. Aquafast Lilas Misterio Cx C/ 09 X 1,5l</v>
      </c>
      <c r="F246" cm="1">
        <f t="array" ref="F246">INDEX('Linha 07'!$C$3:$ZZ$3,C246)</f>
        <v>20150008</v>
      </c>
      <c r="G246" t="str" cm="1">
        <f t="array" ref="G246">INDEX('Linha 07'!$C$2:$ZZ$2,C246)</f>
        <v>Amac. Conc. Aquafast Rosa Romance Cx/ 12 X 1l</v>
      </c>
      <c r="H246" s="5" cm="1">
        <f t="array" ref="H246">INDEX('Linha 07'!$C$4:$ZZ$1000,B246,C246)</f>
        <v>0</v>
      </c>
    </row>
    <row r="247" spans="1:8" x14ac:dyDescent="0.25">
      <c r="A247">
        <v>245</v>
      </c>
      <c r="B247">
        <f t="shared" si="6"/>
        <v>13</v>
      </c>
      <c r="C247">
        <f t="shared" si="7"/>
        <v>5</v>
      </c>
      <c r="D247" cm="1">
        <f t="array" ref="D247">INDEX('Linha 07'!$A$4:$A$1000,B247)</f>
        <v>20150053</v>
      </c>
      <c r="E247" t="str" cm="1">
        <f t="array" ref="E247">INDEX('Linha 07'!$B$4:$B$1000,B247)</f>
        <v>Amac. Conc. Aquafast Lilas Misterio Cx C/ 09 X 1,5l</v>
      </c>
      <c r="F247" cm="1">
        <f t="array" ref="F247">INDEX('Linha 07'!$C$3:$ZZ$3,C247)</f>
        <v>20150011</v>
      </c>
      <c r="G247" t="str" cm="1">
        <f t="array" ref="G247">INDEX('Linha 07'!$C$2:$ZZ$2,C247)</f>
        <v>Amac. Conc. Aquafast Vermelho Seducao Cx/ 12 X 1l</v>
      </c>
      <c r="H247" s="5" cm="1">
        <f t="array" ref="H247">INDEX('Linha 07'!$C$4:$ZZ$1000,B247,C247)</f>
        <v>0</v>
      </c>
    </row>
    <row r="248" spans="1:8" x14ac:dyDescent="0.25">
      <c r="A248">
        <v>246</v>
      </c>
      <c r="B248">
        <f t="shared" si="6"/>
        <v>13</v>
      </c>
      <c r="C248">
        <f t="shared" si="7"/>
        <v>6</v>
      </c>
      <c r="D248" cm="1">
        <f t="array" ref="D248">INDEX('Linha 07'!$A$4:$A$1000,B248)</f>
        <v>20150053</v>
      </c>
      <c r="E248" t="str" cm="1">
        <f t="array" ref="E248">INDEX('Linha 07'!$B$4:$B$1000,B248)</f>
        <v>Amac. Conc. Aquafast Lilas Misterio Cx C/ 09 X 1,5l</v>
      </c>
      <c r="F248" cm="1">
        <f t="array" ref="F248">INDEX('Linha 07'!$C$3:$ZZ$3,C248)</f>
        <v>20150013</v>
      </c>
      <c r="G248" t="str" cm="1">
        <f t="array" ref="G248">INDEX('Linha 07'!$C$2:$ZZ$2,C248)</f>
        <v>Amac. Conc. Aquafast Branco Ternura Cx/12 X 500ml</v>
      </c>
      <c r="H248" s="5" cm="1">
        <f t="array" ref="H248">INDEX('Linha 07'!$C$4:$ZZ$1000,B248,C248)</f>
        <v>0</v>
      </c>
    </row>
    <row r="249" spans="1:8" x14ac:dyDescent="0.25">
      <c r="A249">
        <v>247</v>
      </c>
      <c r="B249">
        <f t="shared" si="6"/>
        <v>13</v>
      </c>
      <c r="C249">
        <f t="shared" si="7"/>
        <v>7</v>
      </c>
      <c r="D249" cm="1">
        <f t="array" ref="D249">INDEX('Linha 07'!$A$4:$A$1000,B249)</f>
        <v>20150053</v>
      </c>
      <c r="E249" t="str" cm="1">
        <f t="array" ref="E249">INDEX('Linha 07'!$B$4:$B$1000,B249)</f>
        <v>Amac. Conc. Aquafast Lilas Misterio Cx C/ 09 X 1,5l</v>
      </c>
      <c r="F249" cm="1">
        <f t="array" ref="F249">INDEX('Linha 07'!$C$3:$ZZ$3,C249)</f>
        <v>20150014</v>
      </c>
      <c r="G249" t="str" cm="1">
        <f t="array" ref="G249">INDEX('Linha 07'!$C$2:$ZZ$2,C249)</f>
        <v>Amac. Conc. Aquafast Branco Ternura Cx/ 12 X 1l</v>
      </c>
      <c r="H249" s="5" cm="1">
        <f t="array" ref="H249">INDEX('Linha 07'!$C$4:$ZZ$1000,B249,C249)</f>
        <v>0</v>
      </c>
    </row>
    <row r="250" spans="1:8" x14ac:dyDescent="0.25">
      <c r="A250">
        <v>248</v>
      </c>
      <c r="B250">
        <f t="shared" si="6"/>
        <v>13</v>
      </c>
      <c r="C250">
        <f t="shared" si="7"/>
        <v>8</v>
      </c>
      <c r="D250" cm="1">
        <f t="array" ref="D250">INDEX('Linha 07'!$A$4:$A$1000,B250)</f>
        <v>20150053</v>
      </c>
      <c r="E250" t="str" cm="1">
        <f t="array" ref="E250">INDEX('Linha 07'!$B$4:$B$1000,B250)</f>
        <v>Amac. Conc. Aquafast Lilas Misterio Cx C/ 09 X 1,5l</v>
      </c>
      <c r="F250" cm="1">
        <f t="array" ref="F250">INDEX('Linha 07'!$C$3:$ZZ$3,C250)</f>
        <v>20150021</v>
      </c>
      <c r="G250" t="str" cm="1">
        <f t="array" ref="G250">INDEX('Linha 07'!$C$2:$ZZ$2,C250)</f>
        <v>Amac. Conc. Aquafast Azul Harmonia Cx/ 09 X 1,5l</v>
      </c>
      <c r="H250" s="5" cm="1">
        <f t="array" ref="H250">INDEX('Linha 07'!$C$4:$ZZ$1000,B250,C250)</f>
        <v>0</v>
      </c>
    </row>
    <row r="251" spans="1:8" x14ac:dyDescent="0.25">
      <c r="A251">
        <v>249</v>
      </c>
      <c r="B251">
        <f t="shared" si="6"/>
        <v>13</v>
      </c>
      <c r="C251">
        <f t="shared" si="7"/>
        <v>9</v>
      </c>
      <c r="D251" cm="1">
        <f t="array" ref="D251">INDEX('Linha 07'!$A$4:$A$1000,B251)</f>
        <v>20150053</v>
      </c>
      <c r="E251" t="str" cm="1">
        <f t="array" ref="E251">INDEX('Linha 07'!$B$4:$B$1000,B251)</f>
        <v>Amac. Conc. Aquafast Lilas Misterio Cx C/ 09 X 1,5l</v>
      </c>
      <c r="F251" cm="1">
        <f t="array" ref="F251">INDEX('Linha 07'!$C$3:$ZZ$3,C251)</f>
        <v>20150022</v>
      </c>
      <c r="G251" t="str" cm="1">
        <f t="array" ref="G251">INDEX('Linha 07'!$C$2:$ZZ$2,C251)</f>
        <v>Amac. Conc. Aquafast Rosa Romance Cx C/ 09 X 1,5l</v>
      </c>
      <c r="H251" s="5" cm="1">
        <f t="array" ref="H251">INDEX('Linha 07'!$C$4:$ZZ$1000,B251,C251)</f>
        <v>0</v>
      </c>
    </row>
    <row r="252" spans="1:8" x14ac:dyDescent="0.25">
      <c r="A252">
        <v>250</v>
      </c>
      <c r="B252">
        <f t="shared" si="6"/>
        <v>13</v>
      </c>
      <c r="C252">
        <f t="shared" si="7"/>
        <v>10</v>
      </c>
      <c r="D252" cm="1">
        <f t="array" ref="D252">INDEX('Linha 07'!$A$4:$A$1000,B252)</f>
        <v>20150053</v>
      </c>
      <c r="E252" t="str" cm="1">
        <f t="array" ref="E252">INDEX('Linha 07'!$B$4:$B$1000,B252)</f>
        <v>Amac. Conc. Aquafast Lilas Misterio Cx C/ 09 X 1,5l</v>
      </c>
      <c r="F252" cm="1">
        <f t="array" ref="F252">INDEX('Linha 07'!$C$3:$ZZ$3,C252)</f>
        <v>20150023</v>
      </c>
      <c r="G252" t="str" cm="1">
        <f t="array" ref="G252">INDEX('Linha 07'!$C$2:$ZZ$2,C252)</f>
        <v>Amac. Conc. Aquafast Branco Ternura Cx C/ 09 X 1,5l</v>
      </c>
      <c r="H252" s="5" cm="1">
        <f t="array" ref="H252">INDEX('Linha 07'!$C$4:$ZZ$1000,B252,C252)</f>
        <v>0</v>
      </c>
    </row>
    <row r="253" spans="1:8" x14ac:dyDescent="0.25">
      <c r="A253">
        <v>251</v>
      </c>
      <c r="B253">
        <f t="shared" si="6"/>
        <v>13</v>
      </c>
      <c r="C253">
        <f t="shared" si="7"/>
        <v>11</v>
      </c>
      <c r="D253" cm="1">
        <f t="array" ref="D253">INDEX('Linha 07'!$A$4:$A$1000,B253)</f>
        <v>20150053</v>
      </c>
      <c r="E253" t="str" cm="1">
        <f t="array" ref="E253">INDEX('Linha 07'!$B$4:$B$1000,B253)</f>
        <v>Amac. Conc. Aquafast Lilas Misterio Cx C/ 09 X 1,5l</v>
      </c>
      <c r="F253" cm="1">
        <f t="array" ref="F253">INDEX('Linha 07'!$C$3:$ZZ$3,C253)</f>
        <v>20150024</v>
      </c>
      <c r="G253" t="str" cm="1">
        <f t="array" ref="G253">INDEX('Linha 07'!$C$2:$ZZ$2,C253)</f>
        <v>Amac. Conc. Aquafast Vermelho Seduc Cx C/ 09 X 1,5l</v>
      </c>
      <c r="H253" s="5" cm="1">
        <f t="array" ref="H253">INDEX('Linha 07'!$C$4:$ZZ$1000,B253,C253)</f>
        <v>0</v>
      </c>
    </row>
    <row r="254" spans="1:8" x14ac:dyDescent="0.25">
      <c r="A254">
        <v>252</v>
      </c>
      <c r="B254">
        <f t="shared" si="6"/>
        <v>13</v>
      </c>
      <c r="C254">
        <f t="shared" si="7"/>
        <v>12</v>
      </c>
      <c r="D254" cm="1">
        <f t="array" ref="D254">INDEX('Linha 07'!$A$4:$A$1000,B254)</f>
        <v>20150053</v>
      </c>
      <c r="E254" t="str" cm="1">
        <f t="array" ref="E254">INDEX('Linha 07'!$B$4:$B$1000,B254)</f>
        <v>Amac. Conc. Aquafast Lilas Misterio Cx C/ 09 X 1,5l</v>
      </c>
      <c r="F254" cm="1">
        <f t="array" ref="F254">INDEX('Linha 07'!$C$3:$ZZ$3,C254)</f>
        <v>20150035</v>
      </c>
      <c r="G254" t="str" cm="1">
        <f t="array" ref="G254">INDEX('Linha 07'!$C$2:$ZZ$2,C254)</f>
        <v>Amac. Conc. Aquafast Lilas Misterio Cx/ 12 X 1l</v>
      </c>
      <c r="H254" s="5" cm="1">
        <f t="array" ref="H254">INDEX('Linha 07'!$C$4:$ZZ$1000,B254,C254)</f>
        <v>0</v>
      </c>
    </row>
    <row r="255" spans="1:8" x14ac:dyDescent="0.25">
      <c r="A255">
        <v>253</v>
      </c>
      <c r="B255">
        <f t="shared" si="6"/>
        <v>13</v>
      </c>
      <c r="C255">
        <f t="shared" si="7"/>
        <v>13</v>
      </c>
      <c r="D255" cm="1">
        <f t="array" ref="D255">INDEX('Linha 07'!$A$4:$A$1000,B255)</f>
        <v>20150053</v>
      </c>
      <c r="E255" t="str" cm="1">
        <f t="array" ref="E255">INDEX('Linha 07'!$B$4:$B$1000,B255)</f>
        <v>Amac. Conc. Aquafast Lilas Misterio Cx C/ 09 X 1,5l</v>
      </c>
      <c r="F255" cm="1">
        <f t="array" ref="F255">INDEX('Linha 07'!$C$3:$ZZ$3,C255)</f>
        <v>20150053</v>
      </c>
      <c r="G255" t="str" cm="1">
        <f t="array" ref="G255">INDEX('Linha 07'!$C$2:$ZZ$2,C255)</f>
        <v>Amac. Conc. Aquafast Lilas Misterio Cx C/ 09 X 1,5l</v>
      </c>
      <c r="H255" s="5" cm="1">
        <f t="array" ref="H255">INDEX('Linha 07'!$C$4:$ZZ$1000,B255,C255)</f>
        <v>0</v>
      </c>
    </row>
    <row r="256" spans="1:8" x14ac:dyDescent="0.25">
      <c r="A256">
        <v>254</v>
      </c>
      <c r="B256">
        <f t="shared" si="6"/>
        <v>13</v>
      </c>
      <c r="C256">
        <f t="shared" si="7"/>
        <v>14</v>
      </c>
      <c r="D256" cm="1">
        <f t="array" ref="D256">INDEX('Linha 07'!$A$4:$A$1000,B256)</f>
        <v>20150053</v>
      </c>
      <c r="E256" t="str" cm="1">
        <f t="array" ref="E256">INDEX('Linha 07'!$B$4:$B$1000,B256)</f>
        <v>Amac. Conc. Aquafast Lilas Misterio Cx C/ 09 X 1,5l</v>
      </c>
      <c r="F256" cm="1">
        <f t="array" ref="F256">INDEX('Linha 07'!$C$3:$ZZ$3,C256)</f>
        <v>20150055</v>
      </c>
      <c r="G256" t="str" cm="1">
        <f t="array" ref="G256">INDEX('Linha 07'!$C$2:$ZZ$2,C256)</f>
        <v>Intermed Pack Amac Conc Aquafast Branco Ternura Cx/12 X 1l</v>
      </c>
      <c r="H256" s="5" cm="1">
        <f t="array" ref="H256">INDEX('Linha 07'!$C$4:$ZZ$1000,B256,C256)</f>
        <v>0</v>
      </c>
    </row>
    <row r="257" spans="1:8" x14ac:dyDescent="0.25">
      <c r="A257">
        <v>255</v>
      </c>
      <c r="B257">
        <f t="shared" si="6"/>
        <v>13</v>
      </c>
      <c r="C257">
        <f t="shared" si="7"/>
        <v>15</v>
      </c>
      <c r="D257" cm="1">
        <f t="array" ref="D257">INDEX('Linha 07'!$A$4:$A$1000,B257)</f>
        <v>20150053</v>
      </c>
      <c r="E257" t="str" cm="1">
        <f t="array" ref="E257">INDEX('Linha 07'!$B$4:$B$1000,B257)</f>
        <v>Amac. Conc. Aquafast Lilas Misterio Cx C/ 09 X 1,5l</v>
      </c>
      <c r="F257" cm="1">
        <f t="array" ref="F257">INDEX('Linha 07'!$C$3:$ZZ$3,C257)</f>
        <v>20150057</v>
      </c>
      <c r="G257" t="str" cm="1">
        <f t="array" ref="G257">INDEX('Linha 07'!$C$2:$ZZ$2,C257)</f>
        <v>Intermed Pack Amac Conc Aquafast Azul Harmonia Cx/12 X 1l</v>
      </c>
      <c r="H257" s="5" cm="1">
        <f t="array" ref="H257">INDEX('Linha 07'!$C$4:$ZZ$1000,B257,C257)</f>
        <v>0</v>
      </c>
    </row>
    <row r="258" spans="1:8" x14ac:dyDescent="0.25">
      <c r="A258">
        <v>256</v>
      </c>
      <c r="B258">
        <f t="shared" si="6"/>
        <v>13</v>
      </c>
      <c r="C258">
        <f t="shared" si="7"/>
        <v>16</v>
      </c>
      <c r="D258" cm="1">
        <f t="array" ref="D258">INDEX('Linha 07'!$A$4:$A$1000,B258)</f>
        <v>20150053</v>
      </c>
      <c r="E258" t="str" cm="1">
        <f t="array" ref="E258">INDEX('Linha 07'!$B$4:$B$1000,B258)</f>
        <v>Amac. Conc. Aquafast Lilas Misterio Cx C/ 09 X 1,5l</v>
      </c>
      <c r="F258" cm="1">
        <f t="array" ref="F258">INDEX('Linha 07'!$C$3:$ZZ$3,C258)</f>
        <v>20150058</v>
      </c>
      <c r="G258" t="str" cm="1">
        <f t="array" ref="G258">INDEX('Linha 07'!$C$2:$ZZ$2,C258)</f>
        <v>Amac. Conc. Aquafast Br. Ternura Cx C/ 09 X 1,5l Promocional</v>
      </c>
      <c r="H258" s="5" cm="1">
        <f t="array" ref="H258">INDEX('Linha 07'!$C$4:$ZZ$1000,B258,C258)</f>
        <v>0</v>
      </c>
    </row>
    <row r="259" spans="1:8" x14ac:dyDescent="0.25">
      <c r="A259">
        <v>257</v>
      </c>
      <c r="B259">
        <f t="shared" si="6"/>
        <v>13</v>
      </c>
      <c r="C259">
        <f t="shared" si="7"/>
        <v>17</v>
      </c>
      <c r="D259" cm="1">
        <f t="array" ref="D259">INDEX('Linha 07'!$A$4:$A$1000,B259)</f>
        <v>20150053</v>
      </c>
      <c r="E259" t="str" cm="1">
        <f t="array" ref="E259">INDEX('Linha 07'!$B$4:$B$1000,B259)</f>
        <v>Amac. Conc. Aquafast Lilas Misterio Cx C/ 09 X 1,5l</v>
      </c>
      <c r="F259" cm="1">
        <f t="array" ref="F259">INDEX('Linha 07'!$C$3:$ZZ$3,C259)</f>
        <v>20150059</v>
      </c>
      <c r="G259" t="str" cm="1">
        <f t="array" ref="G259">INDEX('Linha 07'!$C$2:$ZZ$2,C259)</f>
        <v>Amac. Conc. Aquafast Az. Harmonia Cxc/ 09 X 1,5l Promocional</v>
      </c>
      <c r="H259" s="5" cm="1">
        <f t="array" ref="H259">INDEX('Linha 07'!$C$4:$ZZ$1000,B259,C259)</f>
        <v>0</v>
      </c>
    </row>
    <row r="260" spans="1:8" x14ac:dyDescent="0.25">
      <c r="A260">
        <v>258</v>
      </c>
      <c r="B260">
        <f t="shared" ref="B260:B323" si="8">INT((A260-1)/$B$1)+1</f>
        <v>13</v>
      </c>
      <c r="C260">
        <f t="shared" ref="C260:C323" si="9">MOD(A260-1,$B$1)+1</f>
        <v>18</v>
      </c>
      <c r="D260" cm="1">
        <f t="array" ref="D260">INDEX('Linha 07'!$A$4:$A$1000,B260)</f>
        <v>20150053</v>
      </c>
      <c r="E260" t="str" cm="1">
        <f t="array" ref="E260">INDEX('Linha 07'!$B$4:$B$1000,B260)</f>
        <v>Amac. Conc. Aquafast Lilas Misterio Cx C/ 09 X 1,5l</v>
      </c>
      <c r="F260" cm="1">
        <f t="array" ref="F260">INDEX('Linha 07'!$C$3:$ZZ$3,C260)</f>
        <v>20150068</v>
      </c>
      <c r="G260" t="str" cm="1">
        <f t="array" ref="G260">INDEX('Linha 07'!$C$2:$ZZ$2,C260)</f>
        <v>Amac. Conc. Aquafast Lilas Misterio Cx C/ 09 X 1,5l Promo</v>
      </c>
      <c r="H260" s="5" cm="1">
        <f t="array" ref="H260">INDEX('Linha 07'!$C$4:$ZZ$1000,B260,C260)</f>
        <v>0</v>
      </c>
    </row>
    <row r="261" spans="1:8" x14ac:dyDescent="0.25">
      <c r="A261">
        <v>259</v>
      </c>
      <c r="B261">
        <f t="shared" si="8"/>
        <v>13</v>
      </c>
      <c r="C261">
        <f t="shared" si="9"/>
        <v>19</v>
      </c>
      <c r="D261" cm="1">
        <f t="array" ref="D261">INDEX('Linha 07'!$A$4:$A$1000,B261)</f>
        <v>20150053</v>
      </c>
      <c r="E261" t="str" cm="1">
        <f t="array" ref="E261">INDEX('Linha 07'!$B$4:$B$1000,B261)</f>
        <v>Amac. Conc. Aquafast Lilas Misterio Cx C/ 09 X 1,5l</v>
      </c>
      <c r="F261" cm="1">
        <f t="array" ref="F261">INDEX('Linha 07'!$C$3:$ZZ$3,C261)</f>
        <v>20150069</v>
      </c>
      <c r="G261" t="str" cm="1">
        <f t="array" ref="G261">INDEX('Linha 07'!$C$2:$ZZ$2,C261)</f>
        <v>Amac. Conc. Aquafast Vermelho Seducao Cx C/ 09 X 1,5l Promo</v>
      </c>
      <c r="H261" s="5" cm="1">
        <f t="array" ref="H261">INDEX('Linha 07'!$C$4:$ZZ$1000,B261,C261)</f>
        <v>0</v>
      </c>
    </row>
    <row r="262" spans="1:8" x14ac:dyDescent="0.25">
      <c r="A262">
        <v>260</v>
      </c>
      <c r="B262">
        <f t="shared" si="8"/>
        <v>13</v>
      </c>
      <c r="C262">
        <f t="shared" si="9"/>
        <v>20</v>
      </c>
      <c r="D262" cm="1">
        <f t="array" ref="D262">INDEX('Linha 07'!$A$4:$A$1000,B262)</f>
        <v>20150053</v>
      </c>
      <c r="E262" t="str" cm="1">
        <f t="array" ref="E262">INDEX('Linha 07'!$B$4:$B$1000,B262)</f>
        <v>Amac. Conc. Aquafast Lilas Misterio Cx C/ 09 X 1,5l</v>
      </c>
      <c r="F262" cm="1">
        <f t="array" ref="F262">INDEX('Linha 07'!$C$3:$ZZ$3,C262)</f>
        <v>20150070</v>
      </c>
      <c r="G262" t="str" cm="1">
        <f t="array" ref="G262">INDEX('Linha 07'!$C$2:$ZZ$2,C262)</f>
        <v>Amac. Conc. Aquafast Rosa Romance Cx C/ 09 X 1,5l Promo</v>
      </c>
      <c r="H262" s="5" cm="1">
        <f t="array" ref="H262">INDEX('Linha 07'!$C$4:$ZZ$1000,B262,C262)</f>
        <v>0</v>
      </c>
    </row>
    <row r="263" spans="1:8" x14ac:dyDescent="0.25">
      <c r="A263">
        <v>261</v>
      </c>
      <c r="B263">
        <f t="shared" si="8"/>
        <v>14</v>
      </c>
      <c r="C263">
        <f t="shared" si="9"/>
        <v>1</v>
      </c>
      <c r="D263" cm="1">
        <f t="array" ref="D263">INDEX('Linha 07'!$A$4:$A$1000,B263)</f>
        <v>20150055</v>
      </c>
      <c r="E263" t="str" cm="1">
        <f t="array" ref="E263">INDEX('Linha 07'!$B$4:$B$1000,B263)</f>
        <v>Intermed Pack Amac Conc Aquafast Branco Ternura Cx/12 X 1l</v>
      </c>
      <c r="F263" cm="1">
        <f t="array" ref="F263">INDEX('Linha 07'!$C$3:$ZZ$3,C263)</f>
        <v>20150001</v>
      </c>
      <c r="G263" t="str" cm="1">
        <f t="array" ref="G263">INDEX('Linha 07'!$C$2:$ZZ$2,C263)</f>
        <v>Amac. Conc. Aquafast Azul Harmonia Cx/12 X 500ml</v>
      </c>
      <c r="H263" s="5" cm="1">
        <f t="array" ref="H263">INDEX('Linha 07'!$C$4:$ZZ$1000,B263,C263)</f>
        <v>0</v>
      </c>
    </row>
    <row r="264" spans="1:8" x14ac:dyDescent="0.25">
      <c r="A264">
        <v>262</v>
      </c>
      <c r="B264">
        <f t="shared" si="8"/>
        <v>14</v>
      </c>
      <c r="C264">
        <f t="shared" si="9"/>
        <v>2</v>
      </c>
      <c r="D264" cm="1">
        <f t="array" ref="D264">INDEX('Linha 07'!$A$4:$A$1000,B264)</f>
        <v>20150055</v>
      </c>
      <c r="E264" t="str" cm="1">
        <f t="array" ref="E264">INDEX('Linha 07'!$B$4:$B$1000,B264)</f>
        <v>Intermed Pack Amac Conc Aquafast Branco Ternura Cx/12 X 1l</v>
      </c>
      <c r="F264" cm="1">
        <f t="array" ref="F264">INDEX('Linha 07'!$C$3:$ZZ$3,C264)</f>
        <v>20150005</v>
      </c>
      <c r="G264" t="str" cm="1">
        <f t="array" ref="G264">INDEX('Linha 07'!$C$2:$ZZ$2,C264)</f>
        <v>Amac. Conc. Aquafast Vermelho Seducao Cx/12 X 500ml</v>
      </c>
      <c r="H264" s="5" cm="1">
        <f t="array" ref="H264">INDEX('Linha 07'!$C$4:$ZZ$1000,B264,C264)</f>
        <v>0</v>
      </c>
    </row>
    <row r="265" spans="1:8" x14ac:dyDescent="0.25">
      <c r="A265">
        <v>263</v>
      </c>
      <c r="B265">
        <f t="shared" si="8"/>
        <v>14</v>
      </c>
      <c r="C265">
        <f t="shared" si="9"/>
        <v>3</v>
      </c>
      <c r="D265" cm="1">
        <f t="array" ref="D265">INDEX('Linha 07'!$A$4:$A$1000,B265)</f>
        <v>20150055</v>
      </c>
      <c r="E265" t="str" cm="1">
        <f t="array" ref="E265">INDEX('Linha 07'!$B$4:$B$1000,B265)</f>
        <v>Intermed Pack Amac Conc Aquafast Branco Ternura Cx/12 X 1l</v>
      </c>
      <c r="F265" cm="1">
        <f t="array" ref="F265">INDEX('Linha 07'!$C$3:$ZZ$3,C265)</f>
        <v>20150007</v>
      </c>
      <c r="G265" t="str" cm="1">
        <f t="array" ref="G265">INDEX('Linha 07'!$C$2:$ZZ$2,C265)</f>
        <v>Amac. Conc. Aquafast Azul Harmonia Cx/ 12 X 1l</v>
      </c>
      <c r="H265" s="5" cm="1">
        <f t="array" ref="H265">INDEX('Linha 07'!$C$4:$ZZ$1000,B265,C265)</f>
        <v>0</v>
      </c>
    </row>
    <row r="266" spans="1:8" x14ac:dyDescent="0.25">
      <c r="A266">
        <v>264</v>
      </c>
      <c r="B266">
        <f t="shared" si="8"/>
        <v>14</v>
      </c>
      <c r="C266">
        <f t="shared" si="9"/>
        <v>4</v>
      </c>
      <c r="D266" cm="1">
        <f t="array" ref="D266">INDEX('Linha 07'!$A$4:$A$1000,B266)</f>
        <v>20150055</v>
      </c>
      <c r="E266" t="str" cm="1">
        <f t="array" ref="E266">INDEX('Linha 07'!$B$4:$B$1000,B266)</f>
        <v>Intermed Pack Amac Conc Aquafast Branco Ternura Cx/12 X 1l</v>
      </c>
      <c r="F266" cm="1">
        <f t="array" ref="F266">INDEX('Linha 07'!$C$3:$ZZ$3,C266)</f>
        <v>20150008</v>
      </c>
      <c r="G266" t="str" cm="1">
        <f t="array" ref="G266">INDEX('Linha 07'!$C$2:$ZZ$2,C266)</f>
        <v>Amac. Conc. Aquafast Rosa Romance Cx/ 12 X 1l</v>
      </c>
      <c r="H266" s="5" cm="1">
        <f t="array" ref="H266">INDEX('Linha 07'!$C$4:$ZZ$1000,B266,C266)</f>
        <v>0</v>
      </c>
    </row>
    <row r="267" spans="1:8" x14ac:dyDescent="0.25">
      <c r="A267">
        <v>265</v>
      </c>
      <c r="B267">
        <f t="shared" si="8"/>
        <v>14</v>
      </c>
      <c r="C267">
        <f t="shared" si="9"/>
        <v>5</v>
      </c>
      <c r="D267" cm="1">
        <f t="array" ref="D267">INDEX('Linha 07'!$A$4:$A$1000,B267)</f>
        <v>20150055</v>
      </c>
      <c r="E267" t="str" cm="1">
        <f t="array" ref="E267">INDEX('Linha 07'!$B$4:$B$1000,B267)</f>
        <v>Intermed Pack Amac Conc Aquafast Branco Ternura Cx/12 X 1l</v>
      </c>
      <c r="F267" cm="1">
        <f t="array" ref="F267">INDEX('Linha 07'!$C$3:$ZZ$3,C267)</f>
        <v>20150011</v>
      </c>
      <c r="G267" t="str" cm="1">
        <f t="array" ref="G267">INDEX('Linha 07'!$C$2:$ZZ$2,C267)</f>
        <v>Amac. Conc. Aquafast Vermelho Seducao Cx/ 12 X 1l</v>
      </c>
      <c r="H267" s="5" cm="1">
        <f t="array" ref="H267">INDEX('Linha 07'!$C$4:$ZZ$1000,B267,C267)</f>
        <v>0</v>
      </c>
    </row>
    <row r="268" spans="1:8" x14ac:dyDescent="0.25">
      <c r="A268">
        <v>266</v>
      </c>
      <c r="B268">
        <f t="shared" si="8"/>
        <v>14</v>
      </c>
      <c r="C268">
        <f t="shared" si="9"/>
        <v>6</v>
      </c>
      <c r="D268" cm="1">
        <f t="array" ref="D268">INDEX('Linha 07'!$A$4:$A$1000,B268)</f>
        <v>20150055</v>
      </c>
      <c r="E268" t="str" cm="1">
        <f t="array" ref="E268">INDEX('Linha 07'!$B$4:$B$1000,B268)</f>
        <v>Intermed Pack Amac Conc Aquafast Branco Ternura Cx/12 X 1l</v>
      </c>
      <c r="F268" cm="1">
        <f t="array" ref="F268">INDEX('Linha 07'!$C$3:$ZZ$3,C268)</f>
        <v>20150013</v>
      </c>
      <c r="G268" t="str" cm="1">
        <f t="array" ref="G268">INDEX('Linha 07'!$C$2:$ZZ$2,C268)</f>
        <v>Amac. Conc. Aquafast Branco Ternura Cx/12 X 500ml</v>
      </c>
      <c r="H268" s="5" cm="1">
        <f t="array" ref="H268">INDEX('Linha 07'!$C$4:$ZZ$1000,B268,C268)</f>
        <v>0</v>
      </c>
    </row>
    <row r="269" spans="1:8" x14ac:dyDescent="0.25">
      <c r="A269">
        <v>267</v>
      </c>
      <c r="B269">
        <f t="shared" si="8"/>
        <v>14</v>
      </c>
      <c r="C269">
        <f t="shared" si="9"/>
        <v>7</v>
      </c>
      <c r="D269" cm="1">
        <f t="array" ref="D269">INDEX('Linha 07'!$A$4:$A$1000,B269)</f>
        <v>20150055</v>
      </c>
      <c r="E269" t="str" cm="1">
        <f t="array" ref="E269">INDEX('Linha 07'!$B$4:$B$1000,B269)</f>
        <v>Intermed Pack Amac Conc Aquafast Branco Ternura Cx/12 X 1l</v>
      </c>
      <c r="F269" cm="1">
        <f t="array" ref="F269">INDEX('Linha 07'!$C$3:$ZZ$3,C269)</f>
        <v>20150014</v>
      </c>
      <c r="G269" t="str" cm="1">
        <f t="array" ref="G269">INDEX('Linha 07'!$C$2:$ZZ$2,C269)</f>
        <v>Amac. Conc. Aquafast Branco Ternura Cx/ 12 X 1l</v>
      </c>
      <c r="H269" s="5" cm="1">
        <f t="array" ref="H269">INDEX('Linha 07'!$C$4:$ZZ$1000,B269,C269)</f>
        <v>0</v>
      </c>
    </row>
    <row r="270" spans="1:8" x14ac:dyDescent="0.25">
      <c r="A270">
        <v>268</v>
      </c>
      <c r="B270">
        <f t="shared" si="8"/>
        <v>14</v>
      </c>
      <c r="C270">
        <f t="shared" si="9"/>
        <v>8</v>
      </c>
      <c r="D270" cm="1">
        <f t="array" ref="D270">INDEX('Linha 07'!$A$4:$A$1000,B270)</f>
        <v>20150055</v>
      </c>
      <c r="E270" t="str" cm="1">
        <f t="array" ref="E270">INDEX('Linha 07'!$B$4:$B$1000,B270)</f>
        <v>Intermed Pack Amac Conc Aquafast Branco Ternura Cx/12 X 1l</v>
      </c>
      <c r="F270" cm="1">
        <f t="array" ref="F270">INDEX('Linha 07'!$C$3:$ZZ$3,C270)</f>
        <v>20150021</v>
      </c>
      <c r="G270" t="str" cm="1">
        <f t="array" ref="G270">INDEX('Linha 07'!$C$2:$ZZ$2,C270)</f>
        <v>Amac. Conc. Aquafast Azul Harmonia Cx/ 09 X 1,5l</v>
      </c>
      <c r="H270" s="5" cm="1">
        <f t="array" ref="H270">INDEX('Linha 07'!$C$4:$ZZ$1000,B270,C270)</f>
        <v>0</v>
      </c>
    </row>
    <row r="271" spans="1:8" x14ac:dyDescent="0.25">
      <c r="A271">
        <v>269</v>
      </c>
      <c r="B271">
        <f t="shared" si="8"/>
        <v>14</v>
      </c>
      <c r="C271">
        <f t="shared" si="9"/>
        <v>9</v>
      </c>
      <c r="D271" cm="1">
        <f t="array" ref="D271">INDEX('Linha 07'!$A$4:$A$1000,B271)</f>
        <v>20150055</v>
      </c>
      <c r="E271" t="str" cm="1">
        <f t="array" ref="E271">INDEX('Linha 07'!$B$4:$B$1000,B271)</f>
        <v>Intermed Pack Amac Conc Aquafast Branco Ternura Cx/12 X 1l</v>
      </c>
      <c r="F271" cm="1">
        <f t="array" ref="F271">INDEX('Linha 07'!$C$3:$ZZ$3,C271)</f>
        <v>20150022</v>
      </c>
      <c r="G271" t="str" cm="1">
        <f t="array" ref="G271">INDEX('Linha 07'!$C$2:$ZZ$2,C271)</f>
        <v>Amac. Conc. Aquafast Rosa Romance Cx C/ 09 X 1,5l</v>
      </c>
      <c r="H271" s="5" cm="1">
        <f t="array" ref="H271">INDEX('Linha 07'!$C$4:$ZZ$1000,B271,C271)</f>
        <v>0</v>
      </c>
    </row>
    <row r="272" spans="1:8" x14ac:dyDescent="0.25">
      <c r="A272">
        <v>270</v>
      </c>
      <c r="B272">
        <f t="shared" si="8"/>
        <v>14</v>
      </c>
      <c r="C272">
        <f t="shared" si="9"/>
        <v>10</v>
      </c>
      <c r="D272" cm="1">
        <f t="array" ref="D272">INDEX('Linha 07'!$A$4:$A$1000,B272)</f>
        <v>20150055</v>
      </c>
      <c r="E272" t="str" cm="1">
        <f t="array" ref="E272">INDEX('Linha 07'!$B$4:$B$1000,B272)</f>
        <v>Intermed Pack Amac Conc Aquafast Branco Ternura Cx/12 X 1l</v>
      </c>
      <c r="F272" cm="1">
        <f t="array" ref="F272">INDEX('Linha 07'!$C$3:$ZZ$3,C272)</f>
        <v>20150023</v>
      </c>
      <c r="G272" t="str" cm="1">
        <f t="array" ref="G272">INDEX('Linha 07'!$C$2:$ZZ$2,C272)</f>
        <v>Amac. Conc. Aquafast Branco Ternura Cx C/ 09 X 1,5l</v>
      </c>
      <c r="H272" s="5" cm="1">
        <f t="array" ref="H272">INDEX('Linha 07'!$C$4:$ZZ$1000,B272,C272)</f>
        <v>0</v>
      </c>
    </row>
    <row r="273" spans="1:8" x14ac:dyDescent="0.25">
      <c r="A273">
        <v>271</v>
      </c>
      <c r="B273">
        <f t="shared" si="8"/>
        <v>14</v>
      </c>
      <c r="C273">
        <f t="shared" si="9"/>
        <v>11</v>
      </c>
      <c r="D273" cm="1">
        <f t="array" ref="D273">INDEX('Linha 07'!$A$4:$A$1000,B273)</f>
        <v>20150055</v>
      </c>
      <c r="E273" t="str" cm="1">
        <f t="array" ref="E273">INDEX('Linha 07'!$B$4:$B$1000,B273)</f>
        <v>Intermed Pack Amac Conc Aquafast Branco Ternura Cx/12 X 1l</v>
      </c>
      <c r="F273" cm="1">
        <f t="array" ref="F273">INDEX('Linha 07'!$C$3:$ZZ$3,C273)</f>
        <v>20150024</v>
      </c>
      <c r="G273" t="str" cm="1">
        <f t="array" ref="G273">INDEX('Linha 07'!$C$2:$ZZ$2,C273)</f>
        <v>Amac. Conc. Aquafast Vermelho Seduc Cx C/ 09 X 1,5l</v>
      </c>
      <c r="H273" s="5" cm="1">
        <f t="array" ref="H273">INDEX('Linha 07'!$C$4:$ZZ$1000,B273,C273)</f>
        <v>0</v>
      </c>
    </row>
    <row r="274" spans="1:8" x14ac:dyDescent="0.25">
      <c r="A274">
        <v>272</v>
      </c>
      <c r="B274">
        <f t="shared" si="8"/>
        <v>14</v>
      </c>
      <c r="C274">
        <f t="shared" si="9"/>
        <v>12</v>
      </c>
      <c r="D274" cm="1">
        <f t="array" ref="D274">INDEX('Linha 07'!$A$4:$A$1000,B274)</f>
        <v>20150055</v>
      </c>
      <c r="E274" t="str" cm="1">
        <f t="array" ref="E274">INDEX('Linha 07'!$B$4:$B$1000,B274)</f>
        <v>Intermed Pack Amac Conc Aquafast Branco Ternura Cx/12 X 1l</v>
      </c>
      <c r="F274" cm="1">
        <f t="array" ref="F274">INDEX('Linha 07'!$C$3:$ZZ$3,C274)</f>
        <v>20150035</v>
      </c>
      <c r="G274" t="str" cm="1">
        <f t="array" ref="G274">INDEX('Linha 07'!$C$2:$ZZ$2,C274)</f>
        <v>Amac. Conc. Aquafast Lilas Misterio Cx/ 12 X 1l</v>
      </c>
      <c r="H274" s="5" cm="1">
        <f t="array" ref="H274">INDEX('Linha 07'!$C$4:$ZZ$1000,B274,C274)</f>
        <v>0</v>
      </c>
    </row>
    <row r="275" spans="1:8" x14ac:dyDescent="0.25">
      <c r="A275">
        <v>273</v>
      </c>
      <c r="B275">
        <f t="shared" si="8"/>
        <v>14</v>
      </c>
      <c r="C275">
        <f t="shared" si="9"/>
        <v>13</v>
      </c>
      <c r="D275" cm="1">
        <f t="array" ref="D275">INDEX('Linha 07'!$A$4:$A$1000,B275)</f>
        <v>20150055</v>
      </c>
      <c r="E275" t="str" cm="1">
        <f t="array" ref="E275">INDEX('Linha 07'!$B$4:$B$1000,B275)</f>
        <v>Intermed Pack Amac Conc Aquafast Branco Ternura Cx/12 X 1l</v>
      </c>
      <c r="F275" cm="1">
        <f t="array" ref="F275">INDEX('Linha 07'!$C$3:$ZZ$3,C275)</f>
        <v>20150053</v>
      </c>
      <c r="G275" t="str" cm="1">
        <f t="array" ref="G275">INDEX('Linha 07'!$C$2:$ZZ$2,C275)</f>
        <v>Amac. Conc. Aquafast Lilas Misterio Cx C/ 09 X 1,5l</v>
      </c>
      <c r="H275" s="5" cm="1">
        <f t="array" ref="H275">INDEX('Linha 07'!$C$4:$ZZ$1000,B275,C275)</f>
        <v>0</v>
      </c>
    </row>
    <row r="276" spans="1:8" x14ac:dyDescent="0.25">
      <c r="A276">
        <v>274</v>
      </c>
      <c r="B276">
        <f t="shared" si="8"/>
        <v>14</v>
      </c>
      <c r="C276">
        <f t="shared" si="9"/>
        <v>14</v>
      </c>
      <c r="D276" cm="1">
        <f t="array" ref="D276">INDEX('Linha 07'!$A$4:$A$1000,B276)</f>
        <v>20150055</v>
      </c>
      <c r="E276" t="str" cm="1">
        <f t="array" ref="E276">INDEX('Linha 07'!$B$4:$B$1000,B276)</f>
        <v>Intermed Pack Amac Conc Aquafast Branco Ternura Cx/12 X 1l</v>
      </c>
      <c r="F276" cm="1">
        <f t="array" ref="F276">INDEX('Linha 07'!$C$3:$ZZ$3,C276)</f>
        <v>20150055</v>
      </c>
      <c r="G276" t="str" cm="1">
        <f t="array" ref="G276">INDEX('Linha 07'!$C$2:$ZZ$2,C276)</f>
        <v>Intermed Pack Amac Conc Aquafast Branco Ternura Cx/12 X 1l</v>
      </c>
      <c r="H276" s="5" cm="1">
        <f t="array" ref="H276">INDEX('Linha 07'!$C$4:$ZZ$1000,B276,C276)</f>
        <v>0</v>
      </c>
    </row>
    <row r="277" spans="1:8" x14ac:dyDescent="0.25">
      <c r="A277">
        <v>275</v>
      </c>
      <c r="B277">
        <f t="shared" si="8"/>
        <v>14</v>
      </c>
      <c r="C277">
        <f t="shared" si="9"/>
        <v>15</v>
      </c>
      <c r="D277" cm="1">
        <f t="array" ref="D277">INDEX('Linha 07'!$A$4:$A$1000,B277)</f>
        <v>20150055</v>
      </c>
      <c r="E277" t="str" cm="1">
        <f t="array" ref="E277">INDEX('Linha 07'!$B$4:$B$1000,B277)</f>
        <v>Intermed Pack Amac Conc Aquafast Branco Ternura Cx/12 X 1l</v>
      </c>
      <c r="F277" cm="1">
        <f t="array" ref="F277">INDEX('Linha 07'!$C$3:$ZZ$3,C277)</f>
        <v>20150057</v>
      </c>
      <c r="G277" t="str" cm="1">
        <f t="array" ref="G277">INDEX('Linha 07'!$C$2:$ZZ$2,C277)</f>
        <v>Intermed Pack Amac Conc Aquafast Azul Harmonia Cx/12 X 1l</v>
      </c>
      <c r="H277" s="5" cm="1">
        <f t="array" ref="H277">INDEX('Linha 07'!$C$4:$ZZ$1000,B277,C277)</f>
        <v>0</v>
      </c>
    </row>
    <row r="278" spans="1:8" x14ac:dyDescent="0.25">
      <c r="A278">
        <v>276</v>
      </c>
      <c r="B278">
        <f t="shared" si="8"/>
        <v>14</v>
      </c>
      <c r="C278">
        <f t="shared" si="9"/>
        <v>16</v>
      </c>
      <c r="D278" cm="1">
        <f t="array" ref="D278">INDEX('Linha 07'!$A$4:$A$1000,B278)</f>
        <v>20150055</v>
      </c>
      <c r="E278" t="str" cm="1">
        <f t="array" ref="E278">INDEX('Linha 07'!$B$4:$B$1000,B278)</f>
        <v>Intermed Pack Amac Conc Aquafast Branco Ternura Cx/12 X 1l</v>
      </c>
      <c r="F278" cm="1">
        <f t="array" ref="F278">INDEX('Linha 07'!$C$3:$ZZ$3,C278)</f>
        <v>20150058</v>
      </c>
      <c r="G278" t="str" cm="1">
        <f t="array" ref="G278">INDEX('Linha 07'!$C$2:$ZZ$2,C278)</f>
        <v>Amac. Conc. Aquafast Br. Ternura Cx C/ 09 X 1,5l Promocional</v>
      </c>
      <c r="H278" s="5" cm="1">
        <f t="array" ref="H278">INDEX('Linha 07'!$C$4:$ZZ$1000,B278,C278)</f>
        <v>0</v>
      </c>
    </row>
    <row r="279" spans="1:8" x14ac:dyDescent="0.25">
      <c r="A279">
        <v>277</v>
      </c>
      <c r="B279">
        <f t="shared" si="8"/>
        <v>14</v>
      </c>
      <c r="C279">
        <f t="shared" si="9"/>
        <v>17</v>
      </c>
      <c r="D279" cm="1">
        <f t="array" ref="D279">INDEX('Linha 07'!$A$4:$A$1000,B279)</f>
        <v>20150055</v>
      </c>
      <c r="E279" t="str" cm="1">
        <f t="array" ref="E279">INDEX('Linha 07'!$B$4:$B$1000,B279)</f>
        <v>Intermed Pack Amac Conc Aquafast Branco Ternura Cx/12 X 1l</v>
      </c>
      <c r="F279" cm="1">
        <f t="array" ref="F279">INDEX('Linha 07'!$C$3:$ZZ$3,C279)</f>
        <v>20150059</v>
      </c>
      <c r="G279" t="str" cm="1">
        <f t="array" ref="G279">INDEX('Linha 07'!$C$2:$ZZ$2,C279)</f>
        <v>Amac. Conc. Aquafast Az. Harmonia Cxc/ 09 X 1,5l Promocional</v>
      </c>
      <c r="H279" s="5" cm="1">
        <f t="array" ref="H279">INDEX('Linha 07'!$C$4:$ZZ$1000,B279,C279)</f>
        <v>0</v>
      </c>
    </row>
    <row r="280" spans="1:8" x14ac:dyDescent="0.25">
      <c r="A280">
        <v>278</v>
      </c>
      <c r="B280">
        <f t="shared" si="8"/>
        <v>14</v>
      </c>
      <c r="C280">
        <f t="shared" si="9"/>
        <v>18</v>
      </c>
      <c r="D280" cm="1">
        <f t="array" ref="D280">INDEX('Linha 07'!$A$4:$A$1000,B280)</f>
        <v>20150055</v>
      </c>
      <c r="E280" t="str" cm="1">
        <f t="array" ref="E280">INDEX('Linha 07'!$B$4:$B$1000,B280)</f>
        <v>Intermed Pack Amac Conc Aquafast Branco Ternura Cx/12 X 1l</v>
      </c>
      <c r="F280" cm="1">
        <f t="array" ref="F280">INDEX('Linha 07'!$C$3:$ZZ$3,C280)</f>
        <v>20150068</v>
      </c>
      <c r="G280" t="str" cm="1">
        <f t="array" ref="G280">INDEX('Linha 07'!$C$2:$ZZ$2,C280)</f>
        <v>Amac. Conc. Aquafast Lilas Misterio Cx C/ 09 X 1,5l Promo</v>
      </c>
      <c r="H280" s="5" cm="1">
        <f t="array" ref="H280">INDEX('Linha 07'!$C$4:$ZZ$1000,B280,C280)</f>
        <v>0</v>
      </c>
    </row>
    <row r="281" spans="1:8" x14ac:dyDescent="0.25">
      <c r="A281">
        <v>279</v>
      </c>
      <c r="B281">
        <f t="shared" si="8"/>
        <v>14</v>
      </c>
      <c r="C281">
        <f t="shared" si="9"/>
        <v>19</v>
      </c>
      <c r="D281" cm="1">
        <f t="array" ref="D281">INDEX('Linha 07'!$A$4:$A$1000,B281)</f>
        <v>20150055</v>
      </c>
      <c r="E281" t="str" cm="1">
        <f t="array" ref="E281">INDEX('Linha 07'!$B$4:$B$1000,B281)</f>
        <v>Intermed Pack Amac Conc Aquafast Branco Ternura Cx/12 X 1l</v>
      </c>
      <c r="F281" cm="1">
        <f t="array" ref="F281">INDEX('Linha 07'!$C$3:$ZZ$3,C281)</f>
        <v>20150069</v>
      </c>
      <c r="G281" t="str" cm="1">
        <f t="array" ref="G281">INDEX('Linha 07'!$C$2:$ZZ$2,C281)</f>
        <v>Amac. Conc. Aquafast Vermelho Seducao Cx C/ 09 X 1,5l Promo</v>
      </c>
      <c r="H281" s="5" cm="1">
        <f t="array" ref="H281">INDEX('Linha 07'!$C$4:$ZZ$1000,B281,C281)</f>
        <v>0</v>
      </c>
    </row>
    <row r="282" spans="1:8" x14ac:dyDescent="0.25">
      <c r="A282">
        <v>280</v>
      </c>
      <c r="B282">
        <f t="shared" si="8"/>
        <v>14</v>
      </c>
      <c r="C282">
        <f t="shared" si="9"/>
        <v>20</v>
      </c>
      <c r="D282" cm="1">
        <f t="array" ref="D282">INDEX('Linha 07'!$A$4:$A$1000,B282)</f>
        <v>20150055</v>
      </c>
      <c r="E282" t="str" cm="1">
        <f t="array" ref="E282">INDEX('Linha 07'!$B$4:$B$1000,B282)</f>
        <v>Intermed Pack Amac Conc Aquafast Branco Ternura Cx/12 X 1l</v>
      </c>
      <c r="F282" cm="1">
        <f t="array" ref="F282">INDEX('Linha 07'!$C$3:$ZZ$3,C282)</f>
        <v>20150070</v>
      </c>
      <c r="G282" t="str" cm="1">
        <f t="array" ref="G282">INDEX('Linha 07'!$C$2:$ZZ$2,C282)</f>
        <v>Amac. Conc. Aquafast Rosa Romance Cx C/ 09 X 1,5l Promo</v>
      </c>
      <c r="H282" s="5" cm="1">
        <f t="array" ref="H282">INDEX('Linha 07'!$C$4:$ZZ$1000,B282,C282)</f>
        <v>0</v>
      </c>
    </row>
    <row r="283" spans="1:8" x14ac:dyDescent="0.25">
      <c r="A283">
        <v>281</v>
      </c>
      <c r="B283">
        <f t="shared" si="8"/>
        <v>15</v>
      </c>
      <c r="C283">
        <f t="shared" si="9"/>
        <v>1</v>
      </c>
      <c r="D283" cm="1">
        <f t="array" ref="D283">INDEX('Linha 07'!$A$4:$A$1000,B283)</f>
        <v>20150057</v>
      </c>
      <c r="E283" t="str" cm="1">
        <f t="array" ref="E283">INDEX('Linha 07'!$B$4:$B$1000,B283)</f>
        <v>Intermed Pack Amac Conc Aquafast Azul Harmonia Cx/12 X 1l</v>
      </c>
      <c r="F283" cm="1">
        <f t="array" ref="F283">INDEX('Linha 07'!$C$3:$ZZ$3,C283)</f>
        <v>20150001</v>
      </c>
      <c r="G283" t="str" cm="1">
        <f t="array" ref="G283">INDEX('Linha 07'!$C$2:$ZZ$2,C283)</f>
        <v>Amac. Conc. Aquafast Azul Harmonia Cx/12 X 500ml</v>
      </c>
      <c r="H283" s="5" cm="1">
        <f t="array" ref="H283">INDEX('Linha 07'!$C$4:$ZZ$1000,B283,C283)</f>
        <v>0</v>
      </c>
    </row>
    <row r="284" spans="1:8" x14ac:dyDescent="0.25">
      <c r="A284">
        <v>282</v>
      </c>
      <c r="B284">
        <f t="shared" si="8"/>
        <v>15</v>
      </c>
      <c r="C284">
        <f t="shared" si="9"/>
        <v>2</v>
      </c>
      <c r="D284" cm="1">
        <f t="array" ref="D284">INDEX('Linha 07'!$A$4:$A$1000,B284)</f>
        <v>20150057</v>
      </c>
      <c r="E284" t="str" cm="1">
        <f t="array" ref="E284">INDEX('Linha 07'!$B$4:$B$1000,B284)</f>
        <v>Intermed Pack Amac Conc Aquafast Azul Harmonia Cx/12 X 1l</v>
      </c>
      <c r="F284" cm="1">
        <f t="array" ref="F284">INDEX('Linha 07'!$C$3:$ZZ$3,C284)</f>
        <v>20150005</v>
      </c>
      <c r="G284" t="str" cm="1">
        <f t="array" ref="G284">INDEX('Linha 07'!$C$2:$ZZ$2,C284)</f>
        <v>Amac. Conc. Aquafast Vermelho Seducao Cx/12 X 500ml</v>
      </c>
      <c r="H284" s="5" cm="1">
        <f t="array" ref="H284">INDEX('Linha 07'!$C$4:$ZZ$1000,B284,C284)</f>
        <v>0</v>
      </c>
    </row>
    <row r="285" spans="1:8" x14ac:dyDescent="0.25">
      <c r="A285">
        <v>283</v>
      </c>
      <c r="B285">
        <f t="shared" si="8"/>
        <v>15</v>
      </c>
      <c r="C285">
        <f t="shared" si="9"/>
        <v>3</v>
      </c>
      <c r="D285" cm="1">
        <f t="array" ref="D285">INDEX('Linha 07'!$A$4:$A$1000,B285)</f>
        <v>20150057</v>
      </c>
      <c r="E285" t="str" cm="1">
        <f t="array" ref="E285">INDEX('Linha 07'!$B$4:$B$1000,B285)</f>
        <v>Intermed Pack Amac Conc Aquafast Azul Harmonia Cx/12 X 1l</v>
      </c>
      <c r="F285" cm="1">
        <f t="array" ref="F285">INDEX('Linha 07'!$C$3:$ZZ$3,C285)</f>
        <v>20150007</v>
      </c>
      <c r="G285" t="str" cm="1">
        <f t="array" ref="G285">INDEX('Linha 07'!$C$2:$ZZ$2,C285)</f>
        <v>Amac. Conc. Aquafast Azul Harmonia Cx/ 12 X 1l</v>
      </c>
      <c r="H285" s="5" cm="1">
        <f t="array" ref="H285">INDEX('Linha 07'!$C$4:$ZZ$1000,B285,C285)</f>
        <v>0</v>
      </c>
    </row>
    <row r="286" spans="1:8" x14ac:dyDescent="0.25">
      <c r="A286">
        <v>284</v>
      </c>
      <c r="B286">
        <f t="shared" si="8"/>
        <v>15</v>
      </c>
      <c r="C286">
        <f t="shared" si="9"/>
        <v>4</v>
      </c>
      <c r="D286" cm="1">
        <f t="array" ref="D286">INDEX('Linha 07'!$A$4:$A$1000,B286)</f>
        <v>20150057</v>
      </c>
      <c r="E286" t="str" cm="1">
        <f t="array" ref="E286">INDEX('Linha 07'!$B$4:$B$1000,B286)</f>
        <v>Intermed Pack Amac Conc Aquafast Azul Harmonia Cx/12 X 1l</v>
      </c>
      <c r="F286" cm="1">
        <f t="array" ref="F286">INDEX('Linha 07'!$C$3:$ZZ$3,C286)</f>
        <v>20150008</v>
      </c>
      <c r="G286" t="str" cm="1">
        <f t="array" ref="G286">INDEX('Linha 07'!$C$2:$ZZ$2,C286)</f>
        <v>Amac. Conc. Aquafast Rosa Romance Cx/ 12 X 1l</v>
      </c>
      <c r="H286" s="5" cm="1">
        <f t="array" ref="H286">INDEX('Linha 07'!$C$4:$ZZ$1000,B286,C286)</f>
        <v>0</v>
      </c>
    </row>
    <row r="287" spans="1:8" x14ac:dyDescent="0.25">
      <c r="A287">
        <v>285</v>
      </c>
      <c r="B287">
        <f t="shared" si="8"/>
        <v>15</v>
      </c>
      <c r="C287">
        <f t="shared" si="9"/>
        <v>5</v>
      </c>
      <c r="D287" cm="1">
        <f t="array" ref="D287">INDEX('Linha 07'!$A$4:$A$1000,B287)</f>
        <v>20150057</v>
      </c>
      <c r="E287" t="str" cm="1">
        <f t="array" ref="E287">INDEX('Linha 07'!$B$4:$B$1000,B287)</f>
        <v>Intermed Pack Amac Conc Aquafast Azul Harmonia Cx/12 X 1l</v>
      </c>
      <c r="F287" cm="1">
        <f t="array" ref="F287">INDEX('Linha 07'!$C$3:$ZZ$3,C287)</f>
        <v>20150011</v>
      </c>
      <c r="G287" t="str" cm="1">
        <f t="array" ref="G287">INDEX('Linha 07'!$C$2:$ZZ$2,C287)</f>
        <v>Amac. Conc. Aquafast Vermelho Seducao Cx/ 12 X 1l</v>
      </c>
      <c r="H287" s="5" cm="1">
        <f t="array" ref="H287">INDEX('Linha 07'!$C$4:$ZZ$1000,B287,C287)</f>
        <v>0</v>
      </c>
    </row>
    <row r="288" spans="1:8" x14ac:dyDescent="0.25">
      <c r="A288">
        <v>286</v>
      </c>
      <c r="B288">
        <f t="shared" si="8"/>
        <v>15</v>
      </c>
      <c r="C288">
        <f t="shared" si="9"/>
        <v>6</v>
      </c>
      <c r="D288" cm="1">
        <f t="array" ref="D288">INDEX('Linha 07'!$A$4:$A$1000,B288)</f>
        <v>20150057</v>
      </c>
      <c r="E288" t="str" cm="1">
        <f t="array" ref="E288">INDEX('Linha 07'!$B$4:$B$1000,B288)</f>
        <v>Intermed Pack Amac Conc Aquafast Azul Harmonia Cx/12 X 1l</v>
      </c>
      <c r="F288" cm="1">
        <f t="array" ref="F288">INDEX('Linha 07'!$C$3:$ZZ$3,C288)</f>
        <v>20150013</v>
      </c>
      <c r="G288" t="str" cm="1">
        <f t="array" ref="G288">INDEX('Linha 07'!$C$2:$ZZ$2,C288)</f>
        <v>Amac. Conc. Aquafast Branco Ternura Cx/12 X 500ml</v>
      </c>
      <c r="H288" s="5" cm="1">
        <f t="array" ref="H288">INDEX('Linha 07'!$C$4:$ZZ$1000,B288,C288)</f>
        <v>0</v>
      </c>
    </row>
    <row r="289" spans="1:8" x14ac:dyDescent="0.25">
      <c r="A289">
        <v>287</v>
      </c>
      <c r="B289">
        <f t="shared" si="8"/>
        <v>15</v>
      </c>
      <c r="C289">
        <f t="shared" si="9"/>
        <v>7</v>
      </c>
      <c r="D289" cm="1">
        <f t="array" ref="D289">INDEX('Linha 07'!$A$4:$A$1000,B289)</f>
        <v>20150057</v>
      </c>
      <c r="E289" t="str" cm="1">
        <f t="array" ref="E289">INDEX('Linha 07'!$B$4:$B$1000,B289)</f>
        <v>Intermed Pack Amac Conc Aquafast Azul Harmonia Cx/12 X 1l</v>
      </c>
      <c r="F289" cm="1">
        <f t="array" ref="F289">INDEX('Linha 07'!$C$3:$ZZ$3,C289)</f>
        <v>20150014</v>
      </c>
      <c r="G289" t="str" cm="1">
        <f t="array" ref="G289">INDEX('Linha 07'!$C$2:$ZZ$2,C289)</f>
        <v>Amac. Conc. Aquafast Branco Ternura Cx/ 12 X 1l</v>
      </c>
      <c r="H289" s="5" cm="1">
        <f t="array" ref="H289">INDEX('Linha 07'!$C$4:$ZZ$1000,B289,C289)</f>
        <v>0</v>
      </c>
    </row>
    <row r="290" spans="1:8" x14ac:dyDescent="0.25">
      <c r="A290">
        <v>288</v>
      </c>
      <c r="B290">
        <f t="shared" si="8"/>
        <v>15</v>
      </c>
      <c r="C290">
        <f t="shared" si="9"/>
        <v>8</v>
      </c>
      <c r="D290" cm="1">
        <f t="array" ref="D290">INDEX('Linha 07'!$A$4:$A$1000,B290)</f>
        <v>20150057</v>
      </c>
      <c r="E290" t="str" cm="1">
        <f t="array" ref="E290">INDEX('Linha 07'!$B$4:$B$1000,B290)</f>
        <v>Intermed Pack Amac Conc Aquafast Azul Harmonia Cx/12 X 1l</v>
      </c>
      <c r="F290" cm="1">
        <f t="array" ref="F290">INDEX('Linha 07'!$C$3:$ZZ$3,C290)</f>
        <v>20150021</v>
      </c>
      <c r="G290" t="str" cm="1">
        <f t="array" ref="G290">INDEX('Linha 07'!$C$2:$ZZ$2,C290)</f>
        <v>Amac. Conc. Aquafast Azul Harmonia Cx/ 09 X 1,5l</v>
      </c>
      <c r="H290" s="5" cm="1">
        <f t="array" ref="H290">INDEX('Linha 07'!$C$4:$ZZ$1000,B290,C290)</f>
        <v>0</v>
      </c>
    </row>
    <row r="291" spans="1:8" x14ac:dyDescent="0.25">
      <c r="A291">
        <v>289</v>
      </c>
      <c r="B291">
        <f t="shared" si="8"/>
        <v>15</v>
      </c>
      <c r="C291">
        <f t="shared" si="9"/>
        <v>9</v>
      </c>
      <c r="D291" cm="1">
        <f t="array" ref="D291">INDEX('Linha 07'!$A$4:$A$1000,B291)</f>
        <v>20150057</v>
      </c>
      <c r="E291" t="str" cm="1">
        <f t="array" ref="E291">INDEX('Linha 07'!$B$4:$B$1000,B291)</f>
        <v>Intermed Pack Amac Conc Aquafast Azul Harmonia Cx/12 X 1l</v>
      </c>
      <c r="F291" cm="1">
        <f t="array" ref="F291">INDEX('Linha 07'!$C$3:$ZZ$3,C291)</f>
        <v>20150022</v>
      </c>
      <c r="G291" t="str" cm="1">
        <f t="array" ref="G291">INDEX('Linha 07'!$C$2:$ZZ$2,C291)</f>
        <v>Amac. Conc. Aquafast Rosa Romance Cx C/ 09 X 1,5l</v>
      </c>
      <c r="H291" s="5" cm="1">
        <f t="array" ref="H291">INDEX('Linha 07'!$C$4:$ZZ$1000,B291,C291)</f>
        <v>0</v>
      </c>
    </row>
    <row r="292" spans="1:8" x14ac:dyDescent="0.25">
      <c r="A292">
        <v>290</v>
      </c>
      <c r="B292">
        <f t="shared" si="8"/>
        <v>15</v>
      </c>
      <c r="C292">
        <f t="shared" si="9"/>
        <v>10</v>
      </c>
      <c r="D292" cm="1">
        <f t="array" ref="D292">INDEX('Linha 07'!$A$4:$A$1000,B292)</f>
        <v>20150057</v>
      </c>
      <c r="E292" t="str" cm="1">
        <f t="array" ref="E292">INDEX('Linha 07'!$B$4:$B$1000,B292)</f>
        <v>Intermed Pack Amac Conc Aquafast Azul Harmonia Cx/12 X 1l</v>
      </c>
      <c r="F292" cm="1">
        <f t="array" ref="F292">INDEX('Linha 07'!$C$3:$ZZ$3,C292)</f>
        <v>20150023</v>
      </c>
      <c r="G292" t="str" cm="1">
        <f t="array" ref="G292">INDEX('Linha 07'!$C$2:$ZZ$2,C292)</f>
        <v>Amac. Conc. Aquafast Branco Ternura Cx C/ 09 X 1,5l</v>
      </c>
      <c r="H292" s="5" cm="1">
        <f t="array" ref="H292">INDEX('Linha 07'!$C$4:$ZZ$1000,B292,C292)</f>
        <v>0</v>
      </c>
    </row>
    <row r="293" spans="1:8" x14ac:dyDescent="0.25">
      <c r="A293">
        <v>291</v>
      </c>
      <c r="B293">
        <f t="shared" si="8"/>
        <v>15</v>
      </c>
      <c r="C293">
        <f t="shared" si="9"/>
        <v>11</v>
      </c>
      <c r="D293" cm="1">
        <f t="array" ref="D293">INDEX('Linha 07'!$A$4:$A$1000,B293)</f>
        <v>20150057</v>
      </c>
      <c r="E293" t="str" cm="1">
        <f t="array" ref="E293">INDEX('Linha 07'!$B$4:$B$1000,B293)</f>
        <v>Intermed Pack Amac Conc Aquafast Azul Harmonia Cx/12 X 1l</v>
      </c>
      <c r="F293" cm="1">
        <f t="array" ref="F293">INDEX('Linha 07'!$C$3:$ZZ$3,C293)</f>
        <v>20150024</v>
      </c>
      <c r="G293" t="str" cm="1">
        <f t="array" ref="G293">INDEX('Linha 07'!$C$2:$ZZ$2,C293)</f>
        <v>Amac. Conc. Aquafast Vermelho Seduc Cx C/ 09 X 1,5l</v>
      </c>
      <c r="H293" s="5" cm="1">
        <f t="array" ref="H293">INDEX('Linha 07'!$C$4:$ZZ$1000,B293,C293)</f>
        <v>0</v>
      </c>
    </row>
    <row r="294" spans="1:8" x14ac:dyDescent="0.25">
      <c r="A294">
        <v>292</v>
      </c>
      <c r="B294">
        <f t="shared" si="8"/>
        <v>15</v>
      </c>
      <c r="C294">
        <f t="shared" si="9"/>
        <v>12</v>
      </c>
      <c r="D294" cm="1">
        <f t="array" ref="D294">INDEX('Linha 07'!$A$4:$A$1000,B294)</f>
        <v>20150057</v>
      </c>
      <c r="E294" t="str" cm="1">
        <f t="array" ref="E294">INDEX('Linha 07'!$B$4:$B$1000,B294)</f>
        <v>Intermed Pack Amac Conc Aquafast Azul Harmonia Cx/12 X 1l</v>
      </c>
      <c r="F294" cm="1">
        <f t="array" ref="F294">INDEX('Linha 07'!$C$3:$ZZ$3,C294)</f>
        <v>20150035</v>
      </c>
      <c r="G294" t="str" cm="1">
        <f t="array" ref="G294">INDEX('Linha 07'!$C$2:$ZZ$2,C294)</f>
        <v>Amac. Conc. Aquafast Lilas Misterio Cx/ 12 X 1l</v>
      </c>
      <c r="H294" s="5" cm="1">
        <f t="array" ref="H294">INDEX('Linha 07'!$C$4:$ZZ$1000,B294,C294)</f>
        <v>0</v>
      </c>
    </row>
    <row r="295" spans="1:8" x14ac:dyDescent="0.25">
      <c r="A295">
        <v>293</v>
      </c>
      <c r="B295">
        <f t="shared" si="8"/>
        <v>15</v>
      </c>
      <c r="C295">
        <f t="shared" si="9"/>
        <v>13</v>
      </c>
      <c r="D295" cm="1">
        <f t="array" ref="D295">INDEX('Linha 07'!$A$4:$A$1000,B295)</f>
        <v>20150057</v>
      </c>
      <c r="E295" t="str" cm="1">
        <f t="array" ref="E295">INDEX('Linha 07'!$B$4:$B$1000,B295)</f>
        <v>Intermed Pack Amac Conc Aquafast Azul Harmonia Cx/12 X 1l</v>
      </c>
      <c r="F295" cm="1">
        <f t="array" ref="F295">INDEX('Linha 07'!$C$3:$ZZ$3,C295)</f>
        <v>20150053</v>
      </c>
      <c r="G295" t="str" cm="1">
        <f t="array" ref="G295">INDEX('Linha 07'!$C$2:$ZZ$2,C295)</f>
        <v>Amac. Conc. Aquafast Lilas Misterio Cx C/ 09 X 1,5l</v>
      </c>
      <c r="H295" s="5" cm="1">
        <f t="array" ref="H295">INDEX('Linha 07'!$C$4:$ZZ$1000,B295,C295)</f>
        <v>0</v>
      </c>
    </row>
    <row r="296" spans="1:8" x14ac:dyDescent="0.25">
      <c r="A296">
        <v>294</v>
      </c>
      <c r="B296">
        <f t="shared" si="8"/>
        <v>15</v>
      </c>
      <c r="C296">
        <f t="shared" si="9"/>
        <v>14</v>
      </c>
      <c r="D296" cm="1">
        <f t="array" ref="D296">INDEX('Linha 07'!$A$4:$A$1000,B296)</f>
        <v>20150057</v>
      </c>
      <c r="E296" t="str" cm="1">
        <f t="array" ref="E296">INDEX('Linha 07'!$B$4:$B$1000,B296)</f>
        <v>Intermed Pack Amac Conc Aquafast Azul Harmonia Cx/12 X 1l</v>
      </c>
      <c r="F296" cm="1">
        <f t="array" ref="F296">INDEX('Linha 07'!$C$3:$ZZ$3,C296)</f>
        <v>20150055</v>
      </c>
      <c r="G296" t="str" cm="1">
        <f t="array" ref="G296">INDEX('Linha 07'!$C$2:$ZZ$2,C296)</f>
        <v>Intermed Pack Amac Conc Aquafast Branco Ternura Cx/12 X 1l</v>
      </c>
      <c r="H296" s="5" cm="1">
        <f t="array" ref="H296">INDEX('Linha 07'!$C$4:$ZZ$1000,B296,C296)</f>
        <v>0</v>
      </c>
    </row>
    <row r="297" spans="1:8" x14ac:dyDescent="0.25">
      <c r="A297">
        <v>295</v>
      </c>
      <c r="B297">
        <f t="shared" si="8"/>
        <v>15</v>
      </c>
      <c r="C297">
        <f t="shared" si="9"/>
        <v>15</v>
      </c>
      <c r="D297" cm="1">
        <f t="array" ref="D297">INDEX('Linha 07'!$A$4:$A$1000,B297)</f>
        <v>20150057</v>
      </c>
      <c r="E297" t="str" cm="1">
        <f t="array" ref="E297">INDEX('Linha 07'!$B$4:$B$1000,B297)</f>
        <v>Intermed Pack Amac Conc Aquafast Azul Harmonia Cx/12 X 1l</v>
      </c>
      <c r="F297" cm="1">
        <f t="array" ref="F297">INDEX('Linha 07'!$C$3:$ZZ$3,C297)</f>
        <v>20150057</v>
      </c>
      <c r="G297" t="str" cm="1">
        <f t="array" ref="G297">INDEX('Linha 07'!$C$2:$ZZ$2,C297)</f>
        <v>Intermed Pack Amac Conc Aquafast Azul Harmonia Cx/12 X 1l</v>
      </c>
      <c r="H297" s="5" cm="1">
        <f t="array" ref="H297">INDEX('Linha 07'!$C$4:$ZZ$1000,B297,C297)</f>
        <v>0</v>
      </c>
    </row>
    <row r="298" spans="1:8" x14ac:dyDescent="0.25">
      <c r="A298">
        <v>296</v>
      </c>
      <c r="B298">
        <f t="shared" si="8"/>
        <v>15</v>
      </c>
      <c r="C298">
        <f t="shared" si="9"/>
        <v>16</v>
      </c>
      <c r="D298" cm="1">
        <f t="array" ref="D298">INDEX('Linha 07'!$A$4:$A$1000,B298)</f>
        <v>20150057</v>
      </c>
      <c r="E298" t="str" cm="1">
        <f t="array" ref="E298">INDEX('Linha 07'!$B$4:$B$1000,B298)</f>
        <v>Intermed Pack Amac Conc Aquafast Azul Harmonia Cx/12 X 1l</v>
      </c>
      <c r="F298" cm="1">
        <f t="array" ref="F298">INDEX('Linha 07'!$C$3:$ZZ$3,C298)</f>
        <v>20150058</v>
      </c>
      <c r="G298" t="str" cm="1">
        <f t="array" ref="G298">INDEX('Linha 07'!$C$2:$ZZ$2,C298)</f>
        <v>Amac. Conc. Aquafast Br. Ternura Cx C/ 09 X 1,5l Promocional</v>
      </c>
      <c r="H298" s="5" cm="1">
        <f t="array" ref="H298">INDEX('Linha 07'!$C$4:$ZZ$1000,B298,C298)</f>
        <v>0</v>
      </c>
    </row>
    <row r="299" spans="1:8" x14ac:dyDescent="0.25">
      <c r="A299">
        <v>297</v>
      </c>
      <c r="B299">
        <f t="shared" si="8"/>
        <v>15</v>
      </c>
      <c r="C299">
        <f t="shared" si="9"/>
        <v>17</v>
      </c>
      <c r="D299" cm="1">
        <f t="array" ref="D299">INDEX('Linha 07'!$A$4:$A$1000,B299)</f>
        <v>20150057</v>
      </c>
      <c r="E299" t="str" cm="1">
        <f t="array" ref="E299">INDEX('Linha 07'!$B$4:$B$1000,B299)</f>
        <v>Intermed Pack Amac Conc Aquafast Azul Harmonia Cx/12 X 1l</v>
      </c>
      <c r="F299" cm="1">
        <f t="array" ref="F299">INDEX('Linha 07'!$C$3:$ZZ$3,C299)</f>
        <v>20150059</v>
      </c>
      <c r="G299" t="str" cm="1">
        <f t="array" ref="G299">INDEX('Linha 07'!$C$2:$ZZ$2,C299)</f>
        <v>Amac. Conc. Aquafast Az. Harmonia Cxc/ 09 X 1,5l Promocional</v>
      </c>
      <c r="H299" s="5" cm="1">
        <f t="array" ref="H299">INDEX('Linha 07'!$C$4:$ZZ$1000,B299,C299)</f>
        <v>0</v>
      </c>
    </row>
    <row r="300" spans="1:8" x14ac:dyDescent="0.25">
      <c r="A300">
        <v>298</v>
      </c>
      <c r="B300">
        <f t="shared" si="8"/>
        <v>15</v>
      </c>
      <c r="C300">
        <f t="shared" si="9"/>
        <v>18</v>
      </c>
      <c r="D300" cm="1">
        <f t="array" ref="D300">INDEX('Linha 07'!$A$4:$A$1000,B300)</f>
        <v>20150057</v>
      </c>
      <c r="E300" t="str" cm="1">
        <f t="array" ref="E300">INDEX('Linha 07'!$B$4:$B$1000,B300)</f>
        <v>Intermed Pack Amac Conc Aquafast Azul Harmonia Cx/12 X 1l</v>
      </c>
      <c r="F300" cm="1">
        <f t="array" ref="F300">INDEX('Linha 07'!$C$3:$ZZ$3,C300)</f>
        <v>20150068</v>
      </c>
      <c r="G300" t="str" cm="1">
        <f t="array" ref="G300">INDEX('Linha 07'!$C$2:$ZZ$2,C300)</f>
        <v>Amac. Conc. Aquafast Lilas Misterio Cx C/ 09 X 1,5l Promo</v>
      </c>
      <c r="H300" s="5" cm="1">
        <f t="array" ref="H300">INDEX('Linha 07'!$C$4:$ZZ$1000,B300,C300)</f>
        <v>0</v>
      </c>
    </row>
    <row r="301" spans="1:8" x14ac:dyDescent="0.25">
      <c r="A301">
        <v>299</v>
      </c>
      <c r="B301">
        <f t="shared" si="8"/>
        <v>15</v>
      </c>
      <c r="C301">
        <f t="shared" si="9"/>
        <v>19</v>
      </c>
      <c r="D301" cm="1">
        <f t="array" ref="D301">INDEX('Linha 07'!$A$4:$A$1000,B301)</f>
        <v>20150057</v>
      </c>
      <c r="E301" t="str" cm="1">
        <f t="array" ref="E301">INDEX('Linha 07'!$B$4:$B$1000,B301)</f>
        <v>Intermed Pack Amac Conc Aquafast Azul Harmonia Cx/12 X 1l</v>
      </c>
      <c r="F301" cm="1">
        <f t="array" ref="F301">INDEX('Linha 07'!$C$3:$ZZ$3,C301)</f>
        <v>20150069</v>
      </c>
      <c r="G301" t="str" cm="1">
        <f t="array" ref="G301">INDEX('Linha 07'!$C$2:$ZZ$2,C301)</f>
        <v>Amac. Conc. Aquafast Vermelho Seducao Cx C/ 09 X 1,5l Promo</v>
      </c>
      <c r="H301" s="5" cm="1">
        <f t="array" ref="H301">INDEX('Linha 07'!$C$4:$ZZ$1000,B301,C301)</f>
        <v>0</v>
      </c>
    </row>
    <row r="302" spans="1:8" x14ac:dyDescent="0.25">
      <c r="A302">
        <v>300</v>
      </c>
      <c r="B302">
        <f t="shared" si="8"/>
        <v>15</v>
      </c>
      <c r="C302">
        <f t="shared" si="9"/>
        <v>20</v>
      </c>
      <c r="D302" cm="1">
        <f t="array" ref="D302">INDEX('Linha 07'!$A$4:$A$1000,B302)</f>
        <v>20150057</v>
      </c>
      <c r="E302" t="str" cm="1">
        <f t="array" ref="E302">INDEX('Linha 07'!$B$4:$B$1000,B302)</f>
        <v>Intermed Pack Amac Conc Aquafast Azul Harmonia Cx/12 X 1l</v>
      </c>
      <c r="F302" cm="1">
        <f t="array" ref="F302">INDEX('Linha 07'!$C$3:$ZZ$3,C302)</f>
        <v>20150070</v>
      </c>
      <c r="G302" t="str" cm="1">
        <f t="array" ref="G302">INDEX('Linha 07'!$C$2:$ZZ$2,C302)</f>
        <v>Amac. Conc. Aquafast Rosa Romance Cx C/ 09 X 1,5l Promo</v>
      </c>
      <c r="H302" s="5" cm="1">
        <f t="array" ref="H302">INDEX('Linha 07'!$C$4:$ZZ$1000,B302,C302)</f>
        <v>0</v>
      </c>
    </row>
    <row r="303" spans="1:8" x14ac:dyDescent="0.25">
      <c r="A303">
        <v>301</v>
      </c>
      <c r="B303">
        <f t="shared" si="8"/>
        <v>16</v>
      </c>
      <c r="C303">
        <f t="shared" si="9"/>
        <v>1</v>
      </c>
      <c r="D303" cm="1">
        <f t="array" ref="D303">INDEX('Linha 07'!$A$4:$A$1000,B303)</f>
        <v>20150058</v>
      </c>
      <c r="E303" t="str" cm="1">
        <f t="array" ref="E303">INDEX('Linha 07'!$B$4:$B$1000,B303)</f>
        <v>Amac. Conc. Aquafast Br. Ternura Cx C/ 09 X 1,5l Promocional</v>
      </c>
      <c r="F303" cm="1">
        <f t="array" ref="F303">INDEX('Linha 07'!$C$3:$ZZ$3,C303)</f>
        <v>20150001</v>
      </c>
      <c r="G303" t="str" cm="1">
        <f t="array" ref="G303">INDEX('Linha 07'!$C$2:$ZZ$2,C303)</f>
        <v>Amac. Conc. Aquafast Azul Harmonia Cx/12 X 500ml</v>
      </c>
      <c r="H303" s="5" cm="1">
        <f t="array" ref="H303">INDEX('Linha 07'!$C$4:$ZZ$1000,B303,C303)</f>
        <v>0</v>
      </c>
    </row>
    <row r="304" spans="1:8" x14ac:dyDescent="0.25">
      <c r="A304">
        <v>302</v>
      </c>
      <c r="B304">
        <f t="shared" si="8"/>
        <v>16</v>
      </c>
      <c r="C304">
        <f t="shared" si="9"/>
        <v>2</v>
      </c>
      <c r="D304" cm="1">
        <f t="array" ref="D304">INDEX('Linha 07'!$A$4:$A$1000,B304)</f>
        <v>20150058</v>
      </c>
      <c r="E304" t="str" cm="1">
        <f t="array" ref="E304">INDEX('Linha 07'!$B$4:$B$1000,B304)</f>
        <v>Amac. Conc. Aquafast Br. Ternura Cx C/ 09 X 1,5l Promocional</v>
      </c>
      <c r="F304" cm="1">
        <f t="array" ref="F304">INDEX('Linha 07'!$C$3:$ZZ$3,C304)</f>
        <v>20150005</v>
      </c>
      <c r="G304" t="str" cm="1">
        <f t="array" ref="G304">INDEX('Linha 07'!$C$2:$ZZ$2,C304)</f>
        <v>Amac. Conc. Aquafast Vermelho Seducao Cx/12 X 500ml</v>
      </c>
      <c r="H304" s="5" cm="1">
        <f t="array" ref="H304">INDEX('Linha 07'!$C$4:$ZZ$1000,B304,C304)</f>
        <v>0</v>
      </c>
    </row>
    <row r="305" spans="1:8" x14ac:dyDescent="0.25">
      <c r="A305">
        <v>303</v>
      </c>
      <c r="B305">
        <f t="shared" si="8"/>
        <v>16</v>
      </c>
      <c r="C305">
        <f t="shared" si="9"/>
        <v>3</v>
      </c>
      <c r="D305" cm="1">
        <f t="array" ref="D305">INDEX('Linha 07'!$A$4:$A$1000,B305)</f>
        <v>20150058</v>
      </c>
      <c r="E305" t="str" cm="1">
        <f t="array" ref="E305">INDEX('Linha 07'!$B$4:$B$1000,B305)</f>
        <v>Amac. Conc. Aquafast Br. Ternura Cx C/ 09 X 1,5l Promocional</v>
      </c>
      <c r="F305" cm="1">
        <f t="array" ref="F305">INDEX('Linha 07'!$C$3:$ZZ$3,C305)</f>
        <v>20150007</v>
      </c>
      <c r="G305" t="str" cm="1">
        <f t="array" ref="G305">INDEX('Linha 07'!$C$2:$ZZ$2,C305)</f>
        <v>Amac. Conc. Aquafast Azul Harmonia Cx/ 12 X 1l</v>
      </c>
      <c r="H305" s="5" cm="1">
        <f t="array" ref="H305">INDEX('Linha 07'!$C$4:$ZZ$1000,B305,C305)</f>
        <v>0</v>
      </c>
    </row>
    <row r="306" spans="1:8" x14ac:dyDescent="0.25">
      <c r="A306">
        <v>304</v>
      </c>
      <c r="B306">
        <f t="shared" si="8"/>
        <v>16</v>
      </c>
      <c r="C306">
        <f t="shared" si="9"/>
        <v>4</v>
      </c>
      <c r="D306" cm="1">
        <f t="array" ref="D306">INDEX('Linha 07'!$A$4:$A$1000,B306)</f>
        <v>20150058</v>
      </c>
      <c r="E306" t="str" cm="1">
        <f t="array" ref="E306">INDEX('Linha 07'!$B$4:$B$1000,B306)</f>
        <v>Amac. Conc. Aquafast Br. Ternura Cx C/ 09 X 1,5l Promocional</v>
      </c>
      <c r="F306" cm="1">
        <f t="array" ref="F306">INDEX('Linha 07'!$C$3:$ZZ$3,C306)</f>
        <v>20150008</v>
      </c>
      <c r="G306" t="str" cm="1">
        <f t="array" ref="G306">INDEX('Linha 07'!$C$2:$ZZ$2,C306)</f>
        <v>Amac. Conc. Aquafast Rosa Romance Cx/ 12 X 1l</v>
      </c>
      <c r="H306" s="5" cm="1">
        <f t="array" ref="H306">INDEX('Linha 07'!$C$4:$ZZ$1000,B306,C306)</f>
        <v>0</v>
      </c>
    </row>
    <row r="307" spans="1:8" x14ac:dyDescent="0.25">
      <c r="A307">
        <v>305</v>
      </c>
      <c r="B307">
        <f t="shared" si="8"/>
        <v>16</v>
      </c>
      <c r="C307">
        <f t="shared" si="9"/>
        <v>5</v>
      </c>
      <c r="D307" cm="1">
        <f t="array" ref="D307">INDEX('Linha 07'!$A$4:$A$1000,B307)</f>
        <v>20150058</v>
      </c>
      <c r="E307" t="str" cm="1">
        <f t="array" ref="E307">INDEX('Linha 07'!$B$4:$B$1000,B307)</f>
        <v>Amac. Conc. Aquafast Br. Ternura Cx C/ 09 X 1,5l Promocional</v>
      </c>
      <c r="F307" cm="1">
        <f t="array" ref="F307">INDEX('Linha 07'!$C$3:$ZZ$3,C307)</f>
        <v>20150011</v>
      </c>
      <c r="G307" t="str" cm="1">
        <f t="array" ref="G307">INDEX('Linha 07'!$C$2:$ZZ$2,C307)</f>
        <v>Amac. Conc. Aquafast Vermelho Seducao Cx/ 12 X 1l</v>
      </c>
      <c r="H307" s="5" cm="1">
        <f t="array" ref="H307">INDEX('Linha 07'!$C$4:$ZZ$1000,B307,C307)</f>
        <v>0</v>
      </c>
    </row>
    <row r="308" spans="1:8" x14ac:dyDescent="0.25">
      <c r="A308">
        <v>306</v>
      </c>
      <c r="B308">
        <f t="shared" si="8"/>
        <v>16</v>
      </c>
      <c r="C308">
        <f t="shared" si="9"/>
        <v>6</v>
      </c>
      <c r="D308" cm="1">
        <f t="array" ref="D308">INDEX('Linha 07'!$A$4:$A$1000,B308)</f>
        <v>20150058</v>
      </c>
      <c r="E308" t="str" cm="1">
        <f t="array" ref="E308">INDEX('Linha 07'!$B$4:$B$1000,B308)</f>
        <v>Amac. Conc. Aquafast Br. Ternura Cx C/ 09 X 1,5l Promocional</v>
      </c>
      <c r="F308" cm="1">
        <f t="array" ref="F308">INDEX('Linha 07'!$C$3:$ZZ$3,C308)</f>
        <v>20150013</v>
      </c>
      <c r="G308" t="str" cm="1">
        <f t="array" ref="G308">INDEX('Linha 07'!$C$2:$ZZ$2,C308)</f>
        <v>Amac. Conc. Aquafast Branco Ternura Cx/12 X 500ml</v>
      </c>
      <c r="H308" s="5" cm="1">
        <f t="array" ref="H308">INDEX('Linha 07'!$C$4:$ZZ$1000,B308,C308)</f>
        <v>0</v>
      </c>
    </row>
    <row r="309" spans="1:8" x14ac:dyDescent="0.25">
      <c r="A309">
        <v>307</v>
      </c>
      <c r="B309">
        <f t="shared" si="8"/>
        <v>16</v>
      </c>
      <c r="C309">
        <f t="shared" si="9"/>
        <v>7</v>
      </c>
      <c r="D309" cm="1">
        <f t="array" ref="D309">INDEX('Linha 07'!$A$4:$A$1000,B309)</f>
        <v>20150058</v>
      </c>
      <c r="E309" t="str" cm="1">
        <f t="array" ref="E309">INDEX('Linha 07'!$B$4:$B$1000,B309)</f>
        <v>Amac. Conc. Aquafast Br. Ternura Cx C/ 09 X 1,5l Promocional</v>
      </c>
      <c r="F309" cm="1">
        <f t="array" ref="F309">INDEX('Linha 07'!$C$3:$ZZ$3,C309)</f>
        <v>20150014</v>
      </c>
      <c r="G309" t="str" cm="1">
        <f t="array" ref="G309">INDEX('Linha 07'!$C$2:$ZZ$2,C309)</f>
        <v>Amac. Conc. Aquafast Branco Ternura Cx/ 12 X 1l</v>
      </c>
      <c r="H309" s="5" cm="1">
        <f t="array" ref="H309">INDEX('Linha 07'!$C$4:$ZZ$1000,B309,C309)</f>
        <v>0</v>
      </c>
    </row>
    <row r="310" spans="1:8" x14ac:dyDescent="0.25">
      <c r="A310">
        <v>308</v>
      </c>
      <c r="B310">
        <f t="shared" si="8"/>
        <v>16</v>
      </c>
      <c r="C310">
        <f t="shared" si="9"/>
        <v>8</v>
      </c>
      <c r="D310" cm="1">
        <f t="array" ref="D310">INDEX('Linha 07'!$A$4:$A$1000,B310)</f>
        <v>20150058</v>
      </c>
      <c r="E310" t="str" cm="1">
        <f t="array" ref="E310">INDEX('Linha 07'!$B$4:$B$1000,B310)</f>
        <v>Amac. Conc. Aquafast Br. Ternura Cx C/ 09 X 1,5l Promocional</v>
      </c>
      <c r="F310" cm="1">
        <f t="array" ref="F310">INDEX('Linha 07'!$C$3:$ZZ$3,C310)</f>
        <v>20150021</v>
      </c>
      <c r="G310" t="str" cm="1">
        <f t="array" ref="G310">INDEX('Linha 07'!$C$2:$ZZ$2,C310)</f>
        <v>Amac. Conc. Aquafast Azul Harmonia Cx/ 09 X 1,5l</v>
      </c>
      <c r="H310" s="5" cm="1">
        <f t="array" ref="H310">INDEX('Linha 07'!$C$4:$ZZ$1000,B310,C310)</f>
        <v>0</v>
      </c>
    </row>
    <row r="311" spans="1:8" x14ac:dyDescent="0.25">
      <c r="A311">
        <v>309</v>
      </c>
      <c r="B311">
        <f t="shared" si="8"/>
        <v>16</v>
      </c>
      <c r="C311">
        <f t="shared" si="9"/>
        <v>9</v>
      </c>
      <c r="D311" cm="1">
        <f t="array" ref="D311">INDEX('Linha 07'!$A$4:$A$1000,B311)</f>
        <v>20150058</v>
      </c>
      <c r="E311" t="str" cm="1">
        <f t="array" ref="E311">INDEX('Linha 07'!$B$4:$B$1000,B311)</f>
        <v>Amac. Conc. Aquafast Br. Ternura Cx C/ 09 X 1,5l Promocional</v>
      </c>
      <c r="F311" cm="1">
        <f t="array" ref="F311">INDEX('Linha 07'!$C$3:$ZZ$3,C311)</f>
        <v>20150022</v>
      </c>
      <c r="G311" t="str" cm="1">
        <f t="array" ref="G311">INDEX('Linha 07'!$C$2:$ZZ$2,C311)</f>
        <v>Amac. Conc. Aquafast Rosa Romance Cx C/ 09 X 1,5l</v>
      </c>
      <c r="H311" s="5" cm="1">
        <f t="array" ref="H311">INDEX('Linha 07'!$C$4:$ZZ$1000,B311,C311)</f>
        <v>0</v>
      </c>
    </row>
    <row r="312" spans="1:8" x14ac:dyDescent="0.25">
      <c r="A312">
        <v>310</v>
      </c>
      <c r="B312">
        <f t="shared" si="8"/>
        <v>16</v>
      </c>
      <c r="C312">
        <f t="shared" si="9"/>
        <v>10</v>
      </c>
      <c r="D312" cm="1">
        <f t="array" ref="D312">INDEX('Linha 07'!$A$4:$A$1000,B312)</f>
        <v>20150058</v>
      </c>
      <c r="E312" t="str" cm="1">
        <f t="array" ref="E312">INDEX('Linha 07'!$B$4:$B$1000,B312)</f>
        <v>Amac. Conc. Aquafast Br. Ternura Cx C/ 09 X 1,5l Promocional</v>
      </c>
      <c r="F312" cm="1">
        <f t="array" ref="F312">INDEX('Linha 07'!$C$3:$ZZ$3,C312)</f>
        <v>20150023</v>
      </c>
      <c r="G312" t="str" cm="1">
        <f t="array" ref="G312">INDEX('Linha 07'!$C$2:$ZZ$2,C312)</f>
        <v>Amac. Conc. Aquafast Branco Ternura Cx C/ 09 X 1,5l</v>
      </c>
      <c r="H312" s="5" cm="1">
        <f t="array" ref="H312">INDEX('Linha 07'!$C$4:$ZZ$1000,B312,C312)</f>
        <v>0</v>
      </c>
    </row>
    <row r="313" spans="1:8" x14ac:dyDescent="0.25">
      <c r="A313">
        <v>311</v>
      </c>
      <c r="B313">
        <f t="shared" si="8"/>
        <v>16</v>
      </c>
      <c r="C313">
        <f t="shared" si="9"/>
        <v>11</v>
      </c>
      <c r="D313" cm="1">
        <f t="array" ref="D313">INDEX('Linha 07'!$A$4:$A$1000,B313)</f>
        <v>20150058</v>
      </c>
      <c r="E313" t="str" cm="1">
        <f t="array" ref="E313">INDEX('Linha 07'!$B$4:$B$1000,B313)</f>
        <v>Amac. Conc. Aquafast Br. Ternura Cx C/ 09 X 1,5l Promocional</v>
      </c>
      <c r="F313" cm="1">
        <f t="array" ref="F313">INDEX('Linha 07'!$C$3:$ZZ$3,C313)</f>
        <v>20150024</v>
      </c>
      <c r="G313" t="str" cm="1">
        <f t="array" ref="G313">INDEX('Linha 07'!$C$2:$ZZ$2,C313)</f>
        <v>Amac. Conc. Aquafast Vermelho Seduc Cx C/ 09 X 1,5l</v>
      </c>
      <c r="H313" s="5" cm="1">
        <f t="array" ref="H313">INDEX('Linha 07'!$C$4:$ZZ$1000,B313,C313)</f>
        <v>0</v>
      </c>
    </row>
    <row r="314" spans="1:8" x14ac:dyDescent="0.25">
      <c r="A314">
        <v>312</v>
      </c>
      <c r="B314">
        <f t="shared" si="8"/>
        <v>16</v>
      </c>
      <c r="C314">
        <f t="shared" si="9"/>
        <v>12</v>
      </c>
      <c r="D314" cm="1">
        <f t="array" ref="D314">INDEX('Linha 07'!$A$4:$A$1000,B314)</f>
        <v>20150058</v>
      </c>
      <c r="E314" t="str" cm="1">
        <f t="array" ref="E314">INDEX('Linha 07'!$B$4:$B$1000,B314)</f>
        <v>Amac. Conc. Aquafast Br. Ternura Cx C/ 09 X 1,5l Promocional</v>
      </c>
      <c r="F314" cm="1">
        <f t="array" ref="F314">INDEX('Linha 07'!$C$3:$ZZ$3,C314)</f>
        <v>20150035</v>
      </c>
      <c r="G314" t="str" cm="1">
        <f t="array" ref="G314">INDEX('Linha 07'!$C$2:$ZZ$2,C314)</f>
        <v>Amac. Conc. Aquafast Lilas Misterio Cx/ 12 X 1l</v>
      </c>
      <c r="H314" s="5" cm="1">
        <f t="array" ref="H314">INDEX('Linha 07'!$C$4:$ZZ$1000,B314,C314)</f>
        <v>0</v>
      </c>
    </row>
    <row r="315" spans="1:8" x14ac:dyDescent="0.25">
      <c r="A315">
        <v>313</v>
      </c>
      <c r="B315">
        <f t="shared" si="8"/>
        <v>16</v>
      </c>
      <c r="C315">
        <f t="shared" si="9"/>
        <v>13</v>
      </c>
      <c r="D315" cm="1">
        <f t="array" ref="D315">INDEX('Linha 07'!$A$4:$A$1000,B315)</f>
        <v>20150058</v>
      </c>
      <c r="E315" t="str" cm="1">
        <f t="array" ref="E315">INDEX('Linha 07'!$B$4:$B$1000,B315)</f>
        <v>Amac. Conc. Aquafast Br. Ternura Cx C/ 09 X 1,5l Promocional</v>
      </c>
      <c r="F315" cm="1">
        <f t="array" ref="F315">INDEX('Linha 07'!$C$3:$ZZ$3,C315)</f>
        <v>20150053</v>
      </c>
      <c r="G315" t="str" cm="1">
        <f t="array" ref="G315">INDEX('Linha 07'!$C$2:$ZZ$2,C315)</f>
        <v>Amac. Conc. Aquafast Lilas Misterio Cx C/ 09 X 1,5l</v>
      </c>
      <c r="H315" s="5" cm="1">
        <f t="array" ref="H315">INDEX('Linha 07'!$C$4:$ZZ$1000,B315,C315)</f>
        <v>0</v>
      </c>
    </row>
    <row r="316" spans="1:8" x14ac:dyDescent="0.25">
      <c r="A316">
        <v>314</v>
      </c>
      <c r="B316">
        <f t="shared" si="8"/>
        <v>16</v>
      </c>
      <c r="C316">
        <f t="shared" si="9"/>
        <v>14</v>
      </c>
      <c r="D316" cm="1">
        <f t="array" ref="D316">INDEX('Linha 07'!$A$4:$A$1000,B316)</f>
        <v>20150058</v>
      </c>
      <c r="E316" t="str" cm="1">
        <f t="array" ref="E316">INDEX('Linha 07'!$B$4:$B$1000,B316)</f>
        <v>Amac. Conc. Aquafast Br. Ternura Cx C/ 09 X 1,5l Promocional</v>
      </c>
      <c r="F316" cm="1">
        <f t="array" ref="F316">INDEX('Linha 07'!$C$3:$ZZ$3,C316)</f>
        <v>20150055</v>
      </c>
      <c r="G316" t="str" cm="1">
        <f t="array" ref="G316">INDEX('Linha 07'!$C$2:$ZZ$2,C316)</f>
        <v>Intermed Pack Amac Conc Aquafast Branco Ternura Cx/12 X 1l</v>
      </c>
      <c r="H316" s="5" cm="1">
        <f t="array" ref="H316">INDEX('Linha 07'!$C$4:$ZZ$1000,B316,C316)</f>
        <v>0</v>
      </c>
    </row>
    <row r="317" spans="1:8" x14ac:dyDescent="0.25">
      <c r="A317">
        <v>315</v>
      </c>
      <c r="B317">
        <f t="shared" si="8"/>
        <v>16</v>
      </c>
      <c r="C317">
        <f t="shared" si="9"/>
        <v>15</v>
      </c>
      <c r="D317" cm="1">
        <f t="array" ref="D317">INDEX('Linha 07'!$A$4:$A$1000,B317)</f>
        <v>20150058</v>
      </c>
      <c r="E317" t="str" cm="1">
        <f t="array" ref="E317">INDEX('Linha 07'!$B$4:$B$1000,B317)</f>
        <v>Amac. Conc. Aquafast Br. Ternura Cx C/ 09 X 1,5l Promocional</v>
      </c>
      <c r="F317" cm="1">
        <f t="array" ref="F317">INDEX('Linha 07'!$C$3:$ZZ$3,C317)</f>
        <v>20150057</v>
      </c>
      <c r="G317" t="str" cm="1">
        <f t="array" ref="G317">INDEX('Linha 07'!$C$2:$ZZ$2,C317)</f>
        <v>Intermed Pack Amac Conc Aquafast Azul Harmonia Cx/12 X 1l</v>
      </c>
      <c r="H317" s="5" cm="1">
        <f t="array" ref="H317">INDEX('Linha 07'!$C$4:$ZZ$1000,B317,C317)</f>
        <v>0</v>
      </c>
    </row>
    <row r="318" spans="1:8" x14ac:dyDescent="0.25">
      <c r="A318">
        <v>316</v>
      </c>
      <c r="B318">
        <f t="shared" si="8"/>
        <v>16</v>
      </c>
      <c r="C318">
        <f t="shared" si="9"/>
        <v>16</v>
      </c>
      <c r="D318" cm="1">
        <f t="array" ref="D318">INDEX('Linha 07'!$A$4:$A$1000,B318)</f>
        <v>20150058</v>
      </c>
      <c r="E318" t="str" cm="1">
        <f t="array" ref="E318">INDEX('Linha 07'!$B$4:$B$1000,B318)</f>
        <v>Amac. Conc. Aquafast Br. Ternura Cx C/ 09 X 1,5l Promocional</v>
      </c>
      <c r="F318" cm="1">
        <f t="array" ref="F318">INDEX('Linha 07'!$C$3:$ZZ$3,C318)</f>
        <v>20150058</v>
      </c>
      <c r="G318" t="str" cm="1">
        <f t="array" ref="G318">INDEX('Linha 07'!$C$2:$ZZ$2,C318)</f>
        <v>Amac. Conc. Aquafast Br. Ternura Cx C/ 09 X 1,5l Promocional</v>
      </c>
      <c r="H318" s="5" cm="1">
        <f t="array" ref="H318">INDEX('Linha 07'!$C$4:$ZZ$1000,B318,C318)</f>
        <v>0</v>
      </c>
    </row>
    <row r="319" spans="1:8" x14ac:dyDescent="0.25">
      <c r="A319">
        <v>317</v>
      </c>
      <c r="B319">
        <f t="shared" si="8"/>
        <v>16</v>
      </c>
      <c r="C319">
        <f t="shared" si="9"/>
        <v>17</v>
      </c>
      <c r="D319" cm="1">
        <f t="array" ref="D319">INDEX('Linha 07'!$A$4:$A$1000,B319)</f>
        <v>20150058</v>
      </c>
      <c r="E319" t="str" cm="1">
        <f t="array" ref="E319">INDEX('Linha 07'!$B$4:$B$1000,B319)</f>
        <v>Amac. Conc. Aquafast Br. Ternura Cx C/ 09 X 1,5l Promocional</v>
      </c>
      <c r="F319" cm="1">
        <f t="array" ref="F319">INDEX('Linha 07'!$C$3:$ZZ$3,C319)</f>
        <v>20150059</v>
      </c>
      <c r="G319" t="str" cm="1">
        <f t="array" ref="G319">INDEX('Linha 07'!$C$2:$ZZ$2,C319)</f>
        <v>Amac. Conc. Aquafast Az. Harmonia Cxc/ 09 X 1,5l Promocional</v>
      </c>
      <c r="H319" s="5" cm="1">
        <f t="array" ref="H319">INDEX('Linha 07'!$C$4:$ZZ$1000,B319,C319)</f>
        <v>0</v>
      </c>
    </row>
    <row r="320" spans="1:8" x14ac:dyDescent="0.25">
      <c r="A320">
        <v>318</v>
      </c>
      <c r="B320">
        <f t="shared" si="8"/>
        <v>16</v>
      </c>
      <c r="C320">
        <f t="shared" si="9"/>
        <v>18</v>
      </c>
      <c r="D320" cm="1">
        <f t="array" ref="D320">INDEX('Linha 07'!$A$4:$A$1000,B320)</f>
        <v>20150058</v>
      </c>
      <c r="E320" t="str" cm="1">
        <f t="array" ref="E320">INDEX('Linha 07'!$B$4:$B$1000,B320)</f>
        <v>Amac. Conc. Aquafast Br. Ternura Cx C/ 09 X 1,5l Promocional</v>
      </c>
      <c r="F320" cm="1">
        <f t="array" ref="F320">INDEX('Linha 07'!$C$3:$ZZ$3,C320)</f>
        <v>20150068</v>
      </c>
      <c r="G320" t="str" cm="1">
        <f t="array" ref="G320">INDEX('Linha 07'!$C$2:$ZZ$2,C320)</f>
        <v>Amac. Conc. Aquafast Lilas Misterio Cx C/ 09 X 1,5l Promo</v>
      </c>
      <c r="H320" s="5" cm="1">
        <f t="array" ref="H320">INDEX('Linha 07'!$C$4:$ZZ$1000,B320,C320)</f>
        <v>0</v>
      </c>
    </row>
    <row r="321" spans="1:8" x14ac:dyDescent="0.25">
      <c r="A321">
        <v>319</v>
      </c>
      <c r="B321">
        <f t="shared" si="8"/>
        <v>16</v>
      </c>
      <c r="C321">
        <f t="shared" si="9"/>
        <v>19</v>
      </c>
      <c r="D321" cm="1">
        <f t="array" ref="D321">INDEX('Linha 07'!$A$4:$A$1000,B321)</f>
        <v>20150058</v>
      </c>
      <c r="E321" t="str" cm="1">
        <f t="array" ref="E321">INDEX('Linha 07'!$B$4:$B$1000,B321)</f>
        <v>Amac. Conc. Aquafast Br. Ternura Cx C/ 09 X 1,5l Promocional</v>
      </c>
      <c r="F321" cm="1">
        <f t="array" ref="F321">INDEX('Linha 07'!$C$3:$ZZ$3,C321)</f>
        <v>20150069</v>
      </c>
      <c r="G321" t="str" cm="1">
        <f t="array" ref="G321">INDEX('Linha 07'!$C$2:$ZZ$2,C321)</f>
        <v>Amac. Conc. Aquafast Vermelho Seducao Cx C/ 09 X 1,5l Promo</v>
      </c>
      <c r="H321" s="5" cm="1">
        <f t="array" ref="H321">INDEX('Linha 07'!$C$4:$ZZ$1000,B321,C321)</f>
        <v>0</v>
      </c>
    </row>
    <row r="322" spans="1:8" x14ac:dyDescent="0.25">
      <c r="A322">
        <v>320</v>
      </c>
      <c r="B322">
        <f t="shared" si="8"/>
        <v>16</v>
      </c>
      <c r="C322">
        <f t="shared" si="9"/>
        <v>20</v>
      </c>
      <c r="D322" cm="1">
        <f t="array" ref="D322">INDEX('Linha 07'!$A$4:$A$1000,B322)</f>
        <v>20150058</v>
      </c>
      <c r="E322" t="str" cm="1">
        <f t="array" ref="E322">INDEX('Linha 07'!$B$4:$B$1000,B322)</f>
        <v>Amac. Conc. Aquafast Br. Ternura Cx C/ 09 X 1,5l Promocional</v>
      </c>
      <c r="F322" cm="1">
        <f t="array" ref="F322">INDEX('Linha 07'!$C$3:$ZZ$3,C322)</f>
        <v>20150070</v>
      </c>
      <c r="G322" t="str" cm="1">
        <f t="array" ref="G322">INDEX('Linha 07'!$C$2:$ZZ$2,C322)</f>
        <v>Amac. Conc. Aquafast Rosa Romance Cx C/ 09 X 1,5l Promo</v>
      </c>
      <c r="H322" s="5" cm="1">
        <f t="array" ref="H322">INDEX('Linha 07'!$C$4:$ZZ$1000,B322,C322)</f>
        <v>0</v>
      </c>
    </row>
    <row r="323" spans="1:8" x14ac:dyDescent="0.25">
      <c r="A323">
        <v>321</v>
      </c>
      <c r="B323">
        <f t="shared" si="8"/>
        <v>17</v>
      </c>
      <c r="C323">
        <f t="shared" si="9"/>
        <v>1</v>
      </c>
      <c r="D323" cm="1">
        <f t="array" ref="D323">INDEX('Linha 07'!$A$4:$A$1000,B323)</f>
        <v>20150059</v>
      </c>
      <c r="E323" t="str" cm="1">
        <f t="array" ref="E323">INDEX('Linha 07'!$B$4:$B$1000,B323)</f>
        <v>Amac. Conc. Aquafast Az. Harmonia Cxc/ 09 X 1,5l Promocional</v>
      </c>
      <c r="F323" cm="1">
        <f t="array" ref="F323">INDEX('Linha 07'!$C$3:$ZZ$3,C323)</f>
        <v>20150001</v>
      </c>
      <c r="G323" t="str" cm="1">
        <f t="array" ref="G323">INDEX('Linha 07'!$C$2:$ZZ$2,C323)</f>
        <v>Amac. Conc. Aquafast Azul Harmonia Cx/12 X 500ml</v>
      </c>
      <c r="H323" s="5" cm="1">
        <f t="array" ref="H323">INDEX('Linha 07'!$C$4:$ZZ$1000,B323,C323)</f>
        <v>0</v>
      </c>
    </row>
    <row r="324" spans="1:8" x14ac:dyDescent="0.25">
      <c r="A324">
        <v>322</v>
      </c>
      <c r="B324">
        <f t="shared" ref="B324:B387" si="10">INT((A324-1)/$B$1)+1</f>
        <v>17</v>
      </c>
      <c r="C324">
        <f t="shared" ref="C324:C387" si="11">MOD(A324-1,$B$1)+1</f>
        <v>2</v>
      </c>
      <c r="D324" cm="1">
        <f t="array" ref="D324">INDEX('Linha 07'!$A$4:$A$1000,B324)</f>
        <v>20150059</v>
      </c>
      <c r="E324" t="str" cm="1">
        <f t="array" ref="E324">INDEX('Linha 07'!$B$4:$B$1000,B324)</f>
        <v>Amac. Conc. Aquafast Az. Harmonia Cxc/ 09 X 1,5l Promocional</v>
      </c>
      <c r="F324" cm="1">
        <f t="array" ref="F324">INDEX('Linha 07'!$C$3:$ZZ$3,C324)</f>
        <v>20150005</v>
      </c>
      <c r="G324" t="str" cm="1">
        <f t="array" ref="G324">INDEX('Linha 07'!$C$2:$ZZ$2,C324)</f>
        <v>Amac. Conc. Aquafast Vermelho Seducao Cx/12 X 500ml</v>
      </c>
      <c r="H324" s="5" cm="1">
        <f t="array" ref="H324">INDEX('Linha 07'!$C$4:$ZZ$1000,B324,C324)</f>
        <v>0</v>
      </c>
    </row>
    <row r="325" spans="1:8" x14ac:dyDescent="0.25">
      <c r="A325">
        <v>323</v>
      </c>
      <c r="B325">
        <f t="shared" si="10"/>
        <v>17</v>
      </c>
      <c r="C325">
        <f t="shared" si="11"/>
        <v>3</v>
      </c>
      <c r="D325" cm="1">
        <f t="array" ref="D325">INDEX('Linha 07'!$A$4:$A$1000,B325)</f>
        <v>20150059</v>
      </c>
      <c r="E325" t="str" cm="1">
        <f t="array" ref="E325">INDEX('Linha 07'!$B$4:$B$1000,B325)</f>
        <v>Amac. Conc. Aquafast Az. Harmonia Cxc/ 09 X 1,5l Promocional</v>
      </c>
      <c r="F325" cm="1">
        <f t="array" ref="F325">INDEX('Linha 07'!$C$3:$ZZ$3,C325)</f>
        <v>20150007</v>
      </c>
      <c r="G325" t="str" cm="1">
        <f t="array" ref="G325">INDEX('Linha 07'!$C$2:$ZZ$2,C325)</f>
        <v>Amac. Conc. Aquafast Azul Harmonia Cx/ 12 X 1l</v>
      </c>
      <c r="H325" s="5" cm="1">
        <f t="array" ref="H325">INDEX('Linha 07'!$C$4:$ZZ$1000,B325,C325)</f>
        <v>0</v>
      </c>
    </row>
    <row r="326" spans="1:8" x14ac:dyDescent="0.25">
      <c r="A326">
        <v>324</v>
      </c>
      <c r="B326">
        <f t="shared" si="10"/>
        <v>17</v>
      </c>
      <c r="C326">
        <f t="shared" si="11"/>
        <v>4</v>
      </c>
      <c r="D326" cm="1">
        <f t="array" ref="D326">INDEX('Linha 07'!$A$4:$A$1000,B326)</f>
        <v>20150059</v>
      </c>
      <c r="E326" t="str" cm="1">
        <f t="array" ref="E326">INDEX('Linha 07'!$B$4:$B$1000,B326)</f>
        <v>Amac. Conc. Aquafast Az. Harmonia Cxc/ 09 X 1,5l Promocional</v>
      </c>
      <c r="F326" cm="1">
        <f t="array" ref="F326">INDEX('Linha 07'!$C$3:$ZZ$3,C326)</f>
        <v>20150008</v>
      </c>
      <c r="G326" t="str" cm="1">
        <f t="array" ref="G326">INDEX('Linha 07'!$C$2:$ZZ$2,C326)</f>
        <v>Amac. Conc. Aquafast Rosa Romance Cx/ 12 X 1l</v>
      </c>
      <c r="H326" s="5" cm="1">
        <f t="array" ref="H326">INDEX('Linha 07'!$C$4:$ZZ$1000,B326,C326)</f>
        <v>0</v>
      </c>
    </row>
    <row r="327" spans="1:8" x14ac:dyDescent="0.25">
      <c r="A327">
        <v>325</v>
      </c>
      <c r="B327">
        <f t="shared" si="10"/>
        <v>17</v>
      </c>
      <c r="C327">
        <f t="shared" si="11"/>
        <v>5</v>
      </c>
      <c r="D327" cm="1">
        <f t="array" ref="D327">INDEX('Linha 07'!$A$4:$A$1000,B327)</f>
        <v>20150059</v>
      </c>
      <c r="E327" t="str" cm="1">
        <f t="array" ref="E327">INDEX('Linha 07'!$B$4:$B$1000,B327)</f>
        <v>Amac. Conc. Aquafast Az. Harmonia Cxc/ 09 X 1,5l Promocional</v>
      </c>
      <c r="F327" cm="1">
        <f t="array" ref="F327">INDEX('Linha 07'!$C$3:$ZZ$3,C327)</f>
        <v>20150011</v>
      </c>
      <c r="G327" t="str" cm="1">
        <f t="array" ref="G327">INDEX('Linha 07'!$C$2:$ZZ$2,C327)</f>
        <v>Amac. Conc. Aquafast Vermelho Seducao Cx/ 12 X 1l</v>
      </c>
      <c r="H327" s="5" cm="1">
        <f t="array" ref="H327">INDEX('Linha 07'!$C$4:$ZZ$1000,B327,C327)</f>
        <v>0</v>
      </c>
    </row>
    <row r="328" spans="1:8" x14ac:dyDescent="0.25">
      <c r="A328">
        <v>326</v>
      </c>
      <c r="B328">
        <f t="shared" si="10"/>
        <v>17</v>
      </c>
      <c r="C328">
        <f t="shared" si="11"/>
        <v>6</v>
      </c>
      <c r="D328" cm="1">
        <f t="array" ref="D328">INDEX('Linha 07'!$A$4:$A$1000,B328)</f>
        <v>20150059</v>
      </c>
      <c r="E328" t="str" cm="1">
        <f t="array" ref="E328">INDEX('Linha 07'!$B$4:$B$1000,B328)</f>
        <v>Amac. Conc. Aquafast Az. Harmonia Cxc/ 09 X 1,5l Promocional</v>
      </c>
      <c r="F328" cm="1">
        <f t="array" ref="F328">INDEX('Linha 07'!$C$3:$ZZ$3,C328)</f>
        <v>20150013</v>
      </c>
      <c r="G328" t="str" cm="1">
        <f t="array" ref="G328">INDEX('Linha 07'!$C$2:$ZZ$2,C328)</f>
        <v>Amac. Conc. Aquafast Branco Ternura Cx/12 X 500ml</v>
      </c>
      <c r="H328" s="5" cm="1">
        <f t="array" ref="H328">INDEX('Linha 07'!$C$4:$ZZ$1000,B328,C328)</f>
        <v>0</v>
      </c>
    </row>
    <row r="329" spans="1:8" x14ac:dyDescent="0.25">
      <c r="A329">
        <v>327</v>
      </c>
      <c r="B329">
        <f t="shared" si="10"/>
        <v>17</v>
      </c>
      <c r="C329">
        <f t="shared" si="11"/>
        <v>7</v>
      </c>
      <c r="D329" cm="1">
        <f t="array" ref="D329">INDEX('Linha 07'!$A$4:$A$1000,B329)</f>
        <v>20150059</v>
      </c>
      <c r="E329" t="str" cm="1">
        <f t="array" ref="E329">INDEX('Linha 07'!$B$4:$B$1000,B329)</f>
        <v>Amac. Conc. Aquafast Az. Harmonia Cxc/ 09 X 1,5l Promocional</v>
      </c>
      <c r="F329" cm="1">
        <f t="array" ref="F329">INDEX('Linha 07'!$C$3:$ZZ$3,C329)</f>
        <v>20150014</v>
      </c>
      <c r="G329" t="str" cm="1">
        <f t="array" ref="G329">INDEX('Linha 07'!$C$2:$ZZ$2,C329)</f>
        <v>Amac. Conc. Aquafast Branco Ternura Cx/ 12 X 1l</v>
      </c>
      <c r="H329" s="5" cm="1">
        <f t="array" ref="H329">INDEX('Linha 07'!$C$4:$ZZ$1000,B329,C329)</f>
        <v>0</v>
      </c>
    </row>
    <row r="330" spans="1:8" x14ac:dyDescent="0.25">
      <c r="A330">
        <v>328</v>
      </c>
      <c r="B330">
        <f t="shared" si="10"/>
        <v>17</v>
      </c>
      <c r="C330">
        <f t="shared" si="11"/>
        <v>8</v>
      </c>
      <c r="D330" cm="1">
        <f t="array" ref="D330">INDEX('Linha 07'!$A$4:$A$1000,B330)</f>
        <v>20150059</v>
      </c>
      <c r="E330" t="str" cm="1">
        <f t="array" ref="E330">INDEX('Linha 07'!$B$4:$B$1000,B330)</f>
        <v>Amac. Conc. Aquafast Az. Harmonia Cxc/ 09 X 1,5l Promocional</v>
      </c>
      <c r="F330" cm="1">
        <f t="array" ref="F330">INDEX('Linha 07'!$C$3:$ZZ$3,C330)</f>
        <v>20150021</v>
      </c>
      <c r="G330" t="str" cm="1">
        <f t="array" ref="G330">INDEX('Linha 07'!$C$2:$ZZ$2,C330)</f>
        <v>Amac. Conc. Aquafast Azul Harmonia Cx/ 09 X 1,5l</v>
      </c>
      <c r="H330" s="5" cm="1">
        <f t="array" ref="H330">INDEX('Linha 07'!$C$4:$ZZ$1000,B330,C330)</f>
        <v>0</v>
      </c>
    </row>
    <row r="331" spans="1:8" x14ac:dyDescent="0.25">
      <c r="A331">
        <v>329</v>
      </c>
      <c r="B331">
        <f t="shared" si="10"/>
        <v>17</v>
      </c>
      <c r="C331">
        <f t="shared" si="11"/>
        <v>9</v>
      </c>
      <c r="D331" cm="1">
        <f t="array" ref="D331">INDEX('Linha 07'!$A$4:$A$1000,B331)</f>
        <v>20150059</v>
      </c>
      <c r="E331" t="str" cm="1">
        <f t="array" ref="E331">INDEX('Linha 07'!$B$4:$B$1000,B331)</f>
        <v>Amac. Conc. Aquafast Az. Harmonia Cxc/ 09 X 1,5l Promocional</v>
      </c>
      <c r="F331" cm="1">
        <f t="array" ref="F331">INDEX('Linha 07'!$C$3:$ZZ$3,C331)</f>
        <v>20150022</v>
      </c>
      <c r="G331" t="str" cm="1">
        <f t="array" ref="G331">INDEX('Linha 07'!$C$2:$ZZ$2,C331)</f>
        <v>Amac. Conc. Aquafast Rosa Romance Cx C/ 09 X 1,5l</v>
      </c>
      <c r="H331" s="5" cm="1">
        <f t="array" ref="H331">INDEX('Linha 07'!$C$4:$ZZ$1000,B331,C331)</f>
        <v>0</v>
      </c>
    </row>
    <row r="332" spans="1:8" x14ac:dyDescent="0.25">
      <c r="A332">
        <v>330</v>
      </c>
      <c r="B332">
        <f t="shared" si="10"/>
        <v>17</v>
      </c>
      <c r="C332">
        <f t="shared" si="11"/>
        <v>10</v>
      </c>
      <c r="D332" cm="1">
        <f t="array" ref="D332">INDEX('Linha 07'!$A$4:$A$1000,B332)</f>
        <v>20150059</v>
      </c>
      <c r="E332" t="str" cm="1">
        <f t="array" ref="E332">INDEX('Linha 07'!$B$4:$B$1000,B332)</f>
        <v>Amac. Conc. Aquafast Az. Harmonia Cxc/ 09 X 1,5l Promocional</v>
      </c>
      <c r="F332" cm="1">
        <f t="array" ref="F332">INDEX('Linha 07'!$C$3:$ZZ$3,C332)</f>
        <v>20150023</v>
      </c>
      <c r="G332" t="str" cm="1">
        <f t="array" ref="G332">INDEX('Linha 07'!$C$2:$ZZ$2,C332)</f>
        <v>Amac. Conc. Aquafast Branco Ternura Cx C/ 09 X 1,5l</v>
      </c>
      <c r="H332" s="5" cm="1">
        <f t="array" ref="H332">INDEX('Linha 07'!$C$4:$ZZ$1000,B332,C332)</f>
        <v>0</v>
      </c>
    </row>
    <row r="333" spans="1:8" x14ac:dyDescent="0.25">
      <c r="A333">
        <v>331</v>
      </c>
      <c r="B333">
        <f t="shared" si="10"/>
        <v>17</v>
      </c>
      <c r="C333">
        <f t="shared" si="11"/>
        <v>11</v>
      </c>
      <c r="D333" cm="1">
        <f t="array" ref="D333">INDEX('Linha 07'!$A$4:$A$1000,B333)</f>
        <v>20150059</v>
      </c>
      <c r="E333" t="str" cm="1">
        <f t="array" ref="E333">INDEX('Linha 07'!$B$4:$B$1000,B333)</f>
        <v>Amac. Conc. Aquafast Az. Harmonia Cxc/ 09 X 1,5l Promocional</v>
      </c>
      <c r="F333" cm="1">
        <f t="array" ref="F333">INDEX('Linha 07'!$C$3:$ZZ$3,C333)</f>
        <v>20150024</v>
      </c>
      <c r="G333" t="str" cm="1">
        <f t="array" ref="G333">INDEX('Linha 07'!$C$2:$ZZ$2,C333)</f>
        <v>Amac. Conc. Aquafast Vermelho Seduc Cx C/ 09 X 1,5l</v>
      </c>
      <c r="H333" s="5" cm="1">
        <f t="array" ref="H333">INDEX('Linha 07'!$C$4:$ZZ$1000,B333,C333)</f>
        <v>0</v>
      </c>
    </row>
    <row r="334" spans="1:8" x14ac:dyDescent="0.25">
      <c r="A334">
        <v>332</v>
      </c>
      <c r="B334">
        <f t="shared" si="10"/>
        <v>17</v>
      </c>
      <c r="C334">
        <f t="shared" si="11"/>
        <v>12</v>
      </c>
      <c r="D334" cm="1">
        <f t="array" ref="D334">INDEX('Linha 07'!$A$4:$A$1000,B334)</f>
        <v>20150059</v>
      </c>
      <c r="E334" t="str" cm="1">
        <f t="array" ref="E334">INDEX('Linha 07'!$B$4:$B$1000,B334)</f>
        <v>Amac. Conc. Aquafast Az. Harmonia Cxc/ 09 X 1,5l Promocional</v>
      </c>
      <c r="F334" cm="1">
        <f t="array" ref="F334">INDEX('Linha 07'!$C$3:$ZZ$3,C334)</f>
        <v>20150035</v>
      </c>
      <c r="G334" t="str" cm="1">
        <f t="array" ref="G334">INDEX('Linha 07'!$C$2:$ZZ$2,C334)</f>
        <v>Amac. Conc. Aquafast Lilas Misterio Cx/ 12 X 1l</v>
      </c>
      <c r="H334" s="5" cm="1">
        <f t="array" ref="H334">INDEX('Linha 07'!$C$4:$ZZ$1000,B334,C334)</f>
        <v>0</v>
      </c>
    </row>
    <row r="335" spans="1:8" x14ac:dyDescent="0.25">
      <c r="A335">
        <v>333</v>
      </c>
      <c r="B335">
        <f t="shared" si="10"/>
        <v>17</v>
      </c>
      <c r="C335">
        <f t="shared" si="11"/>
        <v>13</v>
      </c>
      <c r="D335" cm="1">
        <f t="array" ref="D335">INDEX('Linha 07'!$A$4:$A$1000,B335)</f>
        <v>20150059</v>
      </c>
      <c r="E335" t="str" cm="1">
        <f t="array" ref="E335">INDEX('Linha 07'!$B$4:$B$1000,B335)</f>
        <v>Amac. Conc. Aquafast Az. Harmonia Cxc/ 09 X 1,5l Promocional</v>
      </c>
      <c r="F335" cm="1">
        <f t="array" ref="F335">INDEX('Linha 07'!$C$3:$ZZ$3,C335)</f>
        <v>20150053</v>
      </c>
      <c r="G335" t="str" cm="1">
        <f t="array" ref="G335">INDEX('Linha 07'!$C$2:$ZZ$2,C335)</f>
        <v>Amac. Conc. Aquafast Lilas Misterio Cx C/ 09 X 1,5l</v>
      </c>
      <c r="H335" s="5" cm="1">
        <f t="array" ref="H335">INDEX('Linha 07'!$C$4:$ZZ$1000,B335,C335)</f>
        <v>0</v>
      </c>
    </row>
    <row r="336" spans="1:8" x14ac:dyDescent="0.25">
      <c r="A336">
        <v>334</v>
      </c>
      <c r="B336">
        <f t="shared" si="10"/>
        <v>17</v>
      </c>
      <c r="C336">
        <f t="shared" si="11"/>
        <v>14</v>
      </c>
      <c r="D336" cm="1">
        <f t="array" ref="D336">INDEX('Linha 07'!$A$4:$A$1000,B336)</f>
        <v>20150059</v>
      </c>
      <c r="E336" t="str" cm="1">
        <f t="array" ref="E336">INDEX('Linha 07'!$B$4:$B$1000,B336)</f>
        <v>Amac. Conc. Aquafast Az. Harmonia Cxc/ 09 X 1,5l Promocional</v>
      </c>
      <c r="F336" cm="1">
        <f t="array" ref="F336">INDEX('Linha 07'!$C$3:$ZZ$3,C336)</f>
        <v>20150055</v>
      </c>
      <c r="G336" t="str" cm="1">
        <f t="array" ref="G336">INDEX('Linha 07'!$C$2:$ZZ$2,C336)</f>
        <v>Intermed Pack Amac Conc Aquafast Branco Ternura Cx/12 X 1l</v>
      </c>
      <c r="H336" s="5" cm="1">
        <f t="array" ref="H336">INDEX('Linha 07'!$C$4:$ZZ$1000,B336,C336)</f>
        <v>0</v>
      </c>
    </row>
    <row r="337" spans="1:8" x14ac:dyDescent="0.25">
      <c r="A337">
        <v>335</v>
      </c>
      <c r="B337">
        <f t="shared" si="10"/>
        <v>17</v>
      </c>
      <c r="C337">
        <f t="shared" si="11"/>
        <v>15</v>
      </c>
      <c r="D337" cm="1">
        <f t="array" ref="D337">INDEX('Linha 07'!$A$4:$A$1000,B337)</f>
        <v>20150059</v>
      </c>
      <c r="E337" t="str" cm="1">
        <f t="array" ref="E337">INDEX('Linha 07'!$B$4:$B$1000,B337)</f>
        <v>Amac. Conc. Aquafast Az. Harmonia Cxc/ 09 X 1,5l Promocional</v>
      </c>
      <c r="F337" cm="1">
        <f t="array" ref="F337">INDEX('Linha 07'!$C$3:$ZZ$3,C337)</f>
        <v>20150057</v>
      </c>
      <c r="G337" t="str" cm="1">
        <f t="array" ref="G337">INDEX('Linha 07'!$C$2:$ZZ$2,C337)</f>
        <v>Intermed Pack Amac Conc Aquafast Azul Harmonia Cx/12 X 1l</v>
      </c>
      <c r="H337" s="5" cm="1">
        <f t="array" ref="H337">INDEX('Linha 07'!$C$4:$ZZ$1000,B337,C337)</f>
        <v>0</v>
      </c>
    </row>
    <row r="338" spans="1:8" x14ac:dyDescent="0.25">
      <c r="A338">
        <v>336</v>
      </c>
      <c r="B338">
        <f t="shared" si="10"/>
        <v>17</v>
      </c>
      <c r="C338">
        <f t="shared" si="11"/>
        <v>16</v>
      </c>
      <c r="D338" cm="1">
        <f t="array" ref="D338">INDEX('Linha 07'!$A$4:$A$1000,B338)</f>
        <v>20150059</v>
      </c>
      <c r="E338" t="str" cm="1">
        <f t="array" ref="E338">INDEX('Linha 07'!$B$4:$B$1000,B338)</f>
        <v>Amac. Conc. Aquafast Az. Harmonia Cxc/ 09 X 1,5l Promocional</v>
      </c>
      <c r="F338" cm="1">
        <f t="array" ref="F338">INDEX('Linha 07'!$C$3:$ZZ$3,C338)</f>
        <v>20150058</v>
      </c>
      <c r="G338" t="str" cm="1">
        <f t="array" ref="G338">INDEX('Linha 07'!$C$2:$ZZ$2,C338)</f>
        <v>Amac. Conc. Aquafast Br. Ternura Cx C/ 09 X 1,5l Promocional</v>
      </c>
      <c r="H338" s="5" cm="1">
        <f t="array" ref="H338">INDEX('Linha 07'!$C$4:$ZZ$1000,B338,C338)</f>
        <v>0</v>
      </c>
    </row>
    <row r="339" spans="1:8" x14ac:dyDescent="0.25">
      <c r="A339">
        <v>337</v>
      </c>
      <c r="B339">
        <f t="shared" si="10"/>
        <v>17</v>
      </c>
      <c r="C339">
        <f t="shared" si="11"/>
        <v>17</v>
      </c>
      <c r="D339" cm="1">
        <f t="array" ref="D339">INDEX('Linha 07'!$A$4:$A$1000,B339)</f>
        <v>20150059</v>
      </c>
      <c r="E339" t="str" cm="1">
        <f t="array" ref="E339">INDEX('Linha 07'!$B$4:$B$1000,B339)</f>
        <v>Amac. Conc. Aquafast Az. Harmonia Cxc/ 09 X 1,5l Promocional</v>
      </c>
      <c r="F339" cm="1">
        <f t="array" ref="F339">INDEX('Linha 07'!$C$3:$ZZ$3,C339)</f>
        <v>20150059</v>
      </c>
      <c r="G339" t="str" cm="1">
        <f t="array" ref="G339">INDEX('Linha 07'!$C$2:$ZZ$2,C339)</f>
        <v>Amac. Conc. Aquafast Az. Harmonia Cxc/ 09 X 1,5l Promocional</v>
      </c>
      <c r="H339" s="5" cm="1">
        <f t="array" ref="H339">INDEX('Linha 07'!$C$4:$ZZ$1000,B339,C339)</f>
        <v>0</v>
      </c>
    </row>
    <row r="340" spans="1:8" x14ac:dyDescent="0.25">
      <c r="A340">
        <v>338</v>
      </c>
      <c r="B340">
        <f t="shared" si="10"/>
        <v>17</v>
      </c>
      <c r="C340">
        <f t="shared" si="11"/>
        <v>18</v>
      </c>
      <c r="D340" cm="1">
        <f t="array" ref="D340">INDEX('Linha 07'!$A$4:$A$1000,B340)</f>
        <v>20150059</v>
      </c>
      <c r="E340" t="str" cm="1">
        <f t="array" ref="E340">INDEX('Linha 07'!$B$4:$B$1000,B340)</f>
        <v>Amac. Conc. Aquafast Az. Harmonia Cxc/ 09 X 1,5l Promocional</v>
      </c>
      <c r="F340" cm="1">
        <f t="array" ref="F340">INDEX('Linha 07'!$C$3:$ZZ$3,C340)</f>
        <v>20150068</v>
      </c>
      <c r="G340" t="str" cm="1">
        <f t="array" ref="G340">INDEX('Linha 07'!$C$2:$ZZ$2,C340)</f>
        <v>Amac. Conc. Aquafast Lilas Misterio Cx C/ 09 X 1,5l Promo</v>
      </c>
      <c r="H340" s="5" cm="1">
        <f t="array" ref="H340">INDEX('Linha 07'!$C$4:$ZZ$1000,B340,C340)</f>
        <v>0</v>
      </c>
    </row>
    <row r="341" spans="1:8" x14ac:dyDescent="0.25">
      <c r="A341">
        <v>339</v>
      </c>
      <c r="B341">
        <f t="shared" si="10"/>
        <v>17</v>
      </c>
      <c r="C341">
        <f t="shared" si="11"/>
        <v>19</v>
      </c>
      <c r="D341" cm="1">
        <f t="array" ref="D341">INDEX('Linha 07'!$A$4:$A$1000,B341)</f>
        <v>20150059</v>
      </c>
      <c r="E341" t="str" cm="1">
        <f t="array" ref="E341">INDEX('Linha 07'!$B$4:$B$1000,B341)</f>
        <v>Amac. Conc. Aquafast Az. Harmonia Cxc/ 09 X 1,5l Promocional</v>
      </c>
      <c r="F341" cm="1">
        <f t="array" ref="F341">INDEX('Linha 07'!$C$3:$ZZ$3,C341)</f>
        <v>20150069</v>
      </c>
      <c r="G341" t="str" cm="1">
        <f t="array" ref="G341">INDEX('Linha 07'!$C$2:$ZZ$2,C341)</f>
        <v>Amac. Conc. Aquafast Vermelho Seducao Cx C/ 09 X 1,5l Promo</v>
      </c>
      <c r="H341" s="5" cm="1">
        <f t="array" ref="H341">INDEX('Linha 07'!$C$4:$ZZ$1000,B341,C341)</f>
        <v>0</v>
      </c>
    </row>
    <row r="342" spans="1:8" x14ac:dyDescent="0.25">
      <c r="A342">
        <v>340</v>
      </c>
      <c r="B342">
        <f t="shared" si="10"/>
        <v>17</v>
      </c>
      <c r="C342">
        <f t="shared" si="11"/>
        <v>20</v>
      </c>
      <c r="D342" cm="1">
        <f t="array" ref="D342">INDEX('Linha 07'!$A$4:$A$1000,B342)</f>
        <v>20150059</v>
      </c>
      <c r="E342" t="str" cm="1">
        <f t="array" ref="E342">INDEX('Linha 07'!$B$4:$B$1000,B342)</f>
        <v>Amac. Conc. Aquafast Az. Harmonia Cxc/ 09 X 1,5l Promocional</v>
      </c>
      <c r="F342" cm="1">
        <f t="array" ref="F342">INDEX('Linha 07'!$C$3:$ZZ$3,C342)</f>
        <v>20150070</v>
      </c>
      <c r="G342" t="str" cm="1">
        <f t="array" ref="G342">INDEX('Linha 07'!$C$2:$ZZ$2,C342)</f>
        <v>Amac. Conc. Aquafast Rosa Romance Cx C/ 09 X 1,5l Promo</v>
      </c>
      <c r="H342" s="5" cm="1">
        <f t="array" ref="H342">INDEX('Linha 07'!$C$4:$ZZ$1000,B342,C342)</f>
        <v>0</v>
      </c>
    </row>
    <row r="343" spans="1:8" x14ac:dyDescent="0.25">
      <c r="A343">
        <v>341</v>
      </c>
      <c r="B343">
        <f t="shared" si="10"/>
        <v>18</v>
      </c>
      <c r="C343">
        <f t="shared" si="11"/>
        <v>1</v>
      </c>
      <c r="D343" cm="1">
        <f t="array" ref="D343">INDEX('Linha 07'!$A$4:$A$1000,B343)</f>
        <v>20150068</v>
      </c>
      <c r="E343" t="str" cm="1">
        <f t="array" ref="E343">INDEX('Linha 07'!$B$4:$B$1000,B343)</f>
        <v>Amac. Conc. Aquafast Lilas Misterio Cx C/ 09 X 1,5l Promo</v>
      </c>
      <c r="F343" cm="1">
        <f t="array" ref="F343">INDEX('Linha 07'!$C$3:$ZZ$3,C343)</f>
        <v>20150001</v>
      </c>
      <c r="G343" t="str" cm="1">
        <f t="array" ref="G343">INDEX('Linha 07'!$C$2:$ZZ$2,C343)</f>
        <v>Amac. Conc. Aquafast Azul Harmonia Cx/12 X 500ml</v>
      </c>
      <c r="H343" s="5" cm="1">
        <f t="array" ref="H343">INDEX('Linha 07'!$C$4:$ZZ$1000,B343,C343)</f>
        <v>0</v>
      </c>
    </row>
    <row r="344" spans="1:8" x14ac:dyDescent="0.25">
      <c r="A344">
        <v>342</v>
      </c>
      <c r="B344">
        <f t="shared" si="10"/>
        <v>18</v>
      </c>
      <c r="C344">
        <f t="shared" si="11"/>
        <v>2</v>
      </c>
      <c r="D344" cm="1">
        <f t="array" ref="D344">INDEX('Linha 07'!$A$4:$A$1000,B344)</f>
        <v>20150068</v>
      </c>
      <c r="E344" t="str" cm="1">
        <f t="array" ref="E344">INDEX('Linha 07'!$B$4:$B$1000,B344)</f>
        <v>Amac. Conc. Aquafast Lilas Misterio Cx C/ 09 X 1,5l Promo</v>
      </c>
      <c r="F344" cm="1">
        <f t="array" ref="F344">INDEX('Linha 07'!$C$3:$ZZ$3,C344)</f>
        <v>20150005</v>
      </c>
      <c r="G344" t="str" cm="1">
        <f t="array" ref="G344">INDEX('Linha 07'!$C$2:$ZZ$2,C344)</f>
        <v>Amac. Conc. Aquafast Vermelho Seducao Cx/12 X 500ml</v>
      </c>
      <c r="H344" s="5" cm="1">
        <f t="array" ref="H344">INDEX('Linha 07'!$C$4:$ZZ$1000,B344,C344)</f>
        <v>0</v>
      </c>
    </row>
    <row r="345" spans="1:8" x14ac:dyDescent="0.25">
      <c r="A345">
        <v>343</v>
      </c>
      <c r="B345">
        <f t="shared" si="10"/>
        <v>18</v>
      </c>
      <c r="C345">
        <f t="shared" si="11"/>
        <v>3</v>
      </c>
      <c r="D345" cm="1">
        <f t="array" ref="D345">INDEX('Linha 07'!$A$4:$A$1000,B345)</f>
        <v>20150068</v>
      </c>
      <c r="E345" t="str" cm="1">
        <f t="array" ref="E345">INDEX('Linha 07'!$B$4:$B$1000,B345)</f>
        <v>Amac. Conc. Aquafast Lilas Misterio Cx C/ 09 X 1,5l Promo</v>
      </c>
      <c r="F345" cm="1">
        <f t="array" ref="F345">INDEX('Linha 07'!$C$3:$ZZ$3,C345)</f>
        <v>20150007</v>
      </c>
      <c r="G345" t="str" cm="1">
        <f t="array" ref="G345">INDEX('Linha 07'!$C$2:$ZZ$2,C345)</f>
        <v>Amac. Conc. Aquafast Azul Harmonia Cx/ 12 X 1l</v>
      </c>
      <c r="H345" s="5" cm="1">
        <f t="array" ref="H345">INDEX('Linha 07'!$C$4:$ZZ$1000,B345,C345)</f>
        <v>0</v>
      </c>
    </row>
    <row r="346" spans="1:8" x14ac:dyDescent="0.25">
      <c r="A346">
        <v>344</v>
      </c>
      <c r="B346">
        <f t="shared" si="10"/>
        <v>18</v>
      </c>
      <c r="C346">
        <f t="shared" si="11"/>
        <v>4</v>
      </c>
      <c r="D346" cm="1">
        <f t="array" ref="D346">INDEX('Linha 07'!$A$4:$A$1000,B346)</f>
        <v>20150068</v>
      </c>
      <c r="E346" t="str" cm="1">
        <f t="array" ref="E346">INDEX('Linha 07'!$B$4:$B$1000,B346)</f>
        <v>Amac. Conc. Aquafast Lilas Misterio Cx C/ 09 X 1,5l Promo</v>
      </c>
      <c r="F346" cm="1">
        <f t="array" ref="F346">INDEX('Linha 07'!$C$3:$ZZ$3,C346)</f>
        <v>20150008</v>
      </c>
      <c r="G346" t="str" cm="1">
        <f t="array" ref="G346">INDEX('Linha 07'!$C$2:$ZZ$2,C346)</f>
        <v>Amac. Conc. Aquafast Rosa Romance Cx/ 12 X 1l</v>
      </c>
      <c r="H346" s="5" cm="1">
        <f t="array" ref="H346">INDEX('Linha 07'!$C$4:$ZZ$1000,B346,C346)</f>
        <v>0</v>
      </c>
    </row>
    <row r="347" spans="1:8" x14ac:dyDescent="0.25">
      <c r="A347">
        <v>345</v>
      </c>
      <c r="B347">
        <f t="shared" si="10"/>
        <v>18</v>
      </c>
      <c r="C347">
        <f t="shared" si="11"/>
        <v>5</v>
      </c>
      <c r="D347" cm="1">
        <f t="array" ref="D347">INDEX('Linha 07'!$A$4:$A$1000,B347)</f>
        <v>20150068</v>
      </c>
      <c r="E347" t="str" cm="1">
        <f t="array" ref="E347">INDEX('Linha 07'!$B$4:$B$1000,B347)</f>
        <v>Amac. Conc. Aquafast Lilas Misterio Cx C/ 09 X 1,5l Promo</v>
      </c>
      <c r="F347" cm="1">
        <f t="array" ref="F347">INDEX('Linha 07'!$C$3:$ZZ$3,C347)</f>
        <v>20150011</v>
      </c>
      <c r="G347" t="str" cm="1">
        <f t="array" ref="G347">INDEX('Linha 07'!$C$2:$ZZ$2,C347)</f>
        <v>Amac. Conc. Aquafast Vermelho Seducao Cx/ 12 X 1l</v>
      </c>
      <c r="H347" s="5" cm="1">
        <f t="array" ref="H347">INDEX('Linha 07'!$C$4:$ZZ$1000,B347,C347)</f>
        <v>0</v>
      </c>
    </row>
    <row r="348" spans="1:8" x14ac:dyDescent="0.25">
      <c r="A348">
        <v>346</v>
      </c>
      <c r="B348">
        <f t="shared" si="10"/>
        <v>18</v>
      </c>
      <c r="C348">
        <f t="shared" si="11"/>
        <v>6</v>
      </c>
      <c r="D348" cm="1">
        <f t="array" ref="D348">INDEX('Linha 07'!$A$4:$A$1000,B348)</f>
        <v>20150068</v>
      </c>
      <c r="E348" t="str" cm="1">
        <f t="array" ref="E348">INDEX('Linha 07'!$B$4:$B$1000,B348)</f>
        <v>Amac. Conc. Aquafast Lilas Misterio Cx C/ 09 X 1,5l Promo</v>
      </c>
      <c r="F348" cm="1">
        <f t="array" ref="F348">INDEX('Linha 07'!$C$3:$ZZ$3,C348)</f>
        <v>20150013</v>
      </c>
      <c r="G348" t="str" cm="1">
        <f t="array" ref="G348">INDEX('Linha 07'!$C$2:$ZZ$2,C348)</f>
        <v>Amac. Conc. Aquafast Branco Ternura Cx/12 X 500ml</v>
      </c>
      <c r="H348" s="5" cm="1">
        <f t="array" ref="H348">INDEX('Linha 07'!$C$4:$ZZ$1000,B348,C348)</f>
        <v>0</v>
      </c>
    </row>
    <row r="349" spans="1:8" x14ac:dyDescent="0.25">
      <c r="A349">
        <v>347</v>
      </c>
      <c r="B349">
        <f t="shared" si="10"/>
        <v>18</v>
      </c>
      <c r="C349">
        <f t="shared" si="11"/>
        <v>7</v>
      </c>
      <c r="D349" cm="1">
        <f t="array" ref="D349">INDEX('Linha 07'!$A$4:$A$1000,B349)</f>
        <v>20150068</v>
      </c>
      <c r="E349" t="str" cm="1">
        <f t="array" ref="E349">INDEX('Linha 07'!$B$4:$B$1000,B349)</f>
        <v>Amac. Conc. Aquafast Lilas Misterio Cx C/ 09 X 1,5l Promo</v>
      </c>
      <c r="F349" cm="1">
        <f t="array" ref="F349">INDEX('Linha 07'!$C$3:$ZZ$3,C349)</f>
        <v>20150014</v>
      </c>
      <c r="G349" t="str" cm="1">
        <f t="array" ref="G349">INDEX('Linha 07'!$C$2:$ZZ$2,C349)</f>
        <v>Amac. Conc. Aquafast Branco Ternura Cx/ 12 X 1l</v>
      </c>
      <c r="H349" s="5" cm="1">
        <f t="array" ref="H349">INDEX('Linha 07'!$C$4:$ZZ$1000,B349,C349)</f>
        <v>0</v>
      </c>
    </row>
    <row r="350" spans="1:8" x14ac:dyDescent="0.25">
      <c r="A350">
        <v>348</v>
      </c>
      <c r="B350">
        <f t="shared" si="10"/>
        <v>18</v>
      </c>
      <c r="C350">
        <f t="shared" si="11"/>
        <v>8</v>
      </c>
      <c r="D350" cm="1">
        <f t="array" ref="D350">INDEX('Linha 07'!$A$4:$A$1000,B350)</f>
        <v>20150068</v>
      </c>
      <c r="E350" t="str" cm="1">
        <f t="array" ref="E350">INDEX('Linha 07'!$B$4:$B$1000,B350)</f>
        <v>Amac. Conc. Aquafast Lilas Misterio Cx C/ 09 X 1,5l Promo</v>
      </c>
      <c r="F350" cm="1">
        <f t="array" ref="F350">INDEX('Linha 07'!$C$3:$ZZ$3,C350)</f>
        <v>20150021</v>
      </c>
      <c r="G350" t="str" cm="1">
        <f t="array" ref="G350">INDEX('Linha 07'!$C$2:$ZZ$2,C350)</f>
        <v>Amac. Conc. Aquafast Azul Harmonia Cx/ 09 X 1,5l</v>
      </c>
      <c r="H350" s="5" cm="1">
        <f t="array" ref="H350">INDEX('Linha 07'!$C$4:$ZZ$1000,B350,C350)</f>
        <v>0</v>
      </c>
    </row>
    <row r="351" spans="1:8" x14ac:dyDescent="0.25">
      <c r="A351">
        <v>349</v>
      </c>
      <c r="B351">
        <f t="shared" si="10"/>
        <v>18</v>
      </c>
      <c r="C351">
        <f t="shared" si="11"/>
        <v>9</v>
      </c>
      <c r="D351" cm="1">
        <f t="array" ref="D351">INDEX('Linha 07'!$A$4:$A$1000,B351)</f>
        <v>20150068</v>
      </c>
      <c r="E351" t="str" cm="1">
        <f t="array" ref="E351">INDEX('Linha 07'!$B$4:$B$1000,B351)</f>
        <v>Amac. Conc. Aquafast Lilas Misterio Cx C/ 09 X 1,5l Promo</v>
      </c>
      <c r="F351" cm="1">
        <f t="array" ref="F351">INDEX('Linha 07'!$C$3:$ZZ$3,C351)</f>
        <v>20150022</v>
      </c>
      <c r="G351" t="str" cm="1">
        <f t="array" ref="G351">INDEX('Linha 07'!$C$2:$ZZ$2,C351)</f>
        <v>Amac. Conc. Aquafast Rosa Romance Cx C/ 09 X 1,5l</v>
      </c>
      <c r="H351" s="5" cm="1">
        <f t="array" ref="H351">INDEX('Linha 07'!$C$4:$ZZ$1000,B351,C351)</f>
        <v>0</v>
      </c>
    </row>
    <row r="352" spans="1:8" x14ac:dyDescent="0.25">
      <c r="A352">
        <v>350</v>
      </c>
      <c r="B352">
        <f t="shared" si="10"/>
        <v>18</v>
      </c>
      <c r="C352">
        <f t="shared" si="11"/>
        <v>10</v>
      </c>
      <c r="D352" cm="1">
        <f t="array" ref="D352">INDEX('Linha 07'!$A$4:$A$1000,B352)</f>
        <v>20150068</v>
      </c>
      <c r="E352" t="str" cm="1">
        <f t="array" ref="E352">INDEX('Linha 07'!$B$4:$B$1000,B352)</f>
        <v>Amac. Conc. Aquafast Lilas Misterio Cx C/ 09 X 1,5l Promo</v>
      </c>
      <c r="F352" cm="1">
        <f t="array" ref="F352">INDEX('Linha 07'!$C$3:$ZZ$3,C352)</f>
        <v>20150023</v>
      </c>
      <c r="G352" t="str" cm="1">
        <f t="array" ref="G352">INDEX('Linha 07'!$C$2:$ZZ$2,C352)</f>
        <v>Amac. Conc. Aquafast Branco Ternura Cx C/ 09 X 1,5l</v>
      </c>
      <c r="H352" s="5" cm="1">
        <f t="array" ref="H352">INDEX('Linha 07'!$C$4:$ZZ$1000,B352,C352)</f>
        <v>0</v>
      </c>
    </row>
    <row r="353" spans="1:8" x14ac:dyDescent="0.25">
      <c r="A353">
        <v>351</v>
      </c>
      <c r="B353">
        <f t="shared" si="10"/>
        <v>18</v>
      </c>
      <c r="C353">
        <f t="shared" si="11"/>
        <v>11</v>
      </c>
      <c r="D353" cm="1">
        <f t="array" ref="D353">INDEX('Linha 07'!$A$4:$A$1000,B353)</f>
        <v>20150068</v>
      </c>
      <c r="E353" t="str" cm="1">
        <f t="array" ref="E353">INDEX('Linha 07'!$B$4:$B$1000,B353)</f>
        <v>Amac. Conc. Aquafast Lilas Misterio Cx C/ 09 X 1,5l Promo</v>
      </c>
      <c r="F353" cm="1">
        <f t="array" ref="F353">INDEX('Linha 07'!$C$3:$ZZ$3,C353)</f>
        <v>20150024</v>
      </c>
      <c r="G353" t="str" cm="1">
        <f t="array" ref="G353">INDEX('Linha 07'!$C$2:$ZZ$2,C353)</f>
        <v>Amac. Conc. Aquafast Vermelho Seduc Cx C/ 09 X 1,5l</v>
      </c>
      <c r="H353" s="5" cm="1">
        <f t="array" ref="H353">INDEX('Linha 07'!$C$4:$ZZ$1000,B353,C353)</f>
        <v>0</v>
      </c>
    </row>
    <row r="354" spans="1:8" x14ac:dyDescent="0.25">
      <c r="A354">
        <v>352</v>
      </c>
      <c r="B354">
        <f t="shared" si="10"/>
        <v>18</v>
      </c>
      <c r="C354">
        <f t="shared" si="11"/>
        <v>12</v>
      </c>
      <c r="D354" cm="1">
        <f t="array" ref="D354">INDEX('Linha 07'!$A$4:$A$1000,B354)</f>
        <v>20150068</v>
      </c>
      <c r="E354" t="str" cm="1">
        <f t="array" ref="E354">INDEX('Linha 07'!$B$4:$B$1000,B354)</f>
        <v>Amac. Conc. Aquafast Lilas Misterio Cx C/ 09 X 1,5l Promo</v>
      </c>
      <c r="F354" cm="1">
        <f t="array" ref="F354">INDEX('Linha 07'!$C$3:$ZZ$3,C354)</f>
        <v>20150035</v>
      </c>
      <c r="G354" t="str" cm="1">
        <f t="array" ref="G354">INDEX('Linha 07'!$C$2:$ZZ$2,C354)</f>
        <v>Amac. Conc. Aquafast Lilas Misterio Cx/ 12 X 1l</v>
      </c>
      <c r="H354" s="5" cm="1">
        <f t="array" ref="H354">INDEX('Linha 07'!$C$4:$ZZ$1000,B354,C354)</f>
        <v>0</v>
      </c>
    </row>
    <row r="355" spans="1:8" x14ac:dyDescent="0.25">
      <c r="A355">
        <v>353</v>
      </c>
      <c r="B355">
        <f t="shared" si="10"/>
        <v>18</v>
      </c>
      <c r="C355">
        <f t="shared" si="11"/>
        <v>13</v>
      </c>
      <c r="D355" cm="1">
        <f t="array" ref="D355">INDEX('Linha 07'!$A$4:$A$1000,B355)</f>
        <v>20150068</v>
      </c>
      <c r="E355" t="str" cm="1">
        <f t="array" ref="E355">INDEX('Linha 07'!$B$4:$B$1000,B355)</f>
        <v>Amac. Conc. Aquafast Lilas Misterio Cx C/ 09 X 1,5l Promo</v>
      </c>
      <c r="F355" cm="1">
        <f t="array" ref="F355">INDEX('Linha 07'!$C$3:$ZZ$3,C355)</f>
        <v>20150053</v>
      </c>
      <c r="G355" t="str" cm="1">
        <f t="array" ref="G355">INDEX('Linha 07'!$C$2:$ZZ$2,C355)</f>
        <v>Amac. Conc. Aquafast Lilas Misterio Cx C/ 09 X 1,5l</v>
      </c>
      <c r="H355" s="5" cm="1">
        <f t="array" ref="H355">INDEX('Linha 07'!$C$4:$ZZ$1000,B355,C355)</f>
        <v>0</v>
      </c>
    </row>
    <row r="356" spans="1:8" x14ac:dyDescent="0.25">
      <c r="A356">
        <v>354</v>
      </c>
      <c r="B356">
        <f t="shared" si="10"/>
        <v>18</v>
      </c>
      <c r="C356">
        <f t="shared" si="11"/>
        <v>14</v>
      </c>
      <c r="D356" cm="1">
        <f t="array" ref="D356">INDEX('Linha 07'!$A$4:$A$1000,B356)</f>
        <v>20150068</v>
      </c>
      <c r="E356" t="str" cm="1">
        <f t="array" ref="E356">INDEX('Linha 07'!$B$4:$B$1000,B356)</f>
        <v>Amac. Conc. Aquafast Lilas Misterio Cx C/ 09 X 1,5l Promo</v>
      </c>
      <c r="F356" cm="1">
        <f t="array" ref="F356">INDEX('Linha 07'!$C$3:$ZZ$3,C356)</f>
        <v>20150055</v>
      </c>
      <c r="G356" t="str" cm="1">
        <f t="array" ref="G356">INDEX('Linha 07'!$C$2:$ZZ$2,C356)</f>
        <v>Intermed Pack Amac Conc Aquafast Branco Ternura Cx/12 X 1l</v>
      </c>
      <c r="H356" s="5" cm="1">
        <f t="array" ref="H356">INDEX('Linha 07'!$C$4:$ZZ$1000,B356,C356)</f>
        <v>0</v>
      </c>
    </row>
    <row r="357" spans="1:8" x14ac:dyDescent="0.25">
      <c r="A357">
        <v>355</v>
      </c>
      <c r="B357">
        <f t="shared" si="10"/>
        <v>18</v>
      </c>
      <c r="C357">
        <f t="shared" si="11"/>
        <v>15</v>
      </c>
      <c r="D357" cm="1">
        <f t="array" ref="D357">INDEX('Linha 07'!$A$4:$A$1000,B357)</f>
        <v>20150068</v>
      </c>
      <c r="E357" t="str" cm="1">
        <f t="array" ref="E357">INDEX('Linha 07'!$B$4:$B$1000,B357)</f>
        <v>Amac. Conc. Aquafast Lilas Misterio Cx C/ 09 X 1,5l Promo</v>
      </c>
      <c r="F357" cm="1">
        <f t="array" ref="F357">INDEX('Linha 07'!$C$3:$ZZ$3,C357)</f>
        <v>20150057</v>
      </c>
      <c r="G357" t="str" cm="1">
        <f t="array" ref="G357">INDEX('Linha 07'!$C$2:$ZZ$2,C357)</f>
        <v>Intermed Pack Amac Conc Aquafast Azul Harmonia Cx/12 X 1l</v>
      </c>
      <c r="H357" s="5" cm="1">
        <f t="array" ref="H357">INDEX('Linha 07'!$C$4:$ZZ$1000,B357,C357)</f>
        <v>0</v>
      </c>
    </row>
    <row r="358" spans="1:8" x14ac:dyDescent="0.25">
      <c r="A358">
        <v>356</v>
      </c>
      <c r="B358">
        <f t="shared" si="10"/>
        <v>18</v>
      </c>
      <c r="C358">
        <f t="shared" si="11"/>
        <v>16</v>
      </c>
      <c r="D358" cm="1">
        <f t="array" ref="D358">INDEX('Linha 07'!$A$4:$A$1000,B358)</f>
        <v>20150068</v>
      </c>
      <c r="E358" t="str" cm="1">
        <f t="array" ref="E358">INDEX('Linha 07'!$B$4:$B$1000,B358)</f>
        <v>Amac. Conc. Aquafast Lilas Misterio Cx C/ 09 X 1,5l Promo</v>
      </c>
      <c r="F358" cm="1">
        <f t="array" ref="F358">INDEX('Linha 07'!$C$3:$ZZ$3,C358)</f>
        <v>20150058</v>
      </c>
      <c r="G358" t="str" cm="1">
        <f t="array" ref="G358">INDEX('Linha 07'!$C$2:$ZZ$2,C358)</f>
        <v>Amac. Conc. Aquafast Br. Ternura Cx C/ 09 X 1,5l Promocional</v>
      </c>
      <c r="H358" s="5" cm="1">
        <f t="array" ref="H358">INDEX('Linha 07'!$C$4:$ZZ$1000,B358,C358)</f>
        <v>0</v>
      </c>
    </row>
    <row r="359" spans="1:8" x14ac:dyDescent="0.25">
      <c r="A359">
        <v>357</v>
      </c>
      <c r="B359">
        <f t="shared" si="10"/>
        <v>18</v>
      </c>
      <c r="C359">
        <f t="shared" si="11"/>
        <v>17</v>
      </c>
      <c r="D359" cm="1">
        <f t="array" ref="D359">INDEX('Linha 07'!$A$4:$A$1000,B359)</f>
        <v>20150068</v>
      </c>
      <c r="E359" t="str" cm="1">
        <f t="array" ref="E359">INDEX('Linha 07'!$B$4:$B$1000,B359)</f>
        <v>Amac. Conc. Aquafast Lilas Misterio Cx C/ 09 X 1,5l Promo</v>
      </c>
      <c r="F359" cm="1">
        <f t="array" ref="F359">INDEX('Linha 07'!$C$3:$ZZ$3,C359)</f>
        <v>20150059</v>
      </c>
      <c r="G359" t="str" cm="1">
        <f t="array" ref="G359">INDEX('Linha 07'!$C$2:$ZZ$2,C359)</f>
        <v>Amac. Conc. Aquafast Az. Harmonia Cxc/ 09 X 1,5l Promocional</v>
      </c>
      <c r="H359" s="5" cm="1">
        <f t="array" ref="H359">INDEX('Linha 07'!$C$4:$ZZ$1000,B359,C359)</f>
        <v>0</v>
      </c>
    </row>
    <row r="360" spans="1:8" x14ac:dyDescent="0.25">
      <c r="A360">
        <v>358</v>
      </c>
      <c r="B360">
        <f t="shared" si="10"/>
        <v>18</v>
      </c>
      <c r="C360">
        <f t="shared" si="11"/>
        <v>18</v>
      </c>
      <c r="D360" cm="1">
        <f t="array" ref="D360">INDEX('Linha 07'!$A$4:$A$1000,B360)</f>
        <v>20150068</v>
      </c>
      <c r="E360" t="str" cm="1">
        <f t="array" ref="E360">INDEX('Linha 07'!$B$4:$B$1000,B360)</f>
        <v>Amac. Conc. Aquafast Lilas Misterio Cx C/ 09 X 1,5l Promo</v>
      </c>
      <c r="F360" cm="1">
        <f t="array" ref="F360">INDEX('Linha 07'!$C$3:$ZZ$3,C360)</f>
        <v>20150068</v>
      </c>
      <c r="G360" t="str" cm="1">
        <f t="array" ref="G360">INDEX('Linha 07'!$C$2:$ZZ$2,C360)</f>
        <v>Amac. Conc. Aquafast Lilas Misterio Cx C/ 09 X 1,5l Promo</v>
      </c>
      <c r="H360" s="5" cm="1">
        <f t="array" ref="H360">INDEX('Linha 07'!$C$4:$ZZ$1000,B360,C360)</f>
        <v>0</v>
      </c>
    </row>
    <row r="361" spans="1:8" x14ac:dyDescent="0.25">
      <c r="A361">
        <v>359</v>
      </c>
      <c r="B361">
        <f t="shared" si="10"/>
        <v>18</v>
      </c>
      <c r="C361">
        <f t="shared" si="11"/>
        <v>19</v>
      </c>
      <c r="D361" cm="1">
        <f t="array" ref="D361">INDEX('Linha 07'!$A$4:$A$1000,B361)</f>
        <v>20150068</v>
      </c>
      <c r="E361" t="str" cm="1">
        <f t="array" ref="E361">INDEX('Linha 07'!$B$4:$B$1000,B361)</f>
        <v>Amac. Conc. Aquafast Lilas Misterio Cx C/ 09 X 1,5l Promo</v>
      </c>
      <c r="F361" cm="1">
        <f t="array" ref="F361">INDEX('Linha 07'!$C$3:$ZZ$3,C361)</f>
        <v>20150069</v>
      </c>
      <c r="G361" t="str" cm="1">
        <f t="array" ref="G361">INDEX('Linha 07'!$C$2:$ZZ$2,C361)</f>
        <v>Amac. Conc. Aquafast Vermelho Seducao Cx C/ 09 X 1,5l Promo</v>
      </c>
      <c r="H361" s="5" cm="1">
        <f t="array" ref="H361">INDEX('Linha 07'!$C$4:$ZZ$1000,B361,C361)</f>
        <v>0</v>
      </c>
    </row>
    <row r="362" spans="1:8" x14ac:dyDescent="0.25">
      <c r="A362">
        <v>360</v>
      </c>
      <c r="B362">
        <f t="shared" si="10"/>
        <v>18</v>
      </c>
      <c r="C362">
        <f t="shared" si="11"/>
        <v>20</v>
      </c>
      <c r="D362" cm="1">
        <f t="array" ref="D362">INDEX('Linha 07'!$A$4:$A$1000,B362)</f>
        <v>20150068</v>
      </c>
      <c r="E362" t="str" cm="1">
        <f t="array" ref="E362">INDEX('Linha 07'!$B$4:$B$1000,B362)</f>
        <v>Amac. Conc. Aquafast Lilas Misterio Cx C/ 09 X 1,5l Promo</v>
      </c>
      <c r="F362" cm="1">
        <f t="array" ref="F362">INDEX('Linha 07'!$C$3:$ZZ$3,C362)</f>
        <v>20150070</v>
      </c>
      <c r="G362" t="str" cm="1">
        <f t="array" ref="G362">INDEX('Linha 07'!$C$2:$ZZ$2,C362)</f>
        <v>Amac. Conc. Aquafast Rosa Romance Cx C/ 09 X 1,5l Promo</v>
      </c>
      <c r="H362" s="5" cm="1">
        <f t="array" ref="H362">INDEX('Linha 07'!$C$4:$ZZ$1000,B362,C362)</f>
        <v>0</v>
      </c>
    </row>
    <row r="363" spans="1:8" x14ac:dyDescent="0.25">
      <c r="A363">
        <v>361</v>
      </c>
      <c r="B363">
        <f t="shared" si="10"/>
        <v>19</v>
      </c>
      <c r="C363">
        <f t="shared" si="11"/>
        <v>1</v>
      </c>
      <c r="D363" cm="1">
        <f t="array" ref="D363">INDEX('Linha 07'!$A$4:$A$1000,B363)</f>
        <v>20150069</v>
      </c>
      <c r="E363" t="str" cm="1">
        <f t="array" ref="E363">INDEX('Linha 07'!$B$4:$B$1000,B363)</f>
        <v>Amac. Conc. Aquafast Vermelho Seducao Cx C/ 09 X 1,5l Promo</v>
      </c>
      <c r="F363" cm="1">
        <f t="array" ref="F363">INDEX('Linha 07'!$C$3:$ZZ$3,C363)</f>
        <v>20150001</v>
      </c>
      <c r="G363" t="str" cm="1">
        <f t="array" ref="G363">INDEX('Linha 07'!$C$2:$ZZ$2,C363)</f>
        <v>Amac. Conc. Aquafast Azul Harmonia Cx/12 X 500ml</v>
      </c>
      <c r="H363" s="5" cm="1">
        <f t="array" ref="H363">INDEX('Linha 07'!$C$4:$ZZ$1000,B363,C363)</f>
        <v>0</v>
      </c>
    </row>
    <row r="364" spans="1:8" x14ac:dyDescent="0.25">
      <c r="A364">
        <v>362</v>
      </c>
      <c r="B364">
        <f t="shared" si="10"/>
        <v>19</v>
      </c>
      <c r="C364">
        <f t="shared" si="11"/>
        <v>2</v>
      </c>
      <c r="D364" cm="1">
        <f t="array" ref="D364">INDEX('Linha 07'!$A$4:$A$1000,B364)</f>
        <v>20150069</v>
      </c>
      <c r="E364" t="str" cm="1">
        <f t="array" ref="E364">INDEX('Linha 07'!$B$4:$B$1000,B364)</f>
        <v>Amac. Conc. Aquafast Vermelho Seducao Cx C/ 09 X 1,5l Promo</v>
      </c>
      <c r="F364" cm="1">
        <f t="array" ref="F364">INDEX('Linha 07'!$C$3:$ZZ$3,C364)</f>
        <v>20150005</v>
      </c>
      <c r="G364" t="str" cm="1">
        <f t="array" ref="G364">INDEX('Linha 07'!$C$2:$ZZ$2,C364)</f>
        <v>Amac. Conc. Aquafast Vermelho Seducao Cx/12 X 500ml</v>
      </c>
      <c r="H364" s="5" cm="1">
        <f t="array" ref="H364">INDEX('Linha 07'!$C$4:$ZZ$1000,B364,C364)</f>
        <v>0</v>
      </c>
    </row>
    <row r="365" spans="1:8" x14ac:dyDescent="0.25">
      <c r="A365">
        <v>363</v>
      </c>
      <c r="B365">
        <f t="shared" si="10"/>
        <v>19</v>
      </c>
      <c r="C365">
        <f t="shared" si="11"/>
        <v>3</v>
      </c>
      <c r="D365" cm="1">
        <f t="array" ref="D365">INDEX('Linha 07'!$A$4:$A$1000,B365)</f>
        <v>20150069</v>
      </c>
      <c r="E365" t="str" cm="1">
        <f t="array" ref="E365">INDEX('Linha 07'!$B$4:$B$1000,B365)</f>
        <v>Amac. Conc. Aquafast Vermelho Seducao Cx C/ 09 X 1,5l Promo</v>
      </c>
      <c r="F365" cm="1">
        <f t="array" ref="F365">INDEX('Linha 07'!$C$3:$ZZ$3,C365)</f>
        <v>20150007</v>
      </c>
      <c r="G365" t="str" cm="1">
        <f t="array" ref="G365">INDEX('Linha 07'!$C$2:$ZZ$2,C365)</f>
        <v>Amac. Conc. Aquafast Azul Harmonia Cx/ 12 X 1l</v>
      </c>
      <c r="H365" s="5" cm="1">
        <f t="array" ref="H365">INDEX('Linha 07'!$C$4:$ZZ$1000,B365,C365)</f>
        <v>0</v>
      </c>
    </row>
    <row r="366" spans="1:8" x14ac:dyDescent="0.25">
      <c r="A366">
        <v>364</v>
      </c>
      <c r="B366">
        <f t="shared" si="10"/>
        <v>19</v>
      </c>
      <c r="C366">
        <f t="shared" si="11"/>
        <v>4</v>
      </c>
      <c r="D366" cm="1">
        <f t="array" ref="D366">INDEX('Linha 07'!$A$4:$A$1000,B366)</f>
        <v>20150069</v>
      </c>
      <c r="E366" t="str" cm="1">
        <f t="array" ref="E366">INDEX('Linha 07'!$B$4:$B$1000,B366)</f>
        <v>Amac. Conc. Aquafast Vermelho Seducao Cx C/ 09 X 1,5l Promo</v>
      </c>
      <c r="F366" cm="1">
        <f t="array" ref="F366">INDEX('Linha 07'!$C$3:$ZZ$3,C366)</f>
        <v>20150008</v>
      </c>
      <c r="G366" t="str" cm="1">
        <f t="array" ref="G366">INDEX('Linha 07'!$C$2:$ZZ$2,C366)</f>
        <v>Amac. Conc. Aquafast Rosa Romance Cx/ 12 X 1l</v>
      </c>
      <c r="H366" s="5" cm="1">
        <f t="array" ref="H366">INDEX('Linha 07'!$C$4:$ZZ$1000,B366,C366)</f>
        <v>0</v>
      </c>
    </row>
    <row r="367" spans="1:8" x14ac:dyDescent="0.25">
      <c r="A367">
        <v>365</v>
      </c>
      <c r="B367">
        <f t="shared" si="10"/>
        <v>19</v>
      </c>
      <c r="C367">
        <f t="shared" si="11"/>
        <v>5</v>
      </c>
      <c r="D367" cm="1">
        <f t="array" ref="D367">INDEX('Linha 07'!$A$4:$A$1000,B367)</f>
        <v>20150069</v>
      </c>
      <c r="E367" t="str" cm="1">
        <f t="array" ref="E367">INDEX('Linha 07'!$B$4:$B$1000,B367)</f>
        <v>Amac. Conc. Aquafast Vermelho Seducao Cx C/ 09 X 1,5l Promo</v>
      </c>
      <c r="F367" cm="1">
        <f t="array" ref="F367">INDEX('Linha 07'!$C$3:$ZZ$3,C367)</f>
        <v>20150011</v>
      </c>
      <c r="G367" t="str" cm="1">
        <f t="array" ref="G367">INDEX('Linha 07'!$C$2:$ZZ$2,C367)</f>
        <v>Amac. Conc. Aquafast Vermelho Seducao Cx/ 12 X 1l</v>
      </c>
      <c r="H367" s="5" cm="1">
        <f t="array" ref="H367">INDEX('Linha 07'!$C$4:$ZZ$1000,B367,C367)</f>
        <v>0</v>
      </c>
    </row>
    <row r="368" spans="1:8" x14ac:dyDescent="0.25">
      <c r="A368">
        <v>366</v>
      </c>
      <c r="B368">
        <f t="shared" si="10"/>
        <v>19</v>
      </c>
      <c r="C368">
        <f t="shared" si="11"/>
        <v>6</v>
      </c>
      <c r="D368" cm="1">
        <f t="array" ref="D368">INDEX('Linha 07'!$A$4:$A$1000,B368)</f>
        <v>20150069</v>
      </c>
      <c r="E368" t="str" cm="1">
        <f t="array" ref="E368">INDEX('Linha 07'!$B$4:$B$1000,B368)</f>
        <v>Amac. Conc. Aquafast Vermelho Seducao Cx C/ 09 X 1,5l Promo</v>
      </c>
      <c r="F368" cm="1">
        <f t="array" ref="F368">INDEX('Linha 07'!$C$3:$ZZ$3,C368)</f>
        <v>20150013</v>
      </c>
      <c r="G368" t="str" cm="1">
        <f t="array" ref="G368">INDEX('Linha 07'!$C$2:$ZZ$2,C368)</f>
        <v>Amac. Conc. Aquafast Branco Ternura Cx/12 X 500ml</v>
      </c>
      <c r="H368" s="5" cm="1">
        <f t="array" ref="H368">INDEX('Linha 07'!$C$4:$ZZ$1000,B368,C368)</f>
        <v>0</v>
      </c>
    </row>
    <row r="369" spans="1:8" x14ac:dyDescent="0.25">
      <c r="A369">
        <v>367</v>
      </c>
      <c r="B369">
        <f t="shared" si="10"/>
        <v>19</v>
      </c>
      <c r="C369">
        <f t="shared" si="11"/>
        <v>7</v>
      </c>
      <c r="D369" cm="1">
        <f t="array" ref="D369">INDEX('Linha 07'!$A$4:$A$1000,B369)</f>
        <v>20150069</v>
      </c>
      <c r="E369" t="str" cm="1">
        <f t="array" ref="E369">INDEX('Linha 07'!$B$4:$B$1000,B369)</f>
        <v>Amac. Conc. Aquafast Vermelho Seducao Cx C/ 09 X 1,5l Promo</v>
      </c>
      <c r="F369" cm="1">
        <f t="array" ref="F369">INDEX('Linha 07'!$C$3:$ZZ$3,C369)</f>
        <v>20150014</v>
      </c>
      <c r="G369" t="str" cm="1">
        <f t="array" ref="G369">INDEX('Linha 07'!$C$2:$ZZ$2,C369)</f>
        <v>Amac. Conc. Aquafast Branco Ternura Cx/ 12 X 1l</v>
      </c>
      <c r="H369" s="5" cm="1">
        <f t="array" ref="H369">INDEX('Linha 07'!$C$4:$ZZ$1000,B369,C369)</f>
        <v>0</v>
      </c>
    </row>
    <row r="370" spans="1:8" x14ac:dyDescent="0.25">
      <c r="A370">
        <v>368</v>
      </c>
      <c r="B370">
        <f t="shared" si="10"/>
        <v>19</v>
      </c>
      <c r="C370">
        <f t="shared" si="11"/>
        <v>8</v>
      </c>
      <c r="D370" cm="1">
        <f t="array" ref="D370">INDEX('Linha 07'!$A$4:$A$1000,B370)</f>
        <v>20150069</v>
      </c>
      <c r="E370" t="str" cm="1">
        <f t="array" ref="E370">INDEX('Linha 07'!$B$4:$B$1000,B370)</f>
        <v>Amac. Conc. Aquafast Vermelho Seducao Cx C/ 09 X 1,5l Promo</v>
      </c>
      <c r="F370" cm="1">
        <f t="array" ref="F370">INDEX('Linha 07'!$C$3:$ZZ$3,C370)</f>
        <v>20150021</v>
      </c>
      <c r="G370" t="str" cm="1">
        <f t="array" ref="G370">INDEX('Linha 07'!$C$2:$ZZ$2,C370)</f>
        <v>Amac. Conc. Aquafast Azul Harmonia Cx/ 09 X 1,5l</v>
      </c>
      <c r="H370" s="5" cm="1">
        <f t="array" ref="H370">INDEX('Linha 07'!$C$4:$ZZ$1000,B370,C370)</f>
        <v>0</v>
      </c>
    </row>
    <row r="371" spans="1:8" x14ac:dyDescent="0.25">
      <c r="A371">
        <v>369</v>
      </c>
      <c r="B371">
        <f t="shared" si="10"/>
        <v>19</v>
      </c>
      <c r="C371">
        <f t="shared" si="11"/>
        <v>9</v>
      </c>
      <c r="D371" cm="1">
        <f t="array" ref="D371">INDEX('Linha 07'!$A$4:$A$1000,B371)</f>
        <v>20150069</v>
      </c>
      <c r="E371" t="str" cm="1">
        <f t="array" ref="E371">INDEX('Linha 07'!$B$4:$B$1000,B371)</f>
        <v>Amac. Conc. Aquafast Vermelho Seducao Cx C/ 09 X 1,5l Promo</v>
      </c>
      <c r="F371" cm="1">
        <f t="array" ref="F371">INDEX('Linha 07'!$C$3:$ZZ$3,C371)</f>
        <v>20150022</v>
      </c>
      <c r="G371" t="str" cm="1">
        <f t="array" ref="G371">INDEX('Linha 07'!$C$2:$ZZ$2,C371)</f>
        <v>Amac. Conc. Aquafast Rosa Romance Cx C/ 09 X 1,5l</v>
      </c>
      <c r="H371" s="5" cm="1">
        <f t="array" ref="H371">INDEX('Linha 07'!$C$4:$ZZ$1000,B371,C371)</f>
        <v>0</v>
      </c>
    </row>
    <row r="372" spans="1:8" x14ac:dyDescent="0.25">
      <c r="A372">
        <v>370</v>
      </c>
      <c r="B372">
        <f t="shared" si="10"/>
        <v>19</v>
      </c>
      <c r="C372">
        <f t="shared" si="11"/>
        <v>10</v>
      </c>
      <c r="D372" cm="1">
        <f t="array" ref="D372">INDEX('Linha 07'!$A$4:$A$1000,B372)</f>
        <v>20150069</v>
      </c>
      <c r="E372" t="str" cm="1">
        <f t="array" ref="E372">INDEX('Linha 07'!$B$4:$B$1000,B372)</f>
        <v>Amac. Conc. Aquafast Vermelho Seducao Cx C/ 09 X 1,5l Promo</v>
      </c>
      <c r="F372" cm="1">
        <f t="array" ref="F372">INDEX('Linha 07'!$C$3:$ZZ$3,C372)</f>
        <v>20150023</v>
      </c>
      <c r="G372" t="str" cm="1">
        <f t="array" ref="G372">INDEX('Linha 07'!$C$2:$ZZ$2,C372)</f>
        <v>Amac. Conc. Aquafast Branco Ternura Cx C/ 09 X 1,5l</v>
      </c>
      <c r="H372" s="5" cm="1">
        <f t="array" ref="H372">INDEX('Linha 07'!$C$4:$ZZ$1000,B372,C372)</f>
        <v>0</v>
      </c>
    </row>
    <row r="373" spans="1:8" x14ac:dyDescent="0.25">
      <c r="A373">
        <v>371</v>
      </c>
      <c r="B373">
        <f t="shared" si="10"/>
        <v>19</v>
      </c>
      <c r="C373">
        <f t="shared" si="11"/>
        <v>11</v>
      </c>
      <c r="D373" cm="1">
        <f t="array" ref="D373">INDEX('Linha 07'!$A$4:$A$1000,B373)</f>
        <v>20150069</v>
      </c>
      <c r="E373" t="str" cm="1">
        <f t="array" ref="E373">INDEX('Linha 07'!$B$4:$B$1000,B373)</f>
        <v>Amac. Conc. Aquafast Vermelho Seducao Cx C/ 09 X 1,5l Promo</v>
      </c>
      <c r="F373" cm="1">
        <f t="array" ref="F373">INDEX('Linha 07'!$C$3:$ZZ$3,C373)</f>
        <v>20150024</v>
      </c>
      <c r="G373" t="str" cm="1">
        <f t="array" ref="G373">INDEX('Linha 07'!$C$2:$ZZ$2,C373)</f>
        <v>Amac. Conc. Aquafast Vermelho Seduc Cx C/ 09 X 1,5l</v>
      </c>
      <c r="H373" s="5" cm="1">
        <f t="array" ref="H373">INDEX('Linha 07'!$C$4:$ZZ$1000,B373,C373)</f>
        <v>0</v>
      </c>
    </row>
    <row r="374" spans="1:8" x14ac:dyDescent="0.25">
      <c r="A374">
        <v>372</v>
      </c>
      <c r="B374">
        <f t="shared" si="10"/>
        <v>19</v>
      </c>
      <c r="C374">
        <f t="shared" si="11"/>
        <v>12</v>
      </c>
      <c r="D374" cm="1">
        <f t="array" ref="D374">INDEX('Linha 07'!$A$4:$A$1000,B374)</f>
        <v>20150069</v>
      </c>
      <c r="E374" t="str" cm="1">
        <f t="array" ref="E374">INDEX('Linha 07'!$B$4:$B$1000,B374)</f>
        <v>Amac. Conc. Aquafast Vermelho Seducao Cx C/ 09 X 1,5l Promo</v>
      </c>
      <c r="F374" cm="1">
        <f t="array" ref="F374">INDEX('Linha 07'!$C$3:$ZZ$3,C374)</f>
        <v>20150035</v>
      </c>
      <c r="G374" t="str" cm="1">
        <f t="array" ref="G374">INDEX('Linha 07'!$C$2:$ZZ$2,C374)</f>
        <v>Amac. Conc. Aquafast Lilas Misterio Cx/ 12 X 1l</v>
      </c>
      <c r="H374" s="5" cm="1">
        <f t="array" ref="H374">INDEX('Linha 07'!$C$4:$ZZ$1000,B374,C374)</f>
        <v>0</v>
      </c>
    </row>
    <row r="375" spans="1:8" x14ac:dyDescent="0.25">
      <c r="A375">
        <v>373</v>
      </c>
      <c r="B375">
        <f t="shared" si="10"/>
        <v>19</v>
      </c>
      <c r="C375">
        <f t="shared" si="11"/>
        <v>13</v>
      </c>
      <c r="D375" cm="1">
        <f t="array" ref="D375">INDEX('Linha 07'!$A$4:$A$1000,B375)</f>
        <v>20150069</v>
      </c>
      <c r="E375" t="str" cm="1">
        <f t="array" ref="E375">INDEX('Linha 07'!$B$4:$B$1000,B375)</f>
        <v>Amac. Conc. Aquafast Vermelho Seducao Cx C/ 09 X 1,5l Promo</v>
      </c>
      <c r="F375" cm="1">
        <f t="array" ref="F375">INDEX('Linha 07'!$C$3:$ZZ$3,C375)</f>
        <v>20150053</v>
      </c>
      <c r="G375" t="str" cm="1">
        <f t="array" ref="G375">INDEX('Linha 07'!$C$2:$ZZ$2,C375)</f>
        <v>Amac. Conc. Aquafast Lilas Misterio Cx C/ 09 X 1,5l</v>
      </c>
      <c r="H375" s="5" cm="1">
        <f t="array" ref="H375">INDEX('Linha 07'!$C$4:$ZZ$1000,B375,C375)</f>
        <v>0</v>
      </c>
    </row>
    <row r="376" spans="1:8" x14ac:dyDescent="0.25">
      <c r="A376">
        <v>374</v>
      </c>
      <c r="B376">
        <f t="shared" si="10"/>
        <v>19</v>
      </c>
      <c r="C376">
        <f t="shared" si="11"/>
        <v>14</v>
      </c>
      <c r="D376" cm="1">
        <f t="array" ref="D376">INDEX('Linha 07'!$A$4:$A$1000,B376)</f>
        <v>20150069</v>
      </c>
      <c r="E376" t="str" cm="1">
        <f t="array" ref="E376">INDEX('Linha 07'!$B$4:$B$1000,B376)</f>
        <v>Amac. Conc. Aquafast Vermelho Seducao Cx C/ 09 X 1,5l Promo</v>
      </c>
      <c r="F376" cm="1">
        <f t="array" ref="F376">INDEX('Linha 07'!$C$3:$ZZ$3,C376)</f>
        <v>20150055</v>
      </c>
      <c r="G376" t="str" cm="1">
        <f t="array" ref="G376">INDEX('Linha 07'!$C$2:$ZZ$2,C376)</f>
        <v>Intermed Pack Amac Conc Aquafast Branco Ternura Cx/12 X 1l</v>
      </c>
      <c r="H376" s="5" cm="1">
        <f t="array" ref="H376">INDEX('Linha 07'!$C$4:$ZZ$1000,B376,C376)</f>
        <v>0</v>
      </c>
    </row>
    <row r="377" spans="1:8" x14ac:dyDescent="0.25">
      <c r="A377">
        <v>375</v>
      </c>
      <c r="B377">
        <f t="shared" si="10"/>
        <v>19</v>
      </c>
      <c r="C377">
        <f t="shared" si="11"/>
        <v>15</v>
      </c>
      <c r="D377" cm="1">
        <f t="array" ref="D377">INDEX('Linha 07'!$A$4:$A$1000,B377)</f>
        <v>20150069</v>
      </c>
      <c r="E377" t="str" cm="1">
        <f t="array" ref="E377">INDEX('Linha 07'!$B$4:$B$1000,B377)</f>
        <v>Amac. Conc. Aquafast Vermelho Seducao Cx C/ 09 X 1,5l Promo</v>
      </c>
      <c r="F377" cm="1">
        <f t="array" ref="F377">INDEX('Linha 07'!$C$3:$ZZ$3,C377)</f>
        <v>20150057</v>
      </c>
      <c r="G377" t="str" cm="1">
        <f t="array" ref="G377">INDEX('Linha 07'!$C$2:$ZZ$2,C377)</f>
        <v>Intermed Pack Amac Conc Aquafast Azul Harmonia Cx/12 X 1l</v>
      </c>
      <c r="H377" s="5" cm="1">
        <f t="array" ref="H377">INDEX('Linha 07'!$C$4:$ZZ$1000,B377,C377)</f>
        <v>0</v>
      </c>
    </row>
    <row r="378" spans="1:8" x14ac:dyDescent="0.25">
      <c r="A378">
        <v>376</v>
      </c>
      <c r="B378">
        <f t="shared" si="10"/>
        <v>19</v>
      </c>
      <c r="C378">
        <f t="shared" si="11"/>
        <v>16</v>
      </c>
      <c r="D378" cm="1">
        <f t="array" ref="D378">INDEX('Linha 07'!$A$4:$A$1000,B378)</f>
        <v>20150069</v>
      </c>
      <c r="E378" t="str" cm="1">
        <f t="array" ref="E378">INDEX('Linha 07'!$B$4:$B$1000,B378)</f>
        <v>Amac. Conc. Aquafast Vermelho Seducao Cx C/ 09 X 1,5l Promo</v>
      </c>
      <c r="F378" cm="1">
        <f t="array" ref="F378">INDEX('Linha 07'!$C$3:$ZZ$3,C378)</f>
        <v>20150058</v>
      </c>
      <c r="G378" t="str" cm="1">
        <f t="array" ref="G378">INDEX('Linha 07'!$C$2:$ZZ$2,C378)</f>
        <v>Amac. Conc. Aquafast Br. Ternura Cx C/ 09 X 1,5l Promocional</v>
      </c>
      <c r="H378" s="5" cm="1">
        <f t="array" ref="H378">INDEX('Linha 07'!$C$4:$ZZ$1000,B378,C378)</f>
        <v>0</v>
      </c>
    </row>
    <row r="379" spans="1:8" x14ac:dyDescent="0.25">
      <c r="A379">
        <v>377</v>
      </c>
      <c r="B379">
        <f t="shared" si="10"/>
        <v>19</v>
      </c>
      <c r="C379">
        <f t="shared" si="11"/>
        <v>17</v>
      </c>
      <c r="D379" cm="1">
        <f t="array" ref="D379">INDEX('Linha 07'!$A$4:$A$1000,B379)</f>
        <v>20150069</v>
      </c>
      <c r="E379" t="str" cm="1">
        <f t="array" ref="E379">INDEX('Linha 07'!$B$4:$B$1000,B379)</f>
        <v>Amac. Conc. Aquafast Vermelho Seducao Cx C/ 09 X 1,5l Promo</v>
      </c>
      <c r="F379" cm="1">
        <f t="array" ref="F379">INDEX('Linha 07'!$C$3:$ZZ$3,C379)</f>
        <v>20150059</v>
      </c>
      <c r="G379" t="str" cm="1">
        <f t="array" ref="G379">INDEX('Linha 07'!$C$2:$ZZ$2,C379)</f>
        <v>Amac. Conc. Aquafast Az. Harmonia Cxc/ 09 X 1,5l Promocional</v>
      </c>
      <c r="H379" s="5" cm="1">
        <f t="array" ref="H379">INDEX('Linha 07'!$C$4:$ZZ$1000,B379,C379)</f>
        <v>0</v>
      </c>
    </row>
    <row r="380" spans="1:8" x14ac:dyDescent="0.25">
      <c r="A380">
        <v>378</v>
      </c>
      <c r="B380">
        <f t="shared" si="10"/>
        <v>19</v>
      </c>
      <c r="C380">
        <f t="shared" si="11"/>
        <v>18</v>
      </c>
      <c r="D380" cm="1">
        <f t="array" ref="D380">INDEX('Linha 07'!$A$4:$A$1000,B380)</f>
        <v>20150069</v>
      </c>
      <c r="E380" t="str" cm="1">
        <f t="array" ref="E380">INDEX('Linha 07'!$B$4:$B$1000,B380)</f>
        <v>Amac. Conc. Aquafast Vermelho Seducao Cx C/ 09 X 1,5l Promo</v>
      </c>
      <c r="F380" cm="1">
        <f t="array" ref="F380">INDEX('Linha 07'!$C$3:$ZZ$3,C380)</f>
        <v>20150068</v>
      </c>
      <c r="G380" t="str" cm="1">
        <f t="array" ref="G380">INDEX('Linha 07'!$C$2:$ZZ$2,C380)</f>
        <v>Amac. Conc. Aquafast Lilas Misterio Cx C/ 09 X 1,5l Promo</v>
      </c>
      <c r="H380" s="5" cm="1">
        <f t="array" ref="H380">INDEX('Linha 07'!$C$4:$ZZ$1000,B380,C380)</f>
        <v>0</v>
      </c>
    </row>
    <row r="381" spans="1:8" x14ac:dyDescent="0.25">
      <c r="A381">
        <v>379</v>
      </c>
      <c r="B381">
        <f t="shared" si="10"/>
        <v>19</v>
      </c>
      <c r="C381">
        <f t="shared" si="11"/>
        <v>19</v>
      </c>
      <c r="D381" cm="1">
        <f t="array" ref="D381">INDEX('Linha 07'!$A$4:$A$1000,B381)</f>
        <v>20150069</v>
      </c>
      <c r="E381" t="str" cm="1">
        <f t="array" ref="E381">INDEX('Linha 07'!$B$4:$B$1000,B381)</f>
        <v>Amac. Conc. Aquafast Vermelho Seducao Cx C/ 09 X 1,5l Promo</v>
      </c>
      <c r="F381" cm="1">
        <f t="array" ref="F381">INDEX('Linha 07'!$C$3:$ZZ$3,C381)</f>
        <v>20150069</v>
      </c>
      <c r="G381" t="str" cm="1">
        <f t="array" ref="G381">INDEX('Linha 07'!$C$2:$ZZ$2,C381)</f>
        <v>Amac. Conc. Aquafast Vermelho Seducao Cx C/ 09 X 1,5l Promo</v>
      </c>
      <c r="H381" s="5" cm="1">
        <f t="array" ref="H381">INDEX('Linha 07'!$C$4:$ZZ$1000,B381,C381)</f>
        <v>0</v>
      </c>
    </row>
    <row r="382" spans="1:8" x14ac:dyDescent="0.25">
      <c r="A382">
        <v>380</v>
      </c>
      <c r="B382">
        <f t="shared" si="10"/>
        <v>19</v>
      </c>
      <c r="C382">
        <f t="shared" si="11"/>
        <v>20</v>
      </c>
      <c r="D382" cm="1">
        <f t="array" ref="D382">INDEX('Linha 07'!$A$4:$A$1000,B382)</f>
        <v>20150069</v>
      </c>
      <c r="E382" t="str" cm="1">
        <f t="array" ref="E382">INDEX('Linha 07'!$B$4:$B$1000,B382)</f>
        <v>Amac. Conc. Aquafast Vermelho Seducao Cx C/ 09 X 1,5l Promo</v>
      </c>
      <c r="F382" cm="1">
        <f t="array" ref="F382">INDEX('Linha 07'!$C$3:$ZZ$3,C382)</f>
        <v>20150070</v>
      </c>
      <c r="G382" t="str" cm="1">
        <f t="array" ref="G382">INDEX('Linha 07'!$C$2:$ZZ$2,C382)</f>
        <v>Amac. Conc. Aquafast Rosa Romance Cx C/ 09 X 1,5l Promo</v>
      </c>
      <c r="H382" s="5" cm="1">
        <f t="array" ref="H382">INDEX('Linha 07'!$C$4:$ZZ$1000,B382,C382)</f>
        <v>0</v>
      </c>
    </row>
    <row r="383" spans="1:8" x14ac:dyDescent="0.25">
      <c r="A383">
        <v>381</v>
      </c>
      <c r="B383">
        <f t="shared" si="10"/>
        <v>20</v>
      </c>
      <c r="C383">
        <f t="shared" si="11"/>
        <v>1</v>
      </c>
      <c r="D383" cm="1">
        <f t="array" ref="D383">INDEX('Linha 07'!$A$4:$A$1000,B383)</f>
        <v>20150070</v>
      </c>
      <c r="E383" t="str" cm="1">
        <f t="array" ref="E383">INDEX('Linha 07'!$B$4:$B$1000,B383)</f>
        <v>Amac. Conc. Aquafast Rosa Romance Cx C/ 09 X 1,5l Promo</v>
      </c>
      <c r="F383" cm="1">
        <f t="array" ref="F383">INDEX('Linha 07'!$C$3:$ZZ$3,C383)</f>
        <v>20150001</v>
      </c>
      <c r="G383" t="str" cm="1">
        <f t="array" ref="G383">INDEX('Linha 07'!$C$2:$ZZ$2,C383)</f>
        <v>Amac. Conc. Aquafast Azul Harmonia Cx/12 X 500ml</v>
      </c>
      <c r="H383" s="5" cm="1">
        <f t="array" ref="H383">INDEX('Linha 07'!$C$4:$ZZ$1000,B383,C383)</f>
        <v>0</v>
      </c>
    </row>
    <row r="384" spans="1:8" x14ac:dyDescent="0.25">
      <c r="A384">
        <v>382</v>
      </c>
      <c r="B384">
        <f t="shared" si="10"/>
        <v>20</v>
      </c>
      <c r="C384">
        <f t="shared" si="11"/>
        <v>2</v>
      </c>
      <c r="D384" cm="1">
        <f t="array" ref="D384">INDEX('Linha 07'!$A$4:$A$1000,B384)</f>
        <v>20150070</v>
      </c>
      <c r="E384" t="str" cm="1">
        <f t="array" ref="E384">INDEX('Linha 07'!$B$4:$B$1000,B384)</f>
        <v>Amac. Conc. Aquafast Rosa Romance Cx C/ 09 X 1,5l Promo</v>
      </c>
      <c r="F384" cm="1">
        <f t="array" ref="F384">INDEX('Linha 07'!$C$3:$ZZ$3,C384)</f>
        <v>20150005</v>
      </c>
      <c r="G384" t="str" cm="1">
        <f t="array" ref="G384">INDEX('Linha 07'!$C$2:$ZZ$2,C384)</f>
        <v>Amac. Conc. Aquafast Vermelho Seducao Cx/12 X 500ml</v>
      </c>
      <c r="H384" s="5" cm="1">
        <f t="array" ref="H384">INDEX('Linha 07'!$C$4:$ZZ$1000,B384,C384)</f>
        <v>0</v>
      </c>
    </row>
    <row r="385" spans="1:8" x14ac:dyDescent="0.25">
      <c r="A385">
        <v>383</v>
      </c>
      <c r="B385">
        <f t="shared" si="10"/>
        <v>20</v>
      </c>
      <c r="C385">
        <f t="shared" si="11"/>
        <v>3</v>
      </c>
      <c r="D385" cm="1">
        <f t="array" ref="D385">INDEX('Linha 07'!$A$4:$A$1000,B385)</f>
        <v>20150070</v>
      </c>
      <c r="E385" t="str" cm="1">
        <f t="array" ref="E385">INDEX('Linha 07'!$B$4:$B$1000,B385)</f>
        <v>Amac. Conc. Aquafast Rosa Romance Cx C/ 09 X 1,5l Promo</v>
      </c>
      <c r="F385" cm="1">
        <f t="array" ref="F385">INDEX('Linha 07'!$C$3:$ZZ$3,C385)</f>
        <v>20150007</v>
      </c>
      <c r="G385" t="str" cm="1">
        <f t="array" ref="G385">INDEX('Linha 07'!$C$2:$ZZ$2,C385)</f>
        <v>Amac. Conc. Aquafast Azul Harmonia Cx/ 12 X 1l</v>
      </c>
      <c r="H385" s="5" cm="1">
        <f t="array" ref="H385">INDEX('Linha 07'!$C$4:$ZZ$1000,B385,C385)</f>
        <v>0</v>
      </c>
    </row>
    <row r="386" spans="1:8" x14ac:dyDescent="0.25">
      <c r="A386">
        <v>384</v>
      </c>
      <c r="B386">
        <f t="shared" si="10"/>
        <v>20</v>
      </c>
      <c r="C386">
        <f t="shared" si="11"/>
        <v>4</v>
      </c>
      <c r="D386" cm="1">
        <f t="array" ref="D386">INDEX('Linha 07'!$A$4:$A$1000,B386)</f>
        <v>20150070</v>
      </c>
      <c r="E386" t="str" cm="1">
        <f t="array" ref="E386">INDEX('Linha 07'!$B$4:$B$1000,B386)</f>
        <v>Amac. Conc. Aquafast Rosa Romance Cx C/ 09 X 1,5l Promo</v>
      </c>
      <c r="F386" cm="1">
        <f t="array" ref="F386">INDEX('Linha 07'!$C$3:$ZZ$3,C386)</f>
        <v>20150008</v>
      </c>
      <c r="G386" t="str" cm="1">
        <f t="array" ref="G386">INDEX('Linha 07'!$C$2:$ZZ$2,C386)</f>
        <v>Amac. Conc. Aquafast Rosa Romance Cx/ 12 X 1l</v>
      </c>
      <c r="H386" s="5" cm="1">
        <f t="array" ref="H386">INDEX('Linha 07'!$C$4:$ZZ$1000,B386,C386)</f>
        <v>0</v>
      </c>
    </row>
    <row r="387" spans="1:8" x14ac:dyDescent="0.25">
      <c r="A387">
        <v>385</v>
      </c>
      <c r="B387">
        <f t="shared" si="10"/>
        <v>20</v>
      </c>
      <c r="C387">
        <f t="shared" si="11"/>
        <v>5</v>
      </c>
      <c r="D387" cm="1">
        <f t="array" ref="D387">INDEX('Linha 07'!$A$4:$A$1000,B387)</f>
        <v>20150070</v>
      </c>
      <c r="E387" t="str" cm="1">
        <f t="array" ref="E387">INDEX('Linha 07'!$B$4:$B$1000,B387)</f>
        <v>Amac. Conc. Aquafast Rosa Romance Cx C/ 09 X 1,5l Promo</v>
      </c>
      <c r="F387" cm="1">
        <f t="array" ref="F387">INDEX('Linha 07'!$C$3:$ZZ$3,C387)</f>
        <v>20150011</v>
      </c>
      <c r="G387" t="str" cm="1">
        <f t="array" ref="G387">INDEX('Linha 07'!$C$2:$ZZ$2,C387)</f>
        <v>Amac. Conc. Aquafast Vermelho Seducao Cx/ 12 X 1l</v>
      </c>
      <c r="H387" s="5" cm="1">
        <f t="array" ref="H387">INDEX('Linha 07'!$C$4:$ZZ$1000,B387,C387)</f>
        <v>0</v>
      </c>
    </row>
    <row r="388" spans="1:8" x14ac:dyDescent="0.25">
      <c r="A388">
        <v>386</v>
      </c>
      <c r="B388">
        <f t="shared" ref="B388:B402" si="12">INT((A388-1)/$B$1)+1</f>
        <v>20</v>
      </c>
      <c r="C388">
        <f t="shared" ref="C388:C402" si="13">MOD(A388-1,$B$1)+1</f>
        <v>6</v>
      </c>
      <c r="D388" cm="1">
        <f t="array" ref="D388">INDEX('Linha 07'!$A$4:$A$1000,B388)</f>
        <v>20150070</v>
      </c>
      <c r="E388" t="str" cm="1">
        <f t="array" ref="E388">INDEX('Linha 07'!$B$4:$B$1000,B388)</f>
        <v>Amac. Conc. Aquafast Rosa Romance Cx C/ 09 X 1,5l Promo</v>
      </c>
      <c r="F388" cm="1">
        <f t="array" ref="F388">INDEX('Linha 07'!$C$3:$ZZ$3,C388)</f>
        <v>20150013</v>
      </c>
      <c r="G388" t="str" cm="1">
        <f t="array" ref="G388">INDEX('Linha 07'!$C$2:$ZZ$2,C388)</f>
        <v>Amac. Conc. Aquafast Branco Ternura Cx/12 X 500ml</v>
      </c>
      <c r="H388" s="5" cm="1">
        <f t="array" ref="H388">INDEX('Linha 07'!$C$4:$ZZ$1000,B388,C388)</f>
        <v>0</v>
      </c>
    </row>
    <row r="389" spans="1:8" x14ac:dyDescent="0.25">
      <c r="A389">
        <v>387</v>
      </c>
      <c r="B389">
        <f t="shared" si="12"/>
        <v>20</v>
      </c>
      <c r="C389">
        <f t="shared" si="13"/>
        <v>7</v>
      </c>
      <c r="D389" cm="1">
        <f t="array" ref="D389">INDEX('Linha 07'!$A$4:$A$1000,B389)</f>
        <v>20150070</v>
      </c>
      <c r="E389" t="str" cm="1">
        <f t="array" ref="E389">INDEX('Linha 07'!$B$4:$B$1000,B389)</f>
        <v>Amac. Conc. Aquafast Rosa Romance Cx C/ 09 X 1,5l Promo</v>
      </c>
      <c r="F389" cm="1">
        <f t="array" ref="F389">INDEX('Linha 07'!$C$3:$ZZ$3,C389)</f>
        <v>20150014</v>
      </c>
      <c r="G389" t="str" cm="1">
        <f t="array" ref="G389">INDEX('Linha 07'!$C$2:$ZZ$2,C389)</f>
        <v>Amac. Conc. Aquafast Branco Ternura Cx/ 12 X 1l</v>
      </c>
      <c r="H389" s="5" cm="1">
        <f t="array" ref="H389">INDEX('Linha 07'!$C$4:$ZZ$1000,B389,C389)</f>
        <v>0</v>
      </c>
    </row>
    <row r="390" spans="1:8" x14ac:dyDescent="0.25">
      <c r="A390">
        <v>388</v>
      </c>
      <c r="B390">
        <f t="shared" si="12"/>
        <v>20</v>
      </c>
      <c r="C390">
        <f t="shared" si="13"/>
        <v>8</v>
      </c>
      <c r="D390" cm="1">
        <f t="array" ref="D390">INDEX('Linha 07'!$A$4:$A$1000,B390)</f>
        <v>20150070</v>
      </c>
      <c r="E390" t="str" cm="1">
        <f t="array" ref="E390">INDEX('Linha 07'!$B$4:$B$1000,B390)</f>
        <v>Amac. Conc. Aquafast Rosa Romance Cx C/ 09 X 1,5l Promo</v>
      </c>
      <c r="F390" cm="1">
        <f t="array" ref="F390">INDEX('Linha 07'!$C$3:$ZZ$3,C390)</f>
        <v>20150021</v>
      </c>
      <c r="G390" t="str" cm="1">
        <f t="array" ref="G390">INDEX('Linha 07'!$C$2:$ZZ$2,C390)</f>
        <v>Amac. Conc. Aquafast Azul Harmonia Cx/ 09 X 1,5l</v>
      </c>
      <c r="H390" s="5" cm="1">
        <f t="array" ref="H390">INDEX('Linha 07'!$C$4:$ZZ$1000,B390,C390)</f>
        <v>0</v>
      </c>
    </row>
    <row r="391" spans="1:8" x14ac:dyDescent="0.25">
      <c r="A391">
        <v>389</v>
      </c>
      <c r="B391">
        <f t="shared" si="12"/>
        <v>20</v>
      </c>
      <c r="C391">
        <f t="shared" si="13"/>
        <v>9</v>
      </c>
      <c r="D391" cm="1">
        <f t="array" ref="D391">INDEX('Linha 07'!$A$4:$A$1000,B391)</f>
        <v>20150070</v>
      </c>
      <c r="E391" t="str" cm="1">
        <f t="array" ref="E391">INDEX('Linha 07'!$B$4:$B$1000,B391)</f>
        <v>Amac. Conc. Aquafast Rosa Romance Cx C/ 09 X 1,5l Promo</v>
      </c>
      <c r="F391" cm="1">
        <f t="array" ref="F391">INDEX('Linha 07'!$C$3:$ZZ$3,C391)</f>
        <v>20150022</v>
      </c>
      <c r="G391" t="str" cm="1">
        <f t="array" ref="G391">INDEX('Linha 07'!$C$2:$ZZ$2,C391)</f>
        <v>Amac. Conc. Aquafast Rosa Romance Cx C/ 09 X 1,5l</v>
      </c>
      <c r="H391" s="5" cm="1">
        <f t="array" ref="H391">INDEX('Linha 07'!$C$4:$ZZ$1000,B391,C391)</f>
        <v>0</v>
      </c>
    </row>
    <row r="392" spans="1:8" x14ac:dyDescent="0.25">
      <c r="A392">
        <v>390</v>
      </c>
      <c r="B392">
        <f t="shared" si="12"/>
        <v>20</v>
      </c>
      <c r="C392">
        <f t="shared" si="13"/>
        <v>10</v>
      </c>
      <c r="D392" cm="1">
        <f t="array" ref="D392">INDEX('Linha 07'!$A$4:$A$1000,B392)</f>
        <v>20150070</v>
      </c>
      <c r="E392" t="str" cm="1">
        <f t="array" ref="E392">INDEX('Linha 07'!$B$4:$B$1000,B392)</f>
        <v>Amac. Conc. Aquafast Rosa Romance Cx C/ 09 X 1,5l Promo</v>
      </c>
      <c r="F392" cm="1">
        <f t="array" ref="F392">INDEX('Linha 07'!$C$3:$ZZ$3,C392)</f>
        <v>20150023</v>
      </c>
      <c r="G392" t="str" cm="1">
        <f t="array" ref="G392">INDEX('Linha 07'!$C$2:$ZZ$2,C392)</f>
        <v>Amac. Conc. Aquafast Branco Ternura Cx C/ 09 X 1,5l</v>
      </c>
      <c r="H392" s="5" cm="1">
        <f t="array" ref="H392">INDEX('Linha 07'!$C$4:$ZZ$1000,B392,C392)</f>
        <v>0</v>
      </c>
    </row>
    <row r="393" spans="1:8" x14ac:dyDescent="0.25">
      <c r="A393">
        <v>391</v>
      </c>
      <c r="B393">
        <f t="shared" si="12"/>
        <v>20</v>
      </c>
      <c r="C393">
        <f t="shared" si="13"/>
        <v>11</v>
      </c>
      <c r="D393" cm="1">
        <f t="array" ref="D393">INDEX('Linha 07'!$A$4:$A$1000,B393)</f>
        <v>20150070</v>
      </c>
      <c r="E393" t="str" cm="1">
        <f t="array" ref="E393">INDEX('Linha 07'!$B$4:$B$1000,B393)</f>
        <v>Amac. Conc. Aquafast Rosa Romance Cx C/ 09 X 1,5l Promo</v>
      </c>
      <c r="F393" cm="1">
        <f t="array" ref="F393">INDEX('Linha 07'!$C$3:$ZZ$3,C393)</f>
        <v>20150024</v>
      </c>
      <c r="G393" t="str" cm="1">
        <f t="array" ref="G393">INDEX('Linha 07'!$C$2:$ZZ$2,C393)</f>
        <v>Amac. Conc. Aquafast Vermelho Seduc Cx C/ 09 X 1,5l</v>
      </c>
      <c r="H393" s="5" cm="1">
        <f t="array" ref="H393">INDEX('Linha 07'!$C$4:$ZZ$1000,B393,C393)</f>
        <v>0</v>
      </c>
    </row>
    <row r="394" spans="1:8" x14ac:dyDescent="0.25">
      <c r="A394">
        <v>392</v>
      </c>
      <c r="B394">
        <f t="shared" si="12"/>
        <v>20</v>
      </c>
      <c r="C394">
        <f t="shared" si="13"/>
        <v>12</v>
      </c>
      <c r="D394" cm="1">
        <f t="array" ref="D394">INDEX('Linha 07'!$A$4:$A$1000,B394)</f>
        <v>20150070</v>
      </c>
      <c r="E394" t="str" cm="1">
        <f t="array" ref="E394">INDEX('Linha 07'!$B$4:$B$1000,B394)</f>
        <v>Amac. Conc. Aquafast Rosa Romance Cx C/ 09 X 1,5l Promo</v>
      </c>
      <c r="F394" cm="1">
        <f t="array" ref="F394">INDEX('Linha 07'!$C$3:$ZZ$3,C394)</f>
        <v>20150035</v>
      </c>
      <c r="G394" t="str" cm="1">
        <f t="array" ref="G394">INDEX('Linha 07'!$C$2:$ZZ$2,C394)</f>
        <v>Amac. Conc. Aquafast Lilas Misterio Cx/ 12 X 1l</v>
      </c>
      <c r="H394" s="5" cm="1">
        <f t="array" ref="H394">INDEX('Linha 07'!$C$4:$ZZ$1000,B394,C394)</f>
        <v>0</v>
      </c>
    </row>
    <row r="395" spans="1:8" x14ac:dyDescent="0.25">
      <c r="A395">
        <v>393</v>
      </c>
      <c r="B395">
        <f t="shared" si="12"/>
        <v>20</v>
      </c>
      <c r="C395">
        <f t="shared" si="13"/>
        <v>13</v>
      </c>
      <c r="D395" cm="1">
        <f t="array" ref="D395">INDEX('Linha 07'!$A$4:$A$1000,B395)</f>
        <v>20150070</v>
      </c>
      <c r="E395" t="str" cm="1">
        <f t="array" ref="E395">INDEX('Linha 07'!$B$4:$B$1000,B395)</f>
        <v>Amac. Conc. Aquafast Rosa Romance Cx C/ 09 X 1,5l Promo</v>
      </c>
      <c r="F395" cm="1">
        <f t="array" ref="F395">INDEX('Linha 07'!$C$3:$ZZ$3,C395)</f>
        <v>20150053</v>
      </c>
      <c r="G395" t="str" cm="1">
        <f t="array" ref="G395">INDEX('Linha 07'!$C$2:$ZZ$2,C395)</f>
        <v>Amac. Conc. Aquafast Lilas Misterio Cx C/ 09 X 1,5l</v>
      </c>
      <c r="H395" s="5" cm="1">
        <f t="array" ref="H395">INDEX('Linha 07'!$C$4:$ZZ$1000,B395,C395)</f>
        <v>0</v>
      </c>
    </row>
    <row r="396" spans="1:8" x14ac:dyDescent="0.25">
      <c r="A396">
        <v>394</v>
      </c>
      <c r="B396">
        <f t="shared" si="12"/>
        <v>20</v>
      </c>
      <c r="C396">
        <f t="shared" si="13"/>
        <v>14</v>
      </c>
      <c r="D396" cm="1">
        <f t="array" ref="D396">INDEX('Linha 07'!$A$4:$A$1000,B396)</f>
        <v>20150070</v>
      </c>
      <c r="E396" t="str" cm="1">
        <f t="array" ref="E396">INDEX('Linha 07'!$B$4:$B$1000,B396)</f>
        <v>Amac. Conc. Aquafast Rosa Romance Cx C/ 09 X 1,5l Promo</v>
      </c>
      <c r="F396" cm="1">
        <f t="array" ref="F396">INDEX('Linha 07'!$C$3:$ZZ$3,C396)</f>
        <v>20150055</v>
      </c>
      <c r="G396" t="str" cm="1">
        <f t="array" ref="G396">INDEX('Linha 07'!$C$2:$ZZ$2,C396)</f>
        <v>Intermed Pack Amac Conc Aquafast Branco Ternura Cx/12 X 1l</v>
      </c>
      <c r="H396" s="5" cm="1">
        <f t="array" ref="H396">INDEX('Linha 07'!$C$4:$ZZ$1000,B396,C396)</f>
        <v>0</v>
      </c>
    </row>
    <row r="397" spans="1:8" x14ac:dyDescent="0.25">
      <c r="A397">
        <v>395</v>
      </c>
      <c r="B397">
        <f t="shared" si="12"/>
        <v>20</v>
      </c>
      <c r="C397">
        <f t="shared" si="13"/>
        <v>15</v>
      </c>
      <c r="D397" cm="1">
        <f t="array" ref="D397">INDEX('Linha 07'!$A$4:$A$1000,B397)</f>
        <v>20150070</v>
      </c>
      <c r="E397" t="str" cm="1">
        <f t="array" ref="E397">INDEX('Linha 07'!$B$4:$B$1000,B397)</f>
        <v>Amac. Conc. Aquafast Rosa Romance Cx C/ 09 X 1,5l Promo</v>
      </c>
      <c r="F397" cm="1">
        <f t="array" ref="F397">INDEX('Linha 07'!$C$3:$ZZ$3,C397)</f>
        <v>20150057</v>
      </c>
      <c r="G397" t="str" cm="1">
        <f t="array" ref="G397">INDEX('Linha 07'!$C$2:$ZZ$2,C397)</f>
        <v>Intermed Pack Amac Conc Aquafast Azul Harmonia Cx/12 X 1l</v>
      </c>
      <c r="H397" s="5" cm="1">
        <f t="array" ref="H397">INDEX('Linha 07'!$C$4:$ZZ$1000,B397,C397)</f>
        <v>0</v>
      </c>
    </row>
    <row r="398" spans="1:8" x14ac:dyDescent="0.25">
      <c r="A398">
        <v>396</v>
      </c>
      <c r="B398">
        <f t="shared" si="12"/>
        <v>20</v>
      </c>
      <c r="C398">
        <f t="shared" si="13"/>
        <v>16</v>
      </c>
      <c r="D398" cm="1">
        <f t="array" ref="D398">INDEX('Linha 07'!$A$4:$A$1000,B398)</f>
        <v>20150070</v>
      </c>
      <c r="E398" t="str" cm="1">
        <f t="array" ref="E398">INDEX('Linha 07'!$B$4:$B$1000,B398)</f>
        <v>Amac. Conc. Aquafast Rosa Romance Cx C/ 09 X 1,5l Promo</v>
      </c>
      <c r="F398" cm="1">
        <f t="array" ref="F398">INDEX('Linha 07'!$C$3:$ZZ$3,C398)</f>
        <v>20150058</v>
      </c>
      <c r="G398" t="str" cm="1">
        <f t="array" ref="G398">INDEX('Linha 07'!$C$2:$ZZ$2,C398)</f>
        <v>Amac. Conc. Aquafast Br. Ternura Cx C/ 09 X 1,5l Promocional</v>
      </c>
      <c r="H398" s="5" cm="1">
        <f t="array" ref="H398">INDEX('Linha 07'!$C$4:$ZZ$1000,B398,C398)</f>
        <v>0</v>
      </c>
    </row>
    <row r="399" spans="1:8" x14ac:dyDescent="0.25">
      <c r="A399">
        <v>397</v>
      </c>
      <c r="B399">
        <f t="shared" si="12"/>
        <v>20</v>
      </c>
      <c r="C399">
        <f t="shared" si="13"/>
        <v>17</v>
      </c>
      <c r="D399" cm="1">
        <f t="array" ref="D399">INDEX('Linha 07'!$A$4:$A$1000,B399)</f>
        <v>20150070</v>
      </c>
      <c r="E399" t="str" cm="1">
        <f t="array" ref="E399">INDEX('Linha 07'!$B$4:$B$1000,B399)</f>
        <v>Amac. Conc. Aquafast Rosa Romance Cx C/ 09 X 1,5l Promo</v>
      </c>
      <c r="F399" cm="1">
        <f t="array" ref="F399">INDEX('Linha 07'!$C$3:$ZZ$3,C399)</f>
        <v>20150059</v>
      </c>
      <c r="G399" t="str" cm="1">
        <f t="array" ref="G399">INDEX('Linha 07'!$C$2:$ZZ$2,C399)</f>
        <v>Amac. Conc. Aquafast Az. Harmonia Cxc/ 09 X 1,5l Promocional</v>
      </c>
      <c r="H399" s="5" cm="1">
        <f t="array" ref="H399">INDEX('Linha 07'!$C$4:$ZZ$1000,B399,C399)</f>
        <v>0</v>
      </c>
    </row>
    <row r="400" spans="1:8" x14ac:dyDescent="0.25">
      <c r="A400">
        <v>398</v>
      </c>
      <c r="B400">
        <f t="shared" si="12"/>
        <v>20</v>
      </c>
      <c r="C400">
        <f t="shared" si="13"/>
        <v>18</v>
      </c>
      <c r="D400" cm="1">
        <f t="array" ref="D400">INDEX('Linha 07'!$A$4:$A$1000,B400)</f>
        <v>20150070</v>
      </c>
      <c r="E400" t="str" cm="1">
        <f t="array" ref="E400">INDEX('Linha 07'!$B$4:$B$1000,B400)</f>
        <v>Amac. Conc. Aquafast Rosa Romance Cx C/ 09 X 1,5l Promo</v>
      </c>
      <c r="F400" cm="1">
        <f t="array" ref="F400">INDEX('Linha 07'!$C$3:$ZZ$3,C400)</f>
        <v>20150068</v>
      </c>
      <c r="G400" t="str" cm="1">
        <f t="array" ref="G400">INDEX('Linha 07'!$C$2:$ZZ$2,C400)</f>
        <v>Amac. Conc. Aquafast Lilas Misterio Cx C/ 09 X 1,5l Promo</v>
      </c>
      <c r="H400" s="5" cm="1">
        <f t="array" ref="H400">INDEX('Linha 07'!$C$4:$ZZ$1000,B400,C400)</f>
        <v>0</v>
      </c>
    </row>
    <row r="401" spans="1:8" x14ac:dyDescent="0.25">
      <c r="A401">
        <v>399</v>
      </c>
      <c r="B401">
        <f t="shared" si="12"/>
        <v>20</v>
      </c>
      <c r="C401">
        <f t="shared" si="13"/>
        <v>19</v>
      </c>
      <c r="D401" cm="1">
        <f t="array" ref="D401">INDEX('Linha 07'!$A$4:$A$1000,B401)</f>
        <v>20150070</v>
      </c>
      <c r="E401" t="str" cm="1">
        <f t="array" ref="E401">INDEX('Linha 07'!$B$4:$B$1000,B401)</f>
        <v>Amac. Conc. Aquafast Rosa Romance Cx C/ 09 X 1,5l Promo</v>
      </c>
      <c r="F401" cm="1">
        <f t="array" ref="F401">INDEX('Linha 07'!$C$3:$ZZ$3,C401)</f>
        <v>20150069</v>
      </c>
      <c r="G401" t="str" cm="1">
        <f t="array" ref="G401">INDEX('Linha 07'!$C$2:$ZZ$2,C401)</f>
        <v>Amac. Conc. Aquafast Vermelho Seducao Cx C/ 09 X 1,5l Promo</v>
      </c>
      <c r="H401" s="5" cm="1">
        <f t="array" ref="H401">INDEX('Linha 07'!$C$4:$ZZ$1000,B401,C401)</f>
        <v>0</v>
      </c>
    </row>
    <row r="402" spans="1:8" x14ac:dyDescent="0.25">
      <c r="A402">
        <v>400</v>
      </c>
      <c r="B402">
        <f t="shared" si="12"/>
        <v>20</v>
      </c>
      <c r="C402">
        <f t="shared" si="13"/>
        <v>20</v>
      </c>
      <c r="D402" cm="1">
        <f t="array" ref="D402">INDEX('Linha 07'!$A$4:$A$1000,B402)</f>
        <v>20150070</v>
      </c>
      <c r="E402" t="str" cm="1">
        <f t="array" ref="E402">INDEX('Linha 07'!$B$4:$B$1000,B402)</f>
        <v>Amac. Conc. Aquafast Rosa Romance Cx C/ 09 X 1,5l Promo</v>
      </c>
      <c r="F402" cm="1">
        <f t="array" ref="F402">INDEX('Linha 07'!$C$3:$ZZ$3,C402)</f>
        <v>20150070</v>
      </c>
      <c r="G402" t="str" cm="1">
        <f t="array" ref="G402">INDEX('Linha 07'!$C$2:$ZZ$2,C402)</f>
        <v>Amac. Conc. Aquafast Rosa Romance Cx C/ 09 X 1,5l Promo</v>
      </c>
      <c r="H402" s="5" cm="1">
        <f t="array" ref="H402">INDEX('Linha 07'!$C$4:$ZZ$1000,B402,C402)</f>
        <v>0</v>
      </c>
    </row>
    <row r="403" spans="1:8" x14ac:dyDescent="0.25">
      <c r="H403" s="5"/>
    </row>
    <row r="404" spans="1:8" x14ac:dyDescent="0.25">
      <c r="H404" s="5"/>
    </row>
    <row r="405" spans="1:8" x14ac:dyDescent="0.25">
      <c r="H405" s="5"/>
    </row>
    <row r="406" spans="1:8" x14ac:dyDescent="0.25">
      <c r="H406" s="5"/>
    </row>
    <row r="407" spans="1:8" x14ac:dyDescent="0.25">
      <c r="H407" s="5"/>
    </row>
    <row r="408" spans="1:8" x14ac:dyDescent="0.25">
      <c r="H408" s="5"/>
    </row>
    <row r="409" spans="1:8" x14ac:dyDescent="0.25">
      <c r="H409" s="5"/>
    </row>
    <row r="410" spans="1:8" x14ac:dyDescent="0.25">
      <c r="H410" s="5"/>
    </row>
    <row r="411" spans="1:8" x14ac:dyDescent="0.25">
      <c r="H411" s="5"/>
    </row>
    <row r="412" spans="1:8" x14ac:dyDescent="0.25">
      <c r="H412" s="5"/>
    </row>
    <row r="413" spans="1:8" x14ac:dyDescent="0.25">
      <c r="H413" s="5"/>
    </row>
    <row r="414" spans="1:8" x14ac:dyDescent="0.25">
      <c r="H414" s="5"/>
    </row>
    <row r="415" spans="1:8" x14ac:dyDescent="0.25">
      <c r="H415" s="5"/>
    </row>
    <row r="416" spans="1:8" x14ac:dyDescent="0.25">
      <c r="H416" s="5"/>
    </row>
    <row r="417" spans="8:8" x14ac:dyDescent="0.25">
      <c r="H417" s="5"/>
    </row>
    <row r="418" spans="8:8" x14ac:dyDescent="0.25">
      <c r="H418" s="5"/>
    </row>
    <row r="419" spans="8:8" x14ac:dyDescent="0.25">
      <c r="H419" s="5"/>
    </row>
    <row r="420" spans="8:8" x14ac:dyDescent="0.25">
      <c r="H420" s="5"/>
    </row>
    <row r="421" spans="8:8" x14ac:dyDescent="0.25">
      <c r="H421" s="5"/>
    </row>
    <row r="422" spans="8:8" x14ac:dyDescent="0.25">
      <c r="H422" s="5"/>
    </row>
    <row r="423" spans="8:8" x14ac:dyDescent="0.25">
      <c r="H423" s="5"/>
    </row>
    <row r="424" spans="8:8" x14ac:dyDescent="0.25">
      <c r="H424" s="5"/>
    </row>
    <row r="425" spans="8:8" x14ac:dyDescent="0.25">
      <c r="H425" s="5"/>
    </row>
    <row r="426" spans="8:8" x14ac:dyDescent="0.25">
      <c r="H426" s="5"/>
    </row>
    <row r="427" spans="8:8" x14ac:dyDescent="0.25">
      <c r="H427" s="5"/>
    </row>
    <row r="428" spans="8:8" x14ac:dyDescent="0.25">
      <c r="H428" s="5"/>
    </row>
    <row r="429" spans="8:8" x14ac:dyDescent="0.25">
      <c r="H429" s="5"/>
    </row>
    <row r="430" spans="8:8" x14ac:dyDescent="0.25">
      <c r="H430" s="5"/>
    </row>
    <row r="431" spans="8:8" x14ac:dyDescent="0.25">
      <c r="H431" s="5"/>
    </row>
    <row r="432" spans="8:8" x14ac:dyDescent="0.25">
      <c r="H432" s="5"/>
    </row>
    <row r="433" spans="8:8" x14ac:dyDescent="0.25">
      <c r="H433" s="5"/>
    </row>
    <row r="434" spans="8:8" x14ac:dyDescent="0.25">
      <c r="H434" s="5"/>
    </row>
    <row r="435" spans="8:8" x14ac:dyDescent="0.25">
      <c r="H435" s="5"/>
    </row>
    <row r="436" spans="8:8" x14ac:dyDescent="0.25">
      <c r="H436" s="5"/>
    </row>
    <row r="437" spans="8:8" x14ac:dyDescent="0.25">
      <c r="H437" s="5"/>
    </row>
    <row r="438" spans="8:8" x14ac:dyDescent="0.25">
      <c r="H438" s="5"/>
    </row>
    <row r="439" spans="8:8" x14ac:dyDescent="0.25">
      <c r="H439" s="5"/>
    </row>
    <row r="440" spans="8:8" x14ac:dyDescent="0.25">
      <c r="H440" s="5"/>
    </row>
    <row r="441" spans="8:8" x14ac:dyDescent="0.25">
      <c r="H441" s="5"/>
    </row>
    <row r="442" spans="8:8" x14ac:dyDescent="0.25">
      <c r="H442" s="5"/>
    </row>
    <row r="443" spans="8:8" x14ac:dyDescent="0.25">
      <c r="H443" s="5"/>
    </row>
    <row r="444" spans="8:8" x14ac:dyDescent="0.25">
      <c r="H444" s="5"/>
    </row>
    <row r="445" spans="8:8" x14ac:dyDescent="0.25">
      <c r="H445" s="5"/>
    </row>
    <row r="446" spans="8:8" x14ac:dyDescent="0.25">
      <c r="H446" s="5"/>
    </row>
    <row r="447" spans="8:8" x14ac:dyDescent="0.25">
      <c r="H447" s="5"/>
    </row>
    <row r="448" spans="8:8" x14ac:dyDescent="0.25">
      <c r="H448" s="5"/>
    </row>
    <row r="449" spans="8:8" x14ac:dyDescent="0.25">
      <c r="H449" s="5"/>
    </row>
    <row r="450" spans="8:8" x14ac:dyDescent="0.25">
      <c r="H450" s="5"/>
    </row>
    <row r="451" spans="8:8" x14ac:dyDescent="0.25">
      <c r="H451" s="5"/>
    </row>
    <row r="452" spans="8:8" x14ac:dyDescent="0.25">
      <c r="H452" s="5"/>
    </row>
    <row r="453" spans="8:8" x14ac:dyDescent="0.25">
      <c r="H453" s="5"/>
    </row>
    <row r="454" spans="8:8" x14ac:dyDescent="0.25">
      <c r="H454" s="5"/>
    </row>
    <row r="455" spans="8:8" x14ac:dyDescent="0.25">
      <c r="H455" s="5"/>
    </row>
    <row r="456" spans="8:8" x14ac:dyDescent="0.25">
      <c r="H456" s="5"/>
    </row>
    <row r="457" spans="8:8" x14ac:dyDescent="0.25">
      <c r="H457" s="5"/>
    </row>
    <row r="458" spans="8:8" x14ac:dyDescent="0.25">
      <c r="H458" s="5"/>
    </row>
    <row r="459" spans="8:8" x14ac:dyDescent="0.25">
      <c r="H459" s="5"/>
    </row>
    <row r="460" spans="8:8" x14ac:dyDescent="0.25">
      <c r="H460" s="5"/>
    </row>
    <row r="461" spans="8:8" x14ac:dyDescent="0.25">
      <c r="H461" s="5"/>
    </row>
    <row r="462" spans="8:8" x14ac:dyDescent="0.25">
      <c r="H462" s="5"/>
    </row>
    <row r="463" spans="8:8" x14ac:dyDescent="0.25">
      <c r="H463" s="5"/>
    </row>
    <row r="464" spans="8:8" x14ac:dyDescent="0.25">
      <c r="H464" s="5"/>
    </row>
    <row r="465" spans="8:8" x14ac:dyDescent="0.25">
      <c r="H465" s="5"/>
    </row>
    <row r="466" spans="8:8" x14ac:dyDescent="0.25">
      <c r="H466" s="5"/>
    </row>
    <row r="467" spans="8:8" x14ac:dyDescent="0.25">
      <c r="H467" s="5"/>
    </row>
    <row r="468" spans="8:8" x14ac:dyDescent="0.25">
      <c r="H468" s="5"/>
    </row>
    <row r="469" spans="8:8" x14ac:dyDescent="0.25">
      <c r="H469" s="5"/>
    </row>
    <row r="470" spans="8:8" x14ac:dyDescent="0.25">
      <c r="H470" s="5"/>
    </row>
    <row r="471" spans="8:8" x14ac:dyDescent="0.25">
      <c r="H471" s="5"/>
    </row>
    <row r="472" spans="8:8" x14ac:dyDescent="0.25">
      <c r="H472" s="5"/>
    </row>
    <row r="473" spans="8:8" x14ac:dyDescent="0.25">
      <c r="H473" s="5"/>
    </row>
    <row r="474" spans="8:8" x14ac:dyDescent="0.25">
      <c r="H474" s="5"/>
    </row>
    <row r="475" spans="8:8" x14ac:dyDescent="0.25">
      <c r="H475" s="5"/>
    </row>
    <row r="476" spans="8:8" x14ac:dyDescent="0.25">
      <c r="H476" s="5"/>
    </row>
    <row r="477" spans="8:8" x14ac:dyDescent="0.25">
      <c r="H477" s="5"/>
    </row>
    <row r="478" spans="8:8" x14ac:dyDescent="0.25">
      <c r="H478" s="5"/>
    </row>
    <row r="479" spans="8:8" x14ac:dyDescent="0.25">
      <c r="H479" s="5"/>
    </row>
    <row r="480" spans="8:8" x14ac:dyDescent="0.25">
      <c r="H480" s="5"/>
    </row>
    <row r="481" spans="8:8" x14ac:dyDescent="0.25">
      <c r="H481" s="5"/>
    </row>
    <row r="482" spans="8:8" x14ac:dyDescent="0.25">
      <c r="H482" s="5"/>
    </row>
    <row r="483" spans="8:8" x14ac:dyDescent="0.25">
      <c r="H483" s="5"/>
    </row>
    <row r="484" spans="8:8" x14ac:dyDescent="0.25">
      <c r="H484" s="5"/>
    </row>
    <row r="485" spans="8:8" x14ac:dyDescent="0.25">
      <c r="H485" s="5"/>
    </row>
    <row r="486" spans="8:8" x14ac:dyDescent="0.25">
      <c r="H486" s="5"/>
    </row>
    <row r="487" spans="8:8" x14ac:dyDescent="0.25">
      <c r="H487" s="5"/>
    </row>
    <row r="488" spans="8:8" x14ac:dyDescen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      <c r="H491" s="5"/>
    </row>
    <row r="492" spans="8:8" x14ac:dyDescent="0.25">
      <c r="H492" s="5"/>
    </row>
    <row r="493" spans="8:8" x14ac:dyDescent="0.25">
      <c r="H493" s="5"/>
    </row>
    <row r="494" spans="8:8" x14ac:dyDescent="0.25">
      <c r="H494" s="5"/>
    </row>
    <row r="495" spans="8:8" x14ac:dyDescent="0.25">
      <c r="H495" s="5"/>
    </row>
    <row r="496" spans="8:8" x14ac:dyDescent="0.25">
      <c r="H496" s="5"/>
    </row>
    <row r="497" spans="8:8" x14ac:dyDescent="0.25">
      <c r="H497" s="5"/>
    </row>
    <row r="498" spans="8:8" x14ac:dyDescent="0.25">
      <c r="H498" s="5"/>
    </row>
    <row r="499" spans="8:8" x14ac:dyDescent="0.25">
      <c r="H499" s="5"/>
    </row>
    <row r="500" spans="8:8" x14ac:dyDescent="0.25">
      <c r="H500" s="5"/>
    </row>
    <row r="501" spans="8:8" x14ac:dyDescent="0.25">
      <c r="H501" s="5"/>
    </row>
    <row r="502" spans="8:8" x14ac:dyDescent="0.25">
      <c r="H502" s="5"/>
    </row>
    <row r="503" spans="8:8" x14ac:dyDescent="0.25">
      <c r="H503" s="5"/>
    </row>
    <row r="504" spans="8:8" x14ac:dyDescent="0.25">
      <c r="H504" s="5"/>
    </row>
    <row r="505" spans="8:8" x14ac:dyDescent="0.25">
      <c r="H505" s="5"/>
    </row>
    <row r="506" spans="8:8" x14ac:dyDescent="0.25">
      <c r="H506" s="5"/>
    </row>
    <row r="507" spans="8:8" x14ac:dyDescent="0.25">
      <c r="H507" s="5"/>
    </row>
    <row r="508" spans="8:8" x14ac:dyDescent="0.25">
      <c r="H508" s="5"/>
    </row>
    <row r="509" spans="8:8" x14ac:dyDescent="0.25">
      <c r="H509" s="5"/>
    </row>
    <row r="510" spans="8:8" x14ac:dyDescent="0.25">
      <c r="H510" s="5"/>
    </row>
    <row r="511" spans="8:8" x14ac:dyDescent="0.25">
      <c r="H511" s="5"/>
    </row>
    <row r="512" spans="8:8" x14ac:dyDescent="0.25">
      <c r="H512" s="5"/>
    </row>
    <row r="513" spans="8:8" x14ac:dyDescent="0.25">
      <c r="H513" s="5"/>
    </row>
    <row r="514" spans="8:8" x14ac:dyDescent="0.25">
      <c r="H514" s="5"/>
    </row>
    <row r="515" spans="8:8" x14ac:dyDescent="0.25">
      <c r="H515" s="5"/>
    </row>
    <row r="516" spans="8:8" x14ac:dyDescent="0.25">
      <c r="H516" s="5"/>
    </row>
    <row r="517" spans="8:8" x14ac:dyDescent="0.25">
      <c r="H517" s="5"/>
    </row>
    <row r="518" spans="8:8" x14ac:dyDescent="0.25">
      <c r="H518" s="5"/>
    </row>
    <row r="519" spans="8:8" x14ac:dyDescent="0.25">
      <c r="H519" s="5"/>
    </row>
    <row r="520" spans="8:8" x14ac:dyDescent="0.25">
      <c r="H520" s="5"/>
    </row>
    <row r="521" spans="8:8" x14ac:dyDescent="0.25">
      <c r="H521" s="5"/>
    </row>
    <row r="522" spans="8:8" x14ac:dyDescent="0.25">
      <c r="H522" s="5"/>
    </row>
    <row r="523" spans="8:8" x14ac:dyDescent="0.25">
      <c r="H523" s="5"/>
    </row>
    <row r="524" spans="8:8" x14ac:dyDescent="0.25">
      <c r="H524" s="5"/>
    </row>
    <row r="525" spans="8:8" x14ac:dyDescent="0.25">
      <c r="H525" s="5"/>
    </row>
    <row r="526" spans="8:8" x14ac:dyDescent="0.25">
      <c r="H526" s="5"/>
    </row>
    <row r="527" spans="8:8" x14ac:dyDescent="0.25">
      <c r="H527" s="5"/>
    </row>
    <row r="528" spans="8:8" x14ac:dyDescent="0.25">
      <c r="H528" s="5"/>
    </row>
    <row r="529" spans="8:8" x14ac:dyDescent="0.25">
      <c r="H529" s="5"/>
    </row>
    <row r="530" spans="8:8" x14ac:dyDescent="0.25">
      <c r="H530" s="5"/>
    </row>
    <row r="531" spans="8:8" x14ac:dyDescent="0.25">
      <c r="H531" s="5"/>
    </row>
    <row r="532" spans="8:8" x14ac:dyDescent="0.25">
      <c r="H532" s="5"/>
    </row>
    <row r="533" spans="8:8" x14ac:dyDescent="0.25">
      <c r="H533" s="5"/>
    </row>
    <row r="534" spans="8:8" x14ac:dyDescent="0.25">
      <c r="H534" s="5"/>
    </row>
    <row r="535" spans="8:8" x14ac:dyDescent="0.25">
      <c r="H535" s="5"/>
    </row>
    <row r="536" spans="8:8" x14ac:dyDescent="0.25">
      <c r="H536" s="5"/>
    </row>
    <row r="537" spans="8:8" x14ac:dyDescent="0.25">
      <c r="H537" s="5"/>
    </row>
    <row r="538" spans="8:8" x14ac:dyDescent="0.25">
      <c r="H538" s="5"/>
    </row>
    <row r="539" spans="8:8" x14ac:dyDescent="0.25">
      <c r="H539" s="5"/>
    </row>
    <row r="540" spans="8:8" x14ac:dyDescent="0.25">
      <c r="H540" s="5"/>
    </row>
    <row r="541" spans="8:8" x14ac:dyDescent="0.25">
      <c r="H541" s="5"/>
    </row>
    <row r="542" spans="8:8" x14ac:dyDescent="0.25">
      <c r="H542" s="5"/>
    </row>
    <row r="543" spans="8:8" x14ac:dyDescent="0.25">
      <c r="H543" s="5"/>
    </row>
    <row r="544" spans="8:8" x14ac:dyDescent="0.25">
      <c r="H544" s="5"/>
    </row>
    <row r="545" spans="8:8" x14ac:dyDescent="0.25">
      <c r="H545" s="5"/>
    </row>
    <row r="546" spans="8:8" x14ac:dyDescent="0.25">
      <c r="H546" s="5"/>
    </row>
    <row r="547" spans="8:8" x14ac:dyDescent="0.25">
      <c r="H547" s="5"/>
    </row>
    <row r="548" spans="8:8" x14ac:dyDescent="0.25">
      <c r="H548" s="5"/>
    </row>
    <row r="549" spans="8:8" x14ac:dyDescent="0.25">
      <c r="H549" s="5"/>
    </row>
    <row r="550" spans="8:8" x14ac:dyDescent="0.25">
      <c r="H550" s="5"/>
    </row>
    <row r="551" spans="8:8" x14ac:dyDescent="0.25">
      <c r="H551" s="5"/>
    </row>
    <row r="552" spans="8:8" x14ac:dyDescent="0.25">
      <c r="H552" s="5"/>
    </row>
    <row r="553" spans="8:8" x14ac:dyDescent="0.25">
      <c r="H553" s="5"/>
    </row>
    <row r="554" spans="8:8" x14ac:dyDescent="0.25">
      <c r="H554" s="5"/>
    </row>
    <row r="555" spans="8:8" x14ac:dyDescent="0.25">
      <c r="H555" s="5"/>
    </row>
    <row r="556" spans="8:8" x14ac:dyDescent="0.25">
      <c r="H556" s="5"/>
    </row>
    <row r="557" spans="8:8" x14ac:dyDescent="0.25">
      <c r="H557" s="5"/>
    </row>
    <row r="558" spans="8:8" x14ac:dyDescent="0.25">
      <c r="H558" s="5"/>
    </row>
    <row r="559" spans="8:8" x14ac:dyDescent="0.25">
      <c r="H559" s="5"/>
    </row>
    <row r="560" spans="8:8" x14ac:dyDescent="0.25">
      <c r="H560" s="5"/>
    </row>
    <row r="561" spans="8:8" x14ac:dyDescent="0.25">
      <c r="H561" s="5"/>
    </row>
    <row r="562" spans="8:8" x14ac:dyDescent="0.25">
      <c r="H562" s="5"/>
    </row>
    <row r="563" spans="8:8" x14ac:dyDescent="0.25">
      <c r="H563" s="5"/>
    </row>
    <row r="564" spans="8:8" x14ac:dyDescent="0.25">
      <c r="H564" s="5"/>
    </row>
    <row r="565" spans="8:8" x14ac:dyDescent="0.25">
      <c r="H565" s="5"/>
    </row>
    <row r="566" spans="8:8" x14ac:dyDescent="0.25">
      <c r="H566" s="5"/>
    </row>
    <row r="567" spans="8:8" x14ac:dyDescent="0.25">
      <c r="H567" s="5"/>
    </row>
    <row r="568" spans="8:8" x14ac:dyDescent="0.25">
      <c r="H568" s="5"/>
    </row>
    <row r="569" spans="8:8" x14ac:dyDescent="0.25">
      <c r="H569" s="5"/>
    </row>
    <row r="570" spans="8:8" x14ac:dyDescent="0.25">
      <c r="H570" s="5"/>
    </row>
    <row r="571" spans="8:8" x14ac:dyDescent="0.25">
      <c r="H571" s="5"/>
    </row>
    <row r="572" spans="8:8" x14ac:dyDescent="0.25">
      <c r="H572" s="5"/>
    </row>
    <row r="573" spans="8:8" x14ac:dyDescent="0.25">
      <c r="H573" s="5"/>
    </row>
    <row r="574" spans="8:8" x14ac:dyDescent="0.25">
      <c r="H574" s="5"/>
    </row>
    <row r="575" spans="8:8" x14ac:dyDescent="0.25">
      <c r="H575" s="5"/>
    </row>
    <row r="576" spans="8:8" x14ac:dyDescent="0.25">
      <c r="H576" s="5"/>
    </row>
    <row r="577" spans="8:8" x14ac:dyDescent="0.25">
      <c r="H577" s="5"/>
    </row>
    <row r="578" spans="8:8" x14ac:dyDescent="0.25">
      <c r="H578" s="5"/>
    </row>
    <row r="579" spans="8:8" x14ac:dyDescent="0.25">
      <c r="H579" s="5"/>
    </row>
    <row r="580" spans="8:8" x14ac:dyDescent="0.25">
      <c r="H580" s="5"/>
    </row>
    <row r="581" spans="8:8" x14ac:dyDescent="0.25">
      <c r="H581" s="5"/>
    </row>
    <row r="582" spans="8:8" x14ac:dyDescent="0.25">
      <c r="H582" s="5"/>
    </row>
    <row r="583" spans="8:8" x14ac:dyDescent="0.25">
      <c r="H583" s="5"/>
    </row>
    <row r="584" spans="8:8" x14ac:dyDescent="0.25">
      <c r="H584" s="5"/>
    </row>
    <row r="585" spans="8:8" x14ac:dyDescent="0.25">
      <c r="H585" s="5"/>
    </row>
    <row r="586" spans="8:8" x14ac:dyDescent="0.25">
      <c r="H586" s="5"/>
    </row>
    <row r="587" spans="8:8" x14ac:dyDescent="0.25">
      <c r="H587" s="5"/>
    </row>
    <row r="588" spans="8:8" x14ac:dyDescent="0.25">
      <c r="H588" s="5"/>
    </row>
    <row r="589" spans="8:8" x14ac:dyDescent="0.25">
      <c r="H589" s="5"/>
    </row>
    <row r="590" spans="8:8" x14ac:dyDescent="0.25">
      <c r="H590" s="5"/>
    </row>
    <row r="591" spans="8:8" x14ac:dyDescent="0.25">
      <c r="H591" s="5"/>
    </row>
    <row r="592" spans="8:8" x14ac:dyDescent="0.25">
      <c r="H592" s="5"/>
    </row>
    <row r="593" spans="8:8" x14ac:dyDescent="0.25">
      <c r="H593" s="5"/>
    </row>
    <row r="594" spans="8:8" x14ac:dyDescent="0.25">
      <c r="H594" s="5"/>
    </row>
    <row r="595" spans="8:8" x14ac:dyDescent="0.25">
      <c r="H595" s="5"/>
    </row>
    <row r="596" spans="8:8" x14ac:dyDescent="0.25">
      <c r="H596" s="5"/>
    </row>
    <row r="597" spans="8:8" x14ac:dyDescent="0.25">
      <c r="H597" s="5"/>
    </row>
    <row r="598" spans="8:8" x14ac:dyDescent="0.25">
      <c r="H598" s="5"/>
    </row>
    <row r="599" spans="8:8" x14ac:dyDescent="0.25">
      <c r="H599" s="5"/>
    </row>
    <row r="600" spans="8:8" x14ac:dyDescent="0.25">
      <c r="H600" s="5"/>
    </row>
    <row r="601" spans="8:8" x14ac:dyDescent="0.25">
      <c r="H601" s="5"/>
    </row>
    <row r="602" spans="8:8" x14ac:dyDescent="0.25">
      <c r="H602" s="5"/>
    </row>
    <row r="603" spans="8:8" x14ac:dyDescent="0.25">
      <c r="H603" s="5"/>
    </row>
    <row r="604" spans="8:8" x14ac:dyDescent="0.25">
      <c r="H604" s="5"/>
    </row>
    <row r="605" spans="8:8" x14ac:dyDescent="0.25">
      <c r="H605" s="5"/>
    </row>
    <row r="606" spans="8:8" x14ac:dyDescent="0.25">
      <c r="H606" s="5"/>
    </row>
    <row r="607" spans="8:8" x14ac:dyDescent="0.25">
      <c r="H607" s="5"/>
    </row>
    <row r="608" spans="8:8" x14ac:dyDescent="0.25">
      <c r="H608" s="5"/>
    </row>
    <row r="609" spans="8:8" x14ac:dyDescent="0.25">
      <c r="H609" s="5"/>
    </row>
    <row r="610" spans="8:8" x14ac:dyDescent="0.25">
      <c r="H610" s="5"/>
    </row>
    <row r="611" spans="8:8" x14ac:dyDescent="0.25">
      <c r="H611" s="5"/>
    </row>
    <row r="612" spans="8:8" x14ac:dyDescent="0.25">
      <c r="H612" s="5"/>
    </row>
    <row r="613" spans="8:8" x14ac:dyDescent="0.25">
      <c r="H613" s="5"/>
    </row>
    <row r="614" spans="8:8" x14ac:dyDescent="0.25">
      <c r="H614" s="5"/>
    </row>
    <row r="615" spans="8:8" x14ac:dyDescent="0.25">
      <c r="H615" s="5"/>
    </row>
    <row r="616" spans="8:8" x14ac:dyDescent="0.25">
      <c r="H616" s="5"/>
    </row>
    <row r="617" spans="8:8" x14ac:dyDescent="0.25">
      <c r="H617" s="5"/>
    </row>
    <row r="618" spans="8:8" x14ac:dyDescent="0.25">
      <c r="H618" s="5"/>
    </row>
    <row r="619" spans="8:8" x14ac:dyDescent="0.25">
      <c r="H619" s="5"/>
    </row>
    <row r="620" spans="8:8" x14ac:dyDescent="0.25">
      <c r="H620" s="5"/>
    </row>
    <row r="621" spans="8:8" x14ac:dyDescent="0.25">
      <c r="H621" s="5"/>
    </row>
    <row r="622" spans="8:8" x14ac:dyDescent="0.25">
      <c r="H622" s="5"/>
    </row>
    <row r="623" spans="8:8" x14ac:dyDescent="0.25">
      <c r="H623" s="5"/>
    </row>
    <row r="624" spans="8:8" x14ac:dyDescent="0.25">
      <c r="H624" s="5"/>
    </row>
    <row r="625" spans="8:8" x14ac:dyDescent="0.25">
      <c r="H625" s="5"/>
    </row>
    <row r="626" spans="8:8" x14ac:dyDescent="0.25">
      <c r="H626" s="5"/>
    </row>
    <row r="627" spans="8:8" x14ac:dyDescent="0.25">
      <c r="H627" s="5"/>
    </row>
    <row r="628" spans="8:8" x14ac:dyDescent="0.25">
      <c r="H628" s="5"/>
    </row>
    <row r="629" spans="8:8" x14ac:dyDescent="0.25">
      <c r="H629" s="5"/>
    </row>
    <row r="630" spans="8:8" x14ac:dyDescent="0.25">
      <c r="H630" s="5"/>
    </row>
    <row r="631" spans="8:8" x14ac:dyDescent="0.25">
      <c r="H631" s="5"/>
    </row>
    <row r="632" spans="8:8" x14ac:dyDescent="0.25">
      <c r="H632" s="5"/>
    </row>
    <row r="633" spans="8:8" x14ac:dyDescent="0.25">
      <c r="H633" s="5"/>
    </row>
    <row r="634" spans="8:8" x14ac:dyDescent="0.25">
      <c r="H634" s="5"/>
    </row>
    <row r="635" spans="8:8" x14ac:dyDescent="0.25">
      <c r="H635" s="5"/>
    </row>
    <row r="636" spans="8:8" x14ac:dyDescent="0.25">
      <c r="H636" s="5"/>
    </row>
    <row r="637" spans="8:8" x14ac:dyDescent="0.25">
      <c r="H637" s="5"/>
    </row>
    <row r="638" spans="8:8" x14ac:dyDescent="0.25">
      <c r="H638" s="5"/>
    </row>
    <row r="639" spans="8:8" x14ac:dyDescent="0.25">
      <c r="H639" s="5"/>
    </row>
    <row r="640" spans="8:8" x14ac:dyDescent="0.25">
      <c r="H640" s="5"/>
    </row>
    <row r="641" spans="8:8" x14ac:dyDescent="0.25">
      <c r="H641" s="5"/>
    </row>
    <row r="642" spans="8:8" x14ac:dyDescent="0.25">
      <c r="H642" s="5"/>
    </row>
    <row r="643" spans="8:8" x14ac:dyDescent="0.25">
      <c r="H643" s="5"/>
    </row>
    <row r="644" spans="8:8" x14ac:dyDescent="0.25">
      <c r="H644" s="5"/>
    </row>
    <row r="645" spans="8:8" x14ac:dyDescent="0.25">
      <c r="H645" s="5"/>
    </row>
    <row r="646" spans="8:8" x14ac:dyDescent="0.25">
      <c r="H646" s="5"/>
    </row>
    <row r="647" spans="8:8" x14ac:dyDescent="0.25">
      <c r="H647" s="5"/>
    </row>
    <row r="648" spans="8:8" x14ac:dyDescent="0.25">
      <c r="H648" s="5"/>
    </row>
    <row r="649" spans="8:8" x14ac:dyDescent="0.25">
      <c r="H649" s="5"/>
    </row>
    <row r="650" spans="8:8" x14ac:dyDescent="0.25">
      <c r="H650" s="5"/>
    </row>
    <row r="651" spans="8:8" x14ac:dyDescent="0.25">
      <c r="H651" s="5"/>
    </row>
    <row r="652" spans="8:8" x14ac:dyDescent="0.25">
      <c r="H652" s="5"/>
    </row>
    <row r="653" spans="8:8" x14ac:dyDescent="0.25">
      <c r="H653" s="5"/>
    </row>
    <row r="654" spans="8:8" x14ac:dyDescent="0.25">
      <c r="H654" s="5"/>
    </row>
    <row r="655" spans="8:8" x14ac:dyDescent="0.25">
      <c r="H655" s="5"/>
    </row>
    <row r="656" spans="8:8" x14ac:dyDescent="0.25">
      <c r="H656" s="5"/>
    </row>
    <row r="657" spans="8:8" x14ac:dyDescent="0.25">
      <c r="H657" s="5"/>
    </row>
    <row r="658" spans="8:8" x14ac:dyDescent="0.25">
      <c r="H658" s="5"/>
    </row>
    <row r="659" spans="8:8" x14ac:dyDescent="0.25">
      <c r="H659" s="5"/>
    </row>
    <row r="660" spans="8:8" x14ac:dyDescent="0.25">
      <c r="H660" s="5"/>
    </row>
    <row r="661" spans="8:8" x14ac:dyDescent="0.25">
      <c r="H661" s="5"/>
    </row>
    <row r="662" spans="8:8" x14ac:dyDescent="0.25">
      <c r="H662" s="5"/>
    </row>
    <row r="663" spans="8:8" x14ac:dyDescent="0.25">
      <c r="H663" s="5"/>
    </row>
    <row r="664" spans="8:8" x14ac:dyDescent="0.25">
      <c r="H664" s="5"/>
    </row>
    <row r="665" spans="8:8" x14ac:dyDescent="0.25">
      <c r="H665" s="5"/>
    </row>
    <row r="666" spans="8:8" x14ac:dyDescent="0.25">
      <c r="H666" s="5"/>
    </row>
    <row r="667" spans="8:8" x14ac:dyDescent="0.25">
      <c r="H667" s="5"/>
    </row>
    <row r="668" spans="8:8" x14ac:dyDescent="0.25">
      <c r="H668" s="5"/>
    </row>
    <row r="669" spans="8:8" x14ac:dyDescent="0.25">
      <c r="H669" s="5"/>
    </row>
    <row r="670" spans="8:8" x14ac:dyDescent="0.25">
      <c r="H670" s="5"/>
    </row>
    <row r="671" spans="8:8" x14ac:dyDescent="0.25">
      <c r="H671" s="5"/>
    </row>
    <row r="672" spans="8:8" x14ac:dyDescent="0.25">
      <c r="H672" s="5"/>
    </row>
    <row r="673" spans="8:8" x14ac:dyDescent="0.25">
      <c r="H673" s="5"/>
    </row>
    <row r="674" spans="8:8" x14ac:dyDescent="0.25">
      <c r="H674" s="5"/>
    </row>
    <row r="675" spans="8:8" x14ac:dyDescent="0.25">
      <c r="H675" s="5"/>
    </row>
    <row r="676" spans="8:8" x14ac:dyDescent="0.25">
      <c r="H676" s="5"/>
    </row>
    <row r="677" spans="8:8" x14ac:dyDescent="0.25">
      <c r="H677" s="5"/>
    </row>
    <row r="678" spans="8:8" x14ac:dyDescent="0.25">
      <c r="H678" s="5"/>
    </row>
    <row r="679" spans="8:8" x14ac:dyDescent="0.25">
      <c r="H679" s="5"/>
    </row>
    <row r="680" spans="8:8" x14ac:dyDescent="0.25">
      <c r="H680" s="5"/>
    </row>
    <row r="681" spans="8:8" x14ac:dyDescent="0.25">
      <c r="H681" s="5"/>
    </row>
    <row r="682" spans="8:8" x14ac:dyDescent="0.25">
      <c r="H682" s="5"/>
    </row>
    <row r="683" spans="8:8" x14ac:dyDescent="0.25">
      <c r="H683" s="5"/>
    </row>
    <row r="684" spans="8:8" x14ac:dyDescent="0.25">
      <c r="H684" s="5"/>
    </row>
    <row r="685" spans="8:8" x14ac:dyDescent="0.25">
      <c r="H685" s="5"/>
    </row>
    <row r="686" spans="8:8" x14ac:dyDescent="0.25">
      <c r="H686" s="5"/>
    </row>
    <row r="687" spans="8:8" x14ac:dyDescent="0.25">
      <c r="H687" s="5"/>
    </row>
    <row r="688" spans="8:8" x14ac:dyDescent="0.25">
      <c r="H688" s="5"/>
    </row>
    <row r="689" spans="8:8" x14ac:dyDescent="0.25">
      <c r="H689" s="5"/>
    </row>
    <row r="690" spans="8:8" x14ac:dyDescent="0.25">
      <c r="H690" s="5"/>
    </row>
    <row r="691" spans="8:8" x14ac:dyDescent="0.25">
      <c r="H691" s="5"/>
    </row>
    <row r="692" spans="8:8" x14ac:dyDescent="0.25">
      <c r="H692" s="5"/>
    </row>
    <row r="693" spans="8:8" x14ac:dyDescent="0.25">
      <c r="H693" s="5"/>
    </row>
    <row r="694" spans="8:8" x14ac:dyDescent="0.25">
      <c r="H694" s="5"/>
    </row>
    <row r="695" spans="8:8" x14ac:dyDescent="0.25">
      <c r="H695" s="5"/>
    </row>
    <row r="696" spans="8:8" x14ac:dyDescent="0.25">
      <c r="H696" s="5"/>
    </row>
    <row r="697" spans="8:8" x14ac:dyDescent="0.25">
      <c r="H697" s="5"/>
    </row>
    <row r="698" spans="8:8" x14ac:dyDescent="0.25">
      <c r="H698" s="5"/>
    </row>
    <row r="699" spans="8:8" x14ac:dyDescent="0.25">
      <c r="H699" s="5"/>
    </row>
    <row r="700" spans="8:8" x14ac:dyDescent="0.25">
      <c r="H700" s="5"/>
    </row>
    <row r="701" spans="8:8" x14ac:dyDescent="0.25">
      <c r="H701" s="5"/>
    </row>
    <row r="702" spans="8:8" x14ac:dyDescent="0.25">
      <c r="H702" s="5"/>
    </row>
    <row r="703" spans="8:8" x14ac:dyDescent="0.25">
      <c r="H703" s="5"/>
    </row>
    <row r="704" spans="8:8" x14ac:dyDescent="0.25">
      <c r="H704" s="5"/>
    </row>
    <row r="705" spans="8:8" x14ac:dyDescent="0.25">
      <c r="H705" s="5"/>
    </row>
    <row r="706" spans="8:8" x14ac:dyDescent="0.25">
      <c r="H706" s="5"/>
    </row>
    <row r="707" spans="8:8" x14ac:dyDescent="0.25">
      <c r="H707" s="5"/>
    </row>
    <row r="708" spans="8:8" x14ac:dyDescent="0.25">
      <c r="H708" s="5"/>
    </row>
    <row r="709" spans="8:8" x14ac:dyDescent="0.25">
      <c r="H709" s="5"/>
    </row>
    <row r="710" spans="8:8" x14ac:dyDescent="0.25">
      <c r="H710" s="5"/>
    </row>
    <row r="711" spans="8:8" x14ac:dyDescent="0.25">
      <c r="H711" s="5"/>
    </row>
    <row r="712" spans="8:8" x14ac:dyDescent="0.25">
      <c r="H712" s="5"/>
    </row>
    <row r="713" spans="8:8" x14ac:dyDescent="0.25">
      <c r="H713" s="5"/>
    </row>
    <row r="714" spans="8:8" x14ac:dyDescent="0.25">
      <c r="H714" s="5"/>
    </row>
    <row r="715" spans="8:8" x14ac:dyDescent="0.25">
      <c r="H715" s="5"/>
    </row>
    <row r="716" spans="8:8" x14ac:dyDescent="0.25">
      <c r="H716" s="5"/>
    </row>
    <row r="717" spans="8:8" x14ac:dyDescent="0.25">
      <c r="H717" s="5"/>
    </row>
    <row r="718" spans="8:8" x14ac:dyDescent="0.25">
      <c r="H718" s="5"/>
    </row>
    <row r="719" spans="8:8" x14ac:dyDescent="0.25">
      <c r="H719" s="5"/>
    </row>
    <row r="720" spans="8:8" x14ac:dyDescent="0.25">
      <c r="H720" s="5"/>
    </row>
    <row r="721" spans="8:8" x14ac:dyDescent="0.25">
      <c r="H721" s="5"/>
    </row>
    <row r="722" spans="8:8" x14ac:dyDescent="0.25">
      <c r="H722" s="5"/>
    </row>
    <row r="723" spans="8:8" x14ac:dyDescent="0.25">
      <c r="H723" s="5"/>
    </row>
    <row r="724" spans="8:8" x14ac:dyDescent="0.25">
      <c r="H724" s="5"/>
    </row>
    <row r="725" spans="8:8" x14ac:dyDescent="0.25">
      <c r="H725" s="5"/>
    </row>
    <row r="726" spans="8:8" x14ac:dyDescent="0.25">
      <c r="H726" s="5"/>
    </row>
    <row r="727" spans="8:8" x14ac:dyDescent="0.25">
      <c r="H727" s="5"/>
    </row>
    <row r="728" spans="8:8" x14ac:dyDescent="0.25">
      <c r="H728" s="5"/>
    </row>
    <row r="729" spans="8:8" x14ac:dyDescent="0.25">
      <c r="H729" s="5"/>
    </row>
    <row r="730" spans="8:8" x14ac:dyDescent="0.25">
      <c r="H730" s="5"/>
    </row>
    <row r="731" spans="8:8" x14ac:dyDescent="0.25">
      <c r="H731" s="5"/>
    </row>
    <row r="732" spans="8:8" x14ac:dyDescent="0.25">
      <c r="H732" s="5"/>
    </row>
    <row r="733" spans="8:8" x14ac:dyDescent="0.25">
      <c r="H733" s="5"/>
    </row>
    <row r="734" spans="8:8" x14ac:dyDescent="0.25">
      <c r="H734" s="5"/>
    </row>
    <row r="735" spans="8:8" x14ac:dyDescent="0.25">
      <c r="H735" s="5"/>
    </row>
    <row r="736" spans="8:8" x14ac:dyDescent="0.25">
      <c r="H736" s="5"/>
    </row>
    <row r="737" spans="8:8" x14ac:dyDescent="0.25">
      <c r="H737" s="5"/>
    </row>
    <row r="738" spans="8:8" x14ac:dyDescent="0.25">
      <c r="H738" s="5"/>
    </row>
    <row r="739" spans="8:8" x14ac:dyDescent="0.25">
      <c r="H739" s="5"/>
    </row>
    <row r="740" spans="8:8" x14ac:dyDescent="0.25">
      <c r="H740" s="5"/>
    </row>
    <row r="741" spans="8:8" x14ac:dyDescent="0.25">
      <c r="H741" s="5"/>
    </row>
    <row r="742" spans="8:8" x14ac:dyDescent="0.25">
      <c r="H742" s="5"/>
    </row>
    <row r="743" spans="8:8" x14ac:dyDescent="0.25">
      <c r="H743" s="5"/>
    </row>
    <row r="744" spans="8:8" x14ac:dyDescent="0.25">
      <c r="H744" s="5"/>
    </row>
    <row r="745" spans="8:8" x14ac:dyDescent="0.25">
      <c r="H745" s="5"/>
    </row>
    <row r="746" spans="8:8" x14ac:dyDescent="0.25">
      <c r="H746" s="5"/>
    </row>
    <row r="747" spans="8:8" x14ac:dyDescent="0.25">
      <c r="H747" s="5"/>
    </row>
    <row r="748" spans="8:8" x14ac:dyDescent="0.25">
      <c r="H748" s="5"/>
    </row>
    <row r="749" spans="8:8" x14ac:dyDescent="0.25">
      <c r="H749" s="5"/>
    </row>
    <row r="750" spans="8:8" x14ac:dyDescent="0.25">
      <c r="H750" s="5"/>
    </row>
    <row r="751" spans="8:8" x14ac:dyDescent="0.25">
      <c r="H751" s="5"/>
    </row>
    <row r="752" spans="8:8" x14ac:dyDescent="0.25">
      <c r="H752" s="5"/>
    </row>
    <row r="753" spans="8:8" x14ac:dyDescent="0.25">
      <c r="H753" s="5"/>
    </row>
    <row r="754" spans="8:8" x14ac:dyDescent="0.25">
      <c r="H754" s="5"/>
    </row>
    <row r="755" spans="8:8" x14ac:dyDescent="0.25">
      <c r="H755" s="5"/>
    </row>
    <row r="756" spans="8:8" x14ac:dyDescent="0.25">
      <c r="H756" s="5"/>
    </row>
    <row r="757" spans="8:8" x14ac:dyDescent="0.25">
      <c r="H757" s="5"/>
    </row>
    <row r="758" spans="8:8" x14ac:dyDescent="0.25">
      <c r="H758" s="5"/>
    </row>
    <row r="759" spans="8:8" x14ac:dyDescent="0.25">
      <c r="H759" s="5"/>
    </row>
    <row r="760" spans="8:8" x14ac:dyDescent="0.25">
      <c r="H760" s="5"/>
    </row>
    <row r="761" spans="8:8" x14ac:dyDescent="0.25">
      <c r="H761" s="5"/>
    </row>
    <row r="762" spans="8:8" x14ac:dyDescent="0.25">
      <c r="H762" s="5"/>
    </row>
    <row r="763" spans="8:8" x14ac:dyDescent="0.25">
      <c r="H763" s="5"/>
    </row>
    <row r="764" spans="8:8" x14ac:dyDescent="0.25">
      <c r="H764" s="5"/>
    </row>
    <row r="765" spans="8:8" x14ac:dyDescent="0.25">
      <c r="H765" s="5"/>
    </row>
    <row r="766" spans="8:8" x14ac:dyDescent="0.25">
      <c r="H766" s="5"/>
    </row>
    <row r="767" spans="8:8" x14ac:dyDescent="0.25">
      <c r="H767" s="5"/>
    </row>
    <row r="768" spans="8:8" x14ac:dyDescent="0.25">
      <c r="H768" s="5"/>
    </row>
    <row r="769" spans="8:8" x14ac:dyDescent="0.25">
      <c r="H769" s="5"/>
    </row>
    <row r="770" spans="8:8" x14ac:dyDescent="0.25">
      <c r="H770" s="5"/>
    </row>
    <row r="771" spans="8:8" x14ac:dyDescent="0.25">
      <c r="H771" s="5"/>
    </row>
    <row r="772" spans="8:8" x14ac:dyDescent="0.25">
      <c r="H772" s="5"/>
    </row>
    <row r="773" spans="8:8" x14ac:dyDescent="0.25">
      <c r="H773" s="5"/>
    </row>
    <row r="774" spans="8:8" x14ac:dyDescent="0.25">
      <c r="H774" s="5"/>
    </row>
    <row r="775" spans="8:8" x14ac:dyDescent="0.25">
      <c r="H775" s="5"/>
    </row>
    <row r="776" spans="8:8" x14ac:dyDescent="0.25">
      <c r="H776" s="5"/>
    </row>
    <row r="777" spans="8:8" x14ac:dyDescent="0.25">
      <c r="H777" s="5"/>
    </row>
    <row r="778" spans="8:8" x14ac:dyDescent="0.25">
      <c r="H778" s="5"/>
    </row>
    <row r="779" spans="8:8" x14ac:dyDescent="0.25">
      <c r="H779" s="5"/>
    </row>
    <row r="780" spans="8:8" x14ac:dyDescent="0.25">
      <c r="H780" s="5"/>
    </row>
    <row r="781" spans="8:8" x14ac:dyDescent="0.25">
      <c r="H781" s="5"/>
    </row>
    <row r="782" spans="8:8" x14ac:dyDescent="0.25">
      <c r="H782" s="5"/>
    </row>
    <row r="783" spans="8:8" x14ac:dyDescent="0.25">
      <c r="H783" s="5"/>
    </row>
    <row r="784" spans="8:8" x14ac:dyDescent="0.25">
      <c r="H784" s="5"/>
    </row>
    <row r="785" spans="8:8" x14ac:dyDescent="0.25">
      <c r="H785" s="5"/>
    </row>
    <row r="786" spans="8:8" x14ac:dyDescent="0.25">
      <c r="H786" s="5"/>
    </row>
    <row r="787" spans="8:8" x14ac:dyDescent="0.25">
      <c r="H787" s="5"/>
    </row>
    <row r="788" spans="8:8" x14ac:dyDescent="0.25">
      <c r="H788" s="5"/>
    </row>
    <row r="789" spans="8:8" x14ac:dyDescent="0.25">
      <c r="H789" s="5"/>
    </row>
    <row r="790" spans="8:8" x14ac:dyDescent="0.25">
      <c r="H790" s="5"/>
    </row>
    <row r="791" spans="8:8" x14ac:dyDescent="0.25">
      <c r="H791" s="5"/>
    </row>
    <row r="792" spans="8:8" x14ac:dyDescent="0.25">
      <c r="H792" s="5"/>
    </row>
    <row r="793" spans="8:8" x14ac:dyDescent="0.25">
      <c r="H793" s="5"/>
    </row>
    <row r="794" spans="8:8" x14ac:dyDescent="0.25">
      <c r="H794" s="5"/>
    </row>
    <row r="795" spans="8:8" x14ac:dyDescent="0.25">
      <c r="H795" s="5"/>
    </row>
    <row r="796" spans="8:8" x14ac:dyDescent="0.25">
      <c r="H796" s="5"/>
    </row>
    <row r="797" spans="8:8" x14ac:dyDescent="0.25">
      <c r="H797" s="5"/>
    </row>
    <row r="798" spans="8:8" x14ac:dyDescent="0.25">
      <c r="H798" s="5"/>
    </row>
    <row r="799" spans="8:8" x14ac:dyDescent="0.25">
      <c r="H799" s="5"/>
    </row>
    <row r="800" spans="8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  <row r="1001" spans="8:8" x14ac:dyDescent="0.25">
      <c r="H1001" s="5"/>
    </row>
    <row r="1002" spans="8:8" x14ac:dyDescent="0.25">
      <c r="H1002" s="5"/>
    </row>
    <row r="1003" spans="8:8" x14ac:dyDescent="0.25">
      <c r="H1003" s="5"/>
    </row>
    <row r="1004" spans="8:8" x14ac:dyDescent="0.25">
      <c r="H1004" s="5"/>
    </row>
    <row r="1005" spans="8:8" x14ac:dyDescent="0.25">
      <c r="H1005" s="5"/>
    </row>
    <row r="1006" spans="8:8" x14ac:dyDescent="0.25">
      <c r="H1006" s="5"/>
    </row>
    <row r="1007" spans="8:8" x14ac:dyDescent="0.25">
      <c r="H1007" s="5"/>
    </row>
    <row r="1008" spans="8:8" x14ac:dyDescent="0.25">
      <c r="H1008" s="5"/>
    </row>
    <row r="1009" spans="8:8" x14ac:dyDescent="0.25">
      <c r="H1009" s="5"/>
    </row>
    <row r="1010" spans="8:8" x14ac:dyDescent="0.25">
      <c r="H1010" s="5"/>
    </row>
    <row r="1011" spans="8:8" x14ac:dyDescent="0.25">
      <c r="H1011" s="5"/>
    </row>
    <row r="1012" spans="8:8" x14ac:dyDescent="0.25">
      <c r="H1012" s="5"/>
    </row>
    <row r="1013" spans="8:8" x14ac:dyDescent="0.25">
      <c r="H1013" s="5"/>
    </row>
    <row r="1014" spans="8:8" x14ac:dyDescent="0.25">
      <c r="H1014" s="5"/>
    </row>
    <row r="1015" spans="8:8" x14ac:dyDescent="0.25">
      <c r="H1015" s="5"/>
    </row>
    <row r="1016" spans="8:8" x14ac:dyDescent="0.25">
      <c r="H1016" s="5"/>
    </row>
    <row r="1017" spans="8:8" x14ac:dyDescent="0.25">
      <c r="H1017" s="5"/>
    </row>
    <row r="1018" spans="8:8" x14ac:dyDescent="0.25">
      <c r="H1018" s="5"/>
    </row>
    <row r="1019" spans="8:8" x14ac:dyDescent="0.25">
      <c r="H1019" s="5"/>
    </row>
    <row r="1020" spans="8:8" x14ac:dyDescent="0.25">
      <c r="H1020" s="5"/>
    </row>
    <row r="1021" spans="8:8" x14ac:dyDescent="0.25">
      <c r="H1021" s="5"/>
    </row>
    <row r="1022" spans="8:8" x14ac:dyDescent="0.25">
      <c r="H1022" s="5"/>
    </row>
    <row r="1023" spans="8:8" x14ac:dyDescent="0.25">
      <c r="H1023" s="5"/>
    </row>
    <row r="1024" spans="8:8" x14ac:dyDescent="0.25">
      <c r="H1024" s="5"/>
    </row>
    <row r="1025" spans="8:8" x14ac:dyDescent="0.25">
      <c r="H1025" s="5"/>
    </row>
    <row r="1026" spans="8:8" x14ac:dyDescent="0.25">
      <c r="H1026" s="5"/>
    </row>
    <row r="1027" spans="8:8" x14ac:dyDescent="0.25">
      <c r="H1027" s="5"/>
    </row>
    <row r="1028" spans="8:8" x14ac:dyDescent="0.25">
      <c r="H1028" s="5"/>
    </row>
    <row r="1029" spans="8:8" x14ac:dyDescent="0.25">
      <c r="H1029" s="5"/>
    </row>
    <row r="1030" spans="8:8" x14ac:dyDescent="0.25">
      <c r="H1030" s="5"/>
    </row>
    <row r="1031" spans="8:8" x14ac:dyDescent="0.25">
      <c r="H1031" s="5"/>
    </row>
    <row r="1032" spans="8:8" x14ac:dyDescent="0.25">
      <c r="H1032" s="5"/>
    </row>
    <row r="1033" spans="8:8" x14ac:dyDescent="0.25">
      <c r="H1033" s="5"/>
    </row>
    <row r="1034" spans="8:8" x14ac:dyDescent="0.25">
      <c r="H1034" s="5"/>
    </row>
    <row r="1035" spans="8:8" x14ac:dyDescent="0.25">
      <c r="H1035" s="5"/>
    </row>
    <row r="1036" spans="8:8" x14ac:dyDescent="0.25">
      <c r="H1036" s="5"/>
    </row>
    <row r="1037" spans="8:8" x14ac:dyDescent="0.25">
      <c r="H1037" s="5"/>
    </row>
    <row r="1038" spans="8:8" x14ac:dyDescent="0.25">
      <c r="H1038" s="5"/>
    </row>
    <row r="1039" spans="8:8" x14ac:dyDescent="0.25">
      <c r="H1039" s="5"/>
    </row>
    <row r="1040" spans="8:8" x14ac:dyDescent="0.25">
      <c r="H1040" s="5"/>
    </row>
    <row r="1041" spans="8:8" x14ac:dyDescent="0.25">
      <c r="H1041" s="5"/>
    </row>
    <row r="1042" spans="8:8" x14ac:dyDescent="0.25">
      <c r="H1042" s="5"/>
    </row>
    <row r="1043" spans="8:8" x14ac:dyDescent="0.25">
      <c r="H1043" s="5"/>
    </row>
    <row r="1044" spans="8:8" x14ac:dyDescent="0.25">
      <c r="H1044" s="5"/>
    </row>
    <row r="1045" spans="8:8" x14ac:dyDescent="0.25">
      <c r="H1045" s="5"/>
    </row>
    <row r="1046" spans="8:8" x14ac:dyDescent="0.25">
      <c r="H1046" s="5"/>
    </row>
    <row r="1047" spans="8:8" x14ac:dyDescent="0.25">
      <c r="H1047" s="5"/>
    </row>
    <row r="1048" spans="8:8" x14ac:dyDescent="0.25">
      <c r="H1048" s="5"/>
    </row>
    <row r="1049" spans="8:8" x14ac:dyDescent="0.25">
      <c r="H1049" s="5"/>
    </row>
    <row r="1050" spans="8:8" x14ac:dyDescent="0.25">
      <c r="H1050" s="5"/>
    </row>
    <row r="1051" spans="8:8" x14ac:dyDescent="0.25">
      <c r="H1051" s="5"/>
    </row>
    <row r="1052" spans="8:8" x14ac:dyDescent="0.25">
      <c r="H1052" s="5"/>
    </row>
    <row r="1053" spans="8:8" x14ac:dyDescent="0.25">
      <c r="H1053" s="5"/>
    </row>
    <row r="1054" spans="8:8" x14ac:dyDescent="0.25">
      <c r="H1054" s="5"/>
    </row>
    <row r="1055" spans="8:8" x14ac:dyDescent="0.25">
      <c r="H1055" s="5"/>
    </row>
    <row r="1056" spans="8:8" x14ac:dyDescent="0.25">
      <c r="H1056" s="5"/>
    </row>
    <row r="1057" spans="8:8" x14ac:dyDescent="0.25">
      <c r="H1057" s="5"/>
    </row>
    <row r="1058" spans="8:8" x14ac:dyDescent="0.25">
      <c r="H1058" s="5"/>
    </row>
    <row r="1059" spans="8:8" x14ac:dyDescent="0.25">
      <c r="H1059" s="5"/>
    </row>
    <row r="1060" spans="8:8" x14ac:dyDescent="0.25">
      <c r="H1060" s="5"/>
    </row>
    <row r="1061" spans="8:8" x14ac:dyDescent="0.25">
      <c r="H1061" s="5"/>
    </row>
    <row r="1062" spans="8:8" x14ac:dyDescent="0.25">
      <c r="H1062" s="5"/>
    </row>
    <row r="1063" spans="8:8" x14ac:dyDescent="0.25">
      <c r="H1063" s="5"/>
    </row>
    <row r="1064" spans="8:8" x14ac:dyDescent="0.25">
      <c r="H1064" s="5"/>
    </row>
    <row r="1065" spans="8:8" x14ac:dyDescent="0.25">
      <c r="H1065" s="5"/>
    </row>
    <row r="1066" spans="8:8" x14ac:dyDescent="0.25">
      <c r="H1066" s="5"/>
    </row>
    <row r="1067" spans="8:8" x14ac:dyDescent="0.25">
      <c r="H1067" s="5"/>
    </row>
    <row r="1068" spans="8:8" x14ac:dyDescent="0.25">
      <c r="H1068" s="5"/>
    </row>
    <row r="1069" spans="8:8" x14ac:dyDescent="0.25">
      <c r="H1069" s="5"/>
    </row>
    <row r="1070" spans="8:8" x14ac:dyDescent="0.25">
      <c r="H1070" s="5"/>
    </row>
    <row r="1071" spans="8:8" x14ac:dyDescent="0.25">
      <c r="H1071" s="5"/>
    </row>
    <row r="1072" spans="8:8" x14ac:dyDescent="0.25">
      <c r="H1072" s="5"/>
    </row>
    <row r="1073" spans="8:8" x14ac:dyDescent="0.25">
      <c r="H1073" s="5"/>
    </row>
    <row r="1074" spans="8:8" x14ac:dyDescent="0.25">
      <c r="H1074" s="5"/>
    </row>
    <row r="1075" spans="8:8" x14ac:dyDescent="0.25">
      <c r="H1075" s="5"/>
    </row>
    <row r="1076" spans="8:8" x14ac:dyDescent="0.25">
      <c r="H1076" s="5"/>
    </row>
    <row r="1077" spans="8:8" x14ac:dyDescent="0.25">
      <c r="H1077" s="5"/>
    </row>
    <row r="1078" spans="8:8" x14ac:dyDescent="0.25">
      <c r="H1078" s="5"/>
    </row>
    <row r="1079" spans="8:8" x14ac:dyDescent="0.25">
      <c r="H1079" s="5"/>
    </row>
    <row r="1080" spans="8:8" x14ac:dyDescent="0.25">
      <c r="H1080" s="5"/>
    </row>
    <row r="1081" spans="8:8" x14ac:dyDescent="0.25">
      <c r="H1081" s="5"/>
    </row>
    <row r="1082" spans="8:8" x14ac:dyDescent="0.25">
      <c r="H1082" s="5"/>
    </row>
    <row r="1083" spans="8:8" x14ac:dyDescent="0.25">
      <c r="H1083" s="5"/>
    </row>
    <row r="1084" spans="8:8" x14ac:dyDescent="0.25">
      <c r="H1084" s="5"/>
    </row>
    <row r="1085" spans="8:8" x14ac:dyDescent="0.25">
      <c r="H1085" s="5"/>
    </row>
    <row r="1086" spans="8:8" x14ac:dyDescent="0.25">
      <c r="H1086" s="5"/>
    </row>
    <row r="1087" spans="8:8" x14ac:dyDescent="0.25">
      <c r="H1087" s="5"/>
    </row>
    <row r="1088" spans="8:8" x14ac:dyDescent="0.25">
      <c r="H1088" s="5"/>
    </row>
    <row r="1089" spans="8:8" x14ac:dyDescent="0.25">
      <c r="H1089" s="5"/>
    </row>
    <row r="1090" spans="8:8" x14ac:dyDescent="0.25">
      <c r="H1090" s="5"/>
    </row>
    <row r="1091" spans="8:8" x14ac:dyDescent="0.25">
      <c r="H1091" s="5"/>
    </row>
    <row r="1092" spans="8:8" x14ac:dyDescent="0.25">
      <c r="H1092" s="5"/>
    </row>
    <row r="1093" spans="8:8" x14ac:dyDescent="0.25">
      <c r="H1093" s="5"/>
    </row>
    <row r="1094" spans="8:8" x14ac:dyDescent="0.25">
      <c r="H1094" s="5"/>
    </row>
    <row r="1095" spans="8:8" x14ac:dyDescent="0.25">
      <c r="H1095" s="5"/>
    </row>
    <row r="1096" spans="8:8" x14ac:dyDescent="0.25">
      <c r="H1096" s="5"/>
    </row>
    <row r="1097" spans="8:8" x14ac:dyDescent="0.25">
      <c r="H1097" s="5"/>
    </row>
    <row r="1098" spans="8:8" x14ac:dyDescent="0.25">
      <c r="H1098" s="5"/>
    </row>
    <row r="1099" spans="8:8" x14ac:dyDescent="0.25">
      <c r="H1099" s="5"/>
    </row>
    <row r="1100" spans="8:8" x14ac:dyDescent="0.25">
      <c r="H1100" s="5"/>
    </row>
    <row r="1101" spans="8:8" x14ac:dyDescent="0.25">
      <c r="H1101" s="5"/>
    </row>
    <row r="1102" spans="8:8" x14ac:dyDescent="0.25">
      <c r="H1102" s="5"/>
    </row>
    <row r="1103" spans="8:8" x14ac:dyDescent="0.25">
      <c r="H1103" s="5"/>
    </row>
    <row r="1104" spans="8:8" x14ac:dyDescent="0.25">
      <c r="H1104" s="5"/>
    </row>
    <row r="1105" spans="8:8" x14ac:dyDescent="0.25">
      <c r="H1105" s="5"/>
    </row>
    <row r="1106" spans="8:8" x14ac:dyDescent="0.25">
      <c r="H1106" s="5"/>
    </row>
    <row r="1107" spans="8:8" x14ac:dyDescent="0.25">
      <c r="H1107" s="5"/>
    </row>
    <row r="1108" spans="8:8" x14ac:dyDescent="0.25">
      <c r="H1108" s="5"/>
    </row>
    <row r="1109" spans="8:8" x14ac:dyDescent="0.25">
      <c r="H1109" s="5"/>
    </row>
    <row r="1110" spans="8:8" x14ac:dyDescent="0.25">
      <c r="H1110" s="5"/>
    </row>
    <row r="1111" spans="8:8" x14ac:dyDescent="0.25">
      <c r="H1111" s="5"/>
    </row>
    <row r="1112" spans="8:8" x14ac:dyDescent="0.25">
      <c r="H1112" s="5"/>
    </row>
    <row r="1113" spans="8:8" x14ac:dyDescent="0.25">
      <c r="H1113" s="5"/>
    </row>
    <row r="1114" spans="8:8" x14ac:dyDescent="0.25">
      <c r="H1114" s="5"/>
    </row>
    <row r="1115" spans="8:8" x14ac:dyDescent="0.25">
      <c r="H1115" s="5"/>
    </row>
    <row r="1116" spans="8:8" x14ac:dyDescent="0.25">
      <c r="H1116" s="5"/>
    </row>
    <row r="1117" spans="8:8" x14ac:dyDescent="0.25">
      <c r="H1117" s="5"/>
    </row>
    <row r="1118" spans="8:8" x14ac:dyDescent="0.25">
      <c r="H1118" s="5"/>
    </row>
    <row r="1119" spans="8:8" x14ac:dyDescent="0.25">
      <c r="H1119" s="5"/>
    </row>
    <row r="1120" spans="8:8" x14ac:dyDescent="0.25">
      <c r="H1120" s="5"/>
    </row>
    <row r="1121" spans="8:8" x14ac:dyDescent="0.25">
      <c r="H1121" s="5"/>
    </row>
    <row r="1122" spans="8:8" x14ac:dyDescent="0.25">
      <c r="H1122" s="5"/>
    </row>
    <row r="1123" spans="8:8" x14ac:dyDescent="0.25">
      <c r="H1123" s="5"/>
    </row>
    <row r="1124" spans="8:8" x14ac:dyDescent="0.25">
      <c r="H1124" s="5"/>
    </row>
    <row r="1125" spans="8:8" x14ac:dyDescent="0.25">
      <c r="H1125" s="5"/>
    </row>
    <row r="1126" spans="8:8" x14ac:dyDescent="0.25">
      <c r="H1126" s="5"/>
    </row>
    <row r="1127" spans="8:8" x14ac:dyDescent="0.25">
      <c r="H1127" s="5"/>
    </row>
    <row r="1128" spans="8:8" x14ac:dyDescent="0.25">
      <c r="H1128" s="5"/>
    </row>
    <row r="1129" spans="8:8" x14ac:dyDescent="0.25">
      <c r="H1129" s="5"/>
    </row>
    <row r="1130" spans="8:8" x14ac:dyDescent="0.25">
      <c r="H1130" s="5"/>
    </row>
    <row r="1131" spans="8:8" x14ac:dyDescent="0.25">
      <c r="H1131" s="5"/>
    </row>
    <row r="1132" spans="8:8" x14ac:dyDescent="0.25">
      <c r="H1132" s="5"/>
    </row>
    <row r="1133" spans="8:8" x14ac:dyDescent="0.25">
      <c r="H1133" s="5"/>
    </row>
    <row r="1134" spans="8:8" x14ac:dyDescent="0.25">
      <c r="H1134" s="5"/>
    </row>
    <row r="1135" spans="8:8" x14ac:dyDescent="0.25">
      <c r="H1135" s="5"/>
    </row>
    <row r="1136" spans="8:8" x14ac:dyDescent="0.25">
      <c r="H1136" s="5"/>
    </row>
    <row r="1137" spans="8:8" x14ac:dyDescent="0.25">
      <c r="H1137" s="5"/>
    </row>
    <row r="1138" spans="8:8" x14ac:dyDescent="0.25">
      <c r="H1138" s="5"/>
    </row>
    <row r="1139" spans="8:8" x14ac:dyDescent="0.25">
      <c r="H1139" s="5"/>
    </row>
    <row r="1140" spans="8:8" x14ac:dyDescent="0.25">
      <c r="H1140" s="5"/>
    </row>
    <row r="1141" spans="8:8" x14ac:dyDescent="0.25">
      <c r="H1141" s="5"/>
    </row>
    <row r="1142" spans="8:8" x14ac:dyDescent="0.25">
      <c r="H1142" s="5"/>
    </row>
    <row r="1143" spans="8:8" x14ac:dyDescent="0.25">
      <c r="H1143" s="5"/>
    </row>
    <row r="1144" spans="8:8" x14ac:dyDescent="0.25">
      <c r="H1144" s="5"/>
    </row>
    <row r="1145" spans="8:8" x14ac:dyDescent="0.25">
      <c r="H1145" s="5"/>
    </row>
    <row r="1146" spans="8:8" x14ac:dyDescent="0.25">
      <c r="H1146" s="5"/>
    </row>
    <row r="1147" spans="8:8" x14ac:dyDescent="0.25">
      <c r="H1147" s="5"/>
    </row>
    <row r="1148" spans="8:8" x14ac:dyDescent="0.25">
      <c r="H1148" s="5"/>
    </row>
    <row r="1149" spans="8:8" x14ac:dyDescent="0.25">
      <c r="H1149" s="5"/>
    </row>
    <row r="1150" spans="8:8" x14ac:dyDescent="0.25">
      <c r="H1150" s="5"/>
    </row>
    <row r="1151" spans="8:8" x14ac:dyDescent="0.25">
      <c r="H1151" s="5"/>
    </row>
    <row r="1152" spans="8:8" x14ac:dyDescent="0.25">
      <c r="H1152" s="5"/>
    </row>
    <row r="1153" spans="8:8" x14ac:dyDescent="0.25">
      <c r="H1153" s="5"/>
    </row>
    <row r="1154" spans="8:8" x14ac:dyDescent="0.25">
      <c r="H1154" s="5"/>
    </row>
    <row r="1155" spans="8:8" x14ac:dyDescent="0.25">
      <c r="H1155" s="5"/>
    </row>
    <row r="1156" spans="8:8" x14ac:dyDescent="0.25">
      <c r="H1156" s="5"/>
    </row>
    <row r="1157" spans="8:8" x14ac:dyDescent="0.25">
      <c r="H1157" s="5"/>
    </row>
    <row r="1158" spans="8:8" x14ac:dyDescent="0.25">
      <c r="H1158" s="5"/>
    </row>
    <row r="1159" spans="8:8" x14ac:dyDescent="0.25">
      <c r="H1159" s="5"/>
    </row>
    <row r="1160" spans="8:8" x14ac:dyDescent="0.25">
      <c r="H1160" s="5"/>
    </row>
    <row r="1161" spans="8:8" x14ac:dyDescent="0.25">
      <c r="H1161" s="5"/>
    </row>
    <row r="1162" spans="8:8" x14ac:dyDescent="0.25">
      <c r="H1162" s="5"/>
    </row>
    <row r="1163" spans="8:8" x14ac:dyDescent="0.25">
      <c r="H1163" s="5"/>
    </row>
    <row r="1164" spans="8:8" x14ac:dyDescent="0.25">
      <c r="H1164" s="5"/>
    </row>
    <row r="1165" spans="8:8" x14ac:dyDescent="0.25">
      <c r="H1165" s="5"/>
    </row>
    <row r="1166" spans="8:8" x14ac:dyDescent="0.25">
      <c r="H1166" s="5"/>
    </row>
    <row r="1167" spans="8:8" x14ac:dyDescent="0.25">
      <c r="H1167" s="5"/>
    </row>
    <row r="1168" spans="8:8" x14ac:dyDescent="0.25">
      <c r="H1168" s="5"/>
    </row>
    <row r="1169" spans="8:8" x14ac:dyDescent="0.25">
      <c r="H1169" s="5"/>
    </row>
    <row r="1170" spans="8:8" x14ac:dyDescent="0.25">
      <c r="H1170" s="5"/>
    </row>
    <row r="1171" spans="8:8" x14ac:dyDescent="0.25">
      <c r="H1171" s="5"/>
    </row>
    <row r="1172" spans="8:8" x14ac:dyDescent="0.25">
      <c r="H1172" s="5"/>
    </row>
    <row r="1173" spans="8:8" x14ac:dyDescent="0.25">
      <c r="H1173" s="5"/>
    </row>
    <row r="1174" spans="8:8" x14ac:dyDescent="0.25">
      <c r="H1174" s="5"/>
    </row>
    <row r="1175" spans="8:8" x14ac:dyDescent="0.25">
      <c r="H1175" s="5"/>
    </row>
    <row r="1176" spans="8:8" x14ac:dyDescent="0.25">
      <c r="H1176" s="5"/>
    </row>
    <row r="1177" spans="8:8" x14ac:dyDescent="0.25">
      <c r="H1177" s="5"/>
    </row>
    <row r="1178" spans="8:8" x14ac:dyDescent="0.25">
      <c r="H1178" s="5"/>
    </row>
    <row r="1179" spans="8:8" x14ac:dyDescent="0.25">
      <c r="H1179" s="5"/>
    </row>
    <row r="1180" spans="8:8" x14ac:dyDescent="0.25">
      <c r="H1180" s="5"/>
    </row>
    <row r="1181" spans="8:8" x14ac:dyDescent="0.25">
      <c r="H1181" s="5"/>
    </row>
    <row r="1182" spans="8:8" x14ac:dyDescent="0.25">
      <c r="H1182" s="5"/>
    </row>
    <row r="1183" spans="8:8" x14ac:dyDescent="0.25">
      <c r="H1183" s="5"/>
    </row>
    <row r="1184" spans="8:8" x14ac:dyDescent="0.25">
      <c r="H1184" s="5"/>
    </row>
    <row r="1185" spans="8:8" x14ac:dyDescent="0.25">
      <c r="H1185" s="5"/>
    </row>
    <row r="1186" spans="8:8" x14ac:dyDescent="0.25">
      <c r="H1186" s="5"/>
    </row>
    <row r="1187" spans="8:8" x14ac:dyDescent="0.25">
      <c r="H1187" s="5"/>
    </row>
    <row r="1188" spans="8:8" x14ac:dyDescent="0.25">
      <c r="H1188" s="5"/>
    </row>
    <row r="1189" spans="8:8" x14ac:dyDescent="0.25">
      <c r="H1189" s="5"/>
    </row>
    <row r="1190" spans="8:8" x14ac:dyDescent="0.25">
      <c r="H1190" s="5"/>
    </row>
    <row r="1191" spans="8:8" x14ac:dyDescent="0.25">
      <c r="H1191" s="5"/>
    </row>
    <row r="1192" spans="8:8" x14ac:dyDescent="0.25">
      <c r="H1192" s="5"/>
    </row>
    <row r="1193" spans="8:8" x14ac:dyDescent="0.25">
      <c r="H1193" s="5"/>
    </row>
    <row r="1194" spans="8:8" x14ac:dyDescent="0.25">
      <c r="H1194" s="5"/>
    </row>
    <row r="1195" spans="8:8" x14ac:dyDescent="0.25">
      <c r="H1195" s="5"/>
    </row>
    <row r="1196" spans="8:8" x14ac:dyDescent="0.25">
      <c r="H1196" s="5"/>
    </row>
    <row r="1197" spans="8:8" x14ac:dyDescent="0.25">
      <c r="H1197" s="5"/>
    </row>
    <row r="1198" spans="8:8" x14ac:dyDescent="0.25">
      <c r="H1198" s="5"/>
    </row>
    <row r="1199" spans="8:8" x14ac:dyDescent="0.25">
      <c r="H1199" s="5"/>
    </row>
    <row r="1200" spans="8:8" x14ac:dyDescent="0.25">
      <c r="H1200" s="5"/>
    </row>
    <row r="1201" spans="8:8" x14ac:dyDescent="0.25">
      <c r="H1201" s="5"/>
    </row>
    <row r="1202" spans="8:8" x14ac:dyDescent="0.25">
      <c r="H1202" s="5"/>
    </row>
    <row r="1203" spans="8:8" x14ac:dyDescent="0.25">
      <c r="H1203" s="5"/>
    </row>
    <row r="1204" spans="8:8" x14ac:dyDescent="0.25">
      <c r="H1204" s="5"/>
    </row>
    <row r="1205" spans="8:8" x14ac:dyDescent="0.25">
      <c r="H1205" s="5"/>
    </row>
    <row r="1206" spans="8:8" x14ac:dyDescent="0.25">
      <c r="H1206" s="5"/>
    </row>
    <row r="1207" spans="8:8" x14ac:dyDescent="0.25">
      <c r="H1207" s="5"/>
    </row>
    <row r="1208" spans="8:8" x14ac:dyDescent="0.25">
      <c r="H1208" s="5"/>
    </row>
    <row r="1209" spans="8:8" x14ac:dyDescent="0.25">
      <c r="H1209" s="5"/>
    </row>
    <row r="1210" spans="8:8" x14ac:dyDescent="0.25">
      <c r="H1210" s="5"/>
    </row>
    <row r="1211" spans="8:8" x14ac:dyDescent="0.25">
      <c r="H1211" s="5"/>
    </row>
    <row r="1212" spans="8:8" x14ac:dyDescent="0.25">
      <c r="H1212" s="5"/>
    </row>
    <row r="1213" spans="8:8" x14ac:dyDescent="0.25">
      <c r="H1213" s="5"/>
    </row>
    <row r="1214" spans="8:8" x14ac:dyDescent="0.25">
      <c r="H1214" s="5"/>
    </row>
    <row r="1215" spans="8:8" x14ac:dyDescent="0.25">
      <c r="H1215" s="5"/>
    </row>
    <row r="1216" spans="8:8" x14ac:dyDescent="0.25">
      <c r="H1216" s="5"/>
    </row>
    <row r="1217" spans="8:8" x14ac:dyDescent="0.25">
      <c r="H1217" s="5"/>
    </row>
    <row r="1218" spans="8:8" x14ac:dyDescent="0.25">
      <c r="H1218" s="5"/>
    </row>
    <row r="1219" spans="8:8" x14ac:dyDescent="0.25">
      <c r="H1219" s="5"/>
    </row>
    <row r="1220" spans="8:8" x14ac:dyDescent="0.25">
      <c r="H1220" s="5"/>
    </row>
    <row r="1221" spans="8:8" x14ac:dyDescent="0.25">
      <c r="H1221" s="5"/>
    </row>
    <row r="1222" spans="8:8" x14ac:dyDescent="0.25">
      <c r="H1222" s="5"/>
    </row>
    <row r="1223" spans="8:8" x14ac:dyDescent="0.25">
      <c r="H1223" s="5"/>
    </row>
    <row r="1224" spans="8:8" x14ac:dyDescent="0.25">
      <c r="H1224" s="5"/>
    </row>
    <row r="1225" spans="8:8" x14ac:dyDescent="0.25">
      <c r="H1225" s="5"/>
    </row>
    <row r="1226" spans="8:8" x14ac:dyDescent="0.25">
      <c r="H1226" s="5"/>
    </row>
    <row r="1227" spans="8:8" x14ac:dyDescent="0.25">
      <c r="H1227" s="5"/>
    </row>
    <row r="1228" spans="8:8" x14ac:dyDescent="0.25">
      <c r="H1228" s="5"/>
    </row>
    <row r="1229" spans="8:8" x14ac:dyDescent="0.25">
      <c r="H1229" s="5"/>
    </row>
    <row r="1230" spans="8:8" x14ac:dyDescent="0.25">
      <c r="H1230" s="5"/>
    </row>
    <row r="1231" spans="8:8" x14ac:dyDescent="0.25">
      <c r="H1231" s="5"/>
    </row>
    <row r="1232" spans="8:8" x14ac:dyDescent="0.25">
      <c r="H1232" s="5"/>
    </row>
    <row r="1233" spans="8:8" x14ac:dyDescent="0.25">
      <c r="H1233" s="5"/>
    </row>
    <row r="1234" spans="8:8" x14ac:dyDescent="0.25">
      <c r="H1234" s="5"/>
    </row>
    <row r="1235" spans="8:8" x14ac:dyDescent="0.25">
      <c r="H1235" s="5"/>
    </row>
    <row r="1236" spans="8:8" x14ac:dyDescent="0.25">
      <c r="H1236" s="5"/>
    </row>
    <row r="1237" spans="8:8" x14ac:dyDescent="0.25">
      <c r="H1237" s="5"/>
    </row>
    <row r="1238" spans="8:8" x14ac:dyDescent="0.25">
      <c r="H1238" s="5"/>
    </row>
    <row r="1239" spans="8:8" x14ac:dyDescent="0.25">
      <c r="H1239" s="5"/>
    </row>
    <row r="1240" spans="8:8" x14ac:dyDescent="0.25">
      <c r="H1240" s="5"/>
    </row>
    <row r="1241" spans="8:8" x14ac:dyDescent="0.25">
      <c r="H1241" s="5"/>
    </row>
    <row r="1242" spans="8:8" x14ac:dyDescent="0.25">
      <c r="H1242" s="5"/>
    </row>
    <row r="1243" spans="8:8" x14ac:dyDescent="0.25">
      <c r="H1243" s="5"/>
    </row>
    <row r="1244" spans="8:8" x14ac:dyDescent="0.25">
      <c r="H1244" s="5"/>
    </row>
    <row r="1245" spans="8:8" x14ac:dyDescent="0.25">
      <c r="H1245" s="5"/>
    </row>
    <row r="1246" spans="8:8" x14ac:dyDescent="0.25">
      <c r="H1246" s="5"/>
    </row>
    <row r="1247" spans="8:8" x14ac:dyDescent="0.25">
      <c r="H1247" s="5"/>
    </row>
    <row r="1248" spans="8:8" x14ac:dyDescent="0.25">
      <c r="H1248" s="5"/>
    </row>
    <row r="1249" spans="8:8" x14ac:dyDescent="0.25">
      <c r="H1249" s="5"/>
    </row>
    <row r="1250" spans="8:8" x14ac:dyDescent="0.25">
      <c r="H1250" s="5"/>
    </row>
    <row r="1251" spans="8:8" x14ac:dyDescent="0.25">
      <c r="H1251" s="5"/>
    </row>
    <row r="1252" spans="8:8" x14ac:dyDescent="0.25">
      <c r="H1252" s="5"/>
    </row>
    <row r="1253" spans="8:8" x14ac:dyDescent="0.25">
      <c r="H1253" s="5"/>
    </row>
    <row r="1254" spans="8:8" x14ac:dyDescent="0.25">
      <c r="H1254" s="5"/>
    </row>
    <row r="1255" spans="8:8" x14ac:dyDescent="0.25">
      <c r="H1255" s="5"/>
    </row>
    <row r="1256" spans="8:8" x14ac:dyDescent="0.25">
      <c r="H1256" s="5"/>
    </row>
    <row r="1257" spans="8:8" x14ac:dyDescent="0.25">
      <c r="H1257" s="5"/>
    </row>
    <row r="1258" spans="8:8" x14ac:dyDescent="0.25">
      <c r="H1258" s="5"/>
    </row>
    <row r="1259" spans="8:8" x14ac:dyDescent="0.25">
      <c r="H1259" s="5"/>
    </row>
    <row r="1260" spans="8:8" x14ac:dyDescent="0.25">
      <c r="H1260" s="5"/>
    </row>
    <row r="1261" spans="8:8" x14ac:dyDescent="0.25">
      <c r="H1261" s="5"/>
    </row>
    <row r="1262" spans="8:8" x14ac:dyDescent="0.25">
      <c r="H1262" s="5"/>
    </row>
    <row r="1263" spans="8:8" x14ac:dyDescent="0.25">
      <c r="H1263" s="5"/>
    </row>
    <row r="1264" spans="8:8" x14ac:dyDescent="0.25">
      <c r="H1264" s="5"/>
    </row>
    <row r="1265" spans="8:8" x14ac:dyDescent="0.25">
      <c r="H1265" s="5"/>
    </row>
    <row r="1266" spans="8:8" x14ac:dyDescent="0.25">
      <c r="H1266" s="5"/>
    </row>
    <row r="1267" spans="8:8" x14ac:dyDescent="0.25">
      <c r="H1267" s="5"/>
    </row>
    <row r="1268" spans="8:8" x14ac:dyDescent="0.25">
      <c r="H1268" s="5"/>
    </row>
    <row r="1269" spans="8:8" x14ac:dyDescent="0.25">
      <c r="H1269" s="5"/>
    </row>
    <row r="1270" spans="8:8" x14ac:dyDescent="0.25">
      <c r="H1270" s="5"/>
    </row>
    <row r="1271" spans="8:8" x14ac:dyDescent="0.25">
      <c r="H1271" s="5"/>
    </row>
    <row r="1272" spans="8:8" x14ac:dyDescent="0.25">
      <c r="H1272" s="5"/>
    </row>
    <row r="1273" spans="8:8" x14ac:dyDescent="0.25">
      <c r="H1273" s="5"/>
    </row>
    <row r="1274" spans="8:8" x14ac:dyDescent="0.25">
      <c r="H1274" s="5"/>
    </row>
    <row r="1275" spans="8:8" x14ac:dyDescent="0.25">
      <c r="H1275" s="5"/>
    </row>
    <row r="1276" spans="8:8" x14ac:dyDescent="0.25">
      <c r="H1276" s="5"/>
    </row>
    <row r="1277" spans="8:8" x14ac:dyDescent="0.25">
      <c r="H1277" s="5"/>
    </row>
    <row r="1278" spans="8:8" x14ac:dyDescent="0.25">
      <c r="H1278" s="5"/>
    </row>
    <row r="1279" spans="8:8" x14ac:dyDescent="0.25">
      <c r="H1279" s="5"/>
    </row>
    <row r="1280" spans="8:8" x14ac:dyDescent="0.25">
      <c r="H1280" s="5"/>
    </row>
    <row r="1281" spans="8:8" x14ac:dyDescent="0.25">
      <c r="H1281" s="5"/>
    </row>
    <row r="1282" spans="8:8" x14ac:dyDescent="0.25">
      <c r="H1282" s="5"/>
    </row>
    <row r="1283" spans="8:8" x14ac:dyDescent="0.25">
      <c r="H1283" s="5"/>
    </row>
    <row r="1284" spans="8:8" x14ac:dyDescent="0.25">
      <c r="H1284" s="5"/>
    </row>
    <row r="1285" spans="8:8" x14ac:dyDescent="0.25">
      <c r="H1285" s="5"/>
    </row>
    <row r="1286" spans="8:8" x14ac:dyDescent="0.25">
      <c r="H1286" s="5"/>
    </row>
    <row r="1287" spans="8:8" x14ac:dyDescent="0.25">
      <c r="H1287" s="5"/>
    </row>
    <row r="1288" spans="8:8" x14ac:dyDescent="0.25">
      <c r="H1288" s="5"/>
    </row>
    <row r="1289" spans="8:8" x14ac:dyDescent="0.25">
      <c r="H1289" s="5"/>
    </row>
    <row r="1290" spans="8:8" x14ac:dyDescent="0.25">
      <c r="H1290" s="5"/>
    </row>
    <row r="1291" spans="8:8" x14ac:dyDescent="0.25">
      <c r="H1291" s="5"/>
    </row>
    <row r="1292" spans="8:8" x14ac:dyDescent="0.25">
      <c r="H1292" s="5"/>
    </row>
    <row r="1293" spans="8:8" x14ac:dyDescent="0.25">
      <c r="H1293" s="5"/>
    </row>
    <row r="1294" spans="8:8" x14ac:dyDescent="0.25">
      <c r="H1294" s="5"/>
    </row>
    <row r="1295" spans="8:8" x14ac:dyDescent="0.25">
      <c r="H1295" s="5"/>
    </row>
    <row r="1296" spans="8:8" x14ac:dyDescent="0.25">
      <c r="H1296" s="5"/>
    </row>
    <row r="1297" spans="8:8" x14ac:dyDescent="0.25">
      <c r="H1297" s="5"/>
    </row>
    <row r="1298" spans="8:8" x14ac:dyDescent="0.25">
      <c r="H1298" s="5"/>
    </row>
    <row r="1299" spans="8:8" x14ac:dyDescent="0.25">
      <c r="H1299" s="5"/>
    </row>
    <row r="1300" spans="8:8" x14ac:dyDescent="0.25">
      <c r="H1300" s="5"/>
    </row>
    <row r="1301" spans="8:8" x14ac:dyDescent="0.25">
      <c r="H1301" s="5"/>
    </row>
    <row r="1302" spans="8:8" x14ac:dyDescent="0.25">
      <c r="H1302" s="5"/>
    </row>
    <row r="1303" spans="8:8" x14ac:dyDescent="0.25">
      <c r="H1303" s="5"/>
    </row>
    <row r="1304" spans="8:8" x14ac:dyDescent="0.25">
      <c r="H1304" s="5"/>
    </row>
    <row r="1305" spans="8:8" x14ac:dyDescent="0.25">
      <c r="H1305" s="5"/>
    </row>
    <row r="1306" spans="8:8" x14ac:dyDescent="0.25">
      <c r="H1306" s="5"/>
    </row>
    <row r="1307" spans="8:8" x14ac:dyDescent="0.25">
      <c r="H1307" s="5"/>
    </row>
    <row r="1308" spans="8:8" x14ac:dyDescent="0.25">
      <c r="H1308" s="5"/>
    </row>
    <row r="1309" spans="8:8" x14ac:dyDescent="0.25">
      <c r="H1309" s="5"/>
    </row>
    <row r="1310" spans="8:8" x14ac:dyDescent="0.25">
      <c r="H1310" s="5"/>
    </row>
    <row r="1311" spans="8:8" x14ac:dyDescent="0.25">
      <c r="H1311" s="5"/>
    </row>
    <row r="1312" spans="8:8" x14ac:dyDescent="0.25">
      <c r="H1312" s="5"/>
    </row>
    <row r="1313" spans="8:8" x14ac:dyDescent="0.25">
      <c r="H1313" s="5"/>
    </row>
    <row r="1314" spans="8:8" x14ac:dyDescent="0.25">
      <c r="H1314" s="5"/>
    </row>
    <row r="1315" spans="8:8" x14ac:dyDescent="0.25">
      <c r="H1315" s="5"/>
    </row>
    <row r="1316" spans="8:8" x14ac:dyDescent="0.25">
      <c r="H1316" s="5"/>
    </row>
    <row r="1317" spans="8:8" x14ac:dyDescent="0.25">
      <c r="H1317" s="5"/>
    </row>
    <row r="1318" spans="8:8" x14ac:dyDescent="0.25">
      <c r="H1318" s="5"/>
    </row>
    <row r="1319" spans="8:8" x14ac:dyDescent="0.25">
      <c r="H1319" s="5"/>
    </row>
    <row r="1320" spans="8:8" x14ac:dyDescent="0.25">
      <c r="H1320" s="5"/>
    </row>
    <row r="1321" spans="8:8" x14ac:dyDescent="0.25">
      <c r="H1321" s="5"/>
    </row>
    <row r="1322" spans="8:8" x14ac:dyDescent="0.25">
      <c r="H1322" s="5"/>
    </row>
    <row r="1323" spans="8:8" x14ac:dyDescent="0.25">
      <c r="H1323" s="5"/>
    </row>
    <row r="1324" spans="8:8" x14ac:dyDescent="0.25">
      <c r="H1324" s="5"/>
    </row>
    <row r="1325" spans="8:8" x14ac:dyDescent="0.25">
      <c r="H1325" s="5"/>
    </row>
    <row r="1326" spans="8:8" x14ac:dyDescent="0.25">
      <c r="H1326" s="5"/>
    </row>
    <row r="1327" spans="8:8" x14ac:dyDescent="0.25">
      <c r="H1327" s="5"/>
    </row>
    <row r="1328" spans="8:8" x14ac:dyDescent="0.25">
      <c r="H1328" s="5"/>
    </row>
    <row r="1329" spans="8:8" x14ac:dyDescent="0.25">
      <c r="H1329" s="5"/>
    </row>
    <row r="1330" spans="8:8" x14ac:dyDescent="0.25">
      <c r="H1330" s="5"/>
    </row>
    <row r="1331" spans="8:8" x14ac:dyDescent="0.25">
      <c r="H1331" s="5"/>
    </row>
    <row r="1332" spans="8:8" x14ac:dyDescent="0.25">
      <c r="H1332" s="5"/>
    </row>
    <row r="1333" spans="8:8" x14ac:dyDescent="0.25">
      <c r="H1333" s="5"/>
    </row>
    <row r="1334" spans="8:8" x14ac:dyDescent="0.25">
      <c r="H1334" s="5"/>
    </row>
    <row r="1335" spans="8:8" x14ac:dyDescent="0.25">
      <c r="H1335" s="5"/>
    </row>
    <row r="1336" spans="8:8" x14ac:dyDescent="0.25">
      <c r="H1336" s="5"/>
    </row>
    <row r="1337" spans="8:8" x14ac:dyDescent="0.25">
      <c r="H1337" s="5"/>
    </row>
    <row r="1338" spans="8:8" x14ac:dyDescent="0.25">
      <c r="H1338" s="5"/>
    </row>
    <row r="1339" spans="8:8" x14ac:dyDescent="0.25">
      <c r="H1339" s="5"/>
    </row>
    <row r="1340" spans="8:8" x14ac:dyDescent="0.25">
      <c r="H1340" s="5"/>
    </row>
    <row r="1341" spans="8:8" x14ac:dyDescent="0.25">
      <c r="H1341" s="5"/>
    </row>
    <row r="1342" spans="8:8" x14ac:dyDescent="0.25">
      <c r="H1342" s="5"/>
    </row>
    <row r="1343" spans="8:8" x14ac:dyDescent="0.25">
      <c r="H1343" s="5"/>
    </row>
    <row r="1344" spans="8:8" x14ac:dyDescent="0.25">
      <c r="H1344" s="5"/>
    </row>
    <row r="1345" spans="8:8" x14ac:dyDescent="0.25">
      <c r="H1345" s="5"/>
    </row>
    <row r="1346" spans="8:8" x14ac:dyDescent="0.25">
      <c r="H1346" s="5"/>
    </row>
    <row r="1347" spans="8:8" x14ac:dyDescent="0.25">
      <c r="H1347" s="5"/>
    </row>
    <row r="1348" spans="8:8" x14ac:dyDescent="0.25">
      <c r="H1348" s="5"/>
    </row>
    <row r="1349" spans="8:8" x14ac:dyDescent="0.25">
      <c r="H1349" s="5"/>
    </row>
    <row r="1350" spans="8:8" x14ac:dyDescent="0.25">
      <c r="H1350" s="5"/>
    </row>
    <row r="1351" spans="8:8" x14ac:dyDescent="0.25">
      <c r="H1351" s="5"/>
    </row>
    <row r="1352" spans="8:8" x14ac:dyDescent="0.25">
      <c r="H1352" s="5"/>
    </row>
    <row r="1353" spans="8:8" x14ac:dyDescent="0.25">
      <c r="H1353" s="5"/>
    </row>
    <row r="1354" spans="8:8" x14ac:dyDescent="0.25">
      <c r="H1354" s="5"/>
    </row>
    <row r="1355" spans="8:8" x14ac:dyDescent="0.25">
      <c r="H1355" s="5"/>
    </row>
    <row r="1356" spans="8:8" x14ac:dyDescent="0.25">
      <c r="H1356" s="5"/>
    </row>
    <row r="1357" spans="8:8" x14ac:dyDescent="0.25">
      <c r="H1357" s="5"/>
    </row>
    <row r="1358" spans="8:8" x14ac:dyDescent="0.25">
      <c r="H1358" s="5"/>
    </row>
    <row r="1359" spans="8:8" x14ac:dyDescent="0.25">
      <c r="H1359" s="5"/>
    </row>
    <row r="1360" spans="8:8" x14ac:dyDescent="0.25">
      <c r="H1360" s="5"/>
    </row>
    <row r="1361" spans="8:8" x14ac:dyDescent="0.25">
      <c r="H1361" s="5"/>
    </row>
    <row r="1362" spans="8:8" x14ac:dyDescent="0.25">
      <c r="H1362" s="5"/>
    </row>
    <row r="1363" spans="8:8" x14ac:dyDescent="0.25">
      <c r="H1363" s="5"/>
    </row>
    <row r="1364" spans="8:8" x14ac:dyDescent="0.25">
      <c r="H1364" s="5"/>
    </row>
    <row r="1365" spans="8:8" x14ac:dyDescent="0.25">
      <c r="H1365" s="5"/>
    </row>
    <row r="1366" spans="8:8" x14ac:dyDescent="0.25">
      <c r="H1366" s="5"/>
    </row>
    <row r="1367" spans="8:8" x14ac:dyDescent="0.25">
      <c r="H1367" s="5"/>
    </row>
    <row r="1368" spans="8:8" x14ac:dyDescent="0.25">
      <c r="H1368" s="5"/>
    </row>
    <row r="1369" spans="8:8" x14ac:dyDescent="0.25">
      <c r="H1369" s="5"/>
    </row>
    <row r="1370" spans="8:8" x14ac:dyDescent="0.25">
      <c r="H1370" s="5"/>
    </row>
    <row r="1371" spans="8:8" x14ac:dyDescent="0.25">
      <c r="H1371" s="5"/>
    </row>
    <row r="1372" spans="8:8" x14ac:dyDescent="0.25">
      <c r="H1372" s="5"/>
    </row>
    <row r="1373" spans="8:8" x14ac:dyDescent="0.25">
      <c r="H1373" s="5"/>
    </row>
    <row r="1374" spans="8:8" x14ac:dyDescent="0.25">
      <c r="H1374" s="5"/>
    </row>
    <row r="1375" spans="8:8" x14ac:dyDescent="0.25">
      <c r="H1375" s="5"/>
    </row>
    <row r="1376" spans="8:8" x14ac:dyDescent="0.25">
      <c r="H1376" s="5"/>
    </row>
    <row r="1377" spans="8:8" x14ac:dyDescent="0.25">
      <c r="H1377" s="5"/>
    </row>
    <row r="1378" spans="8:8" x14ac:dyDescent="0.25">
      <c r="H1378" s="5"/>
    </row>
    <row r="1379" spans="8:8" x14ac:dyDescent="0.25">
      <c r="H1379" s="5"/>
    </row>
    <row r="1380" spans="8:8" x14ac:dyDescent="0.25">
      <c r="H1380" s="5"/>
    </row>
    <row r="1381" spans="8:8" x14ac:dyDescent="0.25">
      <c r="H1381" s="5"/>
    </row>
    <row r="1382" spans="8:8" x14ac:dyDescent="0.25">
      <c r="H1382" s="5"/>
    </row>
    <row r="1383" spans="8:8" x14ac:dyDescent="0.25">
      <c r="H1383" s="5"/>
    </row>
    <row r="1384" spans="8:8" x14ac:dyDescent="0.25">
      <c r="H1384" s="5"/>
    </row>
    <row r="1385" spans="8:8" x14ac:dyDescent="0.25">
      <c r="H1385" s="5"/>
    </row>
    <row r="1386" spans="8:8" x14ac:dyDescent="0.25">
      <c r="H1386" s="5"/>
    </row>
    <row r="1387" spans="8:8" x14ac:dyDescent="0.25">
      <c r="H1387" s="5"/>
    </row>
    <row r="1388" spans="8:8" x14ac:dyDescent="0.25">
      <c r="H1388" s="5"/>
    </row>
    <row r="1389" spans="8:8" x14ac:dyDescent="0.25">
      <c r="H1389" s="5"/>
    </row>
    <row r="1390" spans="8:8" x14ac:dyDescent="0.25">
      <c r="H1390" s="5"/>
    </row>
    <row r="1391" spans="8:8" x14ac:dyDescent="0.25">
      <c r="H1391" s="5"/>
    </row>
    <row r="1392" spans="8:8" x14ac:dyDescent="0.25">
      <c r="H1392" s="5"/>
    </row>
    <row r="1393" spans="8:8" x14ac:dyDescent="0.25">
      <c r="H1393" s="5"/>
    </row>
    <row r="1394" spans="8:8" x14ac:dyDescent="0.25">
      <c r="H1394" s="5"/>
    </row>
    <row r="1395" spans="8:8" x14ac:dyDescent="0.25">
      <c r="H1395" s="5"/>
    </row>
    <row r="1396" spans="8:8" x14ac:dyDescent="0.25">
      <c r="H1396" s="5"/>
    </row>
    <row r="1397" spans="8:8" x14ac:dyDescent="0.25">
      <c r="H1397" s="5"/>
    </row>
    <row r="1398" spans="8:8" x14ac:dyDescent="0.25">
      <c r="H1398" s="5"/>
    </row>
    <row r="1399" spans="8:8" x14ac:dyDescent="0.25">
      <c r="H1399" s="5"/>
    </row>
    <row r="1400" spans="8:8" x14ac:dyDescent="0.25">
      <c r="H1400" s="5"/>
    </row>
    <row r="1401" spans="8:8" x14ac:dyDescent="0.25">
      <c r="H1401" s="5"/>
    </row>
    <row r="1402" spans="8:8" x14ac:dyDescent="0.25">
      <c r="H1402" s="5"/>
    </row>
    <row r="1403" spans="8:8" x14ac:dyDescent="0.25">
      <c r="H1403" s="5"/>
    </row>
    <row r="1404" spans="8:8" x14ac:dyDescent="0.25">
      <c r="H1404" s="5"/>
    </row>
    <row r="1405" spans="8:8" x14ac:dyDescent="0.25">
      <c r="H1405" s="5"/>
    </row>
    <row r="1406" spans="8:8" x14ac:dyDescent="0.25">
      <c r="H1406" s="5"/>
    </row>
    <row r="1407" spans="8:8" x14ac:dyDescent="0.25">
      <c r="H1407" s="5"/>
    </row>
    <row r="1408" spans="8:8" x14ac:dyDescent="0.25">
      <c r="H1408" s="5"/>
    </row>
    <row r="1409" spans="8:8" x14ac:dyDescent="0.25">
      <c r="H1409" s="5"/>
    </row>
    <row r="1410" spans="8:8" x14ac:dyDescent="0.25">
      <c r="H1410" s="5"/>
    </row>
    <row r="1411" spans="8:8" x14ac:dyDescent="0.25">
      <c r="H1411" s="5"/>
    </row>
    <row r="1412" spans="8:8" x14ac:dyDescent="0.25">
      <c r="H1412" s="5"/>
    </row>
    <row r="1413" spans="8:8" x14ac:dyDescent="0.25">
      <c r="H1413" s="5"/>
    </row>
    <row r="1414" spans="8:8" x14ac:dyDescent="0.25">
      <c r="H1414" s="5"/>
    </row>
    <row r="1415" spans="8:8" x14ac:dyDescent="0.25">
      <c r="H1415" s="5"/>
    </row>
    <row r="1416" spans="8:8" x14ac:dyDescent="0.25">
      <c r="H1416" s="5"/>
    </row>
    <row r="1417" spans="8:8" x14ac:dyDescent="0.25">
      <c r="H1417" s="5"/>
    </row>
    <row r="1418" spans="8:8" x14ac:dyDescent="0.25">
      <c r="H1418" s="5"/>
    </row>
    <row r="1419" spans="8:8" x14ac:dyDescent="0.25">
      <c r="H1419" s="5"/>
    </row>
    <row r="1420" spans="8:8" x14ac:dyDescent="0.25">
      <c r="H1420" s="5"/>
    </row>
    <row r="1421" spans="8:8" x14ac:dyDescent="0.25">
      <c r="H1421" s="5"/>
    </row>
    <row r="1422" spans="8:8" x14ac:dyDescent="0.25">
      <c r="H1422" s="5"/>
    </row>
    <row r="1423" spans="8:8" x14ac:dyDescent="0.25">
      <c r="H1423" s="5"/>
    </row>
    <row r="1424" spans="8:8" x14ac:dyDescent="0.25">
      <c r="H1424" s="5"/>
    </row>
    <row r="1425" spans="8:8" x14ac:dyDescent="0.25">
      <c r="H1425" s="5"/>
    </row>
    <row r="1426" spans="8:8" x14ac:dyDescent="0.25">
      <c r="H1426" s="5"/>
    </row>
    <row r="1427" spans="8:8" x14ac:dyDescent="0.25">
      <c r="H1427" s="5"/>
    </row>
    <row r="1428" spans="8:8" x14ac:dyDescent="0.25">
      <c r="H1428" s="5"/>
    </row>
    <row r="1429" spans="8:8" x14ac:dyDescent="0.25">
      <c r="H1429" s="5"/>
    </row>
    <row r="1430" spans="8:8" x14ac:dyDescent="0.25">
      <c r="H1430" s="5"/>
    </row>
    <row r="1431" spans="8:8" x14ac:dyDescent="0.25">
      <c r="H1431" s="5"/>
    </row>
    <row r="1432" spans="8:8" x14ac:dyDescent="0.25">
      <c r="H1432" s="5"/>
    </row>
    <row r="1433" spans="8:8" x14ac:dyDescent="0.25">
      <c r="H1433" s="5"/>
    </row>
    <row r="1434" spans="8:8" x14ac:dyDescent="0.25">
      <c r="H1434" s="5"/>
    </row>
    <row r="1435" spans="8:8" x14ac:dyDescent="0.25">
      <c r="H1435" s="5"/>
    </row>
    <row r="1436" spans="8:8" x14ac:dyDescent="0.25">
      <c r="H1436" s="5"/>
    </row>
    <row r="1437" spans="8:8" x14ac:dyDescent="0.25">
      <c r="H1437" s="5"/>
    </row>
    <row r="1438" spans="8:8" x14ac:dyDescent="0.25">
      <c r="H1438" s="5"/>
    </row>
    <row r="1439" spans="8:8" x14ac:dyDescent="0.25">
      <c r="H1439" s="5"/>
    </row>
    <row r="1440" spans="8:8" x14ac:dyDescent="0.25">
      <c r="H1440" s="5"/>
    </row>
    <row r="1441" spans="8:8" x14ac:dyDescent="0.25">
      <c r="H1441" s="5"/>
    </row>
    <row r="1442" spans="8:8" x14ac:dyDescent="0.25">
      <c r="H1442" s="5"/>
    </row>
    <row r="1443" spans="8:8" x14ac:dyDescent="0.25">
      <c r="H1443" s="5"/>
    </row>
    <row r="1444" spans="8:8" x14ac:dyDescent="0.25">
      <c r="H1444" s="5"/>
    </row>
    <row r="1445" spans="8:8" x14ac:dyDescent="0.25">
      <c r="H1445" s="5"/>
    </row>
    <row r="1446" spans="8:8" x14ac:dyDescent="0.25">
      <c r="H1446" s="5"/>
    </row>
    <row r="1447" spans="8:8" x14ac:dyDescent="0.25">
      <c r="H1447" s="5"/>
    </row>
    <row r="1448" spans="8:8" x14ac:dyDescent="0.25">
      <c r="H1448" s="5"/>
    </row>
    <row r="1449" spans="8:8" x14ac:dyDescent="0.25">
      <c r="H1449" s="5"/>
    </row>
    <row r="1450" spans="8:8" x14ac:dyDescent="0.25">
      <c r="H1450" s="5"/>
    </row>
    <row r="1451" spans="8:8" x14ac:dyDescent="0.25">
      <c r="H1451" s="5"/>
    </row>
    <row r="1452" spans="8:8" x14ac:dyDescent="0.25">
      <c r="H1452" s="5"/>
    </row>
    <row r="1453" spans="8:8" x14ac:dyDescent="0.25">
      <c r="H1453" s="5"/>
    </row>
    <row r="1454" spans="8:8" x14ac:dyDescent="0.25">
      <c r="H1454" s="5"/>
    </row>
    <row r="1455" spans="8:8" x14ac:dyDescent="0.25">
      <c r="H1455" s="5"/>
    </row>
    <row r="1456" spans="8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  <row r="1684" spans="8:8" x14ac:dyDescent="0.25">
      <c r="H1684" s="5"/>
    </row>
    <row r="1685" spans="8:8" x14ac:dyDescent="0.25">
      <c r="H1685" s="5"/>
    </row>
    <row r="1686" spans="8:8" x14ac:dyDescent="0.25">
      <c r="H1686" s="5"/>
    </row>
    <row r="1687" spans="8:8" x14ac:dyDescent="0.25">
      <c r="H1687" s="5"/>
    </row>
    <row r="1688" spans="8:8" x14ac:dyDescent="0.25">
      <c r="H1688" s="5"/>
    </row>
    <row r="1689" spans="8:8" x14ac:dyDescent="0.25">
      <c r="H1689" s="5"/>
    </row>
    <row r="1690" spans="8:8" x14ac:dyDescent="0.25">
      <c r="H1690" s="5"/>
    </row>
    <row r="1691" spans="8:8" x14ac:dyDescent="0.25">
      <c r="H1691" s="5"/>
    </row>
    <row r="1692" spans="8:8" x14ac:dyDescent="0.25">
      <c r="H1692" s="5"/>
    </row>
    <row r="1693" spans="8:8" x14ac:dyDescent="0.25">
      <c r="H1693" s="5"/>
    </row>
    <row r="1694" spans="8:8" x14ac:dyDescent="0.25">
      <c r="H1694" s="5"/>
    </row>
    <row r="1695" spans="8:8" x14ac:dyDescent="0.25">
      <c r="H1695" s="5"/>
    </row>
    <row r="1696" spans="8:8" x14ac:dyDescent="0.25">
      <c r="H1696" s="5"/>
    </row>
    <row r="1697" spans="8:8" x14ac:dyDescent="0.25">
      <c r="H1697" s="5"/>
    </row>
    <row r="1698" spans="8:8" x14ac:dyDescent="0.25">
      <c r="H1698" s="5"/>
    </row>
    <row r="1699" spans="8:8" x14ac:dyDescent="0.25">
      <c r="H1699" s="5"/>
    </row>
    <row r="1700" spans="8:8" x14ac:dyDescent="0.25">
      <c r="H1700" s="5"/>
    </row>
    <row r="1701" spans="8:8" x14ac:dyDescent="0.25">
      <c r="H1701" s="5"/>
    </row>
    <row r="1702" spans="8:8" x14ac:dyDescent="0.25">
      <c r="H1702" s="5"/>
    </row>
    <row r="1703" spans="8:8" x14ac:dyDescent="0.25">
      <c r="H1703" s="5"/>
    </row>
    <row r="1704" spans="8:8" x14ac:dyDescent="0.25">
      <c r="H1704" s="5"/>
    </row>
    <row r="1705" spans="8:8" x14ac:dyDescent="0.25">
      <c r="H1705" s="5"/>
    </row>
    <row r="1706" spans="8:8" x14ac:dyDescent="0.25">
      <c r="H1706" s="5"/>
    </row>
    <row r="1707" spans="8:8" x14ac:dyDescent="0.25">
      <c r="H1707" s="5"/>
    </row>
    <row r="1708" spans="8:8" x14ac:dyDescent="0.25">
      <c r="H1708" s="5"/>
    </row>
    <row r="1709" spans="8:8" x14ac:dyDescent="0.25">
      <c r="H1709" s="5"/>
    </row>
    <row r="1710" spans="8:8" x14ac:dyDescent="0.25">
      <c r="H1710" s="5"/>
    </row>
    <row r="1711" spans="8:8" x14ac:dyDescent="0.25">
      <c r="H1711" s="5"/>
    </row>
    <row r="1712" spans="8:8" x14ac:dyDescent="0.25">
      <c r="H1712" s="5"/>
    </row>
    <row r="1713" spans="8:8" x14ac:dyDescent="0.25">
      <c r="H1713" s="5"/>
    </row>
    <row r="1714" spans="8:8" x14ac:dyDescent="0.25">
      <c r="H1714" s="5"/>
    </row>
    <row r="1715" spans="8:8" x14ac:dyDescent="0.25">
      <c r="H1715" s="5"/>
    </row>
    <row r="1716" spans="8:8" x14ac:dyDescent="0.25">
      <c r="H1716" s="5"/>
    </row>
    <row r="1717" spans="8:8" x14ac:dyDescent="0.25">
      <c r="H1717" s="5"/>
    </row>
    <row r="1718" spans="8:8" x14ac:dyDescent="0.25">
      <c r="H1718" s="5"/>
    </row>
    <row r="1719" spans="8:8" x14ac:dyDescent="0.25">
      <c r="H1719" s="5"/>
    </row>
    <row r="1720" spans="8:8" x14ac:dyDescent="0.25">
      <c r="H1720" s="5"/>
    </row>
    <row r="1721" spans="8:8" x14ac:dyDescent="0.25">
      <c r="H1721" s="5"/>
    </row>
    <row r="1722" spans="8:8" x14ac:dyDescent="0.25">
      <c r="H1722" s="5"/>
    </row>
    <row r="1723" spans="8:8" x14ac:dyDescent="0.25">
      <c r="H1723" s="5"/>
    </row>
    <row r="1724" spans="8:8" x14ac:dyDescent="0.25">
      <c r="H1724" s="5"/>
    </row>
    <row r="1725" spans="8:8" x14ac:dyDescent="0.25">
      <c r="H1725" s="5"/>
    </row>
    <row r="1726" spans="8:8" x14ac:dyDescent="0.25">
      <c r="H1726" s="5"/>
    </row>
    <row r="1727" spans="8:8" x14ac:dyDescent="0.25">
      <c r="H1727" s="5"/>
    </row>
    <row r="1728" spans="8:8" x14ac:dyDescent="0.25">
      <c r="H1728" s="5"/>
    </row>
    <row r="1729" spans="8:8" x14ac:dyDescent="0.25">
      <c r="H1729" s="5"/>
    </row>
    <row r="1730" spans="8:8" x14ac:dyDescent="0.25">
      <c r="H1730" s="5"/>
    </row>
    <row r="1731" spans="8:8" x14ac:dyDescent="0.25">
      <c r="H1731" s="5"/>
    </row>
    <row r="1732" spans="8:8" x14ac:dyDescent="0.25">
      <c r="H1732" s="5"/>
    </row>
    <row r="1733" spans="8:8" x14ac:dyDescent="0.25">
      <c r="H1733" s="5"/>
    </row>
    <row r="1734" spans="8:8" x14ac:dyDescent="0.25">
      <c r="H1734" s="5"/>
    </row>
    <row r="1735" spans="8:8" x14ac:dyDescent="0.25">
      <c r="H1735" s="5"/>
    </row>
    <row r="1736" spans="8:8" x14ac:dyDescent="0.25">
      <c r="H1736" s="5"/>
    </row>
    <row r="1737" spans="8:8" x14ac:dyDescent="0.25">
      <c r="H1737" s="5"/>
    </row>
    <row r="1738" spans="8:8" x14ac:dyDescent="0.25">
      <c r="H1738" s="5"/>
    </row>
    <row r="1739" spans="8:8" x14ac:dyDescent="0.25">
      <c r="H1739" s="5"/>
    </row>
    <row r="1740" spans="8:8" x14ac:dyDescent="0.25">
      <c r="H1740" s="5"/>
    </row>
    <row r="1741" spans="8:8" x14ac:dyDescent="0.25">
      <c r="H1741" s="5"/>
    </row>
    <row r="1742" spans="8:8" x14ac:dyDescent="0.25">
      <c r="H1742" s="5"/>
    </row>
    <row r="1743" spans="8:8" x14ac:dyDescent="0.25">
      <c r="H1743" s="5"/>
    </row>
    <row r="1744" spans="8:8" x14ac:dyDescent="0.25">
      <c r="H1744" s="5"/>
    </row>
    <row r="1745" spans="8:8" x14ac:dyDescent="0.25">
      <c r="H1745" s="5"/>
    </row>
    <row r="1746" spans="8:8" x14ac:dyDescent="0.25">
      <c r="H1746" s="5"/>
    </row>
    <row r="1747" spans="8:8" x14ac:dyDescent="0.25">
      <c r="H1747" s="5"/>
    </row>
    <row r="1748" spans="8:8" x14ac:dyDescent="0.25">
      <c r="H1748" s="5"/>
    </row>
    <row r="1749" spans="8:8" x14ac:dyDescent="0.25">
      <c r="H1749" s="5"/>
    </row>
    <row r="1750" spans="8:8" x14ac:dyDescent="0.25">
      <c r="H1750" s="5"/>
    </row>
    <row r="1751" spans="8:8" x14ac:dyDescent="0.25">
      <c r="H1751" s="5"/>
    </row>
    <row r="1752" spans="8:8" x14ac:dyDescent="0.25">
      <c r="H1752" s="5"/>
    </row>
    <row r="1753" spans="8:8" x14ac:dyDescent="0.25">
      <c r="H1753" s="5"/>
    </row>
    <row r="1754" spans="8:8" x14ac:dyDescent="0.25">
      <c r="H1754" s="5"/>
    </row>
    <row r="1755" spans="8:8" x14ac:dyDescent="0.25">
      <c r="H1755" s="5"/>
    </row>
    <row r="1756" spans="8:8" x14ac:dyDescent="0.25">
      <c r="H1756" s="5"/>
    </row>
    <row r="1757" spans="8:8" x14ac:dyDescent="0.25">
      <c r="H1757" s="5"/>
    </row>
    <row r="1758" spans="8:8" x14ac:dyDescent="0.25">
      <c r="H1758" s="5"/>
    </row>
    <row r="1759" spans="8:8" x14ac:dyDescent="0.25">
      <c r="H1759" s="5"/>
    </row>
    <row r="1760" spans="8:8" x14ac:dyDescent="0.25">
      <c r="H1760" s="5"/>
    </row>
    <row r="1761" spans="8:8" x14ac:dyDescent="0.25">
      <c r="H1761" s="5"/>
    </row>
    <row r="1762" spans="8:8" x14ac:dyDescent="0.25">
      <c r="H1762" s="5"/>
    </row>
    <row r="1763" spans="8:8" x14ac:dyDescent="0.25">
      <c r="H1763" s="5"/>
    </row>
    <row r="1764" spans="8:8" x14ac:dyDescent="0.25">
      <c r="H1764" s="5"/>
    </row>
    <row r="1765" spans="8:8" x14ac:dyDescent="0.25">
      <c r="H1765" s="5"/>
    </row>
    <row r="1766" spans="8:8" x14ac:dyDescent="0.25">
      <c r="H1766" s="5"/>
    </row>
    <row r="1767" spans="8:8" x14ac:dyDescent="0.25">
      <c r="H1767" s="5"/>
    </row>
    <row r="1768" spans="8:8" x14ac:dyDescent="0.25">
      <c r="H1768" s="5"/>
    </row>
    <row r="1769" spans="8:8" x14ac:dyDescent="0.25">
      <c r="H1769" s="5"/>
    </row>
    <row r="1770" spans="8:8" x14ac:dyDescent="0.25">
      <c r="H1770" s="5"/>
    </row>
    <row r="1771" spans="8:8" x14ac:dyDescent="0.25">
      <c r="H1771" s="5"/>
    </row>
    <row r="1772" spans="8:8" x14ac:dyDescent="0.25">
      <c r="H1772" s="5"/>
    </row>
    <row r="1773" spans="8:8" x14ac:dyDescent="0.25">
      <c r="H1773" s="5"/>
    </row>
    <row r="1774" spans="8:8" x14ac:dyDescent="0.25">
      <c r="H1774" s="5"/>
    </row>
    <row r="1775" spans="8:8" x14ac:dyDescent="0.25">
      <c r="H1775" s="5"/>
    </row>
    <row r="1776" spans="8:8" x14ac:dyDescent="0.25">
      <c r="H1776" s="5"/>
    </row>
    <row r="1777" spans="8:8" x14ac:dyDescent="0.25">
      <c r="H1777" s="5"/>
    </row>
    <row r="1778" spans="8:8" x14ac:dyDescent="0.25">
      <c r="H1778" s="5"/>
    </row>
    <row r="1779" spans="8:8" x14ac:dyDescent="0.25">
      <c r="H1779" s="5"/>
    </row>
    <row r="1780" spans="8:8" x14ac:dyDescent="0.25">
      <c r="H1780" s="5"/>
    </row>
    <row r="1781" spans="8:8" x14ac:dyDescent="0.25">
      <c r="H1781" s="5"/>
    </row>
    <row r="1782" spans="8:8" x14ac:dyDescent="0.25">
      <c r="H1782" s="5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3086-C84A-4F40-9ECC-7470BBB4BC7F}">
  <dimension ref="A1:J1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defaultRowHeight="15" x14ac:dyDescent="0.25"/>
  <cols>
    <col min="1" max="1" width="10.28515625" customWidth="1"/>
    <col min="2" max="2" width="59.42578125" bestFit="1" customWidth="1"/>
  </cols>
  <sheetData>
    <row r="1" spans="1:10" ht="48" x14ac:dyDescent="0.25">
      <c r="A1" t="s">
        <v>222</v>
      </c>
      <c r="B1" t="s">
        <v>223</v>
      </c>
      <c r="C1" s="25" t="s">
        <v>224</v>
      </c>
      <c r="D1" s="25" t="s">
        <v>225</v>
      </c>
      <c r="E1" s="25" t="s">
        <v>226</v>
      </c>
      <c r="F1" s="25" t="s">
        <v>227</v>
      </c>
      <c r="G1" s="25" t="s">
        <v>228</v>
      </c>
      <c r="H1" s="25" t="s">
        <v>229</v>
      </c>
      <c r="I1" s="25" t="s">
        <v>230</v>
      </c>
      <c r="J1" s="25" t="s">
        <v>231</v>
      </c>
    </row>
    <row r="2" spans="1:10" ht="312" x14ac:dyDescent="0.25">
      <c r="C2" s="25" t="s">
        <v>133</v>
      </c>
      <c r="D2" s="25" t="s">
        <v>135</v>
      </c>
      <c r="E2" s="25" t="s">
        <v>181</v>
      </c>
      <c r="F2" s="25" t="s">
        <v>182</v>
      </c>
      <c r="G2" s="25" t="s">
        <v>183</v>
      </c>
      <c r="H2" s="25" t="s">
        <v>184</v>
      </c>
      <c r="I2" s="25" t="s">
        <v>143</v>
      </c>
      <c r="J2" s="25" t="s">
        <v>144</v>
      </c>
    </row>
    <row r="3" spans="1:10" ht="55.5" customHeight="1" x14ac:dyDescent="0.25">
      <c r="C3" s="26">
        <v>20220009</v>
      </c>
      <c r="D3" s="26">
        <v>20220010</v>
      </c>
      <c r="E3" s="26">
        <v>20220011</v>
      </c>
      <c r="F3" s="26">
        <v>20220012</v>
      </c>
      <c r="G3" s="26">
        <v>20220013</v>
      </c>
      <c r="H3" s="26">
        <v>20240004</v>
      </c>
      <c r="I3" s="26">
        <v>20260001</v>
      </c>
      <c r="J3" s="26">
        <v>20280001</v>
      </c>
    </row>
    <row r="4" spans="1:10" x14ac:dyDescent="0.25">
      <c r="A4" s="2">
        <v>20220009</v>
      </c>
      <c r="B4" s="3" t="s">
        <v>133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x14ac:dyDescent="0.25">
      <c r="A5" s="2">
        <v>20220010</v>
      </c>
      <c r="B5" s="3" t="s">
        <v>135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x14ac:dyDescent="0.25">
      <c r="A6" s="2">
        <v>20220011</v>
      </c>
      <c r="B6" s="3" t="s">
        <v>181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 x14ac:dyDescent="0.25">
      <c r="A7" s="2">
        <v>20220012</v>
      </c>
      <c r="B7" s="3" t="s">
        <v>182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x14ac:dyDescent="0.25">
      <c r="A8" s="2">
        <v>20220013</v>
      </c>
      <c r="B8" s="3" t="s">
        <v>183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25">
      <c r="A9" s="2">
        <v>20240004</v>
      </c>
      <c r="B9" s="3" t="s">
        <v>184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 x14ac:dyDescent="0.25">
      <c r="A10" s="2">
        <v>20260001</v>
      </c>
      <c r="B10" s="3" t="s">
        <v>143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 x14ac:dyDescent="0.25">
      <c r="A11" s="2">
        <v>20280001</v>
      </c>
      <c r="B11" s="3" t="s">
        <v>144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EB96-8C7C-4028-A9D2-FAD3F9A8B6D6}">
  <dimension ref="A1:H1782"/>
  <sheetViews>
    <sheetView topLeftCell="A7" workbookViewId="0">
      <selection activeCell="C26" sqref="C26"/>
    </sheetView>
  </sheetViews>
  <sheetFormatPr defaultRowHeight="15" x14ac:dyDescent="0.25"/>
  <cols>
    <col min="5" max="5" width="32" bestFit="1" customWidth="1"/>
    <col min="6" max="6" width="9" bestFit="1" customWidth="1"/>
    <col min="7" max="7" width="35.140625" bestFit="1" customWidth="1"/>
  </cols>
  <sheetData>
    <row r="1" spans="1:8" x14ac:dyDescent="0.25">
      <c r="A1">
        <f>COUNTA('Linha 10'!B:B)-1</f>
        <v>8</v>
      </c>
      <c r="B1">
        <f>COUNTA('Linha 10'!2:2)</f>
        <v>8</v>
      </c>
      <c r="C1">
        <f>A1*B1</f>
        <v>64</v>
      </c>
    </row>
    <row r="3" spans="1:8" x14ac:dyDescent="0.25">
      <c r="A3" cm="1">
        <f t="array" ref="A3:A66">_xlfn.SEQUENCE($C$1)</f>
        <v>1</v>
      </c>
      <c r="B3">
        <f>INT((A3-1)/$B$1)+1</f>
        <v>1</v>
      </c>
      <c r="C3">
        <f>MOD(A3-1,$B$1)+1</f>
        <v>1</v>
      </c>
      <c r="D3" cm="1">
        <f t="array" ref="D3">INDEX('Linha 10'!$A$4:$A$1000,B3)</f>
        <v>20220009</v>
      </c>
      <c r="E3" t="str" cm="1">
        <f t="array" ref="E3">INDEX('Linha 10'!$B$4:$B$1000,B3)</f>
        <v>Aromat. Aquafast Difusor Amoras E Baunilha Cx C/ 12un 250ml</v>
      </c>
      <c r="F3" cm="1">
        <f t="array" ref="F3">INDEX('Linha 10'!$C$3:$ZZ$3,C3)</f>
        <v>20220009</v>
      </c>
      <c r="G3" t="str" cm="1">
        <f t="array" ref="G3">INDEX('Linha 10'!$C$2:$ZZ$2,C3)</f>
        <v>Aromat. Aquafast Difusor Amoras E Baunilha Cx C/ 12un 250ml</v>
      </c>
      <c r="H3" s="5" cm="1">
        <f t="array" ref="H3">INDEX('Linha 10'!$C$4:$ZZ$1000,B3,C3)</f>
        <v>0</v>
      </c>
    </row>
    <row r="4" spans="1:8" x14ac:dyDescent="0.25">
      <c r="A4">
        <v>2</v>
      </c>
      <c r="B4">
        <f t="shared" ref="B4:B66" si="0">INT((A4-1)/$B$1)+1</f>
        <v>1</v>
      </c>
      <c r="C4">
        <f t="shared" ref="C4:C66" si="1">MOD(A4-1,$B$1)+1</f>
        <v>2</v>
      </c>
      <c r="D4" cm="1">
        <f t="array" ref="D4">INDEX('Linha 10'!$A$4:$A$1000,B4)</f>
        <v>20220009</v>
      </c>
      <c r="E4" t="str" cm="1">
        <f t="array" ref="E4">INDEX('Linha 10'!$B$4:$B$1000,B4)</f>
        <v>Aromat. Aquafast Difusor Amoras E Baunilha Cx C/ 12un 250ml</v>
      </c>
      <c r="F4" cm="1">
        <f t="array" ref="F4">INDEX('Linha 10'!$C$3:$ZZ$3,C4)</f>
        <v>20220010</v>
      </c>
      <c r="G4" t="str" cm="1">
        <f t="array" ref="G4">INDEX('Linha 10'!$C$2:$ZZ$2,C4)</f>
        <v>Aromat. Aquafast Difusor Figo E Cedro Cx C/ 12un 250ml</v>
      </c>
      <c r="H4" s="5" cm="1">
        <f t="array" ref="H4">INDEX('Linha 10'!$C$4:$ZZ$1000,B4,C4)</f>
        <v>0</v>
      </c>
    </row>
    <row r="5" spans="1:8" x14ac:dyDescent="0.25">
      <c r="A5">
        <v>3</v>
      </c>
      <c r="B5">
        <f t="shared" si="0"/>
        <v>1</v>
      </c>
      <c r="C5">
        <f t="shared" si="1"/>
        <v>3</v>
      </c>
      <c r="D5" cm="1">
        <f t="array" ref="D5">INDEX('Linha 10'!$A$4:$A$1000,B5)</f>
        <v>20220009</v>
      </c>
      <c r="E5" t="str" cm="1">
        <f t="array" ref="E5">INDEX('Linha 10'!$B$4:$B$1000,B5)</f>
        <v>Aromat. Aquafast Difusor Amoras E Baunilha Cx C/ 12un 250ml</v>
      </c>
      <c r="F5" cm="1">
        <f t="array" ref="F5">INDEX('Linha 10'!$C$3:$ZZ$3,C5)</f>
        <v>20220011</v>
      </c>
      <c r="G5" t="str" cm="1">
        <f t="array" ref="G5">INDEX('Linha 10'!$C$2:$ZZ$2,C5)</f>
        <v>Aromat. Aquafast Difusor Rosas E Magnolias Cx C/ 12un 250ml</v>
      </c>
      <c r="H5" s="5" cm="1">
        <f t="array" ref="H5">INDEX('Linha 10'!$C$4:$ZZ$1000,B5,C5)</f>
        <v>0</v>
      </c>
    </row>
    <row r="6" spans="1:8" x14ac:dyDescent="0.25">
      <c r="A6">
        <v>4</v>
      </c>
      <c r="B6">
        <f t="shared" si="0"/>
        <v>1</v>
      </c>
      <c r="C6">
        <f t="shared" si="1"/>
        <v>4</v>
      </c>
      <c r="D6" cm="1">
        <f t="array" ref="D6">INDEX('Linha 10'!$A$4:$A$1000,B6)</f>
        <v>20220009</v>
      </c>
      <c r="E6" t="str" cm="1">
        <f t="array" ref="E6">INDEX('Linha 10'!$B$4:$B$1000,B6)</f>
        <v>Aromat. Aquafast Difusor Amoras E Baunilha Cx C/ 12un 250ml</v>
      </c>
      <c r="F6" cm="1">
        <f t="array" ref="F6">INDEX('Linha 10'!$C$3:$ZZ$3,C6)</f>
        <v>20220012</v>
      </c>
      <c r="G6" t="str" cm="1">
        <f t="array" ref="G6">INDEX('Linha 10'!$C$2:$ZZ$2,C6)</f>
        <v>Aromat. Aquafast Difusor Flores Exoticas Cx C/ 12un 250ml</v>
      </c>
      <c r="H6" s="5" cm="1">
        <f t="array" ref="H6">INDEX('Linha 10'!$C$4:$ZZ$1000,B6,C6)</f>
        <v>0</v>
      </c>
    </row>
    <row r="7" spans="1:8" x14ac:dyDescent="0.25">
      <c r="A7">
        <v>5</v>
      </c>
      <c r="B7">
        <f t="shared" si="0"/>
        <v>1</v>
      </c>
      <c r="C7">
        <f t="shared" si="1"/>
        <v>5</v>
      </c>
      <c r="D7" cm="1">
        <f t="array" ref="D7">INDEX('Linha 10'!$A$4:$A$1000,B7)</f>
        <v>20220009</v>
      </c>
      <c r="E7" t="str" cm="1">
        <f t="array" ref="E7">INDEX('Linha 10'!$B$4:$B$1000,B7)</f>
        <v>Aromat. Aquafast Difusor Amoras E Baunilha Cx C/ 12un 250ml</v>
      </c>
      <c r="F7" cm="1">
        <f t="array" ref="F7">INDEX('Linha 10'!$C$3:$ZZ$3,C7)</f>
        <v>20220013</v>
      </c>
      <c r="G7" t="str" cm="1">
        <f t="array" ref="G7">INDEX('Linha 10'!$C$2:$ZZ$2,C7)</f>
        <v>Aromat. Aquafast Difusor Cha Verde E Grapef Cx C/ 12un 250ml</v>
      </c>
      <c r="H7" s="5" cm="1">
        <f t="array" ref="H7">INDEX('Linha 10'!$C$4:$ZZ$1000,B7,C7)</f>
        <v>0</v>
      </c>
    </row>
    <row r="8" spans="1:8" x14ac:dyDescent="0.25">
      <c r="A8">
        <v>6</v>
      </c>
      <c r="B8">
        <f t="shared" si="0"/>
        <v>1</v>
      </c>
      <c r="C8">
        <f t="shared" si="1"/>
        <v>6</v>
      </c>
      <c r="D8" cm="1">
        <f t="array" ref="D8">INDEX('Linha 10'!$A$4:$A$1000,B8)</f>
        <v>20220009</v>
      </c>
      <c r="E8" t="str" cm="1">
        <f t="array" ref="E8">INDEX('Linha 10'!$B$4:$B$1000,B8)</f>
        <v>Aromat. Aquafast Difusor Amoras E Baunilha Cx C/ 12un 250ml</v>
      </c>
      <c r="F8" cm="1">
        <f t="array" ref="F8">INDEX('Linha 10'!$C$3:$ZZ$3,C8)</f>
        <v>20240004</v>
      </c>
      <c r="G8" t="str" cm="1">
        <f t="array" ref="G8">INDEX('Linha 10'!$C$2:$ZZ$2,C8)</f>
        <v>Promopack Amac. Conc. Aquafast 30% Cx C/6pack C/2un X 1l</v>
      </c>
      <c r="H8" s="5" cm="1">
        <f t="array" ref="H8">INDEX('Linha 10'!$C$4:$ZZ$1000,B8,C8)</f>
        <v>0</v>
      </c>
    </row>
    <row r="9" spans="1:8" x14ac:dyDescent="0.25">
      <c r="A9">
        <v>7</v>
      </c>
      <c r="B9">
        <f t="shared" si="0"/>
        <v>1</v>
      </c>
      <c r="C9">
        <f t="shared" si="1"/>
        <v>7</v>
      </c>
      <c r="D9" cm="1">
        <f t="array" ref="D9">INDEX('Linha 10'!$A$4:$A$1000,B9)</f>
        <v>20220009</v>
      </c>
      <c r="E9" t="str" cm="1">
        <f t="array" ref="E9">INDEX('Linha 10'!$B$4:$B$1000,B9)</f>
        <v>Aromat. Aquafast Difusor Amoras E Baunilha Cx C/ 12un 250ml</v>
      </c>
      <c r="F9" cm="1">
        <f t="array" ref="F9">INDEX('Linha 10'!$C$3:$ZZ$3,C9)</f>
        <v>20260001</v>
      </c>
      <c r="G9" t="str" cm="1">
        <f t="array" ref="G9">INDEX('Linha 10'!$C$2:$ZZ$2,C9)</f>
        <v>Promopack Deseng+Multiuso Squeeze Cx C/6pack C/3un X 500ml</v>
      </c>
      <c r="H9" s="5" cm="1">
        <f t="array" ref="H9">INDEX('Linha 10'!$C$4:$ZZ$1000,B9,C9)</f>
        <v>0</v>
      </c>
    </row>
    <row r="10" spans="1:8" x14ac:dyDescent="0.25">
      <c r="A10">
        <v>8</v>
      </c>
      <c r="B10">
        <f t="shared" si="0"/>
        <v>1</v>
      </c>
      <c r="C10">
        <f t="shared" si="1"/>
        <v>8</v>
      </c>
      <c r="D10" cm="1">
        <f t="array" ref="D10">INDEX('Linha 10'!$A$4:$A$1000,B10)</f>
        <v>20220009</v>
      </c>
      <c r="E10" t="str" cm="1">
        <f t="array" ref="E10">INDEX('Linha 10'!$B$4:$B$1000,B10)</f>
        <v>Aromat. Aquafast Difusor Amoras E Baunilha Cx C/ 12un 250ml</v>
      </c>
      <c r="F10" cm="1">
        <f t="array" ref="F10">INDEX('Linha 10'!$C$3:$ZZ$3,C10)</f>
        <v>20280001</v>
      </c>
      <c r="G10" t="str" cm="1">
        <f t="array" ref="G10">INDEX('Linha 10'!$C$2:$ZZ$2,C10)</f>
        <v>Promopack Desinfetante Aquafast Cx C/4pack C/3un X 1l</v>
      </c>
      <c r="H10" s="5" cm="1">
        <f t="array" ref="H10">INDEX('Linha 10'!$C$4:$ZZ$1000,B10,C10)</f>
        <v>0</v>
      </c>
    </row>
    <row r="11" spans="1:8" x14ac:dyDescent="0.25">
      <c r="A11">
        <v>9</v>
      </c>
      <c r="B11">
        <f t="shared" si="0"/>
        <v>2</v>
      </c>
      <c r="C11">
        <f t="shared" si="1"/>
        <v>1</v>
      </c>
      <c r="D11" cm="1">
        <f t="array" ref="D11">INDEX('Linha 10'!$A$4:$A$1000,B11)</f>
        <v>20220010</v>
      </c>
      <c r="E11" t="str" cm="1">
        <f t="array" ref="E11">INDEX('Linha 10'!$B$4:$B$1000,B11)</f>
        <v>Aromat. Aquafast Difusor Figo E Cedro Cx C/ 12un 250ml</v>
      </c>
      <c r="F11" cm="1">
        <f t="array" ref="F11">INDEX('Linha 10'!$C$3:$ZZ$3,C11)</f>
        <v>20220009</v>
      </c>
      <c r="G11" t="str" cm="1">
        <f t="array" ref="G11">INDEX('Linha 10'!$C$2:$ZZ$2,C11)</f>
        <v>Aromat. Aquafast Difusor Amoras E Baunilha Cx C/ 12un 250ml</v>
      </c>
      <c r="H11" s="5" cm="1">
        <f t="array" ref="H11">INDEX('Linha 10'!$C$4:$ZZ$1000,B11,C11)</f>
        <v>0</v>
      </c>
    </row>
    <row r="12" spans="1:8" x14ac:dyDescent="0.25">
      <c r="A12">
        <v>10</v>
      </c>
      <c r="B12">
        <f t="shared" si="0"/>
        <v>2</v>
      </c>
      <c r="C12">
        <f t="shared" si="1"/>
        <v>2</v>
      </c>
      <c r="D12" cm="1">
        <f t="array" ref="D12">INDEX('Linha 10'!$A$4:$A$1000,B12)</f>
        <v>20220010</v>
      </c>
      <c r="E12" t="str" cm="1">
        <f t="array" ref="E12">INDEX('Linha 10'!$B$4:$B$1000,B12)</f>
        <v>Aromat. Aquafast Difusor Figo E Cedro Cx C/ 12un 250ml</v>
      </c>
      <c r="F12" cm="1">
        <f t="array" ref="F12">INDEX('Linha 10'!$C$3:$ZZ$3,C12)</f>
        <v>20220010</v>
      </c>
      <c r="G12" t="str" cm="1">
        <f t="array" ref="G12">INDEX('Linha 10'!$C$2:$ZZ$2,C12)</f>
        <v>Aromat. Aquafast Difusor Figo E Cedro Cx C/ 12un 250ml</v>
      </c>
      <c r="H12" s="5" cm="1">
        <f t="array" ref="H12">INDEX('Linha 10'!$C$4:$ZZ$1000,B12,C12)</f>
        <v>0</v>
      </c>
    </row>
    <row r="13" spans="1:8" x14ac:dyDescent="0.25">
      <c r="A13">
        <v>11</v>
      </c>
      <c r="B13">
        <f t="shared" si="0"/>
        <v>2</v>
      </c>
      <c r="C13">
        <f t="shared" si="1"/>
        <v>3</v>
      </c>
      <c r="D13" cm="1">
        <f t="array" ref="D13">INDEX('Linha 10'!$A$4:$A$1000,B13)</f>
        <v>20220010</v>
      </c>
      <c r="E13" t="str" cm="1">
        <f t="array" ref="E13">INDEX('Linha 10'!$B$4:$B$1000,B13)</f>
        <v>Aromat. Aquafast Difusor Figo E Cedro Cx C/ 12un 250ml</v>
      </c>
      <c r="F13" cm="1">
        <f t="array" ref="F13">INDEX('Linha 10'!$C$3:$ZZ$3,C13)</f>
        <v>20220011</v>
      </c>
      <c r="G13" t="str" cm="1">
        <f t="array" ref="G13">INDEX('Linha 10'!$C$2:$ZZ$2,C13)</f>
        <v>Aromat. Aquafast Difusor Rosas E Magnolias Cx C/ 12un 250ml</v>
      </c>
      <c r="H13" s="5" cm="1">
        <f t="array" ref="H13">INDEX('Linha 10'!$C$4:$ZZ$1000,B13,C13)</f>
        <v>0</v>
      </c>
    </row>
    <row r="14" spans="1:8" x14ac:dyDescent="0.25">
      <c r="A14">
        <v>12</v>
      </c>
      <c r="B14">
        <f t="shared" si="0"/>
        <v>2</v>
      </c>
      <c r="C14">
        <f t="shared" si="1"/>
        <v>4</v>
      </c>
      <c r="D14" cm="1">
        <f t="array" ref="D14">INDEX('Linha 10'!$A$4:$A$1000,B14)</f>
        <v>20220010</v>
      </c>
      <c r="E14" t="str" cm="1">
        <f t="array" ref="E14">INDEX('Linha 10'!$B$4:$B$1000,B14)</f>
        <v>Aromat. Aquafast Difusor Figo E Cedro Cx C/ 12un 250ml</v>
      </c>
      <c r="F14" cm="1">
        <f t="array" ref="F14">INDEX('Linha 10'!$C$3:$ZZ$3,C14)</f>
        <v>20220012</v>
      </c>
      <c r="G14" t="str" cm="1">
        <f t="array" ref="G14">INDEX('Linha 10'!$C$2:$ZZ$2,C14)</f>
        <v>Aromat. Aquafast Difusor Flores Exoticas Cx C/ 12un 250ml</v>
      </c>
      <c r="H14" s="5" cm="1">
        <f t="array" ref="H14">INDEX('Linha 10'!$C$4:$ZZ$1000,B14,C14)</f>
        <v>0</v>
      </c>
    </row>
    <row r="15" spans="1:8" x14ac:dyDescent="0.25">
      <c r="A15">
        <v>13</v>
      </c>
      <c r="B15">
        <f t="shared" si="0"/>
        <v>2</v>
      </c>
      <c r="C15">
        <f t="shared" si="1"/>
        <v>5</v>
      </c>
      <c r="D15" cm="1">
        <f t="array" ref="D15">INDEX('Linha 10'!$A$4:$A$1000,B15)</f>
        <v>20220010</v>
      </c>
      <c r="E15" t="str" cm="1">
        <f t="array" ref="E15">INDEX('Linha 10'!$B$4:$B$1000,B15)</f>
        <v>Aromat. Aquafast Difusor Figo E Cedro Cx C/ 12un 250ml</v>
      </c>
      <c r="F15" cm="1">
        <f t="array" ref="F15">INDEX('Linha 10'!$C$3:$ZZ$3,C15)</f>
        <v>20220013</v>
      </c>
      <c r="G15" t="str" cm="1">
        <f t="array" ref="G15">INDEX('Linha 10'!$C$2:$ZZ$2,C15)</f>
        <v>Aromat. Aquafast Difusor Cha Verde E Grapef Cx C/ 12un 250ml</v>
      </c>
      <c r="H15" s="5" cm="1">
        <f t="array" ref="H15">INDEX('Linha 10'!$C$4:$ZZ$1000,B15,C15)</f>
        <v>0</v>
      </c>
    </row>
    <row r="16" spans="1:8" x14ac:dyDescent="0.25">
      <c r="A16">
        <v>14</v>
      </c>
      <c r="B16">
        <f t="shared" si="0"/>
        <v>2</v>
      </c>
      <c r="C16">
        <f t="shared" si="1"/>
        <v>6</v>
      </c>
      <c r="D16" cm="1">
        <f t="array" ref="D16">INDEX('Linha 10'!$A$4:$A$1000,B16)</f>
        <v>20220010</v>
      </c>
      <c r="E16" t="str" cm="1">
        <f t="array" ref="E16">INDEX('Linha 10'!$B$4:$B$1000,B16)</f>
        <v>Aromat. Aquafast Difusor Figo E Cedro Cx C/ 12un 250ml</v>
      </c>
      <c r="F16" cm="1">
        <f t="array" ref="F16">INDEX('Linha 10'!$C$3:$ZZ$3,C16)</f>
        <v>20240004</v>
      </c>
      <c r="G16" t="str" cm="1">
        <f t="array" ref="G16">INDEX('Linha 10'!$C$2:$ZZ$2,C16)</f>
        <v>Promopack Amac. Conc. Aquafast 30% Cx C/6pack C/2un X 1l</v>
      </c>
      <c r="H16" s="5" cm="1">
        <f t="array" ref="H16">INDEX('Linha 10'!$C$4:$ZZ$1000,B16,C16)</f>
        <v>0</v>
      </c>
    </row>
    <row r="17" spans="1:8" x14ac:dyDescent="0.25">
      <c r="A17">
        <v>15</v>
      </c>
      <c r="B17">
        <f t="shared" si="0"/>
        <v>2</v>
      </c>
      <c r="C17">
        <f t="shared" si="1"/>
        <v>7</v>
      </c>
      <c r="D17" cm="1">
        <f t="array" ref="D17">INDEX('Linha 10'!$A$4:$A$1000,B17)</f>
        <v>20220010</v>
      </c>
      <c r="E17" t="str" cm="1">
        <f t="array" ref="E17">INDEX('Linha 10'!$B$4:$B$1000,B17)</f>
        <v>Aromat. Aquafast Difusor Figo E Cedro Cx C/ 12un 250ml</v>
      </c>
      <c r="F17" cm="1">
        <f t="array" ref="F17">INDEX('Linha 10'!$C$3:$ZZ$3,C17)</f>
        <v>20260001</v>
      </c>
      <c r="G17" t="str" cm="1">
        <f t="array" ref="G17">INDEX('Linha 10'!$C$2:$ZZ$2,C17)</f>
        <v>Promopack Deseng+Multiuso Squeeze Cx C/6pack C/3un X 500ml</v>
      </c>
      <c r="H17" s="5" cm="1">
        <f t="array" ref="H17">INDEX('Linha 10'!$C$4:$ZZ$1000,B17,C17)</f>
        <v>0</v>
      </c>
    </row>
    <row r="18" spans="1:8" x14ac:dyDescent="0.25">
      <c r="A18">
        <v>16</v>
      </c>
      <c r="B18">
        <f t="shared" si="0"/>
        <v>2</v>
      </c>
      <c r="C18">
        <f t="shared" si="1"/>
        <v>8</v>
      </c>
      <c r="D18" cm="1">
        <f t="array" ref="D18">INDEX('Linha 10'!$A$4:$A$1000,B18)</f>
        <v>20220010</v>
      </c>
      <c r="E18" t="str" cm="1">
        <f t="array" ref="E18">INDEX('Linha 10'!$B$4:$B$1000,B18)</f>
        <v>Aromat. Aquafast Difusor Figo E Cedro Cx C/ 12un 250ml</v>
      </c>
      <c r="F18" cm="1">
        <f t="array" ref="F18">INDEX('Linha 10'!$C$3:$ZZ$3,C18)</f>
        <v>20280001</v>
      </c>
      <c r="G18" t="str" cm="1">
        <f t="array" ref="G18">INDEX('Linha 10'!$C$2:$ZZ$2,C18)</f>
        <v>Promopack Desinfetante Aquafast Cx C/4pack C/3un X 1l</v>
      </c>
      <c r="H18" s="5" cm="1">
        <f t="array" ref="H18">INDEX('Linha 10'!$C$4:$ZZ$1000,B18,C18)</f>
        <v>0</v>
      </c>
    </row>
    <row r="19" spans="1:8" x14ac:dyDescent="0.25">
      <c r="A19">
        <v>17</v>
      </c>
      <c r="B19">
        <f t="shared" si="0"/>
        <v>3</v>
      </c>
      <c r="C19">
        <f t="shared" si="1"/>
        <v>1</v>
      </c>
      <c r="D19" cm="1">
        <f t="array" ref="D19">INDEX('Linha 10'!$A$4:$A$1000,B19)</f>
        <v>20220011</v>
      </c>
      <c r="E19" t="str" cm="1">
        <f t="array" ref="E19">INDEX('Linha 10'!$B$4:$B$1000,B19)</f>
        <v>Aromat. Aquafast Difusor Rosas E Magnolias Cx C/ 12un 250ml</v>
      </c>
      <c r="F19" cm="1">
        <f t="array" ref="F19">INDEX('Linha 10'!$C$3:$ZZ$3,C19)</f>
        <v>20220009</v>
      </c>
      <c r="G19" t="str" cm="1">
        <f t="array" ref="G19">INDEX('Linha 10'!$C$2:$ZZ$2,C19)</f>
        <v>Aromat. Aquafast Difusor Amoras E Baunilha Cx C/ 12un 250ml</v>
      </c>
      <c r="H19" s="5" cm="1">
        <f t="array" ref="H19">INDEX('Linha 10'!$C$4:$ZZ$1000,B19,C19)</f>
        <v>0</v>
      </c>
    </row>
    <row r="20" spans="1:8" x14ac:dyDescent="0.25">
      <c r="A20">
        <v>18</v>
      </c>
      <c r="B20">
        <f t="shared" si="0"/>
        <v>3</v>
      </c>
      <c r="C20">
        <f t="shared" si="1"/>
        <v>2</v>
      </c>
      <c r="D20" cm="1">
        <f t="array" ref="D20">INDEX('Linha 10'!$A$4:$A$1000,B20)</f>
        <v>20220011</v>
      </c>
      <c r="E20" t="str" cm="1">
        <f t="array" ref="E20">INDEX('Linha 10'!$B$4:$B$1000,B20)</f>
        <v>Aromat. Aquafast Difusor Rosas E Magnolias Cx C/ 12un 250ml</v>
      </c>
      <c r="F20" cm="1">
        <f t="array" ref="F20">INDEX('Linha 10'!$C$3:$ZZ$3,C20)</f>
        <v>20220010</v>
      </c>
      <c r="G20" t="str" cm="1">
        <f t="array" ref="G20">INDEX('Linha 10'!$C$2:$ZZ$2,C20)</f>
        <v>Aromat. Aquafast Difusor Figo E Cedro Cx C/ 12un 250ml</v>
      </c>
      <c r="H20" s="5" cm="1">
        <f t="array" ref="H20">INDEX('Linha 10'!$C$4:$ZZ$1000,B20,C20)</f>
        <v>0</v>
      </c>
    </row>
    <row r="21" spans="1:8" x14ac:dyDescent="0.25">
      <c r="A21">
        <v>19</v>
      </c>
      <c r="B21">
        <f t="shared" si="0"/>
        <v>3</v>
      </c>
      <c r="C21">
        <f t="shared" si="1"/>
        <v>3</v>
      </c>
      <c r="D21" cm="1">
        <f t="array" ref="D21">INDEX('Linha 10'!$A$4:$A$1000,B21)</f>
        <v>20220011</v>
      </c>
      <c r="E21" t="str" cm="1">
        <f t="array" ref="E21">INDEX('Linha 10'!$B$4:$B$1000,B21)</f>
        <v>Aromat. Aquafast Difusor Rosas E Magnolias Cx C/ 12un 250ml</v>
      </c>
      <c r="F21" cm="1">
        <f t="array" ref="F21">INDEX('Linha 10'!$C$3:$ZZ$3,C21)</f>
        <v>20220011</v>
      </c>
      <c r="G21" t="str" cm="1">
        <f t="array" ref="G21">INDEX('Linha 10'!$C$2:$ZZ$2,C21)</f>
        <v>Aromat. Aquafast Difusor Rosas E Magnolias Cx C/ 12un 250ml</v>
      </c>
      <c r="H21" s="5" cm="1">
        <f t="array" ref="H21">INDEX('Linha 10'!$C$4:$ZZ$1000,B21,C21)</f>
        <v>0</v>
      </c>
    </row>
    <row r="22" spans="1:8" x14ac:dyDescent="0.25">
      <c r="A22">
        <v>20</v>
      </c>
      <c r="B22">
        <f t="shared" si="0"/>
        <v>3</v>
      </c>
      <c r="C22">
        <f t="shared" si="1"/>
        <v>4</v>
      </c>
      <c r="D22" cm="1">
        <f t="array" ref="D22">INDEX('Linha 10'!$A$4:$A$1000,B22)</f>
        <v>20220011</v>
      </c>
      <c r="E22" t="str" cm="1">
        <f t="array" ref="E22">INDEX('Linha 10'!$B$4:$B$1000,B22)</f>
        <v>Aromat. Aquafast Difusor Rosas E Magnolias Cx C/ 12un 250ml</v>
      </c>
      <c r="F22" cm="1">
        <f t="array" ref="F22">INDEX('Linha 10'!$C$3:$ZZ$3,C22)</f>
        <v>20220012</v>
      </c>
      <c r="G22" t="str" cm="1">
        <f t="array" ref="G22">INDEX('Linha 10'!$C$2:$ZZ$2,C22)</f>
        <v>Aromat. Aquafast Difusor Flores Exoticas Cx C/ 12un 250ml</v>
      </c>
      <c r="H22" s="5" cm="1">
        <f t="array" ref="H22">INDEX('Linha 10'!$C$4:$ZZ$1000,B22,C22)</f>
        <v>0</v>
      </c>
    </row>
    <row r="23" spans="1:8" x14ac:dyDescent="0.25">
      <c r="A23">
        <v>21</v>
      </c>
      <c r="B23">
        <f t="shared" si="0"/>
        <v>3</v>
      </c>
      <c r="C23">
        <f t="shared" si="1"/>
        <v>5</v>
      </c>
      <c r="D23" cm="1">
        <f t="array" ref="D23">INDEX('Linha 10'!$A$4:$A$1000,B23)</f>
        <v>20220011</v>
      </c>
      <c r="E23" t="str" cm="1">
        <f t="array" ref="E23">INDEX('Linha 10'!$B$4:$B$1000,B23)</f>
        <v>Aromat. Aquafast Difusor Rosas E Magnolias Cx C/ 12un 250ml</v>
      </c>
      <c r="F23" cm="1">
        <f t="array" ref="F23">INDEX('Linha 10'!$C$3:$ZZ$3,C23)</f>
        <v>20220013</v>
      </c>
      <c r="G23" t="str" cm="1">
        <f t="array" ref="G23">INDEX('Linha 10'!$C$2:$ZZ$2,C23)</f>
        <v>Aromat. Aquafast Difusor Cha Verde E Grapef Cx C/ 12un 250ml</v>
      </c>
      <c r="H23" s="5" cm="1">
        <f t="array" ref="H23">INDEX('Linha 10'!$C$4:$ZZ$1000,B23,C23)</f>
        <v>0</v>
      </c>
    </row>
    <row r="24" spans="1:8" x14ac:dyDescent="0.25">
      <c r="A24">
        <v>22</v>
      </c>
      <c r="B24">
        <f t="shared" si="0"/>
        <v>3</v>
      </c>
      <c r="C24">
        <f t="shared" si="1"/>
        <v>6</v>
      </c>
      <c r="D24" cm="1">
        <f t="array" ref="D24">INDEX('Linha 10'!$A$4:$A$1000,B24)</f>
        <v>20220011</v>
      </c>
      <c r="E24" t="str" cm="1">
        <f t="array" ref="E24">INDEX('Linha 10'!$B$4:$B$1000,B24)</f>
        <v>Aromat. Aquafast Difusor Rosas E Magnolias Cx C/ 12un 250ml</v>
      </c>
      <c r="F24" cm="1">
        <f t="array" ref="F24">INDEX('Linha 10'!$C$3:$ZZ$3,C24)</f>
        <v>20240004</v>
      </c>
      <c r="G24" t="str" cm="1">
        <f t="array" ref="G24">INDEX('Linha 10'!$C$2:$ZZ$2,C24)</f>
        <v>Promopack Amac. Conc. Aquafast 30% Cx C/6pack C/2un X 1l</v>
      </c>
      <c r="H24" s="5" cm="1">
        <f t="array" ref="H24">INDEX('Linha 10'!$C$4:$ZZ$1000,B24,C24)</f>
        <v>0</v>
      </c>
    </row>
    <row r="25" spans="1:8" x14ac:dyDescent="0.25">
      <c r="A25">
        <v>23</v>
      </c>
      <c r="B25">
        <f t="shared" si="0"/>
        <v>3</v>
      </c>
      <c r="C25">
        <f t="shared" si="1"/>
        <v>7</v>
      </c>
      <c r="D25" cm="1">
        <f t="array" ref="D25">INDEX('Linha 10'!$A$4:$A$1000,B25)</f>
        <v>20220011</v>
      </c>
      <c r="E25" t="str" cm="1">
        <f t="array" ref="E25">INDEX('Linha 10'!$B$4:$B$1000,B25)</f>
        <v>Aromat. Aquafast Difusor Rosas E Magnolias Cx C/ 12un 250ml</v>
      </c>
      <c r="F25" cm="1">
        <f t="array" ref="F25">INDEX('Linha 10'!$C$3:$ZZ$3,C25)</f>
        <v>20260001</v>
      </c>
      <c r="G25" t="str" cm="1">
        <f t="array" ref="G25">INDEX('Linha 10'!$C$2:$ZZ$2,C25)</f>
        <v>Promopack Deseng+Multiuso Squeeze Cx C/6pack C/3un X 500ml</v>
      </c>
      <c r="H25" s="5" cm="1">
        <f t="array" ref="H25">INDEX('Linha 10'!$C$4:$ZZ$1000,B25,C25)</f>
        <v>0</v>
      </c>
    </row>
    <row r="26" spans="1:8" x14ac:dyDescent="0.25">
      <c r="A26">
        <v>24</v>
      </c>
      <c r="B26">
        <f t="shared" si="0"/>
        <v>3</v>
      </c>
      <c r="C26">
        <f t="shared" si="1"/>
        <v>8</v>
      </c>
      <c r="D26" cm="1">
        <f t="array" ref="D26">INDEX('Linha 10'!$A$4:$A$1000,B26)</f>
        <v>20220011</v>
      </c>
      <c r="E26" t="str" cm="1">
        <f t="array" ref="E26">INDEX('Linha 10'!$B$4:$B$1000,B26)</f>
        <v>Aromat. Aquafast Difusor Rosas E Magnolias Cx C/ 12un 250ml</v>
      </c>
      <c r="F26" cm="1">
        <f t="array" ref="F26">INDEX('Linha 10'!$C$3:$ZZ$3,C26)</f>
        <v>20280001</v>
      </c>
      <c r="G26" t="str" cm="1">
        <f t="array" ref="G26">INDEX('Linha 10'!$C$2:$ZZ$2,C26)</f>
        <v>Promopack Desinfetante Aquafast Cx C/4pack C/3un X 1l</v>
      </c>
      <c r="H26" s="5" cm="1">
        <f t="array" ref="H26">INDEX('Linha 10'!$C$4:$ZZ$1000,B26,C26)</f>
        <v>0</v>
      </c>
    </row>
    <row r="27" spans="1:8" x14ac:dyDescent="0.25">
      <c r="A27">
        <v>25</v>
      </c>
      <c r="B27">
        <f t="shared" si="0"/>
        <v>4</v>
      </c>
      <c r="C27">
        <f t="shared" si="1"/>
        <v>1</v>
      </c>
      <c r="D27" cm="1">
        <f t="array" ref="D27">INDEX('Linha 10'!$A$4:$A$1000,B27)</f>
        <v>20220012</v>
      </c>
      <c r="E27" t="str" cm="1">
        <f t="array" ref="E27">INDEX('Linha 10'!$B$4:$B$1000,B27)</f>
        <v>Aromat. Aquafast Difusor Flores Exoticas Cx C/ 12un 250ml</v>
      </c>
      <c r="F27" cm="1">
        <f t="array" ref="F27">INDEX('Linha 10'!$C$3:$ZZ$3,C27)</f>
        <v>20220009</v>
      </c>
      <c r="G27" t="str" cm="1">
        <f t="array" ref="G27">INDEX('Linha 10'!$C$2:$ZZ$2,C27)</f>
        <v>Aromat. Aquafast Difusor Amoras E Baunilha Cx C/ 12un 250ml</v>
      </c>
      <c r="H27" s="5" cm="1">
        <f t="array" ref="H27">INDEX('Linha 10'!$C$4:$ZZ$1000,B27,C27)</f>
        <v>0</v>
      </c>
    </row>
    <row r="28" spans="1:8" x14ac:dyDescent="0.25">
      <c r="A28">
        <v>26</v>
      </c>
      <c r="B28">
        <f t="shared" si="0"/>
        <v>4</v>
      </c>
      <c r="C28">
        <f t="shared" si="1"/>
        <v>2</v>
      </c>
      <c r="D28" cm="1">
        <f t="array" ref="D28">INDEX('Linha 10'!$A$4:$A$1000,B28)</f>
        <v>20220012</v>
      </c>
      <c r="E28" t="str" cm="1">
        <f t="array" ref="E28">INDEX('Linha 10'!$B$4:$B$1000,B28)</f>
        <v>Aromat. Aquafast Difusor Flores Exoticas Cx C/ 12un 250ml</v>
      </c>
      <c r="F28" cm="1">
        <f t="array" ref="F28">INDEX('Linha 10'!$C$3:$ZZ$3,C28)</f>
        <v>20220010</v>
      </c>
      <c r="G28" t="str" cm="1">
        <f t="array" ref="G28">INDEX('Linha 10'!$C$2:$ZZ$2,C28)</f>
        <v>Aromat. Aquafast Difusor Figo E Cedro Cx C/ 12un 250ml</v>
      </c>
      <c r="H28" s="5" cm="1">
        <f t="array" ref="H28">INDEX('Linha 10'!$C$4:$ZZ$1000,B28,C28)</f>
        <v>0</v>
      </c>
    </row>
    <row r="29" spans="1:8" x14ac:dyDescent="0.25">
      <c r="A29">
        <v>27</v>
      </c>
      <c r="B29">
        <f t="shared" si="0"/>
        <v>4</v>
      </c>
      <c r="C29">
        <f t="shared" si="1"/>
        <v>3</v>
      </c>
      <c r="D29" cm="1">
        <f t="array" ref="D29">INDEX('Linha 10'!$A$4:$A$1000,B29)</f>
        <v>20220012</v>
      </c>
      <c r="E29" t="str" cm="1">
        <f t="array" ref="E29">INDEX('Linha 10'!$B$4:$B$1000,B29)</f>
        <v>Aromat. Aquafast Difusor Flores Exoticas Cx C/ 12un 250ml</v>
      </c>
      <c r="F29" cm="1">
        <f t="array" ref="F29">INDEX('Linha 10'!$C$3:$ZZ$3,C29)</f>
        <v>20220011</v>
      </c>
      <c r="G29" t="str" cm="1">
        <f t="array" ref="G29">INDEX('Linha 10'!$C$2:$ZZ$2,C29)</f>
        <v>Aromat. Aquafast Difusor Rosas E Magnolias Cx C/ 12un 250ml</v>
      </c>
      <c r="H29" s="5" cm="1">
        <f t="array" ref="H29">INDEX('Linha 10'!$C$4:$ZZ$1000,B29,C29)</f>
        <v>0</v>
      </c>
    </row>
    <row r="30" spans="1:8" x14ac:dyDescent="0.25">
      <c r="A30">
        <v>28</v>
      </c>
      <c r="B30">
        <f t="shared" si="0"/>
        <v>4</v>
      </c>
      <c r="C30">
        <f t="shared" si="1"/>
        <v>4</v>
      </c>
      <c r="D30" cm="1">
        <f t="array" ref="D30">INDEX('Linha 10'!$A$4:$A$1000,B30)</f>
        <v>20220012</v>
      </c>
      <c r="E30" t="str" cm="1">
        <f t="array" ref="E30">INDEX('Linha 10'!$B$4:$B$1000,B30)</f>
        <v>Aromat. Aquafast Difusor Flores Exoticas Cx C/ 12un 250ml</v>
      </c>
      <c r="F30" cm="1">
        <f t="array" ref="F30">INDEX('Linha 10'!$C$3:$ZZ$3,C30)</f>
        <v>20220012</v>
      </c>
      <c r="G30" t="str" cm="1">
        <f t="array" ref="G30">INDEX('Linha 10'!$C$2:$ZZ$2,C30)</f>
        <v>Aromat. Aquafast Difusor Flores Exoticas Cx C/ 12un 250ml</v>
      </c>
      <c r="H30" s="5" cm="1">
        <f t="array" ref="H30">INDEX('Linha 10'!$C$4:$ZZ$1000,B30,C30)</f>
        <v>0</v>
      </c>
    </row>
    <row r="31" spans="1:8" x14ac:dyDescent="0.25">
      <c r="A31">
        <v>29</v>
      </c>
      <c r="B31">
        <f t="shared" si="0"/>
        <v>4</v>
      </c>
      <c r="C31">
        <f t="shared" si="1"/>
        <v>5</v>
      </c>
      <c r="D31" cm="1">
        <f t="array" ref="D31">INDEX('Linha 10'!$A$4:$A$1000,B31)</f>
        <v>20220012</v>
      </c>
      <c r="E31" t="str" cm="1">
        <f t="array" ref="E31">INDEX('Linha 10'!$B$4:$B$1000,B31)</f>
        <v>Aromat. Aquafast Difusor Flores Exoticas Cx C/ 12un 250ml</v>
      </c>
      <c r="F31" cm="1">
        <f t="array" ref="F31">INDEX('Linha 10'!$C$3:$ZZ$3,C31)</f>
        <v>20220013</v>
      </c>
      <c r="G31" t="str" cm="1">
        <f t="array" ref="G31">INDEX('Linha 10'!$C$2:$ZZ$2,C31)</f>
        <v>Aromat. Aquafast Difusor Cha Verde E Grapef Cx C/ 12un 250ml</v>
      </c>
      <c r="H31" s="5" cm="1">
        <f t="array" ref="H31">INDEX('Linha 10'!$C$4:$ZZ$1000,B31,C31)</f>
        <v>0</v>
      </c>
    </row>
    <row r="32" spans="1:8" x14ac:dyDescent="0.25">
      <c r="A32">
        <v>30</v>
      </c>
      <c r="B32">
        <f t="shared" si="0"/>
        <v>4</v>
      </c>
      <c r="C32">
        <f t="shared" si="1"/>
        <v>6</v>
      </c>
      <c r="D32" cm="1">
        <f t="array" ref="D32">INDEX('Linha 10'!$A$4:$A$1000,B32)</f>
        <v>20220012</v>
      </c>
      <c r="E32" t="str" cm="1">
        <f t="array" ref="E32">INDEX('Linha 10'!$B$4:$B$1000,B32)</f>
        <v>Aromat. Aquafast Difusor Flores Exoticas Cx C/ 12un 250ml</v>
      </c>
      <c r="F32" cm="1">
        <f t="array" ref="F32">INDEX('Linha 10'!$C$3:$ZZ$3,C32)</f>
        <v>20240004</v>
      </c>
      <c r="G32" t="str" cm="1">
        <f t="array" ref="G32">INDEX('Linha 10'!$C$2:$ZZ$2,C32)</f>
        <v>Promopack Amac. Conc. Aquafast 30% Cx C/6pack C/2un X 1l</v>
      </c>
      <c r="H32" s="5" cm="1">
        <f t="array" ref="H32">INDEX('Linha 10'!$C$4:$ZZ$1000,B32,C32)</f>
        <v>0</v>
      </c>
    </row>
    <row r="33" spans="1:8" x14ac:dyDescent="0.25">
      <c r="A33">
        <v>31</v>
      </c>
      <c r="B33">
        <f t="shared" si="0"/>
        <v>4</v>
      </c>
      <c r="C33">
        <f t="shared" si="1"/>
        <v>7</v>
      </c>
      <c r="D33" cm="1">
        <f t="array" ref="D33">INDEX('Linha 10'!$A$4:$A$1000,B33)</f>
        <v>20220012</v>
      </c>
      <c r="E33" t="str" cm="1">
        <f t="array" ref="E33">INDEX('Linha 10'!$B$4:$B$1000,B33)</f>
        <v>Aromat. Aquafast Difusor Flores Exoticas Cx C/ 12un 250ml</v>
      </c>
      <c r="F33" cm="1">
        <f t="array" ref="F33">INDEX('Linha 10'!$C$3:$ZZ$3,C33)</f>
        <v>20260001</v>
      </c>
      <c r="G33" t="str" cm="1">
        <f t="array" ref="G33">INDEX('Linha 10'!$C$2:$ZZ$2,C33)</f>
        <v>Promopack Deseng+Multiuso Squeeze Cx C/6pack C/3un X 500ml</v>
      </c>
      <c r="H33" s="5" cm="1">
        <f t="array" ref="H33">INDEX('Linha 10'!$C$4:$ZZ$1000,B33,C33)</f>
        <v>0</v>
      </c>
    </row>
    <row r="34" spans="1:8" x14ac:dyDescent="0.25">
      <c r="A34">
        <v>32</v>
      </c>
      <c r="B34">
        <f t="shared" si="0"/>
        <v>4</v>
      </c>
      <c r="C34">
        <f t="shared" si="1"/>
        <v>8</v>
      </c>
      <c r="D34" cm="1">
        <f t="array" ref="D34">INDEX('Linha 10'!$A$4:$A$1000,B34)</f>
        <v>20220012</v>
      </c>
      <c r="E34" t="str" cm="1">
        <f t="array" ref="E34">INDEX('Linha 10'!$B$4:$B$1000,B34)</f>
        <v>Aromat. Aquafast Difusor Flores Exoticas Cx C/ 12un 250ml</v>
      </c>
      <c r="F34" cm="1">
        <f t="array" ref="F34">INDEX('Linha 10'!$C$3:$ZZ$3,C34)</f>
        <v>20280001</v>
      </c>
      <c r="G34" t="str" cm="1">
        <f t="array" ref="G34">INDEX('Linha 10'!$C$2:$ZZ$2,C34)</f>
        <v>Promopack Desinfetante Aquafast Cx C/4pack C/3un X 1l</v>
      </c>
      <c r="H34" s="5" cm="1">
        <f t="array" ref="H34">INDEX('Linha 10'!$C$4:$ZZ$1000,B34,C34)</f>
        <v>0</v>
      </c>
    </row>
    <row r="35" spans="1:8" x14ac:dyDescent="0.25">
      <c r="A35">
        <v>33</v>
      </c>
      <c r="B35">
        <f t="shared" si="0"/>
        <v>5</v>
      </c>
      <c r="C35">
        <f t="shared" si="1"/>
        <v>1</v>
      </c>
      <c r="D35" cm="1">
        <f t="array" ref="D35">INDEX('Linha 10'!$A$4:$A$1000,B35)</f>
        <v>20220013</v>
      </c>
      <c r="E35" t="str" cm="1">
        <f t="array" ref="E35">INDEX('Linha 10'!$B$4:$B$1000,B35)</f>
        <v>Aromat. Aquafast Difusor Cha Verde E Grapef Cx C/ 12un 250ml</v>
      </c>
      <c r="F35" cm="1">
        <f t="array" ref="F35">INDEX('Linha 10'!$C$3:$ZZ$3,C35)</f>
        <v>20220009</v>
      </c>
      <c r="G35" t="str" cm="1">
        <f t="array" ref="G35">INDEX('Linha 10'!$C$2:$ZZ$2,C35)</f>
        <v>Aromat. Aquafast Difusor Amoras E Baunilha Cx C/ 12un 250ml</v>
      </c>
      <c r="H35" s="5" cm="1">
        <f t="array" ref="H35">INDEX('Linha 10'!$C$4:$ZZ$1000,B35,C35)</f>
        <v>0</v>
      </c>
    </row>
    <row r="36" spans="1:8" x14ac:dyDescent="0.25">
      <c r="A36">
        <v>34</v>
      </c>
      <c r="B36">
        <f t="shared" si="0"/>
        <v>5</v>
      </c>
      <c r="C36">
        <f t="shared" si="1"/>
        <v>2</v>
      </c>
      <c r="D36" cm="1">
        <f t="array" ref="D36">INDEX('Linha 10'!$A$4:$A$1000,B36)</f>
        <v>20220013</v>
      </c>
      <c r="E36" t="str" cm="1">
        <f t="array" ref="E36">INDEX('Linha 10'!$B$4:$B$1000,B36)</f>
        <v>Aromat. Aquafast Difusor Cha Verde E Grapef Cx C/ 12un 250ml</v>
      </c>
      <c r="F36" cm="1">
        <f t="array" ref="F36">INDEX('Linha 10'!$C$3:$ZZ$3,C36)</f>
        <v>20220010</v>
      </c>
      <c r="G36" t="str" cm="1">
        <f t="array" ref="G36">INDEX('Linha 10'!$C$2:$ZZ$2,C36)</f>
        <v>Aromat. Aquafast Difusor Figo E Cedro Cx C/ 12un 250ml</v>
      </c>
      <c r="H36" s="5" cm="1">
        <f t="array" ref="H36">INDEX('Linha 10'!$C$4:$ZZ$1000,B36,C36)</f>
        <v>0</v>
      </c>
    </row>
    <row r="37" spans="1:8" x14ac:dyDescent="0.25">
      <c r="A37">
        <v>35</v>
      </c>
      <c r="B37">
        <f t="shared" si="0"/>
        <v>5</v>
      </c>
      <c r="C37">
        <f t="shared" si="1"/>
        <v>3</v>
      </c>
      <c r="D37" cm="1">
        <f t="array" ref="D37">INDEX('Linha 10'!$A$4:$A$1000,B37)</f>
        <v>20220013</v>
      </c>
      <c r="E37" t="str" cm="1">
        <f t="array" ref="E37">INDEX('Linha 10'!$B$4:$B$1000,B37)</f>
        <v>Aromat. Aquafast Difusor Cha Verde E Grapef Cx C/ 12un 250ml</v>
      </c>
      <c r="F37" cm="1">
        <f t="array" ref="F37">INDEX('Linha 10'!$C$3:$ZZ$3,C37)</f>
        <v>20220011</v>
      </c>
      <c r="G37" t="str" cm="1">
        <f t="array" ref="G37">INDEX('Linha 10'!$C$2:$ZZ$2,C37)</f>
        <v>Aromat. Aquafast Difusor Rosas E Magnolias Cx C/ 12un 250ml</v>
      </c>
      <c r="H37" s="5" cm="1">
        <f t="array" ref="H37">INDEX('Linha 10'!$C$4:$ZZ$1000,B37,C37)</f>
        <v>0</v>
      </c>
    </row>
    <row r="38" spans="1:8" x14ac:dyDescent="0.25">
      <c r="A38">
        <v>36</v>
      </c>
      <c r="B38">
        <f t="shared" si="0"/>
        <v>5</v>
      </c>
      <c r="C38">
        <f t="shared" si="1"/>
        <v>4</v>
      </c>
      <c r="D38" cm="1">
        <f t="array" ref="D38">INDEX('Linha 10'!$A$4:$A$1000,B38)</f>
        <v>20220013</v>
      </c>
      <c r="E38" t="str" cm="1">
        <f t="array" ref="E38">INDEX('Linha 10'!$B$4:$B$1000,B38)</f>
        <v>Aromat. Aquafast Difusor Cha Verde E Grapef Cx C/ 12un 250ml</v>
      </c>
      <c r="F38" cm="1">
        <f t="array" ref="F38">INDEX('Linha 10'!$C$3:$ZZ$3,C38)</f>
        <v>20220012</v>
      </c>
      <c r="G38" t="str" cm="1">
        <f t="array" ref="G38">INDEX('Linha 10'!$C$2:$ZZ$2,C38)</f>
        <v>Aromat. Aquafast Difusor Flores Exoticas Cx C/ 12un 250ml</v>
      </c>
      <c r="H38" s="5" cm="1">
        <f t="array" ref="H38">INDEX('Linha 10'!$C$4:$ZZ$1000,B38,C38)</f>
        <v>0</v>
      </c>
    </row>
    <row r="39" spans="1:8" x14ac:dyDescent="0.25">
      <c r="A39">
        <v>37</v>
      </c>
      <c r="B39">
        <f t="shared" si="0"/>
        <v>5</v>
      </c>
      <c r="C39">
        <f t="shared" si="1"/>
        <v>5</v>
      </c>
      <c r="D39" cm="1">
        <f t="array" ref="D39">INDEX('Linha 10'!$A$4:$A$1000,B39)</f>
        <v>20220013</v>
      </c>
      <c r="E39" t="str" cm="1">
        <f t="array" ref="E39">INDEX('Linha 10'!$B$4:$B$1000,B39)</f>
        <v>Aromat. Aquafast Difusor Cha Verde E Grapef Cx C/ 12un 250ml</v>
      </c>
      <c r="F39" cm="1">
        <f t="array" ref="F39">INDEX('Linha 10'!$C$3:$ZZ$3,C39)</f>
        <v>20220013</v>
      </c>
      <c r="G39" t="str" cm="1">
        <f t="array" ref="G39">INDEX('Linha 10'!$C$2:$ZZ$2,C39)</f>
        <v>Aromat. Aquafast Difusor Cha Verde E Grapef Cx C/ 12un 250ml</v>
      </c>
      <c r="H39" s="5" cm="1">
        <f t="array" ref="H39">INDEX('Linha 10'!$C$4:$ZZ$1000,B39,C39)</f>
        <v>0</v>
      </c>
    </row>
    <row r="40" spans="1:8" x14ac:dyDescent="0.25">
      <c r="A40">
        <v>38</v>
      </c>
      <c r="B40">
        <f t="shared" si="0"/>
        <v>5</v>
      </c>
      <c r="C40">
        <f t="shared" si="1"/>
        <v>6</v>
      </c>
      <c r="D40" cm="1">
        <f t="array" ref="D40">INDEX('Linha 10'!$A$4:$A$1000,B40)</f>
        <v>20220013</v>
      </c>
      <c r="E40" t="str" cm="1">
        <f t="array" ref="E40">INDEX('Linha 10'!$B$4:$B$1000,B40)</f>
        <v>Aromat. Aquafast Difusor Cha Verde E Grapef Cx C/ 12un 250ml</v>
      </c>
      <c r="F40" cm="1">
        <f t="array" ref="F40">INDEX('Linha 10'!$C$3:$ZZ$3,C40)</f>
        <v>20240004</v>
      </c>
      <c r="G40" t="str" cm="1">
        <f t="array" ref="G40">INDEX('Linha 10'!$C$2:$ZZ$2,C40)</f>
        <v>Promopack Amac. Conc. Aquafast 30% Cx C/6pack C/2un X 1l</v>
      </c>
      <c r="H40" s="5" cm="1">
        <f t="array" ref="H40">INDEX('Linha 10'!$C$4:$ZZ$1000,B40,C40)</f>
        <v>0</v>
      </c>
    </row>
    <row r="41" spans="1:8" x14ac:dyDescent="0.25">
      <c r="A41">
        <v>39</v>
      </c>
      <c r="B41">
        <f t="shared" si="0"/>
        <v>5</v>
      </c>
      <c r="C41">
        <f t="shared" si="1"/>
        <v>7</v>
      </c>
      <c r="D41" cm="1">
        <f t="array" ref="D41">INDEX('Linha 10'!$A$4:$A$1000,B41)</f>
        <v>20220013</v>
      </c>
      <c r="E41" t="str" cm="1">
        <f t="array" ref="E41">INDEX('Linha 10'!$B$4:$B$1000,B41)</f>
        <v>Aromat. Aquafast Difusor Cha Verde E Grapef Cx C/ 12un 250ml</v>
      </c>
      <c r="F41" cm="1">
        <f t="array" ref="F41">INDEX('Linha 10'!$C$3:$ZZ$3,C41)</f>
        <v>20260001</v>
      </c>
      <c r="G41" t="str" cm="1">
        <f t="array" ref="G41">INDEX('Linha 10'!$C$2:$ZZ$2,C41)</f>
        <v>Promopack Deseng+Multiuso Squeeze Cx C/6pack C/3un X 500ml</v>
      </c>
      <c r="H41" s="5" cm="1">
        <f t="array" ref="H41">INDEX('Linha 10'!$C$4:$ZZ$1000,B41,C41)</f>
        <v>0</v>
      </c>
    </row>
    <row r="42" spans="1:8" x14ac:dyDescent="0.25">
      <c r="A42">
        <v>40</v>
      </c>
      <c r="B42">
        <f t="shared" si="0"/>
        <v>5</v>
      </c>
      <c r="C42">
        <f t="shared" si="1"/>
        <v>8</v>
      </c>
      <c r="D42" cm="1">
        <f t="array" ref="D42">INDEX('Linha 10'!$A$4:$A$1000,B42)</f>
        <v>20220013</v>
      </c>
      <c r="E42" t="str" cm="1">
        <f t="array" ref="E42">INDEX('Linha 10'!$B$4:$B$1000,B42)</f>
        <v>Aromat. Aquafast Difusor Cha Verde E Grapef Cx C/ 12un 250ml</v>
      </c>
      <c r="F42" cm="1">
        <f t="array" ref="F42">INDEX('Linha 10'!$C$3:$ZZ$3,C42)</f>
        <v>20280001</v>
      </c>
      <c r="G42" t="str" cm="1">
        <f t="array" ref="G42">INDEX('Linha 10'!$C$2:$ZZ$2,C42)</f>
        <v>Promopack Desinfetante Aquafast Cx C/4pack C/3un X 1l</v>
      </c>
      <c r="H42" s="5" cm="1">
        <f t="array" ref="H42">INDEX('Linha 10'!$C$4:$ZZ$1000,B42,C42)</f>
        <v>0</v>
      </c>
    </row>
    <row r="43" spans="1:8" x14ac:dyDescent="0.25">
      <c r="A43">
        <v>41</v>
      </c>
      <c r="B43">
        <f t="shared" si="0"/>
        <v>6</v>
      </c>
      <c r="C43">
        <f t="shared" si="1"/>
        <v>1</v>
      </c>
      <c r="D43" cm="1">
        <f t="array" ref="D43">INDEX('Linha 10'!$A$4:$A$1000,B43)</f>
        <v>20240004</v>
      </c>
      <c r="E43" t="str" cm="1">
        <f t="array" ref="E43">INDEX('Linha 10'!$B$4:$B$1000,B43)</f>
        <v>Promopack Amac. Conc. Aquafast 30% Cx C/6pack C/2un X 1l</v>
      </c>
      <c r="F43" cm="1">
        <f t="array" ref="F43">INDEX('Linha 10'!$C$3:$ZZ$3,C43)</f>
        <v>20220009</v>
      </c>
      <c r="G43" t="str" cm="1">
        <f t="array" ref="G43">INDEX('Linha 10'!$C$2:$ZZ$2,C43)</f>
        <v>Aromat. Aquafast Difusor Amoras E Baunilha Cx C/ 12un 250ml</v>
      </c>
      <c r="H43" s="5" cm="1">
        <f t="array" ref="H43">INDEX('Linha 10'!$C$4:$ZZ$1000,B43,C43)</f>
        <v>0</v>
      </c>
    </row>
    <row r="44" spans="1:8" x14ac:dyDescent="0.25">
      <c r="A44">
        <v>42</v>
      </c>
      <c r="B44">
        <f t="shared" si="0"/>
        <v>6</v>
      </c>
      <c r="C44">
        <f t="shared" si="1"/>
        <v>2</v>
      </c>
      <c r="D44" cm="1">
        <f t="array" ref="D44">INDEX('Linha 10'!$A$4:$A$1000,B44)</f>
        <v>20240004</v>
      </c>
      <c r="E44" t="str" cm="1">
        <f t="array" ref="E44">INDEX('Linha 10'!$B$4:$B$1000,B44)</f>
        <v>Promopack Amac. Conc. Aquafast 30% Cx C/6pack C/2un X 1l</v>
      </c>
      <c r="F44" cm="1">
        <f t="array" ref="F44">INDEX('Linha 10'!$C$3:$ZZ$3,C44)</f>
        <v>20220010</v>
      </c>
      <c r="G44" t="str" cm="1">
        <f t="array" ref="G44">INDEX('Linha 10'!$C$2:$ZZ$2,C44)</f>
        <v>Aromat. Aquafast Difusor Figo E Cedro Cx C/ 12un 250ml</v>
      </c>
      <c r="H44" s="5" cm="1">
        <f t="array" ref="H44">INDEX('Linha 10'!$C$4:$ZZ$1000,B44,C44)</f>
        <v>0</v>
      </c>
    </row>
    <row r="45" spans="1:8" x14ac:dyDescent="0.25">
      <c r="A45">
        <v>43</v>
      </c>
      <c r="B45">
        <f t="shared" si="0"/>
        <v>6</v>
      </c>
      <c r="C45">
        <f t="shared" si="1"/>
        <v>3</v>
      </c>
      <c r="D45" cm="1">
        <f t="array" ref="D45">INDEX('Linha 10'!$A$4:$A$1000,B45)</f>
        <v>20240004</v>
      </c>
      <c r="E45" t="str" cm="1">
        <f t="array" ref="E45">INDEX('Linha 10'!$B$4:$B$1000,B45)</f>
        <v>Promopack Amac. Conc. Aquafast 30% Cx C/6pack C/2un X 1l</v>
      </c>
      <c r="F45" cm="1">
        <f t="array" ref="F45">INDEX('Linha 10'!$C$3:$ZZ$3,C45)</f>
        <v>20220011</v>
      </c>
      <c r="G45" t="str" cm="1">
        <f t="array" ref="G45">INDEX('Linha 10'!$C$2:$ZZ$2,C45)</f>
        <v>Aromat. Aquafast Difusor Rosas E Magnolias Cx C/ 12un 250ml</v>
      </c>
      <c r="H45" s="5" cm="1">
        <f t="array" ref="H45">INDEX('Linha 10'!$C$4:$ZZ$1000,B45,C45)</f>
        <v>0</v>
      </c>
    </row>
    <row r="46" spans="1:8" x14ac:dyDescent="0.25">
      <c r="A46">
        <v>44</v>
      </c>
      <c r="B46">
        <f t="shared" si="0"/>
        <v>6</v>
      </c>
      <c r="C46">
        <f t="shared" si="1"/>
        <v>4</v>
      </c>
      <c r="D46" cm="1">
        <f t="array" ref="D46">INDEX('Linha 10'!$A$4:$A$1000,B46)</f>
        <v>20240004</v>
      </c>
      <c r="E46" t="str" cm="1">
        <f t="array" ref="E46">INDEX('Linha 10'!$B$4:$B$1000,B46)</f>
        <v>Promopack Amac. Conc. Aquafast 30% Cx C/6pack C/2un X 1l</v>
      </c>
      <c r="F46" cm="1">
        <f t="array" ref="F46">INDEX('Linha 10'!$C$3:$ZZ$3,C46)</f>
        <v>20220012</v>
      </c>
      <c r="G46" t="str" cm="1">
        <f t="array" ref="G46">INDEX('Linha 10'!$C$2:$ZZ$2,C46)</f>
        <v>Aromat. Aquafast Difusor Flores Exoticas Cx C/ 12un 250ml</v>
      </c>
      <c r="H46" s="5" cm="1">
        <f t="array" ref="H46">INDEX('Linha 10'!$C$4:$ZZ$1000,B46,C46)</f>
        <v>0</v>
      </c>
    </row>
    <row r="47" spans="1:8" x14ac:dyDescent="0.25">
      <c r="A47">
        <v>45</v>
      </c>
      <c r="B47">
        <f t="shared" si="0"/>
        <v>6</v>
      </c>
      <c r="C47">
        <f t="shared" si="1"/>
        <v>5</v>
      </c>
      <c r="D47" cm="1">
        <f t="array" ref="D47">INDEX('Linha 10'!$A$4:$A$1000,B47)</f>
        <v>20240004</v>
      </c>
      <c r="E47" t="str" cm="1">
        <f t="array" ref="E47">INDEX('Linha 10'!$B$4:$B$1000,B47)</f>
        <v>Promopack Amac. Conc. Aquafast 30% Cx C/6pack C/2un X 1l</v>
      </c>
      <c r="F47" cm="1">
        <f t="array" ref="F47">INDEX('Linha 10'!$C$3:$ZZ$3,C47)</f>
        <v>20220013</v>
      </c>
      <c r="G47" t="str" cm="1">
        <f t="array" ref="G47">INDEX('Linha 10'!$C$2:$ZZ$2,C47)</f>
        <v>Aromat. Aquafast Difusor Cha Verde E Grapef Cx C/ 12un 250ml</v>
      </c>
      <c r="H47" s="5" cm="1">
        <f t="array" ref="H47">INDEX('Linha 10'!$C$4:$ZZ$1000,B47,C47)</f>
        <v>0</v>
      </c>
    </row>
    <row r="48" spans="1:8" x14ac:dyDescent="0.25">
      <c r="A48">
        <v>46</v>
      </c>
      <c r="B48">
        <f t="shared" si="0"/>
        <v>6</v>
      </c>
      <c r="C48">
        <f t="shared" si="1"/>
        <v>6</v>
      </c>
      <c r="D48" cm="1">
        <f t="array" ref="D48">INDEX('Linha 10'!$A$4:$A$1000,B48)</f>
        <v>20240004</v>
      </c>
      <c r="E48" t="str" cm="1">
        <f t="array" ref="E48">INDEX('Linha 10'!$B$4:$B$1000,B48)</f>
        <v>Promopack Amac. Conc. Aquafast 30% Cx C/6pack C/2un X 1l</v>
      </c>
      <c r="F48" cm="1">
        <f t="array" ref="F48">INDEX('Linha 10'!$C$3:$ZZ$3,C48)</f>
        <v>20240004</v>
      </c>
      <c r="G48" t="str" cm="1">
        <f t="array" ref="G48">INDEX('Linha 10'!$C$2:$ZZ$2,C48)</f>
        <v>Promopack Amac. Conc. Aquafast 30% Cx C/6pack C/2un X 1l</v>
      </c>
      <c r="H48" s="5" cm="1">
        <f t="array" ref="H48">INDEX('Linha 10'!$C$4:$ZZ$1000,B48,C48)</f>
        <v>0</v>
      </c>
    </row>
    <row r="49" spans="1:8" x14ac:dyDescent="0.25">
      <c r="A49">
        <v>47</v>
      </c>
      <c r="B49">
        <f t="shared" si="0"/>
        <v>6</v>
      </c>
      <c r="C49">
        <f t="shared" si="1"/>
        <v>7</v>
      </c>
      <c r="D49" cm="1">
        <f t="array" ref="D49">INDEX('Linha 10'!$A$4:$A$1000,B49)</f>
        <v>20240004</v>
      </c>
      <c r="E49" t="str" cm="1">
        <f t="array" ref="E49">INDEX('Linha 10'!$B$4:$B$1000,B49)</f>
        <v>Promopack Amac. Conc. Aquafast 30% Cx C/6pack C/2un X 1l</v>
      </c>
      <c r="F49" cm="1">
        <f t="array" ref="F49">INDEX('Linha 10'!$C$3:$ZZ$3,C49)</f>
        <v>20260001</v>
      </c>
      <c r="G49" t="str" cm="1">
        <f t="array" ref="G49">INDEX('Linha 10'!$C$2:$ZZ$2,C49)</f>
        <v>Promopack Deseng+Multiuso Squeeze Cx C/6pack C/3un X 500ml</v>
      </c>
      <c r="H49" s="5" cm="1">
        <f t="array" ref="H49">INDEX('Linha 10'!$C$4:$ZZ$1000,B49,C49)</f>
        <v>0</v>
      </c>
    </row>
    <row r="50" spans="1:8" x14ac:dyDescent="0.25">
      <c r="A50">
        <v>48</v>
      </c>
      <c r="B50">
        <f t="shared" si="0"/>
        <v>6</v>
      </c>
      <c r="C50">
        <f t="shared" si="1"/>
        <v>8</v>
      </c>
      <c r="D50" cm="1">
        <f t="array" ref="D50">INDEX('Linha 10'!$A$4:$A$1000,B50)</f>
        <v>20240004</v>
      </c>
      <c r="E50" t="str" cm="1">
        <f t="array" ref="E50">INDEX('Linha 10'!$B$4:$B$1000,B50)</f>
        <v>Promopack Amac. Conc. Aquafast 30% Cx C/6pack C/2un X 1l</v>
      </c>
      <c r="F50" cm="1">
        <f t="array" ref="F50">INDEX('Linha 10'!$C$3:$ZZ$3,C50)</f>
        <v>20280001</v>
      </c>
      <c r="G50" t="str" cm="1">
        <f t="array" ref="G50">INDEX('Linha 10'!$C$2:$ZZ$2,C50)</f>
        <v>Promopack Desinfetante Aquafast Cx C/4pack C/3un X 1l</v>
      </c>
      <c r="H50" s="5" cm="1">
        <f t="array" ref="H50">INDEX('Linha 10'!$C$4:$ZZ$1000,B50,C50)</f>
        <v>0</v>
      </c>
    </row>
    <row r="51" spans="1:8" x14ac:dyDescent="0.25">
      <c r="A51">
        <v>49</v>
      </c>
      <c r="B51">
        <f t="shared" si="0"/>
        <v>7</v>
      </c>
      <c r="C51">
        <f t="shared" si="1"/>
        <v>1</v>
      </c>
      <c r="D51" cm="1">
        <f t="array" ref="D51">INDEX('Linha 10'!$A$4:$A$1000,B51)</f>
        <v>20260001</v>
      </c>
      <c r="E51" t="str" cm="1">
        <f t="array" ref="E51">INDEX('Linha 10'!$B$4:$B$1000,B51)</f>
        <v>Promopack Deseng+Multiuso Squeeze Cx C/6pack C/3un X 500ml</v>
      </c>
      <c r="F51" cm="1">
        <f t="array" ref="F51">INDEX('Linha 10'!$C$3:$ZZ$3,C51)</f>
        <v>20220009</v>
      </c>
      <c r="G51" t="str" cm="1">
        <f t="array" ref="G51">INDEX('Linha 10'!$C$2:$ZZ$2,C51)</f>
        <v>Aromat. Aquafast Difusor Amoras E Baunilha Cx C/ 12un 250ml</v>
      </c>
      <c r="H51" s="5" cm="1">
        <f t="array" ref="H51">INDEX('Linha 10'!$C$4:$ZZ$1000,B51,C51)</f>
        <v>0</v>
      </c>
    </row>
    <row r="52" spans="1:8" x14ac:dyDescent="0.25">
      <c r="A52">
        <v>50</v>
      </c>
      <c r="B52">
        <f t="shared" si="0"/>
        <v>7</v>
      </c>
      <c r="C52">
        <f t="shared" si="1"/>
        <v>2</v>
      </c>
      <c r="D52" cm="1">
        <f t="array" ref="D52">INDEX('Linha 10'!$A$4:$A$1000,B52)</f>
        <v>20260001</v>
      </c>
      <c r="E52" t="str" cm="1">
        <f t="array" ref="E52">INDEX('Linha 10'!$B$4:$B$1000,B52)</f>
        <v>Promopack Deseng+Multiuso Squeeze Cx C/6pack C/3un X 500ml</v>
      </c>
      <c r="F52" cm="1">
        <f t="array" ref="F52">INDEX('Linha 10'!$C$3:$ZZ$3,C52)</f>
        <v>20220010</v>
      </c>
      <c r="G52" t="str" cm="1">
        <f t="array" ref="G52">INDEX('Linha 10'!$C$2:$ZZ$2,C52)</f>
        <v>Aromat. Aquafast Difusor Figo E Cedro Cx C/ 12un 250ml</v>
      </c>
      <c r="H52" s="5" cm="1">
        <f t="array" ref="H52">INDEX('Linha 10'!$C$4:$ZZ$1000,B52,C52)</f>
        <v>0</v>
      </c>
    </row>
    <row r="53" spans="1:8" x14ac:dyDescent="0.25">
      <c r="A53">
        <v>51</v>
      </c>
      <c r="B53">
        <f t="shared" si="0"/>
        <v>7</v>
      </c>
      <c r="C53">
        <f t="shared" si="1"/>
        <v>3</v>
      </c>
      <c r="D53" cm="1">
        <f t="array" ref="D53">INDEX('Linha 10'!$A$4:$A$1000,B53)</f>
        <v>20260001</v>
      </c>
      <c r="E53" t="str" cm="1">
        <f t="array" ref="E53">INDEX('Linha 10'!$B$4:$B$1000,B53)</f>
        <v>Promopack Deseng+Multiuso Squeeze Cx C/6pack C/3un X 500ml</v>
      </c>
      <c r="F53" cm="1">
        <f t="array" ref="F53">INDEX('Linha 10'!$C$3:$ZZ$3,C53)</f>
        <v>20220011</v>
      </c>
      <c r="G53" t="str" cm="1">
        <f t="array" ref="G53">INDEX('Linha 10'!$C$2:$ZZ$2,C53)</f>
        <v>Aromat. Aquafast Difusor Rosas E Magnolias Cx C/ 12un 250ml</v>
      </c>
      <c r="H53" s="5" cm="1">
        <f t="array" ref="H53">INDEX('Linha 10'!$C$4:$ZZ$1000,B53,C53)</f>
        <v>0</v>
      </c>
    </row>
    <row r="54" spans="1:8" x14ac:dyDescent="0.25">
      <c r="A54">
        <v>52</v>
      </c>
      <c r="B54">
        <f t="shared" si="0"/>
        <v>7</v>
      </c>
      <c r="C54">
        <f t="shared" si="1"/>
        <v>4</v>
      </c>
      <c r="D54" cm="1">
        <f t="array" ref="D54">INDEX('Linha 10'!$A$4:$A$1000,B54)</f>
        <v>20260001</v>
      </c>
      <c r="E54" t="str" cm="1">
        <f t="array" ref="E54">INDEX('Linha 10'!$B$4:$B$1000,B54)</f>
        <v>Promopack Deseng+Multiuso Squeeze Cx C/6pack C/3un X 500ml</v>
      </c>
      <c r="F54" cm="1">
        <f t="array" ref="F54">INDEX('Linha 10'!$C$3:$ZZ$3,C54)</f>
        <v>20220012</v>
      </c>
      <c r="G54" t="str" cm="1">
        <f t="array" ref="G54">INDEX('Linha 10'!$C$2:$ZZ$2,C54)</f>
        <v>Aromat. Aquafast Difusor Flores Exoticas Cx C/ 12un 250ml</v>
      </c>
      <c r="H54" s="5" cm="1">
        <f t="array" ref="H54">INDEX('Linha 10'!$C$4:$ZZ$1000,B54,C54)</f>
        <v>0</v>
      </c>
    </row>
    <row r="55" spans="1:8" x14ac:dyDescent="0.25">
      <c r="A55">
        <v>53</v>
      </c>
      <c r="B55">
        <f t="shared" si="0"/>
        <v>7</v>
      </c>
      <c r="C55">
        <f t="shared" si="1"/>
        <v>5</v>
      </c>
      <c r="D55" cm="1">
        <f t="array" ref="D55">INDEX('Linha 10'!$A$4:$A$1000,B55)</f>
        <v>20260001</v>
      </c>
      <c r="E55" t="str" cm="1">
        <f t="array" ref="E55">INDEX('Linha 10'!$B$4:$B$1000,B55)</f>
        <v>Promopack Deseng+Multiuso Squeeze Cx C/6pack C/3un X 500ml</v>
      </c>
      <c r="F55" cm="1">
        <f t="array" ref="F55">INDEX('Linha 10'!$C$3:$ZZ$3,C55)</f>
        <v>20220013</v>
      </c>
      <c r="G55" t="str" cm="1">
        <f t="array" ref="G55">INDEX('Linha 10'!$C$2:$ZZ$2,C55)</f>
        <v>Aromat. Aquafast Difusor Cha Verde E Grapef Cx C/ 12un 250ml</v>
      </c>
      <c r="H55" s="5" cm="1">
        <f t="array" ref="H55">INDEX('Linha 10'!$C$4:$ZZ$1000,B55,C55)</f>
        <v>0</v>
      </c>
    </row>
    <row r="56" spans="1:8" x14ac:dyDescent="0.25">
      <c r="A56">
        <v>54</v>
      </c>
      <c r="B56">
        <f t="shared" si="0"/>
        <v>7</v>
      </c>
      <c r="C56">
        <f t="shared" si="1"/>
        <v>6</v>
      </c>
      <c r="D56" cm="1">
        <f t="array" ref="D56">INDEX('Linha 10'!$A$4:$A$1000,B56)</f>
        <v>20260001</v>
      </c>
      <c r="E56" t="str" cm="1">
        <f t="array" ref="E56">INDEX('Linha 10'!$B$4:$B$1000,B56)</f>
        <v>Promopack Deseng+Multiuso Squeeze Cx C/6pack C/3un X 500ml</v>
      </c>
      <c r="F56" cm="1">
        <f t="array" ref="F56">INDEX('Linha 10'!$C$3:$ZZ$3,C56)</f>
        <v>20240004</v>
      </c>
      <c r="G56" t="str" cm="1">
        <f t="array" ref="G56">INDEX('Linha 10'!$C$2:$ZZ$2,C56)</f>
        <v>Promopack Amac. Conc. Aquafast 30% Cx C/6pack C/2un X 1l</v>
      </c>
      <c r="H56" s="5" cm="1">
        <f t="array" ref="H56">INDEX('Linha 10'!$C$4:$ZZ$1000,B56,C56)</f>
        <v>0</v>
      </c>
    </row>
    <row r="57" spans="1:8" x14ac:dyDescent="0.25">
      <c r="A57">
        <v>55</v>
      </c>
      <c r="B57">
        <f t="shared" si="0"/>
        <v>7</v>
      </c>
      <c r="C57">
        <f t="shared" si="1"/>
        <v>7</v>
      </c>
      <c r="D57" cm="1">
        <f t="array" ref="D57">INDEX('Linha 10'!$A$4:$A$1000,B57)</f>
        <v>20260001</v>
      </c>
      <c r="E57" t="str" cm="1">
        <f t="array" ref="E57">INDEX('Linha 10'!$B$4:$B$1000,B57)</f>
        <v>Promopack Deseng+Multiuso Squeeze Cx C/6pack C/3un X 500ml</v>
      </c>
      <c r="F57" cm="1">
        <f t="array" ref="F57">INDEX('Linha 10'!$C$3:$ZZ$3,C57)</f>
        <v>20260001</v>
      </c>
      <c r="G57" t="str" cm="1">
        <f t="array" ref="G57">INDEX('Linha 10'!$C$2:$ZZ$2,C57)</f>
        <v>Promopack Deseng+Multiuso Squeeze Cx C/6pack C/3un X 500ml</v>
      </c>
      <c r="H57" s="5" cm="1">
        <f t="array" ref="H57">INDEX('Linha 10'!$C$4:$ZZ$1000,B57,C57)</f>
        <v>0</v>
      </c>
    </row>
    <row r="58" spans="1:8" x14ac:dyDescent="0.25">
      <c r="A58">
        <v>56</v>
      </c>
      <c r="B58">
        <f t="shared" si="0"/>
        <v>7</v>
      </c>
      <c r="C58">
        <f t="shared" si="1"/>
        <v>8</v>
      </c>
      <c r="D58" cm="1">
        <f t="array" ref="D58">INDEX('Linha 10'!$A$4:$A$1000,B58)</f>
        <v>20260001</v>
      </c>
      <c r="E58" t="str" cm="1">
        <f t="array" ref="E58">INDEX('Linha 10'!$B$4:$B$1000,B58)</f>
        <v>Promopack Deseng+Multiuso Squeeze Cx C/6pack C/3un X 500ml</v>
      </c>
      <c r="F58" cm="1">
        <f t="array" ref="F58">INDEX('Linha 10'!$C$3:$ZZ$3,C58)</f>
        <v>20280001</v>
      </c>
      <c r="G58" t="str" cm="1">
        <f t="array" ref="G58">INDEX('Linha 10'!$C$2:$ZZ$2,C58)</f>
        <v>Promopack Desinfetante Aquafast Cx C/4pack C/3un X 1l</v>
      </c>
      <c r="H58" s="5" cm="1">
        <f t="array" ref="H58">INDEX('Linha 10'!$C$4:$ZZ$1000,B58,C58)</f>
        <v>0</v>
      </c>
    </row>
    <row r="59" spans="1:8" x14ac:dyDescent="0.25">
      <c r="A59">
        <v>57</v>
      </c>
      <c r="B59">
        <f t="shared" si="0"/>
        <v>8</v>
      </c>
      <c r="C59">
        <f t="shared" si="1"/>
        <v>1</v>
      </c>
      <c r="D59" cm="1">
        <f t="array" ref="D59">INDEX('Linha 10'!$A$4:$A$1000,B59)</f>
        <v>20280001</v>
      </c>
      <c r="E59" t="str" cm="1">
        <f t="array" ref="E59">INDEX('Linha 10'!$B$4:$B$1000,B59)</f>
        <v>Promopack Desinfetante Aquafast Cx C/4pack C/3un X 1l</v>
      </c>
      <c r="F59" cm="1">
        <f t="array" ref="F59">INDEX('Linha 10'!$C$3:$ZZ$3,C59)</f>
        <v>20220009</v>
      </c>
      <c r="G59" t="str" cm="1">
        <f t="array" ref="G59">INDEX('Linha 10'!$C$2:$ZZ$2,C59)</f>
        <v>Aromat. Aquafast Difusor Amoras E Baunilha Cx C/ 12un 250ml</v>
      </c>
      <c r="H59" s="5" cm="1">
        <f t="array" ref="H59">INDEX('Linha 10'!$C$4:$ZZ$1000,B59,C59)</f>
        <v>0</v>
      </c>
    </row>
    <row r="60" spans="1:8" x14ac:dyDescent="0.25">
      <c r="A60">
        <v>58</v>
      </c>
      <c r="B60">
        <f t="shared" si="0"/>
        <v>8</v>
      </c>
      <c r="C60">
        <f t="shared" si="1"/>
        <v>2</v>
      </c>
      <c r="D60" cm="1">
        <f t="array" ref="D60">INDEX('Linha 10'!$A$4:$A$1000,B60)</f>
        <v>20280001</v>
      </c>
      <c r="E60" t="str" cm="1">
        <f t="array" ref="E60">INDEX('Linha 10'!$B$4:$B$1000,B60)</f>
        <v>Promopack Desinfetante Aquafast Cx C/4pack C/3un X 1l</v>
      </c>
      <c r="F60" cm="1">
        <f t="array" ref="F60">INDEX('Linha 10'!$C$3:$ZZ$3,C60)</f>
        <v>20220010</v>
      </c>
      <c r="G60" t="str" cm="1">
        <f t="array" ref="G60">INDEX('Linha 10'!$C$2:$ZZ$2,C60)</f>
        <v>Aromat. Aquafast Difusor Figo E Cedro Cx C/ 12un 250ml</v>
      </c>
      <c r="H60" s="5" cm="1">
        <f t="array" ref="H60">INDEX('Linha 10'!$C$4:$ZZ$1000,B60,C60)</f>
        <v>0</v>
      </c>
    </row>
    <row r="61" spans="1:8" x14ac:dyDescent="0.25">
      <c r="A61">
        <v>59</v>
      </c>
      <c r="B61">
        <f t="shared" si="0"/>
        <v>8</v>
      </c>
      <c r="C61">
        <f t="shared" si="1"/>
        <v>3</v>
      </c>
      <c r="D61" cm="1">
        <f t="array" ref="D61">INDEX('Linha 10'!$A$4:$A$1000,B61)</f>
        <v>20280001</v>
      </c>
      <c r="E61" t="str" cm="1">
        <f t="array" ref="E61">INDEX('Linha 10'!$B$4:$B$1000,B61)</f>
        <v>Promopack Desinfetante Aquafast Cx C/4pack C/3un X 1l</v>
      </c>
      <c r="F61" cm="1">
        <f t="array" ref="F61">INDEX('Linha 10'!$C$3:$ZZ$3,C61)</f>
        <v>20220011</v>
      </c>
      <c r="G61" t="str" cm="1">
        <f t="array" ref="G61">INDEX('Linha 10'!$C$2:$ZZ$2,C61)</f>
        <v>Aromat. Aquafast Difusor Rosas E Magnolias Cx C/ 12un 250ml</v>
      </c>
      <c r="H61" s="5" cm="1">
        <f t="array" ref="H61">INDEX('Linha 10'!$C$4:$ZZ$1000,B61,C61)</f>
        <v>0</v>
      </c>
    </row>
    <row r="62" spans="1:8" x14ac:dyDescent="0.25">
      <c r="A62">
        <v>60</v>
      </c>
      <c r="B62">
        <f t="shared" si="0"/>
        <v>8</v>
      </c>
      <c r="C62">
        <f t="shared" si="1"/>
        <v>4</v>
      </c>
      <c r="D62" cm="1">
        <f t="array" ref="D62">INDEX('Linha 10'!$A$4:$A$1000,B62)</f>
        <v>20280001</v>
      </c>
      <c r="E62" t="str" cm="1">
        <f t="array" ref="E62">INDEX('Linha 10'!$B$4:$B$1000,B62)</f>
        <v>Promopack Desinfetante Aquafast Cx C/4pack C/3un X 1l</v>
      </c>
      <c r="F62" cm="1">
        <f t="array" ref="F62">INDEX('Linha 10'!$C$3:$ZZ$3,C62)</f>
        <v>20220012</v>
      </c>
      <c r="G62" t="str" cm="1">
        <f t="array" ref="G62">INDEX('Linha 10'!$C$2:$ZZ$2,C62)</f>
        <v>Aromat. Aquafast Difusor Flores Exoticas Cx C/ 12un 250ml</v>
      </c>
      <c r="H62" s="5" cm="1">
        <f t="array" ref="H62">INDEX('Linha 10'!$C$4:$ZZ$1000,B62,C62)</f>
        <v>0</v>
      </c>
    </row>
    <row r="63" spans="1:8" x14ac:dyDescent="0.25">
      <c r="A63">
        <v>61</v>
      </c>
      <c r="B63">
        <f t="shared" si="0"/>
        <v>8</v>
      </c>
      <c r="C63">
        <f t="shared" si="1"/>
        <v>5</v>
      </c>
      <c r="D63" cm="1">
        <f t="array" ref="D63">INDEX('Linha 10'!$A$4:$A$1000,B63)</f>
        <v>20280001</v>
      </c>
      <c r="E63" t="str" cm="1">
        <f t="array" ref="E63">INDEX('Linha 10'!$B$4:$B$1000,B63)</f>
        <v>Promopack Desinfetante Aquafast Cx C/4pack C/3un X 1l</v>
      </c>
      <c r="F63" cm="1">
        <f t="array" ref="F63">INDEX('Linha 10'!$C$3:$ZZ$3,C63)</f>
        <v>20220013</v>
      </c>
      <c r="G63" t="str" cm="1">
        <f t="array" ref="G63">INDEX('Linha 10'!$C$2:$ZZ$2,C63)</f>
        <v>Aromat. Aquafast Difusor Cha Verde E Grapef Cx C/ 12un 250ml</v>
      </c>
      <c r="H63" s="5" cm="1">
        <f t="array" ref="H63">INDEX('Linha 10'!$C$4:$ZZ$1000,B63,C63)</f>
        <v>0</v>
      </c>
    </row>
    <row r="64" spans="1:8" x14ac:dyDescent="0.25">
      <c r="A64">
        <v>62</v>
      </c>
      <c r="B64">
        <f t="shared" si="0"/>
        <v>8</v>
      </c>
      <c r="C64">
        <f t="shared" si="1"/>
        <v>6</v>
      </c>
      <c r="D64" cm="1">
        <f t="array" ref="D64">INDEX('Linha 10'!$A$4:$A$1000,B64)</f>
        <v>20280001</v>
      </c>
      <c r="E64" t="str" cm="1">
        <f t="array" ref="E64">INDEX('Linha 10'!$B$4:$B$1000,B64)</f>
        <v>Promopack Desinfetante Aquafast Cx C/4pack C/3un X 1l</v>
      </c>
      <c r="F64" cm="1">
        <f t="array" ref="F64">INDEX('Linha 10'!$C$3:$ZZ$3,C64)</f>
        <v>20240004</v>
      </c>
      <c r="G64" t="str" cm="1">
        <f t="array" ref="G64">INDEX('Linha 10'!$C$2:$ZZ$2,C64)</f>
        <v>Promopack Amac. Conc. Aquafast 30% Cx C/6pack C/2un X 1l</v>
      </c>
      <c r="H64" s="5" cm="1">
        <f t="array" ref="H64">INDEX('Linha 10'!$C$4:$ZZ$1000,B64,C64)</f>
        <v>0</v>
      </c>
    </row>
    <row r="65" spans="1:8" x14ac:dyDescent="0.25">
      <c r="A65">
        <v>63</v>
      </c>
      <c r="B65">
        <f t="shared" si="0"/>
        <v>8</v>
      </c>
      <c r="C65">
        <f t="shared" si="1"/>
        <v>7</v>
      </c>
      <c r="D65" cm="1">
        <f t="array" ref="D65">INDEX('Linha 10'!$A$4:$A$1000,B65)</f>
        <v>20280001</v>
      </c>
      <c r="E65" t="str" cm="1">
        <f t="array" ref="E65">INDEX('Linha 10'!$B$4:$B$1000,B65)</f>
        <v>Promopack Desinfetante Aquafast Cx C/4pack C/3un X 1l</v>
      </c>
      <c r="F65" cm="1">
        <f t="array" ref="F65">INDEX('Linha 10'!$C$3:$ZZ$3,C65)</f>
        <v>20260001</v>
      </c>
      <c r="G65" t="str" cm="1">
        <f t="array" ref="G65">INDEX('Linha 10'!$C$2:$ZZ$2,C65)</f>
        <v>Promopack Deseng+Multiuso Squeeze Cx C/6pack C/3un X 500ml</v>
      </c>
      <c r="H65" s="5" cm="1">
        <f t="array" ref="H65">INDEX('Linha 10'!$C$4:$ZZ$1000,B65,C65)</f>
        <v>0</v>
      </c>
    </row>
    <row r="66" spans="1:8" x14ac:dyDescent="0.25">
      <c r="A66">
        <v>64</v>
      </c>
      <c r="B66">
        <f t="shared" si="0"/>
        <v>8</v>
      </c>
      <c r="C66">
        <f t="shared" si="1"/>
        <v>8</v>
      </c>
      <c r="D66" cm="1">
        <f t="array" ref="D66">INDEX('Linha 10'!$A$4:$A$1000,B66)</f>
        <v>20280001</v>
      </c>
      <c r="E66" t="str" cm="1">
        <f t="array" ref="E66">INDEX('Linha 10'!$B$4:$B$1000,B66)</f>
        <v>Promopack Desinfetante Aquafast Cx C/4pack C/3un X 1l</v>
      </c>
      <c r="F66" cm="1">
        <f t="array" ref="F66">INDEX('Linha 10'!$C$3:$ZZ$3,C66)</f>
        <v>20280001</v>
      </c>
      <c r="G66" t="str" cm="1">
        <f t="array" ref="G66">INDEX('Linha 10'!$C$2:$ZZ$2,C66)</f>
        <v>Promopack Desinfetante Aquafast Cx C/4pack C/3un X 1l</v>
      </c>
      <c r="H66" s="5" cm="1">
        <f t="array" ref="H66">INDEX('Linha 10'!$C$4:$ZZ$1000,B66,C66)</f>
        <v>0</v>
      </c>
    </row>
    <row r="67" spans="1:8" x14ac:dyDescent="0.25">
      <c r="H67" s="5"/>
    </row>
    <row r="68" spans="1:8" x14ac:dyDescent="0.25">
      <c r="H68" s="5"/>
    </row>
    <row r="69" spans="1:8" x14ac:dyDescent="0.25">
      <c r="H69" s="5"/>
    </row>
    <row r="70" spans="1:8" x14ac:dyDescent="0.25">
      <c r="H70" s="5"/>
    </row>
    <row r="71" spans="1:8" x14ac:dyDescent="0.25">
      <c r="H71" s="5"/>
    </row>
    <row r="72" spans="1:8" x14ac:dyDescent="0.25">
      <c r="H72" s="5"/>
    </row>
    <row r="73" spans="1:8" x14ac:dyDescent="0.25">
      <c r="H73" s="5"/>
    </row>
    <row r="74" spans="1:8" x14ac:dyDescent="0.25">
      <c r="H74" s="5"/>
    </row>
    <row r="75" spans="1:8" x14ac:dyDescent="0.25">
      <c r="H75" s="5"/>
    </row>
    <row r="76" spans="1:8" x14ac:dyDescent="0.25">
      <c r="H76" s="5"/>
    </row>
    <row r="77" spans="1:8" x14ac:dyDescent="0.25">
      <c r="H77" s="5"/>
    </row>
    <row r="78" spans="1:8" x14ac:dyDescent="0.25">
      <c r="H78" s="5"/>
    </row>
    <row r="79" spans="1:8" x14ac:dyDescent="0.25">
      <c r="H79" s="5"/>
    </row>
    <row r="80" spans="1:8" x14ac:dyDescent="0.25">
      <c r="H80" s="5"/>
    </row>
    <row r="81" spans="8:8" x14ac:dyDescent="0.25">
      <c r="H81" s="5"/>
    </row>
    <row r="82" spans="8:8" x14ac:dyDescent="0.25">
      <c r="H82" s="5"/>
    </row>
    <row r="83" spans="8:8" x14ac:dyDescent="0.25">
      <c r="H83" s="5"/>
    </row>
    <row r="84" spans="8:8" x14ac:dyDescent="0.25">
      <c r="H84" s="5"/>
    </row>
    <row r="85" spans="8:8" x14ac:dyDescent="0.25">
      <c r="H85" s="5"/>
    </row>
    <row r="86" spans="8:8" x14ac:dyDescent="0.25">
      <c r="H86" s="5"/>
    </row>
    <row r="87" spans="8:8" x14ac:dyDescent="0.25">
      <c r="H87" s="5"/>
    </row>
    <row r="88" spans="8:8" x14ac:dyDescent="0.25">
      <c r="H88" s="5"/>
    </row>
    <row r="89" spans="8:8" x14ac:dyDescent="0.25">
      <c r="H89" s="5"/>
    </row>
    <row r="90" spans="8:8" x14ac:dyDescent="0.25">
      <c r="H90" s="5"/>
    </row>
    <row r="91" spans="8:8" x14ac:dyDescent="0.25">
      <c r="H91" s="5"/>
    </row>
    <row r="92" spans="8:8" x14ac:dyDescent="0.25">
      <c r="H92" s="5"/>
    </row>
    <row r="93" spans="8:8" x14ac:dyDescent="0.25">
      <c r="H93" s="5"/>
    </row>
    <row r="94" spans="8:8" x14ac:dyDescent="0.25">
      <c r="H94" s="5"/>
    </row>
    <row r="95" spans="8:8" x14ac:dyDescent="0.25">
      <c r="H95" s="5"/>
    </row>
    <row r="96" spans="8:8" x14ac:dyDescent="0.25">
      <c r="H96" s="5"/>
    </row>
    <row r="97" spans="8:8" x14ac:dyDescent="0.25">
      <c r="H97" s="5"/>
    </row>
    <row r="98" spans="8:8" x14ac:dyDescent="0.25">
      <c r="H98" s="5"/>
    </row>
    <row r="99" spans="8:8" x14ac:dyDescent="0.25">
      <c r="H99" s="5"/>
    </row>
    <row r="100" spans="8:8" x14ac:dyDescent="0.25">
      <c r="H100" s="5"/>
    </row>
    <row r="101" spans="8:8" x14ac:dyDescent="0.25">
      <c r="H101" s="5"/>
    </row>
    <row r="102" spans="8:8" x14ac:dyDescent="0.25">
      <c r="H102" s="5"/>
    </row>
    <row r="103" spans="8:8" x14ac:dyDescent="0.25">
      <c r="H103" s="5"/>
    </row>
    <row r="104" spans="8:8" x14ac:dyDescent="0.25">
      <c r="H104" s="5"/>
    </row>
    <row r="105" spans="8:8" x14ac:dyDescent="0.25">
      <c r="H105" s="5"/>
    </row>
    <row r="106" spans="8:8" x14ac:dyDescent="0.25">
      <c r="H106" s="5"/>
    </row>
    <row r="107" spans="8:8" x14ac:dyDescent="0.25">
      <c r="H107" s="5"/>
    </row>
    <row r="108" spans="8:8" x14ac:dyDescent="0.25">
      <c r="H108" s="5"/>
    </row>
    <row r="109" spans="8:8" x14ac:dyDescent="0.25">
      <c r="H109" s="5"/>
    </row>
    <row r="110" spans="8:8" x14ac:dyDescent="0.25">
      <c r="H110" s="5"/>
    </row>
    <row r="111" spans="8:8" x14ac:dyDescent="0.25">
      <c r="H111" s="5"/>
    </row>
    <row r="112" spans="8:8" x14ac:dyDescent="0.25">
      <c r="H112" s="5"/>
    </row>
    <row r="113" spans="8:8" x14ac:dyDescent="0.25">
      <c r="H113" s="5"/>
    </row>
    <row r="114" spans="8:8" x14ac:dyDescent="0.25">
      <c r="H114" s="5"/>
    </row>
    <row r="115" spans="8:8" x14ac:dyDescent="0.25">
      <c r="H115" s="5"/>
    </row>
    <row r="116" spans="8:8" x14ac:dyDescent="0.25">
      <c r="H116" s="5"/>
    </row>
    <row r="117" spans="8:8" x14ac:dyDescent="0.25">
      <c r="H117" s="5"/>
    </row>
    <row r="118" spans="8:8" x14ac:dyDescent="0.25">
      <c r="H118" s="5"/>
    </row>
    <row r="119" spans="8:8" x14ac:dyDescent="0.25">
      <c r="H119" s="5"/>
    </row>
    <row r="120" spans="8:8" x14ac:dyDescent="0.25">
      <c r="H120" s="5"/>
    </row>
    <row r="121" spans="8:8" x14ac:dyDescent="0.25">
      <c r="H121" s="5"/>
    </row>
    <row r="122" spans="8:8" x14ac:dyDescent="0.25">
      <c r="H122" s="5"/>
    </row>
    <row r="123" spans="8:8" x14ac:dyDescent="0.25">
      <c r="H123" s="5"/>
    </row>
    <row r="124" spans="8:8" x14ac:dyDescent="0.25">
      <c r="H124" s="5"/>
    </row>
    <row r="125" spans="8:8" x14ac:dyDescent="0.25">
      <c r="H125" s="5"/>
    </row>
    <row r="126" spans="8:8" x14ac:dyDescent="0.25">
      <c r="H126" s="5"/>
    </row>
    <row r="127" spans="8:8" x14ac:dyDescent="0.25">
      <c r="H127" s="5"/>
    </row>
    <row r="128" spans="8:8" x14ac:dyDescent="0.25">
      <c r="H128" s="5"/>
    </row>
    <row r="129" spans="8:8" x14ac:dyDescent="0.25">
      <c r="H129" s="5"/>
    </row>
    <row r="130" spans="8:8" x14ac:dyDescent="0.25">
      <c r="H130" s="5"/>
    </row>
    <row r="131" spans="8:8" x14ac:dyDescent="0.25">
      <c r="H131" s="5"/>
    </row>
    <row r="132" spans="8:8" x14ac:dyDescent="0.25">
      <c r="H132" s="5"/>
    </row>
    <row r="133" spans="8:8" x14ac:dyDescent="0.25">
      <c r="H133" s="5"/>
    </row>
    <row r="134" spans="8:8" x14ac:dyDescent="0.25">
      <c r="H134" s="5"/>
    </row>
    <row r="135" spans="8:8" x14ac:dyDescent="0.25">
      <c r="H135" s="5"/>
    </row>
    <row r="136" spans="8:8" x14ac:dyDescent="0.25">
      <c r="H136" s="5"/>
    </row>
    <row r="137" spans="8:8" x14ac:dyDescent="0.25">
      <c r="H137" s="5"/>
    </row>
    <row r="138" spans="8:8" x14ac:dyDescent="0.25">
      <c r="H138" s="5"/>
    </row>
    <row r="139" spans="8:8" x14ac:dyDescent="0.25">
      <c r="H139" s="5"/>
    </row>
    <row r="140" spans="8:8" x14ac:dyDescent="0.25">
      <c r="H140" s="5"/>
    </row>
    <row r="141" spans="8:8" x14ac:dyDescent="0.25">
      <c r="H141" s="5"/>
    </row>
    <row r="142" spans="8:8" x14ac:dyDescent="0.25">
      <c r="H142" s="5"/>
    </row>
    <row r="143" spans="8:8" x14ac:dyDescent="0.25">
      <c r="H143" s="5"/>
    </row>
    <row r="144" spans="8:8" x14ac:dyDescent="0.25">
      <c r="H144" s="5"/>
    </row>
    <row r="145" spans="8:8" x14ac:dyDescent="0.25">
      <c r="H145" s="5"/>
    </row>
    <row r="146" spans="8:8" x14ac:dyDescent="0.25">
      <c r="H146" s="5"/>
    </row>
    <row r="147" spans="8:8" x14ac:dyDescent="0.25">
      <c r="H147" s="5"/>
    </row>
    <row r="148" spans="8:8" x14ac:dyDescent="0.25">
      <c r="H148" s="5"/>
    </row>
    <row r="149" spans="8:8" x14ac:dyDescent="0.25">
      <c r="H149" s="5"/>
    </row>
    <row r="150" spans="8:8" x14ac:dyDescent="0.25">
      <c r="H150" s="5"/>
    </row>
    <row r="151" spans="8:8" x14ac:dyDescent="0.25">
      <c r="H151" s="5"/>
    </row>
    <row r="152" spans="8:8" x14ac:dyDescent="0.25">
      <c r="H152" s="5"/>
    </row>
    <row r="153" spans="8:8" x14ac:dyDescent="0.25">
      <c r="H153" s="5"/>
    </row>
    <row r="154" spans="8:8" x14ac:dyDescent="0.25">
      <c r="H154" s="5"/>
    </row>
    <row r="155" spans="8:8" x14ac:dyDescent="0.25">
      <c r="H155" s="5"/>
    </row>
    <row r="156" spans="8:8" x14ac:dyDescent="0.25">
      <c r="H156" s="5"/>
    </row>
    <row r="157" spans="8:8" x14ac:dyDescent="0.25">
      <c r="H157" s="5"/>
    </row>
    <row r="158" spans="8:8" x14ac:dyDescent="0.25">
      <c r="H158" s="5"/>
    </row>
    <row r="159" spans="8:8" x14ac:dyDescent="0.25">
      <c r="H159" s="5"/>
    </row>
    <row r="160" spans="8:8" x14ac:dyDescent="0.25">
      <c r="H160" s="5"/>
    </row>
    <row r="161" spans="8:8" x14ac:dyDescent="0.25">
      <c r="H161" s="5"/>
    </row>
    <row r="162" spans="8:8" x14ac:dyDescent="0.25">
      <c r="H162" s="5"/>
    </row>
    <row r="163" spans="8:8" x14ac:dyDescent="0.25">
      <c r="H163" s="5"/>
    </row>
    <row r="164" spans="8:8" x14ac:dyDescent="0.25">
      <c r="H164" s="5"/>
    </row>
    <row r="165" spans="8:8" x14ac:dyDescent="0.25">
      <c r="H165" s="5"/>
    </row>
    <row r="166" spans="8:8" x14ac:dyDescent="0.25">
      <c r="H166" s="5"/>
    </row>
    <row r="167" spans="8:8" x14ac:dyDescent="0.25">
      <c r="H167" s="5"/>
    </row>
    <row r="168" spans="8:8" x14ac:dyDescent="0.25">
      <c r="H168" s="5"/>
    </row>
    <row r="169" spans="8:8" x14ac:dyDescent="0.25">
      <c r="H169" s="5"/>
    </row>
    <row r="170" spans="8:8" x14ac:dyDescent="0.25">
      <c r="H170" s="5"/>
    </row>
    <row r="171" spans="8:8" x14ac:dyDescent="0.25">
      <c r="H171" s="5"/>
    </row>
    <row r="172" spans="8:8" x14ac:dyDescent="0.25">
      <c r="H172" s="5"/>
    </row>
    <row r="173" spans="8:8" x14ac:dyDescent="0.25">
      <c r="H173" s="5"/>
    </row>
    <row r="174" spans="8:8" x14ac:dyDescent="0.25">
      <c r="H174" s="5"/>
    </row>
    <row r="175" spans="8:8" x14ac:dyDescent="0.25">
      <c r="H175" s="5"/>
    </row>
    <row r="176" spans="8:8" x14ac:dyDescent="0.25">
      <c r="H176" s="5"/>
    </row>
    <row r="177" spans="8:8" x14ac:dyDescent="0.25">
      <c r="H177" s="5"/>
    </row>
    <row r="178" spans="8:8" x14ac:dyDescent="0.25">
      <c r="H178" s="5"/>
    </row>
    <row r="179" spans="8:8" x14ac:dyDescent="0.25">
      <c r="H179" s="5"/>
    </row>
    <row r="180" spans="8:8" x14ac:dyDescent="0.25">
      <c r="H180" s="5"/>
    </row>
    <row r="181" spans="8:8" x14ac:dyDescent="0.25">
      <c r="H181" s="5"/>
    </row>
    <row r="182" spans="8:8" x14ac:dyDescent="0.25">
      <c r="H182" s="5"/>
    </row>
    <row r="183" spans="8:8" x14ac:dyDescent="0.25">
      <c r="H183" s="5"/>
    </row>
    <row r="184" spans="8:8" x14ac:dyDescent="0.25">
      <c r="H184" s="5"/>
    </row>
    <row r="185" spans="8:8" x14ac:dyDescent="0.25">
      <c r="H185" s="5"/>
    </row>
    <row r="186" spans="8:8" x14ac:dyDescent="0.25">
      <c r="H186" s="5"/>
    </row>
    <row r="187" spans="8:8" x14ac:dyDescent="0.25">
      <c r="H187" s="5"/>
    </row>
    <row r="188" spans="8:8" x14ac:dyDescent="0.25">
      <c r="H188" s="5"/>
    </row>
    <row r="189" spans="8:8" x14ac:dyDescent="0.25">
      <c r="H189" s="5"/>
    </row>
    <row r="190" spans="8:8" x14ac:dyDescent="0.25">
      <c r="H190" s="5"/>
    </row>
    <row r="191" spans="8:8" x14ac:dyDescent="0.25">
      <c r="H191" s="5"/>
    </row>
    <row r="192" spans="8:8" x14ac:dyDescent="0.25">
      <c r="H192" s="5"/>
    </row>
    <row r="193" spans="8:8" x14ac:dyDescent="0.25">
      <c r="H193" s="5"/>
    </row>
    <row r="194" spans="8:8" x14ac:dyDescent="0.25">
      <c r="H194" s="5"/>
    </row>
    <row r="195" spans="8:8" x14ac:dyDescent="0.25">
      <c r="H195" s="5"/>
    </row>
    <row r="196" spans="8:8" x14ac:dyDescent="0.25">
      <c r="H196" s="5"/>
    </row>
    <row r="197" spans="8:8" x14ac:dyDescent="0.25">
      <c r="H197" s="5"/>
    </row>
    <row r="198" spans="8:8" x14ac:dyDescent="0.25">
      <c r="H198" s="5"/>
    </row>
    <row r="199" spans="8:8" x14ac:dyDescent="0.25">
      <c r="H199" s="5"/>
    </row>
    <row r="200" spans="8:8" x14ac:dyDescent="0.25">
      <c r="H200" s="5"/>
    </row>
    <row r="201" spans="8:8" x14ac:dyDescent="0.25">
      <c r="H201" s="5"/>
    </row>
    <row r="202" spans="8:8" x14ac:dyDescent="0.25">
      <c r="H202" s="5"/>
    </row>
    <row r="203" spans="8:8" x14ac:dyDescent="0.25">
      <c r="H203" s="5"/>
    </row>
    <row r="204" spans="8:8" x14ac:dyDescent="0.25">
      <c r="H204" s="5"/>
    </row>
    <row r="205" spans="8:8" x14ac:dyDescent="0.25">
      <c r="H205" s="5"/>
    </row>
    <row r="206" spans="8:8" x14ac:dyDescent="0.25">
      <c r="H206" s="5"/>
    </row>
    <row r="207" spans="8:8" x14ac:dyDescent="0.25">
      <c r="H207" s="5"/>
    </row>
    <row r="208" spans="8:8" x14ac:dyDescent="0.25">
      <c r="H208" s="5"/>
    </row>
    <row r="209" spans="8:8" x14ac:dyDescent="0.25">
      <c r="H209" s="5"/>
    </row>
    <row r="210" spans="8:8" x14ac:dyDescent="0.25">
      <c r="H210" s="5"/>
    </row>
    <row r="211" spans="8:8" x14ac:dyDescent="0.25">
      <c r="H211" s="5"/>
    </row>
    <row r="212" spans="8:8" x14ac:dyDescent="0.25">
      <c r="H212" s="5"/>
    </row>
    <row r="213" spans="8:8" x14ac:dyDescent="0.25">
      <c r="H213" s="5"/>
    </row>
    <row r="214" spans="8:8" x14ac:dyDescent="0.25">
      <c r="H214" s="5"/>
    </row>
    <row r="215" spans="8:8" x14ac:dyDescent="0.25">
      <c r="H215" s="5"/>
    </row>
    <row r="216" spans="8:8" x14ac:dyDescent="0.25">
      <c r="H216" s="5"/>
    </row>
    <row r="217" spans="8:8" x14ac:dyDescent="0.25">
      <c r="H217" s="5"/>
    </row>
    <row r="218" spans="8:8" x14ac:dyDescent="0.25">
      <c r="H218" s="5"/>
    </row>
    <row r="219" spans="8:8" x14ac:dyDescent="0.25">
      <c r="H219" s="5"/>
    </row>
    <row r="220" spans="8:8" x14ac:dyDescent="0.25">
      <c r="H220" s="5"/>
    </row>
    <row r="221" spans="8:8" x14ac:dyDescent="0.25">
      <c r="H221" s="5"/>
    </row>
    <row r="222" spans="8:8" x14ac:dyDescent="0.25">
      <c r="H222" s="5"/>
    </row>
    <row r="223" spans="8:8" x14ac:dyDescent="0.25">
      <c r="H223" s="5"/>
    </row>
    <row r="224" spans="8:8" x14ac:dyDescent="0.25">
      <c r="H224" s="5"/>
    </row>
    <row r="225" spans="8:8" x14ac:dyDescent="0.25">
      <c r="H225" s="5"/>
    </row>
    <row r="226" spans="8:8" x14ac:dyDescent="0.25">
      <c r="H226" s="5"/>
    </row>
    <row r="227" spans="8:8" x14ac:dyDescent="0.25">
      <c r="H227" s="5"/>
    </row>
    <row r="228" spans="8:8" x14ac:dyDescent="0.25">
      <c r="H228" s="5"/>
    </row>
    <row r="229" spans="8:8" x14ac:dyDescent="0.25">
      <c r="H229" s="5"/>
    </row>
    <row r="230" spans="8:8" x14ac:dyDescent="0.25">
      <c r="H230" s="5"/>
    </row>
    <row r="231" spans="8:8" x14ac:dyDescent="0.25">
      <c r="H231" s="5"/>
    </row>
    <row r="232" spans="8:8" x14ac:dyDescent="0.25">
      <c r="H232" s="5"/>
    </row>
    <row r="233" spans="8:8" x14ac:dyDescent="0.25">
      <c r="H233" s="5"/>
    </row>
    <row r="234" spans="8:8" x14ac:dyDescent="0.25">
      <c r="H234" s="5"/>
    </row>
    <row r="235" spans="8:8" x14ac:dyDescent="0.25">
      <c r="H235" s="5"/>
    </row>
    <row r="236" spans="8:8" x14ac:dyDescent="0.25">
      <c r="H236" s="5"/>
    </row>
    <row r="237" spans="8:8" x14ac:dyDescent="0.25">
      <c r="H237" s="5"/>
    </row>
    <row r="238" spans="8:8" x14ac:dyDescent="0.25">
      <c r="H238" s="5"/>
    </row>
    <row r="239" spans="8:8" x14ac:dyDescent="0.25">
      <c r="H239" s="5"/>
    </row>
    <row r="240" spans="8:8" x14ac:dyDescent="0.25">
      <c r="H240" s="5"/>
    </row>
    <row r="241" spans="8:8" x14ac:dyDescent="0.25">
      <c r="H241" s="5"/>
    </row>
    <row r="242" spans="8:8" x14ac:dyDescent="0.25">
      <c r="H242" s="5"/>
    </row>
    <row r="243" spans="8:8" x14ac:dyDescent="0.25">
      <c r="H243" s="5"/>
    </row>
    <row r="244" spans="8:8" x14ac:dyDescent="0.25">
      <c r="H244" s="5"/>
    </row>
    <row r="245" spans="8:8" x14ac:dyDescent="0.25">
      <c r="H245" s="5"/>
    </row>
    <row r="246" spans="8:8" x14ac:dyDescent="0.25">
      <c r="H246" s="5"/>
    </row>
    <row r="247" spans="8:8" x14ac:dyDescent="0.25">
      <c r="H247" s="5"/>
    </row>
    <row r="248" spans="8:8" x14ac:dyDescent="0.25">
      <c r="H248" s="5"/>
    </row>
    <row r="249" spans="8:8" x14ac:dyDescent="0.25">
      <c r="H249" s="5"/>
    </row>
    <row r="250" spans="8:8" x14ac:dyDescent="0.25">
      <c r="H250" s="5"/>
    </row>
    <row r="251" spans="8:8" x14ac:dyDescent="0.25">
      <c r="H251" s="5"/>
    </row>
    <row r="252" spans="8:8" x14ac:dyDescent="0.25">
      <c r="H252" s="5"/>
    </row>
    <row r="253" spans="8:8" x14ac:dyDescent="0.25">
      <c r="H253" s="5"/>
    </row>
    <row r="254" spans="8:8" x14ac:dyDescent="0.25">
      <c r="H254" s="5"/>
    </row>
    <row r="255" spans="8:8" x14ac:dyDescent="0.25">
      <c r="H255" s="5"/>
    </row>
    <row r="256" spans="8:8" x14ac:dyDescent="0.25">
      <c r="H256" s="5"/>
    </row>
    <row r="257" spans="8:8" x14ac:dyDescent="0.25">
      <c r="H257" s="5"/>
    </row>
    <row r="258" spans="8:8" x14ac:dyDescent="0.25">
      <c r="H258" s="5"/>
    </row>
    <row r="259" spans="8:8" x14ac:dyDescent="0.25">
      <c r="H259" s="5"/>
    </row>
    <row r="260" spans="8:8" x14ac:dyDescent="0.25">
      <c r="H260" s="5"/>
    </row>
    <row r="261" spans="8:8" x14ac:dyDescent="0.25">
      <c r="H261" s="5"/>
    </row>
    <row r="262" spans="8:8" x14ac:dyDescent="0.25">
      <c r="H262" s="5"/>
    </row>
    <row r="263" spans="8:8" x14ac:dyDescent="0.25">
      <c r="H263" s="5"/>
    </row>
    <row r="264" spans="8:8" x14ac:dyDescent="0.25">
      <c r="H264" s="5"/>
    </row>
    <row r="265" spans="8:8" x14ac:dyDescent="0.25">
      <c r="H265" s="5"/>
    </row>
    <row r="266" spans="8:8" x14ac:dyDescent="0.25">
      <c r="H266" s="5"/>
    </row>
    <row r="267" spans="8:8" x14ac:dyDescent="0.25">
      <c r="H267" s="5"/>
    </row>
    <row r="268" spans="8:8" x14ac:dyDescent="0.25">
      <c r="H268" s="5"/>
    </row>
    <row r="269" spans="8:8" x14ac:dyDescent="0.25">
      <c r="H269" s="5"/>
    </row>
    <row r="270" spans="8:8" x14ac:dyDescent="0.25">
      <c r="H270" s="5"/>
    </row>
    <row r="271" spans="8:8" x14ac:dyDescent="0.25">
      <c r="H271" s="5"/>
    </row>
    <row r="272" spans="8:8" x14ac:dyDescent="0.25">
      <c r="H272" s="5"/>
    </row>
    <row r="273" spans="8:8" x14ac:dyDescent="0.25">
      <c r="H273" s="5"/>
    </row>
    <row r="274" spans="8:8" x14ac:dyDescent="0.25">
      <c r="H274" s="5"/>
    </row>
    <row r="275" spans="8:8" x14ac:dyDescent="0.25">
      <c r="H275" s="5"/>
    </row>
    <row r="276" spans="8:8" x14ac:dyDescent="0.25">
      <c r="H276" s="5"/>
    </row>
    <row r="277" spans="8:8" x14ac:dyDescent="0.25">
      <c r="H277" s="5"/>
    </row>
    <row r="278" spans="8:8" x14ac:dyDescent="0.25">
      <c r="H278" s="5"/>
    </row>
    <row r="279" spans="8:8" x14ac:dyDescent="0.25">
      <c r="H279" s="5"/>
    </row>
    <row r="280" spans="8:8" x14ac:dyDescent="0.25">
      <c r="H280" s="5"/>
    </row>
    <row r="281" spans="8:8" x14ac:dyDescent="0.25">
      <c r="H281" s="5"/>
    </row>
    <row r="282" spans="8:8" x14ac:dyDescent="0.25">
      <c r="H282" s="5"/>
    </row>
    <row r="283" spans="8:8" x14ac:dyDescent="0.25">
      <c r="H283" s="5"/>
    </row>
    <row r="284" spans="8:8" x14ac:dyDescent="0.25">
      <c r="H284" s="5"/>
    </row>
    <row r="285" spans="8:8" x14ac:dyDescent="0.25">
      <c r="H285" s="5"/>
    </row>
    <row r="286" spans="8:8" x14ac:dyDescent="0.25">
      <c r="H286" s="5"/>
    </row>
    <row r="287" spans="8:8" x14ac:dyDescent="0.25">
      <c r="H287" s="5"/>
    </row>
    <row r="288" spans="8:8" x14ac:dyDescent="0.25">
      <c r="H288" s="5"/>
    </row>
    <row r="289" spans="8:8" x14ac:dyDescent="0.25">
      <c r="H289" s="5"/>
    </row>
    <row r="290" spans="8:8" x14ac:dyDescent="0.25">
      <c r="H290" s="5"/>
    </row>
    <row r="291" spans="8:8" x14ac:dyDescent="0.25">
      <c r="H291" s="5"/>
    </row>
    <row r="292" spans="8:8" x14ac:dyDescent="0.25">
      <c r="H292" s="5"/>
    </row>
    <row r="293" spans="8:8" x14ac:dyDescent="0.25">
      <c r="H293" s="5"/>
    </row>
    <row r="294" spans="8:8" x14ac:dyDescent="0.25">
      <c r="H294" s="5"/>
    </row>
    <row r="295" spans="8:8" x14ac:dyDescent="0.25">
      <c r="H295" s="5"/>
    </row>
    <row r="296" spans="8:8" x14ac:dyDescent="0.25">
      <c r="H296" s="5"/>
    </row>
    <row r="297" spans="8:8" x14ac:dyDescent="0.25">
      <c r="H297" s="5"/>
    </row>
    <row r="298" spans="8:8" x14ac:dyDescent="0.25">
      <c r="H298" s="5"/>
    </row>
    <row r="299" spans="8:8" x14ac:dyDescent="0.25">
      <c r="H299" s="5"/>
    </row>
    <row r="300" spans="8:8" x14ac:dyDescent="0.25">
      <c r="H300" s="5"/>
    </row>
    <row r="301" spans="8:8" x14ac:dyDescent="0.25">
      <c r="H301" s="5"/>
    </row>
    <row r="302" spans="8:8" x14ac:dyDescent="0.25">
      <c r="H302" s="5"/>
    </row>
    <row r="303" spans="8:8" x14ac:dyDescent="0.25">
      <c r="H303" s="5"/>
    </row>
    <row r="304" spans="8:8" x14ac:dyDescent="0.25">
      <c r="H304" s="5"/>
    </row>
    <row r="305" spans="8:8" x14ac:dyDescent="0.25">
      <c r="H305" s="5"/>
    </row>
    <row r="306" spans="8:8" x14ac:dyDescent="0.25">
      <c r="H306" s="5"/>
    </row>
    <row r="307" spans="8:8" x14ac:dyDescent="0.25">
      <c r="H307" s="5"/>
    </row>
    <row r="308" spans="8:8" x14ac:dyDescent="0.25">
      <c r="H308" s="5"/>
    </row>
    <row r="309" spans="8:8" x14ac:dyDescent="0.25">
      <c r="H309" s="5"/>
    </row>
    <row r="310" spans="8:8" x14ac:dyDescent="0.25">
      <c r="H310" s="5"/>
    </row>
    <row r="311" spans="8:8" x14ac:dyDescent="0.25">
      <c r="H311" s="5"/>
    </row>
    <row r="312" spans="8:8" x14ac:dyDescent="0.25">
      <c r="H312" s="5"/>
    </row>
    <row r="313" spans="8:8" x14ac:dyDescent="0.25">
      <c r="H313" s="5"/>
    </row>
    <row r="314" spans="8:8" x14ac:dyDescent="0.25">
      <c r="H314" s="5"/>
    </row>
    <row r="315" spans="8:8" x14ac:dyDescent="0.25">
      <c r="H315" s="5"/>
    </row>
    <row r="316" spans="8:8" x14ac:dyDescent="0.25">
      <c r="H316" s="5"/>
    </row>
    <row r="317" spans="8:8" x14ac:dyDescent="0.25">
      <c r="H317" s="5"/>
    </row>
    <row r="318" spans="8:8" x14ac:dyDescent="0.25">
      <c r="H318" s="5"/>
    </row>
    <row r="319" spans="8:8" x14ac:dyDescent="0.25">
      <c r="H319" s="5"/>
    </row>
    <row r="320" spans="8:8" x14ac:dyDescent="0.25">
      <c r="H320" s="5"/>
    </row>
    <row r="321" spans="8:8" x14ac:dyDescent="0.25">
      <c r="H321" s="5"/>
    </row>
    <row r="322" spans="8:8" x14ac:dyDescent="0.25">
      <c r="H322" s="5"/>
    </row>
    <row r="323" spans="8:8" x14ac:dyDescent="0.25">
      <c r="H323" s="5"/>
    </row>
    <row r="324" spans="8:8" x14ac:dyDescent="0.25">
      <c r="H324" s="5"/>
    </row>
    <row r="325" spans="8:8" x14ac:dyDescent="0.25">
      <c r="H325" s="5"/>
    </row>
    <row r="326" spans="8:8" x14ac:dyDescent="0.25">
      <c r="H326" s="5"/>
    </row>
    <row r="327" spans="8:8" x14ac:dyDescent="0.25">
      <c r="H327" s="5"/>
    </row>
    <row r="328" spans="8:8" x14ac:dyDescent="0.25">
      <c r="H328" s="5"/>
    </row>
    <row r="329" spans="8:8" x14ac:dyDescent="0.25">
      <c r="H329" s="5"/>
    </row>
    <row r="330" spans="8:8" x14ac:dyDescent="0.25">
      <c r="H330" s="5"/>
    </row>
    <row r="331" spans="8:8" x14ac:dyDescent="0.25">
      <c r="H331" s="5"/>
    </row>
    <row r="332" spans="8:8" x14ac:dyDescent="0.25">
      <c r="H332" s="5"/>
    </row>
    <row r="333" spans="8:8" x14ac:dyDescent="0.25">
      <c r="H333" s="5"/>
    </row>
    <row r="334" spans="8:8" x14ac:dyDescent="0.25">
      <c r="H334" s="5"/>
    </row>
    <row r="335" spans="8:8" x14ac:dyDescent="0.25">
      <c r="H335" s="5"/>
    </row>
    <row r="336" spans="8:8" x14ac:dyDescent="0.25">
      <c r="H336" s="5"/>
    </row>
    <row r="337" spans="8:8" x14ac:dyDescent="0.25">
      <c r="H337" s="5"/>
    </row>
    <row r="338" spans="8:8" x14ac:dyDescent="0.25">
      <c r="H338" s="5"/>
    </row>
    <row r="339" spans="8:8" x14ac:dyDescent="0.25">
      <c r="H339" s="5"/>
    </row>
    <row r="340" spans="8:8" x14ac:dyDescent="0.25">
      <c r="H340" s="5"/>
    </row>
    <row r="341" spans="8:8" x14ac:dyDescent="0.25">
      <c r="H341" s="5"/>
    </row>
    <row r="342" spans="8:8" x14ac:dyDescent="0.25">
      <c r="H342" s="5"/>
    </row>
    <row r="343" spans="8:8" x14ac:dyDescent="0.25">
      <c r="H343" s="5"/>
    </row>
    <row r="344" spans="8:8" x14ac:dyDescent="0.25">
      <c r="H344" s="5"/>
    </row>
    <row r="345" spans="8:8" x14ac:dyDescent="0.25">
      <c r="H345" s="5"/>
    </row>
    <row r="346" spans="8:8" x14ac:dyDescent="0.25">
      <c r="H346" s="5"/>
    </row>
    <row r="347" spans="8:8" x14ac:dyDescent="0.25">
      <c r="H347" s="5"/>
    </row>
    <row r="348" spans="8:8" x14ac:dyDescent="0.25">
      <c r="H348" s="5"/>
    </row>
    <row r="349" spans="8:8" x14ac:dyDescent="0.25">
      <c r="H349" s="5"/>
    </row>
    <row r="350" spans="8:8" x14ac:dyDescent="0.25">
      <c r="H350" s="5"/>
    </row>
    <row r="351" spans="8:8" x14ac:dyDescent="0.25">
      <c r="H351" s="5"/>
    </row>
    <row r="352" spans="8:8" x14ac:dyDescent="0.25">
      <c r="H352" s="5"/>
    </row>
    <row r="353" spans="8:8" x14ac:dyDescent="0.25">
      <c r="H353" s="5"/>
    </row>
    <row r="354" spans="8:8" x14ac:dyDescent="0.25">
      <c r="H354" s="5"/>
    </row>
    <row r="355" spans="8:8" x14ac:dyDescent="0.25">
      <c r="H355" s="5"/>
    </row>
    <row r="356" spans="8:8" x14ac:dyDescent="0.25">
      <c r="H356" s="5"/>
    </row>
    <row r="357" spans="8:8" x14ac:dyDescent="0.25">
      <c r="H357" s="5"/>
    </row>
    <row r="358" spans="8:8" x14ac:dyDescent="0.25">
      <c r="H358" s="5"/>
    </row>
    <row r="359" spans="8:8" x14ac:dyDescent="0.25">
      <c r="H359" s="5"/>
    </row>
    <row r="360" spans="8:8" x14ac:dyDescent="0.25">
      <c r="H360" s="5"/>
    </row>
    <row r="361" spans="8:8" x14ac:dyDescent="0.25">
      <c r="H361" s="5"/>
    </row>
    <row r="362" spans="8:8" x14ac:dyDescent="0.25">
      <c r="H362" s="5"/>
    </row>
    <row r="363" spans="8:8" x14ac:dyDescent="0.25">
      <c r="H363" s="5"/>
    </row>
    <row r="364" spans="8:8" x14ac:dyDescent="0.25">
      <c r="H364" s="5"/>
    </row>
    <row r="365" spans="8:8" x14ac:dyDescent="0.25">
      <c r="H365" s="5"/>
    </row>
    <row r="366" spans="8:8" x14ac:dyDescent="0.25">
      <c r="H366" s="5"/>
    </row>
    <row r="367" spans="8:8" x14ac:dyDescent="0.25">
      <c r="H367" s="5"/>
    </row>
    <row r="368" spans="8:8" x14ac:dyDescent="0.25">
      <c r="H368" s="5"/>
    </row>
    <row r="369" spans="8:8" x14ac:dyDescent="0.25">
      <c r="H369" s="5"/>
    </row>
    <row r="370" spans="8:8" x14ac:dyDescent="0.25">
      <c r="H370" s="5"/>
    </row>
    <row r="371" spans="8:8" x14ac:dyDescent="0.25">
      <c r="H371" s="5"/>
    </row>
    <row r="372" spans="8:8" x14ac:dyDescent="0.25">
      <c r="H372" s="5"/>
    </row>
    <row r="373" spans="8:8" x14ac:dyDescent="0.25">
      <c r="H373" s="5"/>
    </row>
    <row r="374" spans="8:8" x14ac:dyDescent="0.25">
      <c r="H374" s="5"/>
    </row>
    <row r="375" spans="8:8" x14ac:dyDescent="0.25">
      <c r="H375" s="5"/>
    </row>
    <row r="376" spans="8:8" x14ac:dyDescent="0.25">
      <c r="H376" s="5"/>
    </row>
    <row r="377" spans="8:8" x14ac:dyDescent="0.25">
      <c r="H377" s="5"/>
    </row>
    <row r="378" spans="8:8" x14ac:dyDescent="0.25">
      <c r="H378" s="5"/>
    </row>
    <row r="379" spans="8:8" x14ac:dyDescent="0.25">
      <c r="H379" s="5"/>
    </row>
    <row r="380" spans="8:8" x14ac:dyDescent="0.25">
      <c r="H380" s="5"/>
    </row>
    <row r="381" spans="8:8" x14ac:dyDescent="0.25">
      <c r="H381" s="5"/>
    </row>
    <row r="382" spans="8:8" x14ac:dyDescent="0.25">
      <c r="H382" s="5"/>
    </row>
    <row r="383" spans="8:8" x14ac:dyDescent="0.25">
      <c r="H383" s="5"/>
    </row>
    <row r="384" spans="8:8" x14ac:dyDescent="0.25">
      <c r="H384" s="5"/>
    </row>
    <row r="385" spans="8:8" x14ac:dyDescent="0.25">
      <c r="H385" s="5"/>
    </row>
    <row r="386" spans="8:8" x14ac:dyDescent="0.25">
      <c r="H386" s="5"/>
    </row>
    <row r="387" spans="8:8" x14ac:dyDescent="0.25">
      <c r="H387" s="5"/>
    </row>
    <row r="388" spans="8:8" x14ac:dyDescent="0.25">
      <c r="H388" s="5"/>
    </row>
    <row r="389" spans="8:8" x14ac:dyDescent="0.25">
      <c r="H389" s="5"/>
    </row>
    <row r="390" spans="8:8" x14ac:dyDescent="0.25">
      <c r="H390" s="5"/>
    </row>
    <row r="391" spans="8:8" x14ac:dyDescent="0.25">
      <c r="H391" s="5"/>
    </row>
    <row r="392" spans="8:8" x14ac:dyDescent="0.25">
      <c r="H392" s="5"/>
    </row>
    <row r="393" spans="8:8" x14ac:dyDescent="0.25">
      <c r="H393" s="5"/>
    </row>
    <row r="394" spans="8:8" x14ac:dyDescent="0.25">
      <c r="H394" s="5"/>
    </row>
    <row r="395" spans="8:8" x14ac:dyDescent="0.25">
      <c r="H395" s="5"/>
    </row>
    <row r="396" spans="8:8" x14ac:dyDescent="0.25">
      <c r="H396" s="5"/>
    </row>
    <row r="397" spans="8:8" x14ac:dyDescent="0.25">
      <c r="H397" s="5"/>
    </row>
    <row r="398" spans="8:8" x14ac:dyDescent="0.25">
      <c r="H398" s="5"/>
    </row>
    <row r="399" spans="8:8" x14ac:dyDescent="0.25">
      <c r="H399" s="5"/>
    </row>
    <row r="400" spans="8:8" x14ac:dyDescent="0.25">
      <c r="H400" s="5"/>
    </row>
    <row r="401" spans="8:8" x14ac:dyDescent="0.25">
      <c r="H401" s="5"/>
    </row>
    <row r="402" spans="8:8" x14ac:dyDescent="0.25">
      <c r="H402" s="5"/>
    </row>
    <row r="403" spans="8:8" x14ac:dyDescent="0.25">
      <c r="H403" s="5"/>
    </row>
    <row r="404" spans="8:8" x14ac:dyDescent="0.25">
      <c r="H404" s="5"/>
    </row>
    <row r="405" spans="8:8" x14ac:dyDescent="0.25">
      <c r="H405" s="5"/>
    </row>
    <row r="406" spans="8:8" x14ac:dyDescent="0.25">
      <c r="H406" s="5"/>
    </row>
    <row r="407" spans="8:8" x14ac:dyDescent="0.25">
      <c r="H407" s="5"/>
    </row>
    <row r="408" spans="8:8" x14ac:dyDescent="0.25">
      <c r="H408" s="5"/>
    </row>
    <row r="409" spans="8:8" x14ac:dyDescent="0.25">
      <c r="H409" s="5"/>
    </row>
    <row r="410" spans="8:8" x14ac:dyDescent="0.25">
      <c r="H410" s="5"/>
    </row>
    <row r="411" spans="8:8" x14ac:dyDescent="0.25">
      <c r="H411" s="5"/>
    </row>
    <row r="412" spans="8:8" x14ac:dyDescent="0.25">
      <c r="H412" s="5"/>
    </row>
    <row r="413" spans="8:8" x14ac:dyDescent="0.25">
      <c r="H413" s="5"/>
    </row>
    <row r="414" spans="8:8" x14ac:dyDescent="0.25">
      <c r="H414" s="5"/>
    </row>
    <row r="415" spans="8:8" x14ac:dyDescent="0.25">
      <c r="H415" s="5"/>
    </row>
    <row r="416" spans="8:8" x14ac:dyDescent="0.25">
      <c r="H416" s="5"/>
    </row>
    <row r="417" spans="8:8" x14ac:dyDescent="0.25">
      <c r="H417" s="5"/>
    </row>
    <row r="418" spans="8:8" x14ac:dyDescent="0.25">
      <c r="H418" s="5"/>
    </row>
    <row r="419" spans="8:8" x14ac:dyDescent="0.25">
      <c r="H419" s="5"/>
    </row>
    <row r="420" spans="8:8" x14ac:dyDescent="0.25">
      <c r="H420" s="5"/>
    </row>
    <row r="421" spans="8:8" x14ac:dyDescent="0.25">
      <c r="H421" s="5"/>
    </row>
    <row r="422" spans="8:8" x14ac:dyDescent="0.25">
      <c r="H422" s="5"/>
    </row>
    <row r="423" spans="8:8" x14ac:dyDescent="0.25">
      <c r="H423" s="5"/>
    </row>
    <row r="424" spans="8:8" x14ac:dyDescent="0.25">
      <c r="H424" s="5"/>
    </row>
    <row r="425" spans="8:8" x14ac:dyDescent="0.25">
      <c r="H425" s="5"/>
    </row>
    <row r="426" spans="8:8" x14ac:dyDescent="0.25">
      <c r="H426" s="5"/>
    </row>
    <row r="427" spans="8:8" x14ac:dyDescent="0.25">
      <c r="H427" s="5"/>
    </row>
    <row r="428" spans="8:8" x14ac:dyDescent="0.25">
      <c r="H428" s="5"/>
    </row>
    <row r="429" spans="8:8" x14ac:dyDescent="0.25">
      <c r="H429" s="5"/>
    </row>
    <row r="430" spans="8:8" x14ac:dyDescent="0.25">
      <c r="H430" s="5"/>
    </row>
    <row r="431" spans="8:8" x14ac:dyDescent="0.25">
      <c r="H431" s="5"/>
    </row>
    <row r="432" spans="8:8" x14ac:dyDescent="0.25">
      <c r="H432" s="5"/>
    </row>
    <row r="433" spans="8:8" x14ac:dyDescent="0.25">
      <c r="H433" s="5"/>
    </row>
    <row r="434" spans="8:8" x14ac:dyDescent="0.25">
      <c r="H434" s="5"/>
    </row>
    <row r="435" spans="8:8" x14ac:dyDescent="0.25">
      <c r="H435" s="5"/>
    </row>
    <row r="436" spans="8:8" x14ac:dyDescent="0.25">
      <c r="H436" s="5"/>
    </row>
    <row r="437" spans="8:8" x14ac:dyDescent="0.25">
      <c r="H437" s="5"/>
    </row>
    <row r="438" spans="8:8" x14ac:dyDescent="0.25">
      <c r="H438" s="5"/>
    </row>
    <row r="439" spans="8:8" x14ac:dyDescent="0.25">
      <c r="H439" s="5"/>
    </row>
    <row r="440" spans="8:8" x14ac:dyDescent="0.25">
      <c r="H440" s="5"/>
    </row>
    <row r="441" spans="8:8" x14ac:dyDescent="0.25">
      <c r="H441" s="5"/>
    </row>
    <row r="442" spans="8:8" x14ac:dyDescent="0.25">
      <c r="H442" s="5"/>
    </row>
    <row r="443" spans="8:8" x14ac:dyDescent="0.25">
      <c r="H443" s="5"/>
    </row>
    <row r="444" spans="8:8" x14ac:dyDescent="0.25">
      <c r="H444" s="5"/>
    </row>
    <row r="445" spans="8:8" x14ac:dyDescent="0.25">
      <c r="H445" s="5"/>
    </row>
    <row r="446" spans="8:8" x14ac:dyDescent="0.25">
      <c r="H446" s="5"/>
    </row>
    <row r="447" spans="8:8" x14ac:dyDescent="0.25">
      <c r="H447" s="5"/>
    </row>
    <row r="448" spans="8:8" x14ac:dyDescent="0.25">
      <c r="H448" s="5"/>
    </row>
    <row r="449" spans="8:8" x14ac:dyDescent="0.25">
      <c r="H449" s="5"/>
    </row>
    <row r="450" spans="8:8" x14ac:dyDescent="0.25">
      <c r="H450" s="5"/>
    </row>
    <row r="451" spans="8:8" x14ac:dyDescent="0.25">
      <c r="H451" s="5"/>
    </row>
    <row r="452" spans="8:8" x14ac:dyDescent="0.25">
      <c r="H452" s="5"/>
    </row>
    <row r="453" spans="8:8" x14ac:dyDescent="0.25">
      <c r="H453" s="5"/>
    </row>
    <row r="454" spans="8:8" x14ac:dyDescent="0.25">
      <c r="H454" s="5"/>
    </row>
    <row r="455" spans="8:8" x14ac:dyDescent="0.25">
      <c r="H455" s="5"/>
    </row>
    <row r="456" spans="8:8" x14ac:dyDescent="0.25">
      <c r="H456" s="5"/>
    </row>
    <row r="457" spans="8:8" x14ac:dyDescent="0.25">
      <c r="H457" s="5"/>
    </row>
    <row r="458" spans="8:8" x14ac:dyDescent="0.25">
      <c r="H458" s="5"/>
    </row>
    <row r="459" spans="8:8" x14ac:dyDescent="0.25">
      <c r="H459" s="5"/>
    </row>
    <row r="460" spans="8:8" x14ac:dyDescent="0.25">
      <c r="H460" s="5"/>
    </row>
    <row r="461" spans="8:8" x14ac:dyDescent="0.25">
      <c r="H461" s="5"/>
    </row>
    <row r="462" spans="8:8" x14ac:dyDescent="0.25">
      <c r="H462" s="5"/>
    </row>
    <row r="463" spans="8:8" x14ac:dyDescent="0.25">
      <c r="H463" s="5"/>
    </row>
    <row r="464" spans="8:8" x14ac:dyDescent="0.25">
      <c r="H464" s="5"/>
    </row>
    <row r="465" spans="8:8" x14ac:dyDescent="0.25">
      <c r="H465" s="5"/>
    </row>
    <row r="466" spans="8:8" x14ac:dyDescent="0.25">
      <c r="H466" s="5"/>
    </row>
    <row r="467" spans="8:8" x14ac:dyDescent="0.25">
      <c r="H467" s="5"/>
    </row>
    <row r="468" spans="8:8" x14ac:dyDescent="0.25">
      <c r="H468" s="5"/>
    </row>
    <row r="469" spans="8:8" x14ac:dyDescent="0.25">
      <c r="H469" s="5"/>
    </row>
    <row r="470" spans="8:8" x14ac:dyDescent="0.25">
      <c r="H470" s="5"/>
    </row>
    <row r="471" spans="8:8" x14ac:dyDescent="0.25">
      <c r="H471" s="5"/>
    </row>
    <row r="472" spans="8:8" x14ac:dyDescent="0.25">
      <c r="H472" s="5"/>
    </row>
    <row r="473" spans="8:8" x14ac:dyDescent="0.25">
      <c r="H473" s="5"/>
    </row>
    <row r="474" spans="8:8" x14ac:dyDescent="0.25">
      <c r="H474" s="5"/>
    </row>
    <row r="475" spans="8:8" x14ac:dyDescent="0.25">
      <c r="H475" s="5"/>
    </row>
    <row r="476" spans="8:8" x14ac:dyDescent="0.25">
      <c r="H476" s="5"/>
    </row>
    <row r="477" spans="8:8" x14ac:dyDescent="0.25">
      <c r="H477" s="5"/>
    </row>
    <row r="478" spans="8:8" x14ac:dyDescent="0.25">
      <c r="H478" s="5"/>
    </row>
    <row r="479" spans="8:8" x14ac:dyDescent="0.25">
      <c r="H479" s="5"/>
    </row>
    <row r="480" spans="8:8" x14ac:dyDescent="0.25">
      <c r="H480" s="5"/>
    </row>
    <row r="481" spans="8:8" x14ac:dyDescent="0.25">
      <c r="H481" s="5"/>
    </row>
    <row r="482" spans="8:8" x14ac:dyDescent="0.25">
      <c r="H482" s="5"/>
    </row>
    <row r="483" spans="8:8" x14ac:dyDescent="0.25">
      <c r="H483" s="5"/>
    </row>
    <row r="484" spans="8:8" x14ac:dyDescent="0.25">
      <c r="H484" s="5"/>
    </row>
    <row r="485" spans="8:8" x14ac:dyDescent="0.25">
      <c r="H485" s="5"/>
    </row>
    <row r="486" spans="8:8" x14ac:dyDescent="0.25">
      <c r="H486" s="5"/>
    </row>
    <row r="487" spans="8:8" x14ac:dyDescent="0.25">
      <c r="H487" s="5"/>
    </row>
    <row r="488" spans="8:8" x14ac:dyDescen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      <c r="H491" s="5"/>
    </row>
    <row r="492" spans="8:8" x14ac:dyDescent="0.25">
      <c r="H492" s="5"/>
    </row>
    <row r="493" spans="8:8" x14ac:dyDescent="0.25">
      <c r="H493" s="5"/>
    </row>
    <row r="494" spans="8:8" x14ac:dyDescent="0.25">
      <c r="H494" s="5"/>
    </row>
    <row r="495" spans="8:8" x14ac:dyDescent="0.25">
      <c r="H495" s="5"/>
    </row>
    <row r="496" spans="8:8" x14ac:dyDescent="0.25">
      <c r="H496" s="5"/>
    </row>
    <row r="497" spans="8:8" x14ac:dyDescent="0.25">
      <c r="H497" s="5"/>
    </row>
    <row r="498" spans="8:8" x14ac:dyDescent="0.25">
      <c r="H498" s="5"/>
    </row>
    <row r="499" spans="8:8" x14ac:dyDescent="0.25">
      <c r="H499" s="5"/>
    </row>
    <row r="500" spans="8:8" x14ac:dyDescent="0.25">
      <c r="H500" s="5"/>
    </row>
    <row r="501" spans="8:8" x14ac:dyDescent="0.25">
      <c r="H501" s="5"/>
    </row>
    <row r="502" spans="8:8" x14ac:dyDescent="0.25">
      <c r="H502" s="5"/>
    </row>
    <row r="503" spans="8:8" x14ac:dyDescent="0.25">
      <c r="H503" s="5"/>
    </row>
    <row r="504" spans="8:8" x14ac:dyDescent="0.25">
      <c r="H504" s="5"/>
    </row>
    <row r="505" spans="8:8" x14ac:dyDescent="0.25">
      <c r="H505" s="5"/>
    </row>
    <row r="506" spans="8:8" x14ac:dyDescent="0.25">
      <c r="H506" s="5"/>
    </row>
    <row r="507" spans="8:8" x14ac:dyDescent="0.25">
      <c r="H507" s="5"/>
    </row>
    <row r="508" spans="8:8" x14ac:dyDescent="0.25">
      <c r="H508" s="5"/>
    </row>
    <row r="509" spans="8:8" x14ac:dyDescent="0.25">
      <c r="H509" s="5"/>
    </row>
    <row r="510" spans="8:8" x14ac:dyDescent="0.25">
      <c r="H510" s="5"/>
    </row>
    <row r="511" spans="8:8" x14ac:dyDescent="0.25">
      <c r="H511" s="5"/>
    </row>
    <row r="512" spans="8:8" x14ac:dyDescent="0.25">
      <c r="H512" s="5"/>
    </row>
    <row r="513" spans="8:8" x14ac:dyDescent="0.25">
      <c r="H513" s="5"/>
    </row>
    <row r="514" spans="8:8" x14ac:dyDescent="0.25">
      <c r="H514" s="5"/>
    </row>
    <row r="515" spans="8:8" x14ac:dyDescent="0.25">
      <c r="H515" s="5"/>
    </row>
    <row r="516" spans="8:8" x14ac:dyDescent="0.25">
      <c r="H516" s="5"/>
    </row>
    <row r="517" spans="8:8" x14ac:dyDescent="0.25">
      <c r="H517" s="5"/>
    </row>
    <row r="518" spans="8:8" x14ac:dyDescent="0.25">
      <c r="H518" s="5"/>
    </row>
    <row r="519" spans="8:8" x14ac:dyDescent="0.25">
      <c r="H519" s="5"/>
    </row>
    <row r="520" spans="8:8" x14ac:dyDescent="0.25">
      <c r="H520" s="5"/>
    </row>
    <row r="521" spans="8:8" x14ac:dyDescent="0.25">
      <c r="H521" s="5"/>
    </row>
    <row r="522" spans="8:8" x14ac:dyDescent="0.25">
      <c r="H522" s="5"/>
    </row>
    <row r="523" spans="8:8" x14ac:dyDescent="0.25">
      <c r="H523" s="5"/>
    </row>
    <row r="524" spans="8:8" x14ac:dyDescent="0.25">
      <c r="H524" s="5"/>
    </row>
    <row r="525" spans="8:8" x14ac:dyDescent="0.25">
      <c r="H525" s="5"/>
    </row>
    <row r="526" spans="8:8" x14ac:dyDescent="0.25">
      <c r="H526" s="5"/>
    </row>
    <row r="527" spans="8:8" x14ac:dyDescent="0.25">
      <c r="H527" s="5"/>
    </row>
    <row r="528" spans="8:8" x14ac:dyDescent="0.25">
      <c r="H528" s="5"/>
    </row>
    <row r="529" spans="8:8" x14ac:dyDescent="0.25">
      <c r="H529" s="5"/>
    </row>
    <row r="530" spans="8:8" x14ac:dyDescent="0.25">
      <c r="H530" s="5"/>
    </row>
    <row r="531" spans="8:8" x14ac:dyDescent="0.25">
      <c r="H531" s="5"/>
    </row>
    <row r="532" spans="8:8" x14ac:dyDescent="0.25">
      <c r="H532" s="5"/>
    </row>
    <row r="533" spans="8:8" x14ac:dyDescent="0.25">
      <c r="H533" s="5"/>
    </row>
    <row r="534" spans="8:8" x14ac:dyDescent="0.25">
      <c r="H534" s="5"/>
    </row>
    <row r="535" spans="8:8" x14ac:dyDescent="0.25">
      <c r="H535" s="5"/>
    </row>
    <row r="536" spans="8:8" x14ac:dyDescent="0.25">
      <c r="H536" s="5"/>
    </row>
    <row r="537" spans="8:8" x14ac:dyDescent="0.25">
      <c r="H537" s="5"/>
    </row>
    <row r="538" spans="8:8" x14ac:dyDescent="0.25">
      <c r="H538" s="5"/>
    </row>
    <row r="539" spans="8:8" x14ac:dyDescent="0.25">
      <c r="H539" s="5"/>
    </row>
    <row r="540" spans="8:8" x14ac:dyDescent="0.25">
      <c r="H540" s="5"/>
    </row>
    <row r="541" spans="8:8" x14ac:dyDescent="0.25">
      <c r="H541" s="5"/>
    </row>
    <row r="542" spans="8:8" x14ac:dyDescent="0.25">
      <c r="H542" s="5"/>
    </row>
    <row r="543" spans="8:8" x14ac:dyDescent="0.25">
      <c r="H543" s="5"/>
    </row>
    <row r="544" spans="8:8" x14ac:dyDescent="0.25">
      <c r="H544" s="5"/>
    </row>
    <row r="545" spans="8:8" x14ac:dyDescent="0.25">
      <c r="H545" s="5"/>
    </row>
    <row r="546" spans="8:8" x14ac:dyDescent="0.25">
      <c r="H546" s="5"/>
    </row>
    <row r="547" spans="8:8" x14ac:dyDescent="0.25">
      <c r="H547" s="5"/>
    </row>
    <row r="548" spans="8:8" x14ac:dyDescent="0.25">
      <c r="H548" s="5"/>
    </row>
    <row r="549" spans="8:8" x14ac:dyDescent="0.25">
      <c r="H549" s="5"/>
    </row>
    <row r="550" spans="8:8" x14ac:dyDescent="0.25">
      <c r="H550" s="5"/>
    </row>
    <row r="551" spans="8:8" x14ac:dyDescent="0.25">
      <c r="H551" s="5"/>
    </row>
    <row r="552" spans="8:8" x14ac:dyDescent="0.25">
      <c r="H552" s="5"/>
    </row>
    <row r="553" spans="8:8" x14ac:dyDescent="0.25">
      <c r="H553" s="5"/>
    </row>
    <row r="554" spans="8:8" x14ac:dyDescent="0.25">
      <c r="H554" s="5"/>
    </row>
    <row r="555" spans="8:8" x14ac:dyDescent="0.25">
      <c r="H555" s="5"/>
    </row>
    <row r="556" spans="8:8" x14ac:dyDescent="0.25">
      <c r="H556" s="5"/>
    </row>
    <row r="557" spans="8:8" x14ac:dyDescent="0.25">
      <c r="H557" s="5"/>
    </row>
    <row r="558" spans="8:8" x14ac:dyDescent="0.25">
      <c r="H558" s="5"/>
    </row>
    <row r="559" spans="8:8" x14ac:dyDescent="0.25">
      <c r="H559" s="5"/>
    </row>
    <row r="560" spans="8:8" x14ac:dyDescent="0.25">
      <c r="H560" s="5"/>
    </row>
    <row r="561" spans="8:8" x14ac:dyDescent="0.25">
      <c r="H561" s="5"/>
    </row>
    <row r="562" spans="8:8" x14ac:dyDescent="0.25">
      <c r="H562" s="5"/>
    </row>
    <row r="563" spans="8:8" x14ac:dyDescent="0.25">
      <c r="H563" s="5"/>
    </row>
    <row r="564" spans="8:8" x14ac:dyDescent="0.25">
      <c r="H564" s="5"/>
    </row>
    <row r="565" spans="8:8" x14ac:dyDescent="0.25">
      <c r="H565" s="5"/>
    </row>
    <row r="566" spans="8:8" x14ac:dyDescent="0.25">
      <c r="H566" s="5"/>
    </row>
    <row r="567" spans="8:8" x14ac:dyDescent="0.25">
      <c r="H567" s="5"/>
    </row>
    <row r="568" spans="8:8" x14ac:dyDescent="0.25">
      <c r="H568" s="5"/>
    </row>
    <row r="569" spans="8:8" x14ac:dyDescent="0.25">
      <c r="H569" s="5"/>
    </row>
    <row r="570" spans="8:8" x14ac:dyDescent="0.25">
      <c r="H570" s="5"/>
    </row>
    <row r="571" spans="8:8" x14ac:dyDescent="0.25">
      <c r="H571" s="5"/>
    </row>
    <row r="572" spans="8:8" x14ac:dyDescent="0.25">
      <c r="H572" s="5"/>
    </row>
    <row r="573" spans="8:8" x14ac:dyDescent="0.25">
      <c r="H573" s="5"/>
    </row>
    <row r="574" spans="8:8" x14ac:dyDescent="0.25">
      <c r="H574" s="5"/>
    </row>
    <row r="575" spans="8:8" x14ac:dyDescent="0.25">
      <c r="H575" s="5"/>
    </row>
    <row r="576" spans="8:8" x14ac:dyDescent="0.25">
      <c r="H576" s="5"/>
    </row>
    <row r="577" spans="8:8" x14ac:dyDescent="0.25">
      <c r="H577" s="5"/>
    </row>
    <row r="578" spans="8:8" x14ac:dyDescent="0.25">
      <c r="H578" s="5"/>
    </row>
    <row r="579" spans="8:8" x14ac:dyDescent="0.25">
      <c r="H579" s="5"/>
    </row>
    <row r="580" spans="8:8" x14ac:dyDescent="0.25">
      <c r="H580" s="5"/>
    </row>
    <row r="581" spans="8:8" x14ac:dyDescent="0.25">
      <c r="H581" s="5"/>
    </row>
    <row r="582" spans="8:8" x14ac:dyDescent="0.25">
      <c r="H582" s="5"/>
    </row>
    <row r="583" spans="8:8" x14ac:dyDescent="0.25">
      <c r="H583" s="5"/>
    </row>
    <row r="584" spans="8:8" x14ac:dyDescent="0.25">
      <c r="H584" s="5"/>
    </row>
    <row r="585" spans="8:8" x14ac:dyDescent="0.25">
      <c r="H585" s="5"/>
    </row>
    <row r="586" spans="8:8" x14ac:dyDescent="0.25">
      <c r="H586" s="5"/>
    </row>
    <row r="587" spans="8:8" x14ac:dyDescent="0.25">
      <c r="H587" s="5"/>
    </row>
    <row r="588" spans="8:8" x14ac:dyDescent="0.25">
      <c r="H588" s="5"/>
    </row>
    <row r="589" spans="8:8" x14ac:dyDescent="0.25">
      <c r="H589" s="5"/>
    </row>
    <row r="590" spans="8:8" x14ac:dyDescent="0.25">
      <c r="H590" s="5"/>
    </row>
    <row r="591" spans="8:8" x14ac:dyDescent="0.25">
      <c r="H591" s="5"/>
    </row>
    <row r="592" spans="8:8" x14ac:dyDescent="0.25">
      <c r="H592" s="5"/>
    </row>
    <row r="593" spans="8:8" x14ac:dyDescent="0.25">
      <c r="H593" s="5"/>
    </row>
    <row r="594" spans="8:8" x14ac:dyDescent="0.25">
      <c r="H594" s="5"/>
    </row>
    <row r="595" spans="8:8" x14ac:dyDescent="0.25">
      <c r="H595" s="5"/>
    </row>
    <row r="596" spans="8:8" x14ac:dyDescent="0.25">
      <c r="H596" s="5"/>
    </row>
    <row r="597" spans="8:8" x14ac:dyDescent="0.25">
      <c r="H597" s="5"/>
    </row>
    <row r="598" spans="8:8" x14ac:dyDescent="0.25">
      <c r="H598" s="5"/>
    </row>
    <row r="599" spans="8:8" x14ac:dyDescent="0.25">
      <c r="H599" s="5"/>
    </row>
    <row r="600" spans="8:8" x14ac:dyDescent="0.25">
      <c r="H600" s="5"/>
    </row>
    <row r="601" spans="8:8" x14ac:dyDescent="0.25">
      <c r="H601" s="5"/>
    </row>
    <row r="602" spans="8:8" x14ac:dyDescent="0.25">
      <c r="H602" s="5"/>
    </row>
    <row r="603" spans="8:8" x14ac:dyDescent="0.25">
      <c r="H603" s="5"/>
    </row>
    <row r="604" spans="8:8" x14ac:dyDescent="0.25">
      <c r="H604" s="5"/>
    </row>
    <row r="605" spans="8:8" x14ac:dyDescent="0.25">
      <c r="H605" s="5"/>
    </row>
    <row r="606" spans="8:8" x14ac:dyDescent="0.25">
      <c r="H606" s="5"/>
    </row>
    <row r="607" spans="8:8" x14ac:dyDescent="0.25">
      <c r="H607" s="5"/>
    </row>
    <row r="608" spans="8:8" x14ac:dyDescent="0.25">
      <c r="H608" s="5"/>
    </row>
    <row r="609" spans="8:8" x14ac:dyDescent="0.25">
      <c r="H609" s="5"/>
    </row>
    <row r="610" spans="8:8" x14ac:dyDescent="0.25">
      <c r="H610" s="5"/>
    </row>
    <row r="611" spans="8:8" x14ac:dyDescent="0.25">
      <c r="H611" s="5"/>
    </row>
    <row r="612" spans="8:8" x14ac:dyDescent="0.25">
      <c r="H612" s="5"/>
    </row>
    <row r="613" spans="8:8" x14ac:dyDescent="0.25">
      <c r="H613" s="5"/>
    </row>
    <row r="614" spans="8:8" x14ac:dyDescent="0.25">
      <c r="H614" s="5"/>
    </row>
    <row r="615" spans="8:8" x14ac:dyDescent="0.25">
      <c r="H615" s="5"/>
    </row>
    <row r="616" spans="8:8" x14ac:dyDescent="0.25">
      <c r="H616" s="5"/>
    </row>
    <row r="617" spans="8:8" x14ac:dyDescent="0.25">
      <c r="H617" s="5"/>
    </row>
    <row r="618" spans="8:8" x14ac:dyDescent="0.25">
      <c r="H618" s="5"/>
    </row>
    <row r="619" spans="8:8" x14ac:dyDescent="0.25">
      <c r="H619" s="5"/>
    </row>
    <row r="620" spans="8:8" x14ac:dyDescent="0.25">
      <c r="H620" s="5"/>
    </row>
    <row r="621" spans="8:8" x14ac:dyDescent="0.25">
      <c r="H621" s="5"/>
    </row>
    <row r="622" spans="8:8" x14ac:dyDescent="0.25">
      <c r="H622" s="5"/>
    </row>
    <row r="623" spans="8:8" x14ac:dyDescent="0.25">
      <c r="H623" s="5"/>
    </row>
    <row r="624" spans="8:8" x14ac:dyDescent="0.25">
      <c r="H624" s="5"/>
    </row>
    <row r="625" spans="8:8" x14ac:dyDescent="0.25">
      <c r="H625" s="5"/>
    </row>
    <row r="626" spans="8:8" x14ac:dyDescent="0.25">
      <c r="H626" s="5"/>
    </row>
    <row r="627" spans="8:8" x14ac:dyDescent="0.25">
      <c r="H627" s="5"/>
    </row>
    <row r="628" spans="8:8" x14ac:dyDescent="0.25">
      <c r="H628" s="5"/>
    </row>
    <row r="629" spans="8:8" x14ac:dyDescent="0.25">
      <c r="H629" s="5"/>
    </row>
    <row r="630" spans="8:8" x14ac:dyDescent="0.25">
      <c r="H630" s="5"/>
    </row>
    <row r="631" spans="8:8" x14ac:dyDescent="0.25">
      <c r="H631" s="5"/>
    </row>
    <row r="632" spans="8:8" x14ac:dyDescent="0.25">
      <c r="H632" s="5"/>
    </row>
    <row r="633" spans="8:8" x14ac:dyDescent="0.25">
      <c r="H633" s="5"/>
    </row>
    <row r="634" spans="8:8" x14ac:dyDescent="0.25">
      <c r="H634" s="5"/>
    </row>
    <row r="635" spans="8:8" x14ac:dyDescent="0.25">
      <c r="H635" s="5"/>
    </row>
    <row r="636" spans="8:8" x14ac:dyDescent="0.25">
      <c r="H636" s="5"/>
    </row>
    <row r="637" spans="8:8" x14ac:dyDescent="0.25">
      <c r="H637" s="5"/>
    </row>
    <row r="638" spans="8:8" x14ac:dyDescent="0.25">
      <c r="H638" s="5"/>
    </row>
    <row r="639" spans="8:8" x14ac:dyDescent="0.25">
      <c r="H639" s="5"/>
    </row>
    <row r="640" spans="8:8" x14ac:dyDescent="0.25">
      <c r="H640" s="5"/>
    </row>
    <row r="641" spans="8:8" x14ac:dyDescent="0.25">
      <c r="H641" s="5"/>
    </row>
    <row r="642" spans="8:8" x14ac:dyDescent="0.25">
      <c r="H642" s="5"/>
    </row>
    <row r="643" spans="8:8" x14ac:dyDescent="0.25">
      <c r="H643" s="5"/>
    </row>
    <row r="644" spans="8:8" x14ac:dyDescent="0.25">
      <c r="H644" s="5"/>
    </row>
    <row r="645" spans="8:8" x14ac:dyDescent="0.25">
      <c r="H645" s="5"/>
    </row>
    <row r="646" spans="8:8" x14ac:dyDescent="0.25">
      <c r="H646" s="5"/>
    </row>
    <row r="647" spans="8:8" x14ac:dyDescent="0.25">
      <c r="H647" s="5"/>
    </row>
    <row r="648" spans="8:8" x14ac:dyDescent="0.25">
      <c r="H648" s="5"/>
    </row>
    <row r="649" spans="8:8" x14ac:dyDescent="0.25">
      <c r="H649" s="5"/>
    </row>
    <row r="650" spans="8:8" x14ac:dyDescent="0.25">
      <c r="H650" s="5"/>
    </row>
    <row r="651" spans="8:8" x14ac:dyDescent="0.25">
      <c r="H651" s="5"/>
    </row>
    <row r="652" spans="8:8" x14ac:dyDescent="0.25">
      <c r="H652" s="5"/>
    </row>
    <row r="653" spans="8:8" x14ac:dyDescent="0.25">
      <c r="H653" s="5"/>
    </row>
    <row r="654" spans="8:8" x14ac:dyDescent="0.25">
      <c r="H654" s="5"/>
    </row>
    <row r="655" spans="8:8" x14ac:dyDescent="0.25">
      <c r="H655" s="5"/>
    </row>
    <row r="656" spans="8:8" x14ac:dyDescent="0.25">
      <c r="H656" s="5"/>
    </row>
    <row r="657" spans="8:8" x14ac:dyDescent="0.25">
      <c r="H657" s="5"/>
    </row>
    <row r="658" spans="8:8" x14ac:dyDescent="0.25">
      <c r="H658" s="5"/>
    </row>
    <row r="659" spans="8:8" x14ac:dyDescent="0.25">
      <c r="H659" s="5"/>
    </row>
    <row r="660" spans="8:8" x14ac:dyDescent="0.25">
      <c r="H660" s="5"/>
    </row>
    <row r="661" spans="8:8" x14ac:dyDescent="0.25">
      <c r="H661" s="5"/>
    </row>
    <row r="662" spans="8:8" x14ac:dyDescent="0.25">
      <c r="H662" s="5"/>
    </row>
    <row r="663" spans="8:8" x14ac:dyDescent="0.25">
      <c r="H663" s="5"/>
    </row>
    <row r="664" spans="8:8" x14ac:dyDescent="0.25">
      <c r="H664" s="5"/>
    </row>
    <row r="665" spans="8:8" x14ac:dyDescent="0.25">
      <c r="H665" s="5"/>
    </row>
    <row r="666" spans="8:8" x14ac:dyDescent="0.25">
      <c r="H666" s="5"/>
    </row>
    <row r="667" spans="8:8" x14ac:dyDescent="0.25">
      <c r="H667" s="5"/>
    </row>
    <row r="668" spans="8:8" x14ac:dyDescent="0.25">
      <c r="H668" s="5"/>
    </row>
    <row r="669" spans="8:8" x14ac:dyDescent="0.25">
      <c r="H669" s="5"/>
    </row>
    <row r="670" spans="8:8" x14ac:dyDescent="0.25">
      <c r="H670" s="5"/>
    </row>
    <row r="671" spans="8:8" x14ac:dyDescent="0.25">
      <c r="H671" s="5"/>
    </row>
    <row r="672" spans="8:8" x14ac:dyDescent="0.25">
      <c r="H672" s="5"/>
    </row>
    <row r="673" spans="8:8" x14ac:dyDescent="0.25">
      <c r="H673" s="5"/>
    </row>
    <row r="674" spans="8:8" x14ac:dyDescent="0.25">
      <c r="H674" s="5"/>
    </row>
    <row r="675" spans="8:8" x14ac:dyDescent="0.25">
      <c r="H675" s="5"/>
    </row>
    <row r="676" spans="8:8" x14ac:dyDescent="0.25">
      <c r="H676" s="5"/>
    </row>
    <row r="677" spans="8:8" x14ac:dyDescent="0.25">
      <c r="H677" s="5"/>
    </row>
    <row r="678" spans="8:8" x14ac:dyDescent="0.25">
      <c r="H678" s="5"/>
    </row>
    <row r="679" spans="8:8" x14ac:dyDescent="0.25">
      <c r="H679" s="5"/>
    </row>
    <row r="680" spans="8:8" x14ac:dyDescent="0.25">
      <c r="H680" s="5"/>
    </row>
    <row r="681" spans="8:8" x14ac:dyDescent="0.25">
      <c r="H681" s="5"/>
    </row>
    <row r="682" spans="8:8" x14ac:dyDescent="0.25">
      <c r="H682" s="5"/>
    </row>
    <row r="683" spans="8:8" x14ac:dyDescent="0.25">
      <c r="H683" s="5"/>
    </row>
    <row r="684" spans="8:8" x14ac:dyDescent="0.25">
      <c r="H684" s="5"/>
    </row>
    <row r="685" spans="8:8" x14ac:dyDescent="0.25">
      <c r="H685" s="5"/>
    </row>
    <row r="686" spans="8:8" x14ac:dyDescent="0.25">
      <c r="H686" s="5"/>
    </row>
    <row r="687" spans="8:8" x14ac:dyDescent="0.25">
      <c r="H687" s="5"/>
    </row>
    <row r="688" spans="8:8" x14ac:dyDescent="0.25">
      <c r="H688" s="5"/>
    </row>
    <row r="689" spans="8:8" x14ac:dyDescent="0.25">
      <c r="H689" s="5"/>
    </row>
    <row r="690" spans="8:8" x14ac:dyDescent="0.25">
      <c r="H690" s="5"/>
    </row>
    <row r="691" spans="8:8" x14ac:dyDescent="0.25">
      <c r="H691" s="5"/>
    </row>
    <row r="692" spans="8:8" x14ac:dyDescent="0.25">
      <c r="H692" s="5"/>
    </row>
    <row r="693" spans="8:8" x14ac:dyDescent="0.25">
      <c r="H693" s="5"/>
    </row>
    <row r="694" spans="8:8" x14ac:dyDescent="0.25">
      <c r="H694" s="5"/>
    </row>
    <row r="695" spans="8:8" x14ac:dyDescent="0.25">
      <c r="H695" s="5"/>
    </row>
    <row r="696" spans="8:8" x14ac:dyDescent="0.25">
      <c r="H696" s="5"/>
    </row>
    <row r="697" spans="8:8" x14ac:dyDescent="0.25">
      <c r="H697" s="5"/>
    </row>
    <row r="698" spans="8:8" x14ac:dyDescent="0.25">
      <c r="H698" s="5"/>
    </row>
    <row r="699" spans="8:8" x14ac:dyDescent="0.25">
      <c r="H699" s="5"/>
    </row>
    <row r="700" spans="8:8" x14ac:dyDescent="0.25">
      <c r="H700" s="5"/>
    </row>
    <row r="701" spans="8:8" x14ac:dyDescent="0.25">
      <c r="H701" s="5"/>
    </row>
    <row r="702" spans="8:8" x14ac:dyDescent="0.25">
      <c r="H702" s="5"/>
    </row>
    <row r="703" spans="8:8" x14ac:dyDescent="0.25">
      <c r="H703" s="5"/>
    </row>
    <row r="704" spans="8:8" x14ac:dyDescent="0.25">
      <c r="H704" s="5"/>
    </row>
    <row r="705" spans="8:8" x14ac:dyDescent="0.25">
      <c r="H705" s="5"/>
    </row>
    <row r="706" spans="8:8" x14ac:dyDescent="0.25">
      <c r="H706" s="5"/>
    </row>
    <row r="707" spans="8:8" x14ac:dyDescent="0.25">
      <c r="H707" s="5"/>
    </row>
    <row r="708" spans="8:8" x14ac:dyDescent="0.25">
      <c r="H708" s="5"/>
    </row>
    <row r="709" spans="8:8" x14ac:dyDescent="0.25">
      <c r="H709" s="5"/>
    </row>
    <row r="710" spans="8:8" x14ac:dyDescent="0.25">
      <c r="H710" s="5"/>
    </row>
    <row r="711" spans="8:8" x14ac:dyDescent="0.25">
      <c r="H711" s="5"/>
    </row>
    <row r="712" spans="8:8" x14ac:dyDescent="0.25">
      <c r="H712" s="5"/>
    </row>
    <row r="713" spans="8:8" x14ac:dyDescent="0.25">
      <c r="H713" s="5"/>
    </row>
    <row r="714" spans="8:8" x14ac:dyDescent="0.25">
      <c r="H714" s="5"/>
    </row>
    <row r="715" spans="8:8" x14ac:dyDescent="0.25">
      <c r="H715" s="5"/>
    </row>
    <row r="716" spans="8:8" x14ac:dyDescent="0.25">
      <c r="H716" s="5"/>
    </row>
    <row r="717" spans="8:8" x14ac:dyDescent="0.25">
      <c r="H717" s="5"/>
    </row>
    <row r="718" spans="8:8" x14ac:dyDescent="0.25">
      <c r="H718" s="5"/>
    </row>
    <row r="719" spans="8:8" x14ac:dyDescent="0.25">
      <c r="H719" s="5"/>
    </row>
    <row r="720" spans="8:8" x14ac:dyDescent="0.25">
      <c r="H720" s="5"/>
    </row>
    <row r="721" spans="8:8" x14ac:dyDescent="0.25">
      <c r="H721" s="5"/>
    </row>
    <row r="722" spans="8:8" x14ac:dyDescent="0.25">
      <c r="H722" s="5"/>
    </row>
    <row r="723" spans="8:8" x14ac:dyDescent="0.25">
      <c r="H723" s="5"/>
    </row>
    <row r="724" spans="8:8" x14ac:dyDescent="0.25">
      <c r="H724" s="5"/>
    </row>
    <row r="725" spans="8:8" x14ac:dyDescent="0.25">
      <c r="H725" s="5"/>
    </row>
    <row r="726" spans="8:8" x14ac:dyDescent="0.25">
      <c r="H726" s="5"/>
    </row>
    <row r="727" spans="8:8" x14ac:dyDescent="0.25">
      <c r="H727" s="5"/>
    </row>
    <row r="728" spans="8:8" x14ac:dyDescent="0.25">
      <c r="H728" s="5"/>
    </row>
    <row r="729" spans="8:8" x14ac:dyDescent="0.25">
      <c r="H729" s="5"/>
    </row>
    <row r="730" spans="8:8" x14ac:dyDescent="0.25">
      <c r="H730" s="5"/>
    </row>
    <row r="731" spans="8:8" x14ac:dyDescent="0.25">
      <c r="H731" s="5"/>
    </row>
    <row r="732" spans="8:8" x14ac:dyDescent="0.25">
      <c r="H732" s="5"/>
    </row>
    <row r="733" spans="8:8" x14ac:dyDescent="0.25">
      <c r="H733" s="5"/>
    </row>
    <row r="734" spans="8:8" x14ac:dyDescent="0.25">
      <c r="H734" s="5"/>
    </row>
    <row r="735" spans="8:8" x14ac:dyDescent="0.25">
      <c r="H735" s="5"/>
    </row>
    <row r="736" spans="8:8" x14ac:dyDescent="0.25">
      <c r="H736" s="5"/>
    </row>
    <row r="737" spans="8:8" x14ac:dyDescent="0.25">
      <c r="H737" s="5"/>
    </row>
    <row r="738" spans="8:8" x14ac:dyDescent="0.25">
      <c r="H738" s="5"/>
    </row>
    <row r="739" spans="8:8" x14ac:dyDescent="0.25">
      <c r="H739" s="5"/>
    </row>
    <row r="740" spans="8:8" x14ac:dyDescent="0.25">
      <c r="H740" s="5"/>
    </row>
    <row r="741" spans="8:8" x14ac:dyDescent="0.25">
      <c r="H741" s="5"/>
    </row>
    <row r="742" spans="8:8" x14ac:dyDescent="0.25">
      <c r="H742" s="5"/>
    </row>
    <row r="743" spans="8:8" x14ac:dyDescent="0.25">
      <c r="H743" s="5"/>
    </row>
    <row r="744" spans="8:8" x14ac:dyDescent="0.25">
      <c r="H744" s="5"/>
    </row>
    <row r="745" spans="8:8" x14ac:dyDescent="0.25">
      <c r="H745" s="5"/>
    </row>
    <row r="746" spans="8:8" x14ac:dyDescent="0.25">
      <c r="H746" s="5"/>
    </row>
    <row r="747" spans="8:8" x14ac:dyDescent="0.25">
      <c r="H747" s="5"/>
    </row>
    <row r="748" spans="8:8" x14ac:dyDescent="0.25">
      <c r="H748" s="5"/>
    </row>
    <row r="749" spans="8:8" x14ac:dyDescent="0.25">
      <c r="H749" s="5"/>
    </row>
    <row r="750" spans="8:8" x14ac:dyDescent="0.25">
      <c r="H750" s="5"/>
    </row>
    <row r="751" spans="8:8" x14ac:dyDescent="0.25">
      <c r="H751" s="5"/>
    </row>
    <row r="752" spans="8:8" x14ac:dyDescent="0.25">
      <c r="H752" s="5"/>
    </row>
    <row r="753" spans="8:8" x14ac:dyDescent="0.25">
      <c r="H753" s="5"/>
    </row>
    <row r="754" spans="8:8" x14ac:dyDescent="0.25">
      <c r="H754" s="5"/>
    </row>
    <row r="755" spans="8:8" x14ac:dyDescent="0.25">
      <c r="H755" s="5"/>
    </row>
    <row r="756" spans="8:8" x14ac:dyDescent="0.25">
      <c r="H756" s="5"/>
    </row>
    <row r="757" spans="8:8" x14ac:dyDescent="0.25">
      <c r="H757" s="5"/>
    </row>
    <row r="758" spans="8:8" x14ac:dyDescent="0.25">
      <c r="H758" s="5"/>
    </row>
    <row r="759" spans="8:8" x14ac:dyDescent="0.25">
      <c r="H759" s="5"/>
    </row>
    <row r="760" spans="8:8" x14ac:dyDescent="0.25">
      <c r="H760" s="5"/>
    </row>
    <row r="761" spans="8:8" x14ac:dyDescent="0.25">
      <c r="H761" s="5"/>
    </row>
    <row r="762" spans="8:8" x14ac:dyDescent="0.25">
      <c r="H762" s="5"/>
    </row>
    <row r="763" spans="8:8" x14ac:dyDescent="0.25">
      <c r="H763" s="5"/>
    </row>
    <row r="764" spans="8:8" x14ac:dyDescent="0.25">
      <c r="H764" s="5"/>
    </row>
    <row r="765" spans="8:8" x14ac:dyDescent="0.25">
      <c r="H765" s="5"/>
    </row>
    <row r="766" spans="8:8" x14ac:dyDescent="0.25">
      <c r="H766" s="5"/>
    </row>
    <row r="767" spans="8:8" x14ac:dyDescent="0.25">
      <c r="H767" s="5"/>
    </row>
    <row r="768" spans="8:8" x14ac:dyDescent="0.25">
      <c r="H768" s="5"/>
    </row>
    <row r="769" spans="8:8" x14ac:dyDescent="0.25">
      <c r="H769" s="5"/>
    </row>
    <row r="770" spans="8:8" x14ac:dyDescent="0.25">
      <c r="H770" s="5"/>
    </row>
    <row r="771" spans="8:8" x14ac:dyDescent="0.25">
      <c r="H771" s="5"/>
    </row>
    <row r="772" spans="8:8" x14ac:dyDescent="0.25">
      <c r="H772" s="5"/>
    </row>
    <row r="773" spans="8:8" x14ac:dyDescent="0.25">
      <c r="H773" s="5"/>
    </row>
    <row r="774" spans="8:8" x14ac:dyDescent="0.25">
      <c r="H774" s="5"/>
    </row>
    <row r="775" spans="8:8" x14ac:dyDescent="0.25">
      <c r="H775" s="5"/>
    </row>
    <row r="776" spans="8:8" x14ac:dyDescent="0.25">
      <c r="H776" s="5"/>
    </row>
    <row r="777" spans="8:8" x14ac:dyDescent="0.25">
      <c r="H777" s="5"/>
    </row>
    <row r="778" spans="8:8" x14ac:dyDescent="0.25">
      <c r="H778" s="5"/>
    </row>
    <row r="779" spans="8:8" x14ac:dyDescent="0.25">
      <c r="H779" s="5"/>
    </row>
    <row r="780" spans="8:8" x14ac:dyDescent="0.25">
      <c r="H780" s="5"/>
    </row>
    <row r="781" spans="8:8" x14ac:dyDescent="0.25">
      <c r="H781" s="5"/>
    </row>
    <row r="782" spans="8:8" x14ac:dyDescent="0.25">
      <c r="H782" s="5"/>
    </row>
    <row r="783" spans="8:8" x14ac:dyDescent="0.25">
      <c r="H783" s="5"/>
    </row>
    <row r="784" spans="8:8" x14ac:dyDescent="0.25">
      <c r="H784" s="5"/>
    </row>
    <row r="785" spans="8:8" x14ac:dyDescent="0.25">
      <c r="H785" s="5"/>
    </row>
    <row r="786" spans="8:8" x14ac:dyDescent="0.25">
      <c r="H786" s="5"/>
    </row>
    <row r="787" spans="8:8" x14ac:dyDescent="0.25">
      <c r="H787" s="5"/>
    </row>
    <row r="788" spans="8:8" x14ac:dyDescent="0.25">
      <c r="H788" s="5"/>
    </row>
    <row r="789" spans="8:8" x14ac:dyDescent="0.25">
      <c r="H789" s="5"/>
    </row>
    <row r="790" spans="8:8" x14ac:dyDescent="0.25">
      <c r="H790" s="5"/>
    </row>
    <row r="791" spans="8:8" x14ac:dyDescent="0.25">
      <c r="H791" s="5"/>
    </row>
    <row r="792" spans="8:8" x14ac:dyDescent="0.25">
      <c r="H792" s="5"/>
    </row>
    <row r="793" spans="8:8" x14ac:dyDescent="0.25">
      <c r="H793" s="5"/>
    </row>
    <row r="794" spans="8:8" x14ac:dyDescent="0.25">
      <c r="H794" s="5"/>
    </row>
    <row r="795" spans="8:8" x14ac:dyDescent="0.25">
      <c r="H795" s="5"/>
    </row>
    <row r="796" spans="8:8" x14ac:dyDescent="0.25">
      <c r="H796" s="5"/>
    </row>
    <row r="797" spans="8:8" x14ac:dyDescent="0.25">
      <c r="H797" s="5"/>
    </row>
    <row r="798" spans="8:8" x14ac:dyDescent="0.25">
      <c r="H798" s="5"/>
    </row>
    <row r="799" spans="8:8" x14ac:dyDescent="0.25">
      <c r="H799" s="5"/>
    </row>
    <row r="800" spans="8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  <row r="1001" spans="8:8" x14ac:dyDescent="0.25">
      <c r="H1001" s="5"/>
    </row>
    <row r="1002" spans="8:8" x14ac:dyDescent="0.25">
      <c r="H1002" s="5"/>
    </row>
    <row r="1003" spans="8:8" x14ac:dyDescent="0.25">
      <c r="H1003" s="5"/>
    </row>
    <row r="1004" spans="8:8" x14ac:dyDescent="0.25">
      <c r="H1004" s="5"/>
    </row>
    <row r="1005" spans="8:8" x14ac:dyDescent="0.25">
      <c r="H1005" s="5"/>
    </row>
    <row r="1006" spans="8:8" x14ac:dyDescent="0.25">
      <c r="H1006" s="5"/>
    </row>
    <row r="1007" spans="8:8" x14ac:dyDescent="0.25">
      <c r="H1007" s="5"/>
    </row>
    <row r="1008" spans="8:8" x14ac:dyDescent="0.25">
      <c r="H1008" s="5"/>
    </row>
    <row r="1009" spans="8:8" x14ac:dyDescent="0.25">
      <c r="H1009" s="5"/>
    </row>
    <row r="1010" spans="8:8" x14ac:dyDescent="0.25">
      <c r="H1010" s="5"/>
    </row>
    <row r="1011" spans="8:8" x14ac:dyDescent="0.25">
      <c r="H1011" s="5"/>
    </row>
    <row r="1012" spans="8:8" x14ac:dyDescent="0.25">
      <c r="H1012" s="5"/>
    </row>
    <row r="1013" spans="8:8" x14ac:dyDescent="0.25">
      <c r="H1013" s="5"/>
    </row>
    <row r="1014" spans="8:8" x14ac:dyDescent="0.25">
      <c r="H1014" s="5"/>
    </row>
    <row r="1015" spans="8:8" x14ac:dyDescent="0.25">
      <c r="H1015" s="5"/>
    </row>
    <row r="1016" spans="8:8" x14ac:dyDescent="0.25">
      <c r="H1016" s="5"/>
    </row>
    <row r="1017" spans="8:8" x14ac:dyDescent="0.25">
      <c r="H1017" s="5"/>
    </row>
    <row r="1018" spans="8:8" x14ac:dyDescent="0.25">
      <c r="H1018" s="5"/>
    </row>
    <row r="1019" spans="8:8" x14ac:dyDescent="0.25">
      <c r="H1019" s="5"/>
    </row>
    <row r="1020" spans="8:8" x14ac:dyDescent="0.25">
      <c r="H1020" s="5"/>
    </row>
    <row r="1021" spans="8:8" x14ac:dyDescent="0.25">
      <c r="H1021" s="5"/>
    </row>
    <row r="1022" spans="8:8" x14ac:dyDescent="0.25">
      <c r="H1022" s="5"/>
    </row>
    <row r="1023" spans="8:8" x14ac:dyDescent="0.25">
      <c r="H1023" s="5"/>
    </row>
    <row r="1024" spans="8:8" x14ac:dyDescent="0.25">
      <c r="H1024" s="5"/>
    </row>
    <row r="1025" spans="8:8" x14ac:dyDescent="0.25">
      <c r="H1025" s="5"/>
    </row>
    <row r="1026" spans="8:8" x14ac:dyDescent="0.25">
      <c r="H1026" s="5"/>
    </row>
    <row r="1027" spans="8:8" x14ac:dyDescent="0.25">
      <c r="H1027" s="5"/>
    </row>
    <row r="1028" spans="8:8" x14ac:dyDescent="0.25">
      <c r="H1028" s="5"/>
    </row>
    <row r="1029" spans="8:8" x14ac:dyDescent="0.25">
      <c r="H1029" s="5"/>
    </row>
    <row r="1030" spans="8:8" x14ac:dyDescent="0.25">
      <c r="H1030" s="5"/>
    </row>
    <row r="1031" spans="8:8" x14ac:dyDescent="0.25">
      <c r="H1031" s="5"/>
    </row>
    <row r="1032" spans="8:8" x14ac:dyDescent="0.25">
      <c r="H1032" s="5"/>
    </row>
    <row r="1033" spans="8:8" x14ac:dyDescent="0.25">
      <c r="H1033" s="5"/>
    </row>
    <row r="1034" spans="8:8" x14ac:dyDescent="0.25">
      <c r="H1034" s="5"/>
    </row>
    <row r="1035" spans="8:8" x14ac:dyDescent="0.25">
      <c r="H1035" s="5"/>
    </row>
    <row r="1036" spans="8:8" x14ac:dyDescent="0.25">
      <c r="H1036" s="5"/>
    </row>
    <row r="1037" spans="8:8" x14ac:dyDescent="0.25">
      <c r="H1037" s="5"/>
    </row>
    <row r="1038" spans="8:8" x14ac:dyDescent="0.25">
      <c r="H1038" s="5"/>
    </row>
    <row r="1039" spans="8:8" x14ac:dyDescent="0.25">
      <c r="H1039" s="5"/>
    </row>
    <row r="1040" spans="8:8" x14ac:dyDescent="0.25">
      <c r="H1040" s="5"/>
    </row>
    <row r="1041" spans="8:8" x14ac:dyDescent="0.25">
      <c r="H1041" s="5"/>
    </row>
    <row r="1042" spans="8:8" x14ac:dyDescent="0.25">
      <c r="H1042" s="5"/>
    </row>
    <row r="1043" spans="8:8" x14ac:dyDescent="0.25">
      <c r="H1043" s="5"/>
    </row>
    <row r="1044" spans="8:8" x14ac:dyDescent="0.25">
      <c r="H1044" s="5"/>
    </row>
    <row r="1045" spans="8:8" x14ac:dyDescent="0.25">
      <c r="H1045" s="5"/>
    </row>
    <row r="1046" spans="8:8" x14ac:dyDescent="0.25">
      <c r="H1046" s="5"/>
    </row>
    <row r="1047" spans="8:8" x14ac:dyDescent="0.25">
      <c r="H1047" s="5"/>
    </row>
    <row r="1048" spans="8:8" x14ac:dyDescent="0.25">
      <c r="H1048" s="5"/>
    </row>
    <row r="1049" spans="8:8" x14ac:dyDescent="0.25">
      <c r="H1049" s="5"/>
    </row>
    <row r="1050" spans="8:8" x14ac:dyDescent="0.25">
      <c r="H1050" s="5"/>
    </row>
    <row r="1051" spans="8:8" x14ac:dyDescent="0.25">
      <c r="H1051" s="5"/>
    </row>
    <row r="1052" spans="8:8" x14ac:dyDescent="0.25">
      <c r="H1052" s="5"/>
    </row>
    <row r="1053" spans="8:8" x14ac:dyDescent="0.25">
      <c r="H1053" s="5"/>
    </row>
    <row r="1054" spans="8:8" x14ac:dyDescent="0.25">
      <c r="H1054" s="5"/>
    </row>
    <row r="1055" spans="8:8" x14ac:dyDescent="0.25">
      <c r="H1055" s="5"/>
    </row>
    <row r="1056" spans="8:8" x14ac:dyDescent="0.25">
      <c r="H1056" s="5"/>
    </row>
    <row r="1057" spans="8:8" x14ac:dyDescent="0.25">
      <c r="H1057" s="5"/>
    </row>
    <row r="1058" spans="8:8" x14ac:dyDescent="0.25">
      <c r="H1058" s="5"/>
    </row>
    <row r="1059" spans="8:8" x14ac:dyDescent="0.25">
      <c r="H1059" s="5"/>
    </row>
    <row r="1060" spans="8:8" x14ac:dyDescent="0.25">
      <c r="H1060" s="5"/>
    </row>
    <row r="1061" spans="8:8" x14ac:dyDescent="0.25">
      <c r="H1061" s="5"/>
    </row>
    <row r="1062" spans="8:8" x14ac:dyDescent="0.25">
      <c r="H1062" s="5"/>
    </row>
    <row r="1063" spans="8:8" x14ac:dyDescent="0.25">
      <c r="H1063" s="5"/>
    </row>
    <row r="1064" spans="8:8" x14ac:dyDescent="0.25">
      <c r="H1064" s="5"/>
    </row>
    <row r="1065" spans="8:8" x14ac:dyDescent="0.25">
      <c r="H1065" s="5"/>
    </row>
    <row r="1066" spans="8:8" x14ac:dyDescent="0.25">
      <c r="H1066" s="5"/>
    </row>
    <row r="1067" spans="8:8" x14ac:dyDescent="0.25">
      <c r="H1067" s="5"/>
    </row>
    <row r="1068" spans="8:8" x14ac:dyDescent="0.25">
      <c r="H1068" s="5"/>
    </row>
    <row r="1069" spans="8:8" x14ac:dyDescent="0.25">
      <c r="H1069" s="5"/>
    </row>
    <row r="1070" spans="8:8" x14ac:dyDescent="0.25">
      <c r="H1070" s="5"/>
    </row>
    <row r="1071" spans="8:8" x14ac:dyDescent="0.25">
      <c r="H1071" s="5"/>
    </row>
    <row r="1072" spans="8:8" x14ac:dyDescent="0.25">
      <c r="H1072" s="5"/>
    </row>
    <row r="1073" spans="8:8" x14ac:dyDescent="0.25">
      <c r="H1073" s="5"/>
    </row>
    <row r="1074" spans="8:8" x14ac:dyDescent="0.25">
      <c r="H1074" s="5"/>
    </row>
    <row r="1075" spans="8:8" x14ac:dyDescent="0.25">
      <c r="H1075" s="5"/>
    </row>
    <row r="1076" spans="8:8" x14ac:dyDescent="0.25">
      <c r="H1076" s="5"/>
    </row>
    <row r="1077" spans="8:8" x14ac:dyDescent="0.25">
      <c r="H1077" s="5"/>
    </row>
    <row r="1078" spans="8:8" x14ac:dyDescent="0.25">
      <c r="H1078" s="5"/>
    </row>
    <row r="1079" spans="8:8" x14ac:dyDescent="0.25">
      <c r="H1079" s="5"/>
    </row>
    <row r="1080" spans="8:8" x14ac:dyDescent="0.25">
      <c r="H1080" s="5"/>
    </row>
    <row r="1081" spans="8:8" x14ac:dyDescent="0.25">
      <c r="H1081" s="5"/>
    </row>
    <row r="1082" spans="8:8" x14ac:dyDescent="0.25">
      <c r="H1082" s="5"/>
    </row>
    <row r="1083" spans="8:8" x14ac:dyDescent="0.25">
      <c r="H1083" s="5"/>
    </row>
    <row r="1084" spans="8:8" x14ac:dyDescent="0.25">
      <c r="H1084" s="5"/>
    </row>
    <row r="1085" spans="8:8" x14ac:dyDescent="0.25">
      <c r="H1085" s="5"/>
    </row>
    <row r="1086" spans="8:8" x14ac:dyDescent="0.25">
      <c r="H1086" s="5"/>
    </row>
    <row r="1087" spans="8:8" x14ac:dyDescent="0.25">
      <c r="H1087" s="5"/>
    </row>
    <row r="1088" spans="8:8" x14ac:dyDescent="0.25">
      <c r="H1088" s="5"/>
    </row>
    <row r="1089" spans="8:8" x14ac:dyDescent="0.25">
      <c r="H1089" s="5"/>
    </row>
    <row r="1090" spans="8:8" x14ac:dyDescent="0.25">
      <c r="H1090" s="5"/>
    </row>
    <row r="1091" spans="8:8" x14ac:dyDescent="0.25">
      <c r="H1091" s="5"/>
    </row>
    <row r="1092" spans="8:8" x14ac:dyDescent="0.25">
      <c r="H1092" s="5"/>
    </row>
    <row r="1093" spans="8:8" x14ac:dyDescent="0.25">
      <c r="H1093" s="5"/>
    </row>
    <row r="1094" spans="8:8" x14ac:dyDescent="0.25">
      <c r="H1094" s="5"/>
    </row>
    <row r="1095" spans="8:8" x14ac:dyDescent="0.25">
      <c r="H1095" s="5"/>
    </row>
    <row r="1096" spans="8:8" x14ac:dyDescent="0.25">
      <c r="H1096" s="5"/>
    </row>
    <row r="1097" spans="8:8" x14ac:dyDescent="0.25">
      <c r="H1097" s="5"/>
    </row>
    <row r="1098" spans="8:8" x14ac:dyDescent="0.25">
      <c r="H1098" s="5"/>
    </row>
    <row r="1099" spans="8:8" x14ac:dyDescent="0.25">
      <c r="H1099" s="5"/>
    </row>
    <row r="1100" spans="8:8" x14ac:dyDescent="0.25">
      <c r="H1100" s="5"/>
    </row>
    <row r="1101" spans="8:8" x14ac:dyDescent="0.25">
      <c r="H1101" s="5"/>
    </row>
    <row r="1102" spans="8:8" x14ac:dyDescent="0.25">
      <c r="H1102" s="5"/>
    </row>
    <row r="1103" spans="8:8" x14ac:dyDescent="0.25">
      <c r="H1103" s="5"/>
    </row>
    <row r="1104" spans="8:8" x14ac:dyDescent="0.25">
      <c r="H1104" s="5"/>
    </row>
    <row r="1105" spans="8:8" x14ac:dyDescent="0.25">
      <c r="H1105" s="5"/>
    </row>
    <row r="1106" spans="8:8" x14ac:dyDescent="0.25">
      <c r="H1106" s="5"/>
    </row>
    <row r="1107" spans="8:8" x14ac:dyDescent="0.25">
      <c r="H1107" s="5"/>
    </row>
    <row r="1108" spans="8:8" x14ac:dyDescent="0.25">
      <c r="H1108" s="5"/>
    </row>
    <row r="1109" spans="8:8" x14ac:dyDescent="0.25">
      <c r="H1109" s="5"/>
    </row>
    <row r="1110" spans="8:8" x14ac:dyDescent="0.25">
      <c r="H1110" s="5"/>
    </row>
    <row r="1111" spans="8:8" x14ac:dyDescent="0.25">
      <c r="H1111" s="5"/>
    </row>
    <row r="1112" spans="8:8" x14ac:dyDescent="0.25">
      <c r="H1112" s="5"/>
    </row>
    <row r="1113" spans="8:8" x14ac:dyDescent="0.25">
      <c r="H1113" s="5"/>
    </row>
    <row r="1114" spans="8:8" x14ac:dyDescent="0.25">
      <c r="H1114" s="5"/>
    </row>
    <row r="1115" spans="8:8" x14ac:dyDescent="0.25">
      <c r="H1115" s="5"/>
    </row>
    <row r="1116" spans="8:8" x14ac:dyDescent="0.25">
      <c r="H1116" s="5"/>
    </row>
    <row r="1117" spans="8:8" x14ac:dyDescent="0.25">
      <c r="H1117" s="5"/>
    </row>
    <row r="1118" spans="8:8" x14ac:dyDescent="0.25">
      <c r="H1118" s="5"/>
    </row>
    <row r="1119" spans="8:8" x14ac:dyDescent="0.25">
      <c r="H1119" s="5"/>
    </row>
    <row r="1120" spans="8:8" x14ac:dyDescent="0.25">
      <c r="H1120" s="5"/>
    </row>
    <row r="1121" spans="8:8" x14ac:dyDescent="0.25">
      <c r="H1121" s="5"/>
    </row>
    <row r="1122" spans="8:8" x14ac:dyDescent="0.25">
      <c r="H1122" s="5"/>
    </row>
    <row r="1123" spans="8:8" x14ac:dyDescent="0.25">
      <c r="H1123" s="5"/>
    </row>
    <row r="1124" spans="8:8" x14ac:dyDescent="0.25">
      <c r="H1124" s="5"/>
    </row>
    <row r="1125" spans="8:8" x14ac:dyDescent="0.25">
      <c r="H1125" s="5"/>
    </row>
    <row r="1126" spans="8:8" x14ac:dyDescent="0.25">
      <c r="H1126" s="5"/>
    </row>
    <row r="1127" spans="8:8" x14ac:dyDescent="0.25">
      <c r="H1127" s="5"/>
    </row>
    <row r="1128" spans="8:8" x14ac:dyDescent="0.25">
      <c r="H1128" s="5"/>
    </row>
    <row r="1129" spans="8:8" x14ac:dyDescent="0.25">
      <c r="H1129" s="5"/>
    </row>
    <row r="1130" spans="8:8" x14ac:dyDescent="0.25">
      <c r="H1130" s="5"/>
    </row>
    <row r="1131" spans="8:8" x14ac:dyDescent="0.25">
      <c r="H1131" s="5"/>
    </row>
    <row r="1132" spans="8:8" x14ac:dyDescent="0.25">
      <c r="H1132" s="5"/>
    </row>
    <row r="1133" spans="8:8" x14ac:dyDescent="0.25">
      <c r="H1133" s="5"/>
    </row>
    <row r="1134" spans="8:8" x14ac:dyDescent="0.25">
      <c r="H1134" s="5"/>
    </row>
    <row r="1135" spans="8:8" x14ac:dyDescent="0.25">
      <c r="H1135" s="5"/>
    </row>
    <row r="1136" spans="8:8" x14ac:dyDescent="0.25">
      <c r="H1136" s="5"/>
    </row>
    <row r="1137" spans="8:8" x14ac:dyDescent="0.25">
      <c r="H1137" s="5"/>
    </row>
    <row r="1138" spans="8:8" x14ac:dyDescent="0.25">
      <c r="H1138" s="5"/>
    </row>
    <row r="1139" spans="8:8" x14ac:dyDescent="0.25">
      <c r="H1139" s="5"/>
    </row>
    <row r="1140" spans="8:8" x14ac:dyDescent="0.25">
      <c r="H1140" s="5"/>
    </row>
    <row r="1141" spans="8:8" x14ac:dyDescent="0.25">
      <c r="H1141" s="5"/>
    </row>
    <row r="1142" spans="8:8" x14ac:dyDescent="0.25">
      <c r="H1142" s="5"/>
    </row>
    <row r="1143" spans="8:8" x14ac:dyDescent="0.25">
      <c r="H1143" s="5"/>
    </row>
    <row r="1144" spans="8:8" x14ac:dyDescent="0.25">
      <c r="H1144" s="5"/>
    </row>
    <row r="1145" spans="8:8" x14ac:dyDescent="0.25">
      <c r="H1145" s="5"/>
    </row>
    <row r="1146" spans="8:8" x14ac:dyDescent="0.25">
      <c r="H1146" s="5"/>
    </row>
    <row r="1147" spans="8:8" x14ac:dyDescent="0.25">
      <c r="H1147" s="5"/>
    </row>
    <row r="1148" spans="8:8" x14ac:dyDescent="0.25">
      <c r="H1148" s="5"/>
    </row>
    <row r="1149" spans="8:8" x14ac:dyDescent="0.25">
      <c r="H1149" s="5"/>
    </row>
    <row r="1150" spans="8:8" x14ac:dyDescent="0.25">
      <c r="H1150" s="5"/>
    </row>
    <row r="1151" spans="8:8" x14ac:dyDescent="0.25">
      <c r="H1151" s="5"/>
    </row>
    <row r="1152" spans="8:8" x14ac:dyDescent="0.25">
      <c r="H1152" s="5"/>
    </row>
    <row r="1153" spans="8:8" x14ac:dyDescent="0.25">
      <c r="H1153" s="5"/>
    </row>
    <row r="1154" spans="8:8" x14ac:dyDescent="0.25">
      <c r="H1154" s="5"/>
    </row>
    <row r="1155" spans="8:8" x14ac:dyDescent="0.25">
      <c r="H1155" s="5"/>
    </row>
    <row r="1156" spans="8:8" x14ac:dyDescent="0.25">
      <c r="H1156" s="5"/>
    </row>
    <row r="1157" spans="8:8" x14ac:dyDescent="0.25">
      <c r="H1157" s="5"/>
    </row>
    <row r="1158" spans="8:8" x14ac:dyDescent="0.25">
      <c r="H1158" s="5"/>
    </row>
    <row r="1159" spans="8:8" x14ac:dyDescent="0.25">
      <c r="H1159" s="5"/>
    </row>
    <row r="1160" spans="8:8" x14ac:dyDescent="0.25">
      <c r="H1160" s="5"/>
    </row>
    <row r="1161" spans="8:8" x14ac:dyDescent="0.25">
      <c r="H1161" s="5"/>
    </row>
    <row r="1162" spans="8:8" x14ac:dyDescent="0.25">
      <c r="H1162" s="5"/>
    </row>
    <row r="1163" spans="8:8" x14ac:dyDescent="0.25">
      <c r="H1163" s="5"/>
    </row>
    <row r="1164" spans="8:8" x14ac:dyDescent="0.25">
      <c r="H1164" s="5"/>
    </row>
    <row r="1165" spans="8:8" x14ac:dyDescent="0.25">
      <c r="H1165" s="5"/>
    </row>
    <row r="1166" spans="8:8" x14ac:dyDescent="0.25">
      <c r="H1166" s="5"/>
    </row>
    <row r="1167" spans="8:8" x14ac:dyDescent="0.25">
      <c r="H1167" s="5"/>
    </row>
    <row r="1168" spans="8:8" x14ac:dyDescent="0.25">
      <c r="H1168" s="5"/>
    </row>
    <row r="1169" spans="8:8" x14ac:dyDescent="0.25">
      <c r="H1169" s="5"/>
    </row>
    <row r="1170" spans="8:8" x14ac:dyDescent="0.25">
      <c r="H1170" s="5"/>
    </row>
    <row r="1171" spans="8:8" x14ac:dyDescent="0.25">
      <c r="H1171" s="5"/>
    </row>
    <row r="1172" spans="8:8" x14ac:dyDescent="0.25">
      <c r="H1172" s="5"/>
    </row>
    <row r="1173" spans="8:8" x14ac:dyDescent="0.25">
      <c r="H1173" s="5"/>
    </row>
    <row r="1174" spans="8:8" x14ac:dyDescent="0.25">
      <c r="H1174" s="5"/>
    </row>
    <row r="1175" spans="8:8" x14ac:dyDescent="0.25">
      <c r="H1175" s="5"/>
    </row>
    <row r="1176" spans="8:8" x14ac:dyDescent="0.25">
      <c r="H1176" s="5"/>
    </row>
    <row r="1177" spans="8:8" x14ac:dyDescent="0.25">
      <c r="H1177" s="5"/>
    </row>
    <row r="1178" spans="8:8" x14ac:dyDescent="0.25">
      <c r="H1178" s="5"/>
    </row>
    <row r="1179" spans="8:8" x14ac:dyDescent="0.25">
      <c r="H1179" s="5"/>
    </row>
    <row r="1180" spans="8:8" x14ac:dyDescent="0.25">
      <c r="H1180" s="5"/>
    </row>
    <row r="1181" spans="8:8" x14ac:dyDescent="0.25">
      <c r="H1181" s="5"/>
    </row>
    <row r="1182" spans="8:8" x14ac:dyDescent="0.25">
      <c r="H1182" s="5"/>
    </row>
    <row r="1183" spans="8:8" x14ac:dyDescent="0.25">
      <c r="H1183" s="5"/>
    </row>
    <row r="1184" spans="8:8" x14ac:dyDescent="0.25">
      <c r="H1184" s="5"/>
    </row>
    <row r="1185" spans="8:8" x14ac:dyDescent="0.25">
      <c r="H1185" s="5"/>
    </row>
    <row r="1186" spans="8:8" x14ac:dyDescent="0.25">
      <c r="H1186" s="5"/>
    </row>
    <row r="1187" spans="8:8" x14ac:dyDescent="0.25">
      <c r="H1187" s="5"/>
    </row>
    <row r="1188" spans="8:8" x14ac:dyDescent="0.25">
      <c r="H1188" s="5"/>
    </row>
    <row r="1189" spans="8:8" x14ac:dyDescent="0.25">
      <c r="H1189" s="5"/>
    </row>
    <row r="1190" spans="8:8" x14ac:dyDescent="0.25">
      <c r="H1190" s="5"/>
    </row>
    <row r="1191" spans="8:8" x14ac:dyDescent="0.25">
      <c r="H1191" s="5"/>
    </row>
    <row r="1192" spans="8:8" x14ac:dyDescent="0.25">
      <c r="H1192" s="5"/>
    </row>
    <row r="1193" spans="8:8" x14ac:dyDescent="0.25">
      <c r="H1193" s="5"/>
    </row>
    <row r="1194" spans="8:8" x14ac:dyDescent="0.25">
      <c r="H1194" s="5"/>
    </row>
    <row r="1195" spans="8:8" x14ac:dyDescent="0.25">
      <c r="H1195" s="5"/>
    </row>
    <row r="1196" spans="8:8" x14ac:dyDescent="0.25">
      <c r="H1196" s="5"/>
    </row>
    <row r="1197" spans="8:8" x14ac:dyDescent="0.25">
      <c r="H1197" s="5"/>
    </row>
    <row r="1198" spans="8:8" x14ac:dyDescent="0.25">
      <c r="H1198" s="5"/>
    </row>
    <row r="1199" spans="8:8" x14ac:dyDescent="0.25">
      <c r="H1199" s="5"/>
    </row>
    <row r="1200" spans="8:8" x14ac:dyDescent="0.25">
      <c r="H1200" s="5"/>
    </row>
    <row r="1201" spans="8:8" x14ac:dyDescent="0.25">
      <c r="H1201" s="5"/>
    </row>
    <row r="1202" spans="8:8" x14ac:dyDescent="0.25">
      <c r="H1202" s="5"/>
    </row>
    <row r="1203" spans="8:8" x14ac:dyDescent="0.25">
      <c r="H1203" s="5"/>
    </row>
    <row r="1204" spans="8:8" x14ac:dyDescent="0.25">
      <c r="H1204" s="5"/>
    </row>
    <row r="1205" spans="8:8" x14ac:dyDescent="0.25">
      <c r="H1205" s="5"/>
    </row>
    <row r="1206" spans="8:8" x14ac:dyDescent="0.25">
      <c r="H1206" s="5"/>
    </row>
    <row r="1207" spans="8:8" x14ac:dyDescent="0.25">
      <c r="H1207" s="5"/>
    </row>
    <row r="1208" spans="8:8" x14ac:dyDescent="0.25">
      <c r="H1208" s="5"/>
    </row>
    <row r="1209" spans="8:8" x14ac:dyDescent="0.25">
      <c r="H1209" s="5"/>
    </row>
    <row r="1210" spans="8:8" x14ac:dyDescent="0.25">
      <c r="H1210" s="5"/>
    </row>
    <row r="1211" spans="8:8" x14ac:dyDescent="0.25">
      <c r="H1211" s="5"/>
    </row>
    <row r="1212" spans="8:8" x14ac:dyDescent="0.25">
      <c r="H1212" s="5"/>
    </row>
    <row r="1213" spans="8:8" x14ac:dyDescent="0.25">
      <c r="H1213" s="5"/>
    </row>
    <row r="1214" spans="8:8" x14ac:dyDescent="0.25">
      <c r="H1214" s="5"/>
    </row>
    <row r="1215" spans="8:8" x14ac:dyDescent="0.25">
      <c r="H1215" s="5"/>
    </row>
    <row r="1216" spans="8:8" x14ac:dyDescent="0.25">
      <c r="H1216" s="5"/>
    </row>
    <row r="1217" spans="8:8" x14ac:dyDescent="0.25">
      <c r="H1217" s="5"/>
    </row>
    <row r="1218" spans="8:8" x14ac:dyDescent="0.25">
      <c r="H1218" s="5"/>
    </row>
    <row r="1219" spans="8:8" x14ac:dyDescent="0.25">
      <c r="H1219" s="5"/>
    </row>
    <row r="1220" spans="8:8" x14ac:dyDescent="0.25">
      <c r="H1220" s="5"/>
    </row>
    <row r="1221" spans="8:8" x14ac:dyDescent="0.25">
      <c r="H1221" s="5"/>
    </row>
    <row r="1222" spans="8:8" x14ac:dyDescent="0.25">
      <c r="H1222" s="5"/>
    </row>
    <row r="1223" spans="8:8" x14ac:dyDescent="0.25">
      <c r="H1223" s="5"/>
    </row>
    <row r="1224" spans="8:8" x14ac:dyDescent="0.25">
      <c r="H1224" s="5"/>
    </row>
    <row r="1225" spans="8:8" x14ac:dyDescent="0.25">
      <c r="H1225" s="5"/>
    </row>
    <row r="1226" spans="8:8" x14ac:dyDescent="0.25">
      <c r="H1226" s="5"/>
    </row>
    <row r="1227" spans="8:8" x14ac:dyDescent="0.25">
      <c r="H1227" s="5"/>
    </row>
    <row r="1228" spans="8:8" x14ac:dyDescent="0.25">
      <c r="H1228" s="5"/>
    </row>
    <row r="1229" spans="8:8" x14ac:dyDescent="0.25">
      <c r="H1229" s="5"/>
    </row>
    <row r="1230" spans="8:8" x14ac:dyDescent="0.25">
      <c r="H1230" s="5"/>
    </row>
    <row r="1231" spans="8:8" x14ac:dyDescent="0.25">
      <c r="H1231" s="5"/>
    </row>
    <row r="1232" spans="8:8" x14ac:dyDescent="0.25">
      <c r="H1232" s="5"/>
    </row>
    <row r="1233" spans="8:8" x14ac:dyDescent="0.25">
      <c r="H1233" s="5"/>
    </row>
    <row r="1234" spans="8:8" x14ac:dyDescent="0.25">
      <c r="H1234" s="5"/>
    </row>
    <row r="1235" spans="8:8" x14ac:dyDescent="0.25">
      <c r="H1235" s="5"/>
    </row>
    <row r="1236" spans="8:8" x14ac:dyDescent="0.25">
      <c r="H1236" s="5"/>
    </row>
    <row r="1237" spans="8:8" x14ac:dyDescent="0.25">
      <c r="H1237" s="5"/>
    </row>
    <row r="1238" spans="8:8" x14ac:dyDescent="0.25">
      <c r="H1238" s="5"/>
    </row>
    <row r="1239" spans="8:8" x14ac:dyDescent="0.25">
      <c r="H1239" s="5"/>
    </row>
    <row r="1240" spans="8:8" x14ac:dyDescent="0.25">
      <c r="H1240" s="5"/>
    </row>
    <row r="1241" spans="8:8" x14ac:dyDescent="0.25">
      <c r="H1241" s="5"/>
    </row>
    <row r="1242" spans="8:8" x14ac:dyDescent="0.25">
      <c r="H1242" s="5"/>
    </row>
    <row r="1243" spans="8:8" x14ac:dyDescent="0.25">
      <c r="H1243" s="5"/>
    </row>
    <row r="1244" spans="8:8" x14ac:dyDescent="0.25">
      <c r="H1244" s="5"/>
    </row>
    <row r="1245" spans="8:8" x14ac:dyDescent="0.25">
      <c r="H1245" s="5"/>
    </row>
    <row r="1246" spans="8:8" x14ac:dyDescent="0.25">
      <c r="H1246" s="5"/>
    </row>
    <row r="1247" spans="8:8" x14ac:dyDescent="0.25">
      <c r="H1247" s="5"/>
    </row>
    <row r="1248" spans="8:8" x14ac:dyDescent="0.25">
      <c r="H1248" s="5"/>
    </row>
    <row r="1249" spans="8:8" x14ac:dyDescent="0.25">
      <c r="H1249" s="5"/>
    </row>
    <row r="1250" spans="8:8" x14ac:dyDescent="0.25">
      <c r="H1250" s="5"/>
    </row>
    <row r="1251" spans="8:8" x14ac:dyDescent="0.25">
      <c r="H1251" s="5"/>
    </row>
    <row r="1252" spans="8:8" x14ac:dyDescent="0.25">
      <c r="H1252" s="5"/>
    </row>
    <row r="1253" spans="8:8" x14ac:dyDescent="0.25">
      <c r="H1253" s="5"/>
    </row>
    <row r="1254" spans="8:8" x14ac:dyDescent="0.25">
      <c r="H1254" s="5"/>
    </row>
    <row r="1255" spans="8:8" x14ac:dyDescent="0.25">
      <c r="H1255" s="5"/>
    </row>
    <row r="1256" spans="8:8" x14ac:dyDescent="0.25">
      <c r="H1256" s="5"/>
    </row>
    <row r="1257" spans="8:8" x14ac:dyDescent="0.25">
      <c r="H1257" s="5"/>
    </row>
    <row r="1258" spans="8:8" x14ac:dyDescent="0.25">
      <c r="H1258" s="5"/>
    </row>
    <row r="1259" spans="8:8" x14ac:dyDescent="0.25">
      <c r="H1259" s="5"/>
    </row>
    <row r="1260" spans="8:8" x14ac:dyDescent="0.25">
      <c r="H1260" s="5"/>
    </row>
    <row r="1261" spans="8:8" x14ac:dyDescent="0.25">
      <c r="H1261" s="5"/>
    </row>
    <row r="1262" spans="8:8" x14ac:dyDescent="0.25">
      <c r="H1262" s="5"/>
    </row>
    <row r="1263" spans="8:8" x14ac:dyDescent="0.25">
      <c r="H1263" s="5"/>
    </row>
    <row r="1264" spans="8:8" x14ac:dyDescent="0.25">
      <c r="H1264" s="5"/>
    </row>
    <row r="1265" spans="8:8" x14ac:dyDescent="0.25">
      <c r="H1265" s="5"/>
    </row>
    <row r="1266" spans="8:8" x14ac:dyDescent="0.25">
      <c r="H1266" s="5"/>
    </row>
    <row r="1267" spans="8:8" x14ac:dyDescent="0.25">
      <c r="H1267" s="5"/>
    </row>
    <row r="1268" spans="8:8" x14ac:dyDescent="0.25">
      <c r="H1268" s="5"/>
    </row>
    <row r="1269" spans="8:8" x14ac:dyDescent="0.25">
      <c r="H1269" s="5"/>
    </row>
    <row r="1270" spans="8:8" x14ac:dyDescent="0.25">
      <c r="H1270" s="5"/>
    </row>
    <row r="1271" spans="8:8" x14ac:dyDescent="0.25">
      <c r="H1271" s="5"/>
    </row>
    <row r="1272" spans="8:8" x14ac:dyDescent="0.25">
      <c r="H1272" s="5"/>
    </row>
    <row r="1273" spans="8:8" x14ac:dyDescent="0.25">
      <c r="H1273" s="5"/>
    </row>
    <row r="1274" spans="8:8" x14ac:dyDescent="0.25">
      <c r="H1274" s="5"/>
    </row>
    <row r="1275" spans="8:8" x14ac:dyDescent="0.25">
      <c r="H1275" s="5"/>
    </row>
    <row r="1276" spans="8:8" x14ac:dyDescent="0.25">
      <c r="H1276" s="5"/>
    </row>
    <row r="1277" spans="8:8" x14ac:dyDescent="0.25">
      <c r="H1277" s="5"/>
    </row>
    <row r="1278" spans="8:8" x14ac:dyDescent="0.25">
      <c r="H1278" s="5"/>
    </row>
    <row r="1279" spans="8:8" x14ac:dyDescent="0.25">
      <c r="H1279" s="5"/>
    </row>
    <row r="1280" spans="8:8" x14ac:dyDescent="0.25">
      <c r="H1280" s="5"/>
    </row>
    <row r="1281" spans="8:8" x14ac:dyDescent="0.25">
      <c r="H1281" s="5"/>
    </row>
    <row r="1282" spans="8:8" x14ac:dyDescent="0.25">
      <c r="H1282" s="5"/>
    </row>
    <row r="1283" spans="8:8" x14ac:dyDescent="0.25">
      <c r="H1283" s="5"/>
    </row>
    <row r="1284" spans="8:8" x14ac:dyDescent="0.25">
      <c r="H1284" s="5"/>
    </row>
    <row r="1285" spans="8:8" x14ac:dyDescent="0.25">
      <c r="H1285" s="5"/>
    </row>
    <row r="1286" spans="8:8" x14ac:dyDescent="0.25">
      <c r="H1286" s="5"/>
    </row>
    <row r="1287" spans="8:8" x14ac:dyDescent="0.25">
      <c r="H1287" s="5"/>
    </row>
    <row r="1288" spans="8:8" x14ac:dyDescent="0.25">
      <c r="H1288" s="5"/>
    </row>
    <row r="1289" spans="8:8" x14ac:dyDescent="0.25">
      <c r="H1289" s="5"/>
    </row>
    <row r="1290" spans="8:8" x14ac:dyDescent="0.25">
      <c r="H1290" s="5"/>
    </row>
    <row r="1291" spans="8:8" x14ac:dyDescent="0.25">
      <c r="H1291" s="5"/>
    </row>
    <row r="1292" spans="8:8" x14ac:dyDescent="0.25">
      <c r="H1292" s="5"/>
    </row>
    <row r="1293" spans="8:8" x14ac:dyDescent="0.25">
      <c r="H1293" s="5"/>
    </row>
    <row r="1294" spans="8:8" x14ac:dyDescent="0.25">
      <c r="H1294" s="5"/>
    </row>
    <row r="1295" spans="8:8" x14ac:dyDescent="0.25">
      <c r="H1295" s="5"/>
    </row>
    <row r="1296" spans="8:8" x14ac:dyDescent="0.25">
      <c r="H1296" s="5"/>
    </row>
    <row r="1297" spans="8:8" x14ac:dyDescent="0.25">
      <c r="H1297" s="5"/>
    </row>
    <row r="1298" spans="8:8" x14ac:dyDescent="0.25">
      <c r="H1298" s="5"/>
    </row>
    <row r="1299" spans="8:8" x14ac:dyDescent="0.25">
      <c r="H1299" s="5"/>
    </row>
    <row r="1300" spans="8:8" x14ac:dyDescent="0.25">
      <c r="H1300" s="5"/>
    </row>
    <row r="1301" spans="8:8" x14ac:dyDescent="0.25">
      <c r="H1301" s="5"/>
    </row>
    <row r="1302" spans="8:8" x14ac:dyDescent="0.25">
      <c r="H1302" s="5"/>
    </row>
    <row r="1303" spans="8:8" x14ac:dyDescent="0.25">
      <c r="H1303" s="5"/>
    </row>
    <row r="1304" spans="8:8" x14ac:dyDescent="0.25">
      <c r="H1304" s="5"/>
    </row>
    <row r="1305" spans="8:8" x14ac:dyDescent="0.25">
      <c r="H1305" s="5"/>
    </row>
    <row r="1306" spans="8:8" x14ac:dyDescent="0.25">
      <c r="H1306" s="5"/>
    </row>
    <row r="1307" spans="8:8" x14ac:dyDescent="0.25">
      <c r="H1307" s="5"/>
    </row>
    <row r="1308" spans="8:8" x14ac:dyDescent="0.25">
      <c r="H1308" s="5"/>
    </row>
    <row r="1309" spans="8:8" x14ac:dyDescent="0.25">
      <c r="H1309" s="5"/>
    </row>
    <row r="1310" spans="8:8" x14ac:dyDescent="0.25">
      <c r="H1310" s="5"/>
    </row>
    <row r="1311" spans="8:8" x14ac:dyDescent="0.25">
      <c r="H1311" s="5"/>
    </row>
    <row r="1312" spans="8:8" x14ac:dyDescent="0.25">
      <c r="H1312" s="5"/>
    </row>
    <row r="1313" spans="8:8" x14ac:dyDescent="0.25">
      <c r="H1313" s="5"/>
    </row>
    <row r="1314" spans="8:8" x14ac:dyDescent="0.25">
      <c r="H1314" s="5"/>
    </row>
    <row r="1315" spans="8:8" x14ac:dyDescent="0.25">
      <c r="H1315" s="5"/>
    </row>
    <row r="1316" spans="8:8" x14ac:dyDescent="0.25">
      <c r="H1316" s="5"/>
    </row>
    <row r="1317" spans="8:8" x14ac:dyDescent="0.25">
      <c r="H1317" s="5"/>
    </row>
    <row r="1318" spans="8:8" x14ac:dyDescent="0.25">
      <c r="H1318" s="5"/>
    </row>
    <row r="1319" spans="8:8" x14ac:dyDescent="0.25">
      <c r="H1319" s="5"/>
    </row>
    <row r="1320" spans="8:8" x14ac:dyDescent="0.25">
      <c r="H1320" s="5"/>
    </row>
    <row r="1321" spans="8:8" x14ac:dyDescent="0.25">
      <c r="H1321" s="5"/>
    </row>
    <row r="1322" spans="8:8" x14ac:dyDescent="0.25">
      <c r="H1322" s="5"/>
    </row>
    <row r="1323" spans="8:8" x14ac:dyDescent="0.25">
      <c r="H1323" s="5"/>
    </row>
    <row r="1324" spans="8:8" x14ac:dyDescent="0.25">
      <c r="H1324" s="5"/>
    </row>
    <row r="1325" spans="8:8" x14ac:dyDescent="0.25">
      <c r="H1325" s="5"/>
    </row>
    <row r="1326" spans="8:8" x14ac:dyDescent="0.25">
      <c r="H1326" s="5"/>
    </row>
    <row r="1327" spans="8:8" x14ac:dyDescent="0.25">
      <c r="H1327" s="5"/>
    </row>
    <row r="1328" spans="8:8" x14ac:dyDescent="0.25">
      <c r="H1328" s="5"/>
    </row>
    <row r="1329" spans="8:8" x14ac:dyDescent="0.25">
      <c r="H1329" s="5"/>
    </row>
    <row r="1330" spans="8:8" x14ac:dyDescent="0.25">
      <c r="H1330" s="5"/>
    </row>
    <row r="1331" spans="8:8" x14ac:dyDescent="0.25">
      <c r="H1331" s="5"/>
    </row>
    <row r="1332" spans="8:8" x14ac:dyDescent="0.25">
      <c r="H1332" s="5"/>
    </row>
    <row r="1333" spans="8:8" x14ac:dyDescent="0.25">
      <c r="H1333" s="5"/>
    </row>
    <row r="1334" spans="8:8" x14ac:dyDescent="0.25">
      <c r="H1334" s="5"/>
    </row>
    <row r="1335" spans="8:8" x14ac:dyDescent="0.25">
      <c r="H1335" s="5"/>
    </row>
    <row r="1336" spans="8:8" x14ac:dyDescent="0.25">
      <c r="H1336" s="5"/>
    </row>
    <row r="1337" spans="8:8" x14ac:dyDescent="0.25">
      <c r="H1337" s="5"/>
    </row>
    <row r="1338" spans="8:8" x14ac:dyDescent="0.25">
      <c r="H1338" s="5"/>
    </row>
    <row r="1339" spans="8:8" x14ac:dyDescent="0.25">
      <c r="H1339" s="5"/>
    </row>
    <row r="1340" spans="8:8" x14ac:dyDescent="0.25">
      <c r="H1340" s="5"/>
    </row>
    <row r="1341" spans="8:8" x14ac:dyDescent="0.25">
      <c r="H1341" s="5"/>
    </row>
    <row r="1342" spans="8:8" x14ac:dyDescent="0.25">
      <c r="H1342" s="5"/>
    </row>
    <row r="1343" spans="8:8" x14ac:dyDescent="0.25">
      <c r="H1343" s="5"/>
    </row>
    <row r="1344" spans="8:8" x14ac:dyDescent="0.25">
      <c r="H1344" s="5"/>
    </row>
    <row r="1345" spans="8:8" x14ac:dyDescent="0.25">
      <c r="H1345" s="5"/>
    </row>
    <row r="1346" spans="8:8" x14ac:dyDescent="0.25">
      <c r="H1346" s="5"/>
    </row>
    <row r="1347" spans="8:8" x14ac:dyDescent="0.25">
      <c r="H1347" s="5"/>
    </row>
    <row r="1348" spans="8:8" x14ac:dyDescent="0.25">
      <c r="H1348" s="5"/>
    </row>
    <row r="1349" spans="8:8" x14ac:dyDescent="0.25">
      <c r="H1349" s="5"/>
    </row>
    <row r="1350" spans="8:8" x14ac:dyDescent="0.25">
      <c r="H1350" s="5"/>
    </row>
    <row r="1351" spans="8:8" x14ac:dyDescent="0.25">
      <c r="H1351" s="5"/>
    </row>
    <row r="1352" spans="8:8" x14ac:dyDescent="0.25">
      <c r="H1352" s="5"/>
    </row>
    <row r="1353" spans="8:8" x14ac:dyDescent="0.25">
      <c r="H1353" s="5"/>
    </row>
    <row r="1354" spans="8:8" x14ac:dyDescent="0.25">
      <c r="H1354" s="5"/>
    </row>
    <row r="1355" spans="8:8" x14ac:dyDescent="0.25">
      <c r="H1355" s="5"/>
    </row>
    <row r="1356" spans="8:8" x14ac:dyDescent="0.25">
      <c r="H1356" s="5"/>
    </row>
    <row r="1357" spans="8:8" x14ac:dyDescent="0.25">
      <c r="H1357" s="5"/>
    </row>
    <row r="1358" spans="8:8" x14ac:dyDescent="0.25">
      <c r="H1358" s="5"/>
    </row>
    <row r="1359" spans="8:8" x14ac:dyDescent="0.25">
      <c r="H1359" s="5"/>
    </row>
    <row r="1360" spans="8:8" x14ac:dyDescent="0.25">
      <c r="H1360" s="5"/>
    </row>
    <row r="1361" spans="8:8" x14ac:dyDescent="0.25">
      <c r="H1361" s="5"/>
    </row>
    <row r="1362" spans="8:8" x14ac:dyDescent="0.25">
      <c r="H1362" s="5"/>
    </row>
    <row r="1363" spans="8:8" x14ac:dyDescent="0.25">
      <c r="H1363" s="5"/>
    </row>
    <row r="1364" spans="8:8" x14ac:dyDescent="0.25">
      <c r="H1364" s="5"/>
    </row>
    <row r="1365" spans="8:8" x14ac:dyDescent="0.25">
      <c r="H1365" s="5"/>
    </row>
    <row r="1366" spans="8:8" x14ac:dyDescent="0.25">
      <c r="H1366" s="5"/>
    </row>
    <row r="1367" spans="8:8" x14ac:dyDescent="0.25">
      <c r="H1367" s="5"/>
    </row>
    <row r="1368" spans="8:8" x14ac:dyDescent="0.25">
      <c r="H1368" s="5"/>
    </row>
    <row r="1369" spans="8:8" x14ac:dyDescent="0.25">
      <c r="H1369" s="5"/>
    </row>
    <row r="1370" spans="8:8" x14ac:dyDescent="0.25">
      <c r="H1370" s="5"/>
    </row>
    <row r="1371" spans="8:8" x14ac:dyDescent="0.25">
      <c r="H1371" s="5"/>
    </row>
    <row r="1372" spans="8:8" x14ac:dyDescent="0.25">
      <c r="H1372" s="5"/>
    </row>
    <row r="1373" spans="8:8" x14ac:dyDescent="0.25">
      <c r="H1373" s="5"/>
    </row>
    <row r="1374" spans="8:8" x14ac:dyDescent="0.25">
      <c r="H1374" s="5"/>
    </row>
    <row r="1375" spans="8:8" x14ac:dyDescent="0.25">
      <c r="H1375" s="5"/>
    </row>
    <row r="1376" spans="8:8" x14ac:dyDescent="0.25">
      <c r="H1376" s="5"/>
    </row>
    <row r="1377" spans="8:8" x14ac:dyDescent="0.25">
      <c r="H1377" s="5"/>
    </row>
    <row r="1378" spans="8:8" x14ac:dyDescent="0.25">
      <c r="H1378" s="5"/>
    </row>
    <row r="1379" spans="8:8" x14ac:dyDescent="0.25">
      <c r="H1379" s="5"/>
    </row>
    <row r="1380" spans="8:8" x14ac:dyDescent="0.25">
      <c r="H1380" s="5"/>
    </row>
    <row r="1381" spans="8:8" x14ac:dyDescent="0.25">
      <c r="H1381" s="5"/>
    </row>
    <row r="1382" spans="8:8" x14ac:dyDescent="0.25">
      <c r="H1382" s="5"/>
    </row>
    <row r="1383" spans="8:8" x14ac:dyDescent="0.25">
      <c r="H1383" s="5"/>
    </row>
    <row r="1384" spans="8:8" x14ac:dyDescent="0.25">
      <c r="H1384" s="5"/>
    </row>
    <row r="1385" spans="8:8" x14ac:dyDescent="0.25">
      <c r="H1385" s="5"/>
    </row>
    <row r="1386" spans="8:8" x14ac:dyDescent="0.25">
      <c r="H1386" s="5"/>
    </row>
    <row r="1387" spans="8:8" x14ac:dyDescent="0.25">
      <c r="H1387" s="5"/>
    </row>
    <row r="1388" spans="8:8" x14ac:dyDescent="0.25">
      <c r="H1388" s="5"/>
    </row>
    <row r="1389" spans="8:8" x14ac:dyDescent="0.25">
      <c r="H1389" s="5"/>
    </row>
    <row r="1390" spans="8:8" x14ac:dyDescent="0.25">
      <c r="H1390" s="5"/>
    </row>
    <row r="1391" spans="8:8" x14ac:dyDescent="0.25">
      <c r="H1391" s="5"/>
    </row>
    <row r="1392" spans="8:8" x14ac:dyDescent="0.25">
      <c r="H1392" s="5"/>
    </row>
    <row r="1393" spans="8:8" x14ac:dyDescent="0.25">
      <c r="H1393" s="5"/>
    </row>
    <row r="1394" spans="8:8" x14ac:dyDescent="0.25">
      <c r="H1394" s="5"/>
    </row>
    <row r="1395" spans="8:8" x14ac:dyDescent="0.25">
      <c r="H1395" s="5"/>
    </row>
    <row r="1396" spans="8:8" x14ac:dyDescent="0.25">
      <c r="H1396" s="5"/>
    </row>
    <row r="1397" spans="8:8" x14ac:dyDescent="0.25">
      <c r="H1397" s="5"/>
    </row>
    <row r="1398" spans="8:8" x14ac:dyDescent="0.25">
      <c r="H1398" s="5"/>
    </row>
    <row r="1399" spans="8:8" x14ac:dyDescent="0.25">
      <c r="H1399" s="5"/>
    </row>
    <row r="1400" spans="8:8" x14ac:dyDescent="0.25">
      <c r="H1400" s="5"/>
    </row>
    <row r="1401" spans="8:8" x14ac:dyDescent="0.25">
      <c r="H1401" s="5"/>
    </row>
    <row r="1402" spans="8:8" x14ac:dyDescent="0.25">
      <c r="H1402" s="5"/>
    </row>
    <row r="1403" spans="8:8" x14ac:dyDescent="0.25">
      <c r="H1403" s="5"/>
    </row>
    <row r="1404" spans="8:8" x14ac:dyDescent="0.25">
      <c r="H1404" s="5"/>
    </row>
    <row r="1405" spans="8:8" x14ac:dyDescent="0.25">
      <c r="H1405" s="5"/>
    </row>
    <row r="1406" spans="8:8" x14ac:dyDescent="0.25">
      <c r="H1406" s="5"/>
    </row>
    <row r="1407" spans="8:8" x14ac:dyDescent="0.25">
      <c r="H1407" s="5"/>
    </row>
    <row r="1408" spans="8:8" x14ac:dyDescent="0.25">
      <c r="H1408" s="5"/>
    </row>
    <row r="1409" spans="8:8" x14ac:dyDescent="0.25">
      <c r="H1409" s="5"/>
    </row>
    <row r="1410" spans="8:8" x14ac:dyDescent="0.25">
      <c r="H1410" s="5"/>
    </row>
    <row r="1411" spans="8:8" x14ac:dyDescent="0.25">
      <c r="H1411" s="5"/>
    </row>
    <row r="1412" spans="8:8" x14ac:dyDescent="0.25">
      <c r="H1412" s="5"/>
    </row>
    <row r="1413" spans="8:8" x14ac:dyDescent="0.25">
      <c r="H1413" s="5"/>
    </row>
    <row r="1414" spans="8:8" x14ac:dyDescent="0.25">
      <c r="H1414" s="5"/>
    </row>
    <row r="1415" spans="8:8" x14ac:dyDescent="0.25">
      <c r="H1415" s="5"/>
    </row>
    <row r="1416" spans="8:8" x14ac:dyDescent="0.25">
      <c r="H1416" s="5"/>
    </row>
    <row r="1417" spans="8:8" x14ac:dyDescent="0.25">
      <c r="H1417" s="5"/>
    </row>
    <row r="1418" spans="8:8" x14ac:dyDescent="0.25">
      <c r="H1418" s="5"/>
    </row>
    <row r="1419" spans="8:8" x14ac:dyDescent="0.25">
      <c r="H1419" s="5"/>
    </row>
    <row r="1420" spans="8:8" x14ac:dyDescent="0.25">
      <c r="H1420" s="5"/>
    </row>
    <row r="1421" spans="8:8" x14ac:dyDescent="0.25">
      <c r="H1421" s="5"/>
    </row>
    <row r="1422" spans="8:8" x14ac:dyDescent="0.25">
      <c r="H1422" s="5"/>
    </row>
    <row r="1423" spans="8:8" x14ac:dyDescent="0.25">
      <c r="H1423" s="5"/>
    </row>
    <row r="1424" spans="8:8" x14ac:dyDescent="0.25">
      <c r="H1424" s="5"/>
    </row>
    <row r="1425" spans="8:8" x14ac:dyDescent="0.25">
      <c r="H1425" s="5"/>
    </row>
    <row r="1426" spans="8:8" x14ac:dyDescent="0.25">
      <c r="H1426" s="5"/>
    </row>
    <row r="1427" spans="8:8" x14ac:dyDescent="0.25">
      <c r="H1427" s="5"/>
    </row>
    <row r="1428" spans="8:8" x14ac:dyDescent="0.25">
      <c r="H1428" s="5"/>
    </row>
    <row r="1429" spans="8:8" x14ac:dyDescent="0.25">
      <c r="H1429" s="5"/>
    </row>
    <row r="1430" spans="8:8" x14ac:dyDescent="0.25">
      <c r="H1430" s="5"/>
    </row>
    <row r="1431" spans="8:8" x14ac:dyDescent="0.25">
      <c r="H1431" s="5"/>
    </row>
    <row r="1432" spans="8:8" x14ac:dyDescent="0.25">
      <c r="H1432" s="5"/>
    </row>
    <row r="1433" spans="8:8" x14ac:dyDescent="0.25">
      <c r="H1433" s="5"/>
    </row>
    <row r="1434" spans="8:8" x14ac:dyDescent="0.25">
      <c r="H1434" s="5"/>
    </row>
    <row r="1435" spans="8:8" x14ac:dyDescent="0.25">
      <c r="H1435" s="5"/>
    </row>
    <row r="1436" spans="8:8" x14ac:dyDescent="0.25">
      <c r="H1436" s="5"/>
    </row>
    <row r="1437" spans="8:8" x14ac:dyDescent="0.25">
      <c r="H1437" s="5"/>
    </row>
    <row r="1438" spans="8:8" x14ac:dyDescent="0.25">
      <c r="H1438" s="5"/>
    </row>
    <row r="1439" spans="8:8" x14ac:dyDescent="0.25">
      <c r="H1439" s="5"/>
    </row>
    <row r="1440" spans="8:8" x14ac:dyDescent="0.25">
      <c r="H1440" s="5"/>
    </row>
    <row r="1441" spans="8:8" x14ac:dyDescent="0.25">
      <c r="H1441" s="5"/>
    </row>
    <row r="1442" spans="8:8" x14ac:dyDescent="0.25">
      <c r="H1442" s="5"/>
    </row>
    <row r="1443" spans="8:8" x14ac:dyDescent="0.25">
      <c r="H1443" s="5"/>
    </row>
    <row r="1444" spans="8:8" x14ac:dyDescent="0.25">
      <c r="H1444" s="5"/>
    </row>
    <row r="1445" spans="8:8" x14ac:dyDescent="0.25">
      <c r="H1445" s="5"/>
    </row>
    <row r="1446" spans="8:8" x14ac:dyDescent="0.25">
      <c r="H1446" s="5"/>
    </row>
    <row r="1447" spans="8:8" x14ac:dyDescent="0.25">
      <c r="H1447" s="5"/>
    </row>
    <row r="1448" spans="8:8" x14ac:dyDescent="0.25">
      <c r="H1448" s="5"/>
    </row>
    <row r="1449" spans="8:8" x14ac:dyDescent="0.25">
      <c r="H1449" s="5"/>
    </row>
    <row r="1450" spans="8:8" x14ac:dyDescent="0.25">
      <c r="H1450" s="5"/>
    </row>
    <row r="1451" spans="8:8" x14ac:dyDescent="0.25">
      <c r="H1451" s="5"/>
    </row>
    <row r="1452" spans="8:8" x14ac:dyDescent="0.25">
      <c r="H1452" s="5"/>
    </row>
    <row r="1453" spans="8:8" x14ac:dyDescent="0.25">
      <c r="H1453" s="5"/>
    </row>
    <row r="1454" spans="8:8" x14ac:dyDescent="0.25">
      <c r="H1454" s="5"/>
    </row>
    <row r="1455" spans="8:8" x14ac:dyDescent="0.25">
      <c r="H1455" s="5"/>
    </row>
    <row r="1456" spans="8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  <row r="1684" spans="8:8" x14ac:dyDescent="0.25">
      <c r="H1684" s="5"/>
    </row>
    <row r="1685" spans="8:8" x14ac:dyDescent="0.25">
      <c r="H1685" s="5"/>
    </row>
    <row r="1686" spans="8:8" x14ac:dyDescent="0.25">
      <c r="H1686" s="5"/>
    </row>
    <row r="1687" spans="8:8" x14ac:dyDescent="0.25">
      <c r="H1687" s="5"/>
    </row>
    <row r="1688" spans="8:8" x14ac:dyDescent="0.25">
      <c r="H1688" s="5"/>
    </row>
    <row r="1689" spans="8:8" x14ac:dyDescent="0.25">
      <c r="H1689" s="5"/>
    </row>
    <row r="1690" spans="8:8" x14ac:dyDescent="0.25">
      <c r="H1690" s="5"/>
    </row>
    <row r="1691" spans="8:8" x14ac:dyDescent="0.25">
      <c r="H1691" s="5"/>
    </row>
    <row r="1692" spans="8:8" x14ac:dyDescent="0.25">
      <c r="H1692" s="5"/>
    </row>
    <row r="1693" spans="8:8" x14ac:dyDescent="0.25">
      <c r="H1693" s="5"/>
    </row>
    <row r="1694" spans="8:8" x14ac:dyDescent="0.25">
      <c r="H1694" s="5"/>
    </row>
    <row r="1695" spans="8:8" x14ac:dyDescent="0.25">
      <c r="H1695" s="5"/>
    </row>
    <row r="1696" spans="8:8" x14ac:dyDescent="0.25">
      <c r="H1696" s="5"/>
    </row>
    <row r="1697" spans="8:8" x14ac:dyDescent="0.25">
      <c r="H1697" s="5"/>
    </row>
    <row r="1698" spans="8:8" x14ac:dyDescent="0.25">
      <c r="H1698" s="5"/>
    </row>
    <row r="1699" spans="8:8" x14ac:dyDescent="0.25">
      <c r="H1699" s="5"/>
    </row>
    <row r="1700" spans="8:8" x14ac:dyDescent="0.25">
      <c r="H1700" s="5"/>
    </row>
    <row r="1701" spans="8:8" x14ac:dyDescent="0.25">
      <c r="H1701" s="5"/>
    </row>
    <row r="1702" spans="8:8" x14ac:dyDescent="0.25">
      <c r="H1702" s="5"/>
    </row>
    <row r="1703" spans="8:8" x14ac:dyDescent="0.25">
      <c r="H1703" s="5"/>
    </row>
    <row r="1704" spans="8:8" x14ac:dyDescent="0.25">
      <c r="H1704" s="5"/>
    </row>
    <row r="1705" spans="8:8" x14ac:dyDescent="0.25">
      <c r="H1705" s="5"/>
    </row>
    <row r="1706" spans="8:8" x14ac:dyDescent="0.25">
      <c r="H1706" s="5"/>
    </row>
    <row r="1707" spans="8:8" x14ac:dyDescent="0.25">
      <c r="H1707" s="5"/>
    </row>
    <row r="1708" spans="8:8" x14ac:dyDescent="0.25">
      <c r="H1708" s="5"/>
    </row>
    <row r="1709" spans="8:8" x14ac:dyDescent="0.25">
      <c r="H1709" s="5"/>
    </row>
    <row r="1710" spans="8:8" x14ac:dyDescent="0.25">
      <c r="H1710" s="5"/>
    </row>
    <row r="1711" spans="8:8" x14ac:dyDescent="0.25">
      <c r="H1711" s="5"/>
    </row>
    <row r="1712" spans="8:8" x14ac:dyDescent="0.25">
      <c r="H1712" s="5"/>
    </row>
    <row r="1713" spans="8:8" x14ac:dyDescent="0.25">
      <c r="H1713" s="5"/>
    </row>
    <row r="1714" spans="8:8" x14ac:dyDescent="0.25">
      <c r="H1714" s="5"/>
    </row>
    <row r="1715" spans="8:8" x14ac:dyDescent="0.25">
      <c r="H1715" s="5"/>
    </row>
    <row r="1716" spans="8:8" x14ac:dyDescent="0.25">
      <c r="H1716" s="5"/>
    </row>
    <row r="1717" spans="8:8" x14ac:dyDescent="0.25">
      <c r="H1717" s="5"/>
    </row>
    <row r="1718" spans="8:8" x14ac:dyDescent="0.25">
      <c r="H1718" s="5"/>
    </row>
    <row r="1719" spans="8:8" x14ac:dyDescent="0.25">
      <c r="H1719" s="5"/>
    </row>
    <row r="1720" spans="8:8" x14ac:dyDescent="0.25">
      <c r="H1720" s="5"/>
    </row>
    <row r="1721" spans="8:8" x14ac:dyDescent="0.25">
      <c r="H1721" s="5"/>
    </row>
    <row r="1722" spans="8:8" x14ac:dyDescent="0.25">
      <c r="H1722" s="5"/>
    </row>
    <row r="1723" spans="8:8" x14ac:dyDescent="0.25">
      <c r="H1723" s="5"/>
    </row>
    <row r="1724" spans="8:8" x14ac:dyDescent="0.25">
      <c r="H1724" s="5"/>
    </row>
    <row r="1725" spans="8:8" x14ac:dyDescent="0.25">
      <c r="H1725" s="5"/>
    </row>
    <row r="1726" spans="8:8" x14ac:dyDescent="0.25">
      <c r="H1726" s="5"/>
    </row>
    <row r="1727" spans="8:8" x14ac:dyDescent="0.25">
      <c r="H1727" s="5"/>
    </row>
    <row r="1728" spans="8:8" x14ac:dyDescent="0.25">
      <c r="H1728" s="5"/>
    </row>
    <row r="1729" spans="8:8" x14ac:dyDescent="0.25">
      <c r="H1729" s="5"/>
    </row>
    <row r="1730" spans="8:8" x14ac:dyDescent="0.25">
      <c r="H1730" s="5"/>
    </row>
    <row r="1731" spans="8:8" x14ac:dyDescent="0.25">
      <c r="H1731" s="5"/>
    </row>
    <row r="1732" spans="8:8" x14ac:dyDescent="0.25">
      <c r="H1732" s="5"/>
    </row>
    <row r="1733" spans="8:8" x14ac:dyDescent="0.25">
      <c r="H1733" s="5"/>
    </row>
    <row r="1734" spans="8:8" x14ac:dyDescent="0.25">
      <c r="H1734" s="5"/>
    </row>
    <row r="1735" spans="8:8" x14ac:dyDescent="0.25">
      <c r="H1735" s="5"/>
    </row>
    <row r="1736" spans="8:8" x14ac:dyDescent="0.25">
      <c r="H1736" s="5"/>
    </row>
    <row r="1737" spans="8:8" x14ac:dyDescent="0.25">
      <c r="H1737" s="5"/>
    </row>
    <row r="1738" spans="8:8" x14ac:dyDescent="0.25">
      <c r="H1738" s="5"/>
    </row>
    <row r="1739" spans="8:8" x14ac:dyDescent="0.25">
      <c r="H1739" s="5"/>
    </row>
    <row r="1740" spans="8:8" x14ac:dyDescent="0.25">
      <c r="H1740" s="5"/>
    </row>
    <row r="1741" spans="8:8" x14ac:dyDescent="0.25">
      <c r="H1741" s="5"/>
    </row>
    <row r="1742" spans="8:8" x14ac:dyDescent="0.25">
      <c r="H1742" s="5"/>
    </row>
    <row r="1743" spans="8:8" x14ac:dyDescent="0.25">
      <c r="H1743" s="5"/>
    </row>
    <row r="1744" spans="8:8" x14ac:dyDescent="0.25">
      <c r="H1744" s="5"/>
    </row>
    <row r="1745" spans="8:8" x14ac:dyDescent="0.25">
      <c r="H1745" s="5"/>
    </row>
    <row r="1746" spans="8:8" x14ac:dyDescent="0.25">
      <c r="H1746" s="5"/>
    </row>
    <row r="1747" spans="8:8" x14ac:dyDescent="0.25">
      <c r="H1747" s="5"/>
    </row>
    <row r="1748" spans="8:8" x14ac:dyDescent="0.25">
      <c r="H1748" s="5"/>
    </row>
    <row r="1749" spans="8:8" x14ac:dyDescent="0.25">
      <c r="H1749" s="5"/>
    </row>
    <row r="1750" spans="8:8" x14ac:dyDescent="0.25">
      <c r="H1750" s="5"/>
    </row>
    <row r="1751" spans="8:8" x14ac:dyDescent="0.25">
      <c r="H1751" s="5"/>
    </row>
    <row r="1752" spans="8:8" x14ac:dyDescent="0.25">
      <c r="H1752" s="5"/>
    </row>
    <row r="1753" spans="8:8" x14ac:dyDescent="0.25">
      <c r="H1753" s="5"/>
    </row>
    <row r="1754" spans="8:8" x14ac:dyDescent="0.25">
      <c r="H1754" s="5"/>
    </row>
    <row r="1755" spans="8:8" x14ac:dyDescent="0.25">
      <c r="H1755" s="5"/>
    </row>
    <row r="1756" spans="8:8" x14ac:dyDescent="0.25">
      <c r="H1756" s="5"/>
    </row>
    <row r="1757" spans="8:8" x14ac:dyDescent="0.25">
      <c r="H1757" s="5"/>
    </row>
    <row r="1758" spans="8:8" x14ac:dyDescent="0.25">
      <c r="H1758" s="5"/>
    </row>
    <row r="1759" spans="8:8" x14ac:dyDescent="0.25">
      <c r="H1759" s="5"/>
    </row>
    <row r="1760" spans="8:8" x14ac:dyDescent="0.25">
      <c r="H1760" s="5"/>
    </row>
    <row r="1761" spans="8:8" x14ac:dyDescent="0.25">
      <c r="H1761" s="5"/>
    </row>
    <row r="1762" spans="8:8" x14ac:dyDescent="0.25">
      <c r="H1762" s="5"/>
    </row>
    <row r="1763" spans="8:8" x14ac:dyDescent="0.25">
      <c r="H1763" s="5"/>
    </row>
    <row r="1764" spans="8:8" x14ac:dyDescent="0.25">
      <c r="H1764" s="5"/>
    </row>
    <row r="1765" spans="8:8" x14ac:dyDescent="0.25">
      <c r="H1765" s="5"/>
    </row>
    <row r="1766" spans="8:8" x14ac:dyDescent="0.25">
      <c r="H1766" s="5"/>
    </row>
    <row r="1767" spans="8:8" x14ac:dyDescent="0.25">
      <c r="H1767" s="5"/>
    </row>
    <row r="1768" spans="8:8" x14ac:dyDescent="0.25">
      <c r="H1768" s="5"/>
    </row>
    <row r="1769" spans="8:8" x14ac:dyDescent="0.25">
      <c r="H1769" s="5"/>
    </row>
    <row r="1770" spans="8:8" x14ac:dyDescent="0.25">
      <c r="H1770" s="5"/>
    </row>
    <row r="1771" spans="8:8" x14ac:dyDescent="0.25">
      <c r="H1771" s="5"/>
    </row>
    <row r="1772" spans="8:8" x14ac:dyDescent="0.25">
      <c r="H1772" s="5"/>
    </row>
    <row r="1773" spans="8:8" x14ac:dyDescent="0.25">
      <c r="H1773" s="5"/>
    </row>
    <row r="1774" spans="8:8" x14ac:dyDescent="0.25">
      <c r="H1774" s="5"/>
    </row>
    <row r="1775" spans="8:8" x14ac:dyDescent="0.25">
      <c r="H1775" s="5"/>
    </row>
    <row r="1776" spans="8:8" x14ac:dyDescent="0.25">
      <c r="H1776" s="5"/>
    </row>
    <row r="1777" spans="8:8" x14ac:dyDescent="0.25">
      <c r="H1777" s="5"/>
    </row>
    <row r="1778" spans="8:8" x14ac:dyDescent="0.25">
      <c r="H1778" s="5"/>
    </row>
    <row r="1779" spans="8:8" x14ac:dyDescent="0.25">
      <c r="H1779" s="5"/>
    </row>
    <row r="1780" spans="8:8" x14ac:dyDescent="0.25">
      <c r="H1780" s="5"/>
    </row>
    <row r="1781" spans="8:8" x14ac:dyDescent="0.25">
      <c r="H1781" s="5"/>
    </row>
    <row r="1782" spans="8:8" x14ac:dyDescent="0.25">
      <c r="H1782" s="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A8C47476BCA49B4F1970557E4A7F6" ma:contentTypeVersion="10" ma:contentTypeDescription="Crie um novo documento." ma:contentTypeScope="" ma:versionID="5bad3fe10cec7b0f7fd34b09720c733e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96352f64f51ef9c44fcf8aef1f0b4d7c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2978bb-38e4-4617-b886-b3cd9af497fc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F4F15-E77F-4399-B36E-27B0692A1C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576C2-3B88-438E-B08C-56858E509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a0837-846c-46e1-926e-f509504b873e"/>
    <ds:schemaRef ds:uri="14feb1ee-1d3c-4e33-b9ff-22395bf7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F2768F-C22C-4614-9EAB-6C2B38DF7A6F}">
  <ds:schemaRefs>
    <ds:schemaRef ds:uri="http://schemas.microsoft.com/office/2006/metadata/properties"/>
    <ds:schemaRef ds:uri="http://schemas.microsoft.com/office/infopath/2007/PartnerControls"/>
    <ds:schemaRef ds:uri="14feb1ee-1d3c-4e33-b9ff-22395bf77364"/>
    <ds:schemaRef ds:uri="211a0837-846c-46e1-926e-f509504b87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Cadastro</vt:lpstr>
      <vt:lpstr>Linha 01</vt:lpstr>
      <vt:lpstr>LISTA 01</vt:lpstr>
      <vt:lpstr>Linha 02</vt:lpstr>
      <vt:lpstr>LISTA 02</vt:lpstr>
      <vt:lpstr>Linha 03</vt:lpstr>
      <vt:lpstr>LISTA 03</vt:lpstr>
      <vt:lpstr>Linha 04</vt:lpstr>
      <vt:lpstr>LISTA 04</vt:lpstr>
      <vt:lpstr>Linha 05</vt:lpstr>
      <vt:lpstr>LISTA 05</vt:lpstr>
      <vt:lpstr>Linha 06</vt:lpstr>
      <vt:lpstr>LISTA 06</vt:lpstr>
      <vt:lpstr>Linha 07</vt:lpstr>
      <vt:lpstr>LISTA 07</vt:lpstr>
      <vt:lpstr>Linha 10</vt:lpstr>
      <vt:lpstr>LISTA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Brun</dc:creator>
  <cp:lastModifiedBy>Andre Ghiggi</cp:lastModifiedBy>
  <cp:lastPrinted>2026-03-13T19:18:52Z</cp:lastPrinted>
  <dcterms:created xsi:type="dcterms:W3CDTF">2024-08-26T13:14:35Z</dcterms:created>
  <dcterms:modified xsi:type="dcterms:W3CDTF">2026-03-18T11:49:13Z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</Properties>
</file>